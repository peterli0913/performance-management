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omments2.xml" ContentType="application/vnd.openxmlformats-officedocument.spreadsheetml.comments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omments3.xml" ContentType="application/vnd.openxmlformats-officedocument.spreadsheetml.comments+xml"/>
  <Override PartName="/xl/customProperty8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J1&amp;TJ4S-工作\TJ4奖金\"/>
    </mc:Choice>
  </mc:AlternateContent>
  <bookViews>
    <workbookView xWindow="-105" yWindow="-105" windowWidth="19305" windowHeight="8445" tabRatio="776" activeTab="1"/>
  </bookViews>
  <sheets>
    <sheet name="副主任&amp;工艺组长及其他" sheetId="9" r:id="rId1"/>
    <sheet name="一线人员" sheetId="1" r:id="rId2"/>
    <sheet name="Sheet1" sheetId="13" state="hidden" r:id="rId3"/>
    <sheet name="复核人" sheetId="12" r:id="rId4"/>
    <sheet name="一线人员 (2)" sheetId="15" state="hidden" r:id="rId5"/>
    <sheet name="说明" sheetId="11" state="hidden" r:id="rId6"/>
    <sheet name="积分汇总" sheetId="8" state="hidden" r:id="rId7"/>
    <sheet name="安全质量事故" sheetId="10" state="hidden" r:id="rId8"/>
    <sheet name="记录巡查问题条数汇总" sheetId="7" state="hidden" r:id="rId9"/>
    <sheet name="标准数据" sheetId="2" state="hidden" r:id="rId10"/>
  </sheets>
  <externalReferences>
    <externalReference r:id="rId11"/>
    <externalReference r:id="rId12"/>
  </externalReferences>
  <definedNames>
    <definedName name="_xlnm._FilterDatabase" localSheetId="2" hidden="1">Sheet1!$A$1:$F$846</definedName>
    <definedName name="_xlnm._FilterDatabase" localSheetId="0" hidden="1">'副主任&amp;工艺组长及其他'!$A$1:$T$132</definedName>
    <definedName name="_xlnm._FilterDatabase" localSheetId="6" hidden="1">积分汇总!$A$2:$F$49</definedName>
    <definedName name="_xlnm._FilterDatabase" localSheetId="8" hidden="1">记录巡查问题条数汇总!$A$1:$E$12</definedName>
    <definedName name="_xlnm._FilterDatabase" localSheetId="1" hidden="1">一线人员!$A$2:$AV$833</definedName>
    <definedName name="_xlnm._FilterDatabase" localSheetId="4" hidden="1">'一线人员 (2)'!$A$2:$AW$849</definedName>
    <definedName name="_xlnm.Print_Area" localSheetId="0">'副主任&amp;工艺组长及其他'!$A$1:$F$129</definedName>
    <definedName name="_xlnm.Print_Area" localSheetId="1">一线人员!$A$2:$F$832</definedName>
    <definedName name="_xlnm.Print_Area" localSheetId="4">'一线人员 (2)'!$A$2:$G$848</definedName>
  </definedNames>
  <calcPr calcId="162913"/>
</workbook>
</file>

<file path=xl/calcChain.xml><?xml version="1.0" encoding="utf-8"?>
<calcChain xmlns="http://schemas.openxmlformats.org/spreadsheetml/2006/main">
  <c r="L113" i="9" l="1"/>
  <c r="J113" i="9"/>
  <c r="H113" i="9"/>
  <c r="G113" i="9"/>
  <c r="F113" i="9" s="1"/>
  <c r="L44" i="9"/>
  <c r="J44" i="9"/>
  <c r="H44" i="9"/>
  <c r="G44" i="9"/>
  <c r="F44" i="9" s="1"/>
  <c r="L43" i="9"/>
  <c r="J43" i="9"/>
  <c r="H43" i="9"/>
  <c r="G43" i="9"/>
  <c r="L42" i="9"/>
  <c r="K42" i="9"/>
  <c r="J42" i="9"/>
  <c r="H42" i="9"/>
  <c r="G42" i="9"/>
  <c r="L30" i="9"/>
  <c r="J30" i="9"/>
  <c r="H30" i="9"/>
  <c r="G30" i="9"/>
  <c r="L29" i="9"/>
  <c r="J29" i="9"/>
  <c r="H29" i="9"/>
  <c r="G29" i="9"/>
  <c r="L115" i="9"/>
  <c r="J115" i="9"/>
  <c r="H115" i="9"/>
  <c r="G115" i="9"/>
  <c r="L14" i="9"/>
  <c r="K14" i="9"/>
  <c r="J14" i="9"/>
  <c r="H14" i="9"/>
  <c r="G14" i="9"/>
  <c r="F43" i="9" l="1"/>
  <c r="F42" i="9"/>
  <c r="F29" i="9"/>
  <c r="F30" i="9"/>
  <c r="F115" i="9"/>
  <c r="F14" i="9"/>
  <c r="AR6" i="1" l="1"/>
  <c r="AR102" i="1"/>
  <c r="AT764" i="1"/>
  <c r="AS764" i="1"/>
  <c r="AR764" i="1"/>
  <c r="K355" i="1"/>
  <c r="J355" i="1"/>
  <c r="H355" i="1"/>
  <c r="G355" i="1"/>
  <c r="K354" i="1"/>
  <c r="J354" i="1"/>
  <c r="H354" i="1"/>
  <c r="G354" i="1"/>
  <c r="K353" i="1"/>
  <c r="J353" i="1"/>
  <c r="H353" i="1"/>
  <c r="G353" i="1"/>
  <c r="K352" i="1"/>
  <c r="J352" i="1"/>
  <c r="H352" i="1"/>
  <c r="G352" i="1"/>
  <c r="F352" i="1"/>
  <c r="K351" i="1"/>
  <c r="J351" i="1"/>
  <c r="H351" i="1"/>
  <c r="G351" i="1"/>
  <c r="K350" i="1"/>
  <c r="J350" i="1"/>
  <c r="H350" i="1"/>
  <c r="G350" i="1"/>
  <c r="K349" i="1"/>
  <c r="J349" i="1"/>
  <c r="H349" i="1"/>
  <c r="G349" i="1"/>
  <c r="K348" i="1"/>
  <c r="J348" i="1"/>
  <c r="H348" i="1"/>
  <c r="G348" i="1"/>
  <c r="K347" i="1"/>
  <c r="J347" i="1"/>
  <c r="H347" i="1"/>
  <c r="G347" i="1"/>
  <c r="K346" i="1"/>
  <c r="J346" i="1"/>
  <c r="H346" i="1"/>
  <c r="G346" i="1"/>
  <c r="K345" i="1"/>
  <c r="J345" i="1"/>
  <c r="H345" i="1"/>
  <c r="G345" i="1"/>
  <c r="K344" i="1"/>
  <c r="J344" i="1"/>
  <c r="H344" i="1"/>
  <c r="G344" i="1"/>
  <c r="K343" i="1"/>
  <c r="J343" i="1"/>
  <c r="H343" i="1"/>
  <c r="G343" i="1"/>
  <c r="K342" i="1"/>
  <c r="J342" i="1"/>
  <c r="H342" i="1"/>
  <c r="G342" i="1"/>
  <c r="K341" i="1"/>
  <c r="J341" i="1"/>
  <c r="H341" i="1"/>
  <c r="G341" i="1"/>
  <c r="K340" i="1"/>
  <c r="J340" i="1"/>
  <c r="H340" i="1"/>
  <c r="G340" i="1"/>
  <c r="K339" i="1"/>
  <c r="J339" i="1"/>
  <c r="H339" i="1"/>
  <c r="G339" i="1"/>
  <c r="K338" i="1"/>
  <c r="J338" i="1"/>
  <c r="H338" i="1"/>
  <c r="G338" i="1"/>
  <c r="K337" i="1"/>
  <c r="J337" i="1"/>
  <c r="H337" i="1"/>
  <c r="G337" i="1"/>
  <c r="K336" i="1"/>
  <c r="J336" i="1"/>
  <c r="H336" i="1"/>
  <c r="G336" i="1"/>
  <c r="F336" i="1"/>
  <c r="K335" i="1"/>
  <c r="J335" i="1"/>
  <c r="H335" i="1"/>
  <c r="G335" i="1"/>
  <c r="K334" i="1"/>
  <c r="J334" i="1"/>
  <c r="H334" i="1"/>
  <c r="G334" i="1"/>
  <c r="K333" i="1"/>
  <c r="J333" i="1"/>
  <c r="H333" i="1"/>
  <c r="G333" i="1"/>
  <c r="K332" i="1"/>
  <c r="J332" i="1"/>
  <c r="H332" i="1"/>
  <c r="G332" i="1"/>
  <c r="K331" i="1"/>
  <c r="J331" i="1"/>
  <c r="H331" i="1"/>
  <c r="G331" i="1"/>
  <c r="K776" i="1"/>
  <c r="J776" i="1"/>
  <c r="H776" i="1"/>
  <c r="G776" i="1"/>
  <c r="K775" i="1"/>
  <c r="J775" i="1"/>
  <c r="H775" i="1"/>
  <c r="G775" i="1"/>
  <c r="K774" i="1"/>
  <c r="J774" i="1"/>
  <c r="H774" i="1"/>
  <c r="G774" i="1"/>
  <c r="K773" i="1"/>
  <c r="J773" i="1"/>
  <c r="H773" i="1"/>
  <c r="G773" i="1"/>
  <c r="K772" i="1"/>
  <c r="J772" i="1"/>
  <c r="H772" i="1"/>
  <c r="G772" i="1"/>
  <c r="K771" i="1"/>
  <c r="J771" i="1"/>
  <c r="H771" i="1"/>
  <c r="G771" i="1"/>
  <c r="K770" i="1"/>
  <c r="J770" i="1"/>
  <c r="H770" i="1"/>
  <c r="G770" i="1"/>
  <c r="K769" i="1"/>
  <c r="J769" i="1"/>
  <c r="H769" i="1"/>
  <c r="G769" i="1"/>
  <c r="K768" i="1"/>
  <c r="J768" i="1"/>
  <c r="H768" i="1"/>
  <c r="G768" i="1"/>
  <c r="K767" i="1"/>
  <c r="J767" i="1"/>
  <c r="H767" i="1"/>
  <c r="G767" i="1"/>
  <c r="K766" i="1"/>
  <c r="J766" i="1"/>
  <c r="H766" i="1"/>
  <c r="G766" i="1"/>
  <c r="K765" i="1"/>
  <c r="J765" i="1"/>
  <c r="H765" i="1"/>
  <c r="G765" i="1"/>
  <c r="K764" i="1"/>
  <c r="J764" i="1"/>
  <c r="H764" i="1"/>
  <c r="G764" i="1"/>
  <c r="K763" i="1"/>
  <c r="J763" i="1"/>
  <c r="H763" i="1"/>
  <c r="G763" i="1"/>
  <c r="K762" i="1"/>
  <c r="J762" i="1"/>
  <c r="H762" i="1"/>
  <c r="G762" i="1"/>
  <c r="K455" i="1"/>
  <c r="J455" i="1"/>
  <c r="H455" i="1"/>
  <c r="G455" i="1"/>
  <c r="K454" i="1"/>
  <c r="J454" i="1"/>
  <c r="H454" i="1"/>
  <c r="G454" i="1"/>
  <c r="K453" i="1"/>
  <c r="J453" i="1"/>
  <c r="H453" i="1"/>
  <c r="G453" i="1"/>
  <c r="K452" i="1"/>
  <c r="J452" i="1"/>
  <c r="H452" i="1"/>
  <c r="G452" i="1"/>
  <c r="L41" i="9"/>
  <c r="J41" i="9"/>
  <c r="H41" i="9"/>
  <c r="G41" i="9"/>
  <c r="L40" i="9"/>
  <c r="J40" i="9"/>
  <c r="H40" i="9"/>
  <c r="G40" i="9"/>
  <c r="L39" i="9"/>
  <c r="J39" i="9"/>
  <c r="H39" i="9"/>
  <c r="G39" i="9"/>
  <c r="L38" i="9"/>
  <c r="J38" i="9"/>
  <c r="H38" i="9"/>
  <c r="G38" i="9"/>
  <c r="L37" i="9"/>
  <c r="J37" i="9"/>
  <c r="H37" i="9"/>
  <c r="G37" i="9"/>
  <c r="L36" i="9"/>
  <c r="J36" i="9"/>
  <c r="H36" i="9"/>
  <c r="G36" i="9"/>
  <c r="K97" i="1"/>
  <c r="J97" i="1"/>
  <c r="H97" i="1"/>
  <c r="G97" i="1"/>
  <c r="K96" i="1"/>
  <c r="J96" i="1"/>
  <c r="H96" i="1"/>
  <c r="G96" i="1"/>
  <c r="AW848" i="15"/>
  <c r="AV848" i="15"/>
  <c r="L848" i="15"/>
  <c r="K848" i="15"/>
  <c r="I848" i="15"/>
  <c r="H848" i="15"/>
  <c r="G848" i="15"/>
  <c r="AW847" i="15"/>
  <c r="AV847" i="15"/>
  <c r="L847" i="15"/>
  <c r="G847" i="15" s="1"/>
  <c r="K847" i="15"/>
  <c r="I847" i="15"/>
  <c r="H847" i="15"/>
  <c r="AW846" i="15"/>
  <c r="AV846" i="15"/>
  <c r="L846" i="15"/>
  <c r="G846" i="15" s="1"/>
  <c r="K846" i="15"/>
  <c r="I846" i="15"/>
  <c r="H846" i="15"/>
  <c r="AW845" i="15"/>
  <c r="AV845" i="15"/>
  <c r="L845" i="15"/>
  <c r="G845" i="15" s="1"/>
  <c r="K845" i="15"/>
  <c r="I845" i="15"/>
  <c r="H845" i="15"/>
  <c r="AW844" i="15"/>
  <c r="AV844" i="15"/>
  <c r="L844" i="15"/>
  <c r="G844" i="15" s="1"/>
  <c r="K844" i="15"/>
  <c r="I844" i="15"/>
  <c r="H844" i="15"/>
  <c r="AW843" i="15"/>
  <c r="AV843" i="15"/>
  <c r="L843" i="15"/>
  <c r="G843" i="15" s="1"/>
  <c r="K843" i="15"/>
  <c r="I843" i="15"/>
  <c r="H843" i="15"/>
  <c r="AW842" i="15"/>
  <c r="AV842" i="15"/>
  <c r="L842" i="15"/>
  <c r="G842" i="15" s="1"/>
  <c r="K842" i="15"/>
  <c r="I842" i="15"/>
  <c r="H842" i="15"/>
  <c r="AW841" i="15"/>
  <c r="AV841" i="15"/>
  <c r="L841" i="15"/>
  <c r="K841" i="15"/>
  <c r="I841" i="15"/>
  <c r="H841" i="15"/>
  <c r="G841" i="15"/>
  <c r="AW840" i="15"/>
  <c r="AV840" i="15"/>
  <c r="L840" i="15"/>
  <c r="G840" i="15" s="1"/>
  <c r="K840" i="15"/>
  <c r="I840" i="15"/>
  <c r="H840" i="15"/>
  <c r="AW839" i="15"/>
  <c r="AV839" i="15"/>
  <c r="L839" i="15"/>
  <c r="G839" i="15" s="1"/>
  <c r="K839" i="15"/>
  <c r="I839" i="15"/>
  <c r="H839" i="15"/>
  <c r="AW838" i="15"/>
  <c r="AV838" i="15"/>
  <c r="L838" i="15"/>
  <c r="K838" i="15"/>
  <c r="I838" i="15"/>
  <c r="H838" i="15"/>
  <c r="G838" i="15"/>
  <c r="AW837" i="15"/>
  <c r="AV837" i="15"/>
  <c r="L837" i="15"/>
  <c r="G837" i="15" s="1"/>
  <c r="K837" i="15"/>
  <c r="I837" i="15"/>
  <c r="H837" i="15"/>
  <c r="AW836" i="15"/>
  <c r="AV836" i="15"/>
  <c r="L836" i="15"/>
  <c r="G836" i="15" s="1"/>
  <c r="K836" i="15"/>
  <c r="I836" i="15"/>
  <c r="H836" i="15"/>
  <c r="AW835" i="15"/>
  <c r="AV835" i="15"/>
  <c r="L835" i="15"/>
  <c r="K835" i="15"/>
  <c r="I835" i="15"/>
  <c r="H835" i="15"/>
  <c r="G835" i="15"/>
  <c r="AW834" i="15"/>
  <c r="AV834" i="15"/>
  <c r="L834" i="15"/>
  <c r="K834" i="15"/>
  <c r="I834" i="15"/>
  <c r="H834" i="15"/>
  <c r="G834" i="15"/>
  <c r="AW833" i="15"/>
  <c r="AV833" i="15"/>
  <c r="L833" i="15"/>
  <c r="G833" i="15" s="1"/>
  <c r="K833" i="15"/>
  <c r="I833" i="15"/>
  <c r="H833" i="15"/>
  <c r="AW832" i="15"/>
  <c r="AV832" i="15"/>
  <c r="L832" i="15"/>
  <c r="K832" i="15"/>
  <c r="I832" i="15"/>
  <c r="H832" i="15"/>
  <c r="G832" i="15"/>
  <c r="AW831" i="15"/>
  <c r="AV831" i="15"/>
  <c r="L831" i="15"/>
  <c r="K831" i="15"/>
  <c r="I831" i="15"/>
  <c r="H831" i="15"/>
  <c r="G831" i="15"/>
  <c r="AW830" i="15"/>
  <c r="AV830" i="15"/>
  <c r="L830" i="15"/>
  <c r="K830" i="15"/>
  <c r="I830" i="15"/>
  <c r="H830" i="15"/>
  <c r="G830" i="15"/>
  <c r="AW829" i="15"/>
  <c r="AV829" i="15"/>
  <c r="AU829" i="15"/>
  <c r="AU830" i="15" s="1"/>
  <c r="AT829" i="15"/>
  <c r="AT830" i="15" s="1"/>
  <c r="AS829" i="15"/>
  <c r="AS830" i="15" s="1"/>
  <c r="L829" i="15"/>
  <c r="G829" i="15" s="1"/>
  <c r="K829" i="15"/>
  <c r="I829" i="15"/>
  <c r="H829" i="15"/>
  <c r="AW828" i="15"/>
  <c r="AV828" i="15"/>
  <c r="L828" i="15"/>
  <c r="G828" i="15" s="1"/>
  <c r="K828" i="15"/>
  <c r="I828" i="15"/>
  <c r="H828" i="15"/>
  <c r="AW827" i="15"/>
  <c r="AV827" i="15"/>
  <c r="L827" i="15"/>
  <c r="G827" i="15" s="1"/>
  <c r="K827" i="15"/>
  <c r="I827" i="15"/>
  <c r="H827" i="15"/>
  <c r="AW826" i="15"/>
  <c r="AV826" i="15"/>
  <c r="L826" i="15"/>
  <c r="G826" i="15" s="1"/>
  <c r="K826" i="15"/>
  <c r="I826" i="15"/>
  <c r="H826" i="15"/>
  <c r="AW825" i="15"/>
  <c r="AV825" i="15"/>
  <c r="L825" i="15"/>
  <c r="G825" i="15" s="1"/>
  <c r="K825" i="15"/>
  <c r="I825" i="15"/>
  <c r="H825" i="15"/>
  <c r="AW824" i="15"/>
  <c r="AV824" i="15"/>
  <c r="L824" i="15"/>
  <c r="K824" i="15"/>
  <c r="I824" i="15"/>
  <c r="H824" i="15"/>
  <c r="G824" i="15"/>
  <c r="AW823" i="15"/>
  <c r="AV823" i="15"/>
  <c r="L823" i="15"/>
  <c r="K823" i="15"/>
  <c r="I823" i="15"/>
  <c r="H823" i="15"/>
  <c r="G823" i="15"/>
  <c r="AW822" i="15"/>
  <c r="AV822" i="15"/>
  <c r="L822" i="15"/>
  <c r="G822" i="15" s="1"/>
  <c r="K822" i="15"/>
  <c r="I822" i="15"/>
  <c r="H822" i="15"/>
  <c r="AW821" i="15"/>
  <c r="AV821" i="15"/>
  <c r="L821" i="15"/>
  <c r="K821" i="15"/>
  <c r="I821" i="15"/>
  <c r="H821" i="15"/>
  <c r="G821" i="15"/>
  <c r="AW820" i="15"/>
  <c r="AV820" i="15"/>
  <c r="L820" i="15"/>
  <c r="K820" i="15"/>
  <c r="I820" i="15"/>
  <c r="H820" i="15"/>
  <c r="G820" i="15"/>
  <c r="AW819" i="15"/>
  <c r="AV819" i="15"/>
  <c r="L819" i="15"/>
  <c r="G819" i="15" s="1"/>
  <c r="K819" i="15"/>
  <c r="I819" i="15"/>
  <c r="H819" i="15"/>
  <c r="AW818" i="15"/>
  <c r="AV818" i="15"/>
  <c r="L818" i="15"/>
  <c r="G818" i="15" s="1"/>
  <c r="K818" i="15"/>
  <c r="I818" i="15"/>
  <c r="H818" i="15"/>
  <c r="AW817" i="15"/>
  <c r="AV817" i="15"/>
  <c r="L817" i="15"/>
  <c r="K817" i="15"/>
  <c r="I817" i="15"/>
  <c r="H817" i="15"/>
  <c r="G817" i="15"/>
  <c r="AW816" i="15"/>
  <c r="AV816" i="15"/>
  <c r="L816" i="15"/>
  <c r="K816" i="15"/>
  <c r="I816" i="15"/>
  <c r="H816" i="15"/>
  <c r="G816" i="15"/>
  <c r="AW815" i="15"/>
  <c r="AV815" i="15"/>
  <c r="L815" i="15"/>
  <c r="G815" i="15" s="1"/>
  <c r="K815" i="15"/>
  <c r="I815" i="15"/>
  <c r="H815" i="15"/>
  <c r="AW814" i="15"/>
  <c r="AV814" i="15"/>
  <c r="L814" i="15"/>
  <c r="K814" i="15"/>
  <c r="I814" i="15"/>
  <c r="H814" i="15"/>
  <c r="G814" i="15"/>
  <c r="AW813" i="15"/>
  <c r="AV813" i="15"/>
  <c r="AU813" i="15"/>
  <c r="AU814" i="15" s="1"/>
  <c r="AT813" i="15"/>
  <c r="AT814" i="15" s="1"/>
  <c r="AS813" i="15"/>
  <c r="AS814" i="15" s="1"/>
  <c r="L813" i="15"/>
  <c r="G813" i="15" s="1"/>
  <c r="K813" i="15"/>
  <c r="I813" i="15"/>
  <c r="H813" i="15"/>
  <c r="AW812" i="15"/>
  <c r="AV812" i="15"/>
  <c r="L812" i="15"/>
  <c r="K812" i="15"/>
  <c r="I812" i="15"/>
  <c r="H812" i="15"/>
  <c r="G812" i="15"/>
  <c r="AW811" i="15"/>
  <c r="AV811" i="15"/>
  <c r="L811" i="15"/>
  <c r="G811" i="15" s="1"/>
  <c r="K811" i="15"/>
  <c r="I811" i="15"/>
  <c r="H811" i="15"/>
  <c r="AW810" i="15"/>
  <c r="AV810" i="15"/>
  <c r="L810" i="15"/>
  <c r="G810" i="15" s="1"/>
  <c r="K810" i="15"/>
  <c r="I810" i="15"/>
  <c r="H810" i="15"/>
  <c r="AW809" i="15"/>
  <c r="AV809" i="15"/>
  <c r="L809" i="15"/>
  <c r="G809" i="15" s="1"/>
  <c r="K809" i="15"/>
  <c r="I809" i="15"/>
  <c r="H809" i="15"/>
  <c r="AW808" i="15"/>
  <c r="AV808" i="15"/>
  <c r="L808" i="15"/>
  <c r="G808" i="15" s="1"/>
  <c r="K808" i="15"/>
  <c r="I808" i="15"/>
  <c r="H808" i="15"/>
  <c r="AW807" i="15"/>
  <c r="AV807" i="15"/>
  <c r="L807" i="15"/>
  <c r="G807" i="15" s="1"/>
  <c r="K807" i="15"/>
  <c r="I807" i="15"/>
  <c r="H807" i="15"/>
  <c r="AW806" i="15"/>
  <c r="AV806" i="15"/>
  <c r="L806" i="15"/>
  <c r="K806" i="15"/>
  <c r="I806" i="15"/>
  <c r="H806" i="15"/>
  <c r="G806" i="15"/>
  <c r="AW805" i="15"/>
  <c r="AV805" i="15"/>
  <c r="L805" i="15"/>
  <c r="K805" i="15"/>
  <c r="I805" i="15"/>
  <c r="H805" i="15"/>
  <c r="G805" i="15"/>
  <c r="AW804" i="15"/>
  <c r="AV804" i="15"/>
  <c r="L804" i="15"/>
  <c r="G804" i="15" s="1"/>
  <c r="K804" i="15"/>
  <c r="I804" i="15"/>
  <c r="H804" i="15"/>
  <c r="AW803" i="15"/>
  <c r="AV803" i="15"/>
  <c r="L803" i="15"/>
  <c r="K803" i="15"/>
  <c r="I803" i="15"/>
  <c r="H803" i="15"/>
  <c r="G803" i="15"/>
  <c r="AW802" i="15"/>
  <c r="AV802" i="15"/>
  <c r="L802" i="15"/>
  <c r="K802" i="15"/>
  <c r="I802" i="15"/>
  <c r="H802" i="15"/>
  <c r="G802" i="15"/>
  <c r="AW801" i="15"/>
  <c r="AV801" i="15"/>
  <c r="AU801" i="15"/>
  <c r="AT801" i="15"/>
  <c r="AS801" i="15"/>
  <c r="L801" i="15"/>
  <c r="G801" i="15" s="1"/>
  <c r="K801" i="15"/>
  <c r="I801" i="15"/>
  <c r="H801" i="15"/>
  <c r="AW800" i="15"/>
  <c r="AV800" i="15"/>
  <c r="AU800" i="15"/>
  <c r="AT800" i="15"/>
  <c r="AS800" i="15"/>
  <c r="L800" i="15"/>
  <c r="K800" i="15"/>
  <c r="I800" i="15"/>
  <c r="H800" i="15"/>
  <c r="G800" i="15"/>
  <c r="AW799" i="15"/>
  <c r="AV799" i="15"/>
  <c r="L799" i="15"/>
  <c r="K799" i="15"/>
  <c r="I799" i="15"/>
  <c r="H799" i="15"/>
  <c r="G799" i="15"/>
  <c r="AW798" i="15"/>
  <c r="AV798" i="15"/>
  <c r="L798" i="15"/>
  <c r="G798" i="15" s="1"/>
  <c r="K798" i="15"/>
  <c r="I798" i="15"/>
  <c r="H798" i="15"/>
  <c r="AW797" i="15"/>
  <c r="AV797" i="15"/>
  <c r="L797" i="15"/>
  <c r="K797" i="15"/>
  <c r="I797" i="15"/>
  <c r="H797" i="15"/>
  <c r="G797" i="15"/>
  <c r="AW796" i="15"/>
  <c r="AV796" i="15"/>
  <c r="L796" i="15"/>
  <c r="K796" i="15"/>
  <c r="I796" i="15"/>
  <c r="H796" i="15"/>
  <c r="G796" i="15"/>
  <c r="AW795" i="15"/>
  <c r="AV795" i="15"/>
  <c r="L795" i="15"/>
  <c r="G795" i="15" s="1"/>
  <c r="K795" i="15"/>
  <c r="I795" i="15"/>
  <c r="H795" i="15"/>
  <c r="AW794" i="15"/>
  <c r="AV794" i="15"/>
  <c r="L794" i="15"/>
  <c r="K794" i="15"/>
  <c r="I794" i="15"/>
  <c r="H794" i="15"/>
  <c r="G794" i="15"/>
  <c r="AW793" i="15"/>
  <c r="AV793" i="15"/>
  <c r="AU793" i="15"/>
  <c r="AT793" i="15"/>
  <c r="AS793" i="15"/>
  <c r="L793" i="15"/>
  <c r="K793" i="15"/>
  <c r="I793" i="15"/>
  <c r="H793" i="15"/>
  <c r="G793" i="15"/>
  <c r="AW792" i="15"/>
  <c r="AV792" i="15"/>
  <c r="AU792" i="15"/>
  <c r="AT792" i="15"/>
  <c r="AS792" i="15"/>
  <c r="L792" i="15"/>
  <c r="K792" i="15"/>
  <c r="I792" i="15"/>
  <c r="H792" i="15"/>
  <c r="G792" i="15"/>
  <c r="AW791" i="15"/>
  <c r="AV791" i="15"/>
  <c r="L791" i="15"/>
  <c r="K791" i="15"/>
  <c r="I791" i="15"/>
  <c r="H791" i="15"/>
  <c r="G791" i="15"/>
  <c r="AW790" i="15"/>
  <c r="AV790" i="15"/>
  <c r="L790" i="15"/>
  <c r="G790" i="15" s="1"/>
  <c r="K790" i="15"/>
  <c r="I790" i="15"/>
  <c r="H790" i="15"/>
  <c r="AW789" i="15"/>
  <c r="AV789" i="15"/>
  <c r="L789" i="15"/>
  <c r="K789" i="15"/>
  <c r="I789" i="15"/>
  <c r="H789" i="15"/>
  <c r="G789" i="15"/>
  <c r="AW788" i="15"/>
  <c r="AV788" i="15"/>
  <c r="L788" i="15"/>
  <c r="K788" i="15"/>
  <c r="I788" i="15"/>
  <c r="H788" i="15"/>
  <c r="G788" i="15"/>
  <c r="AW787" i="15"/>
  <c r="AV787" i="15"/>
  <c r="L787" i="15"/>
  <c r="G787" i="15" s="1"/>
  <c r="K787" i="15"/>
  <c r="I787" i="15"/>
  <c r="H787" i="15"/>
  <c r="AW786" i="15"/>
  <c r="AV786" i="15"/>
  <c r="L786" i="15"/>
  <c r="G786" i="15" s="1"/>
  <c r="K786" i="15"/>
  <c r="I786" i="15"/>
  <c r="H786" i="15"/>
  <c r="AW785" i="15"/>
  <c r="AV785" i="15"/>
  <c r="L785" i="15"/>
  <c r="K785" i="15"/>
  <c r="I785" i="15"/>
  <c r="H785" i="15"/>
  <c r="G785" i="15"/>
  <c r="AW784" i="15"/>
  <c r="AV784" i="15"/>
  <c r="L784" i="15"/>
  <c r="K784" i="15"/>
  <c r="I784" i="15"/>
  <c r="H784" i="15"/>
  <c r="G784" i="15"/>
  <c r="AW783" i="15"/>
  <c r="AV783" i="15"/>
  <c r="L783" i="15"/>
  <c r="G783" i="15" s="1"/>
  <c r="K783" i="15"/>
  <c r="I783" i="15"/>
  <c r="H783" i="15"/>
  <c r="AW782" i="15"/>
  <c r="AV782" i="15"/>
  <c r="L782" i="15"/>
  <c r="K782" i="15"/>
  <c r="I782" i="15"/>
  <c r="H782" i="15"/>
  <c r="G782" i="15"/>
  <c r="AW781" i="15"/>
  <c r="AV781" i="15"/>
  <c r="L781" i="15"/>
  <c r="K781" i="15"/>
  <c r="I781" i="15"/>
  <c r="H781" i="15"/>
  <c r="G781" i="15"/>
  <c r="AW780" i="15"/>
  <c r="AV780" i="15"/>
  <c r="L780" i="15"/>
  <c r="G780" i="15" s="1"/>
  <c r="K780" i="15"/>
  <c r="I780" i="15"/>
  <c r="H780" i="15"/>
  <c r="AW779" i="15"/>
  <c r="AV779" i="15"/>
  <c r="L779" i="15"/>
  <c r="K779" i="15"/>
  <c r="I779" i="15"/>
  <c r="H779" i="15"/>
  <c r="G779" i="15"/>
  <c r="AW778" i="15"/>
  <c r="AV778" i="15"/>
  <c r="L778" i="15"/>
  <c r="K778" i="15"/>
  <c r="I778" i="15"/>
  <c r="H778" i="15"/>
  <c r="G778" i="15"/>
  <c r="AW777" i="15"/>
  <c r="AV777" i="15"/>
  <c r="L777" i="15"/>
  <c r="G777" i="15" s="1"/>
  <c r="K777" i="15"/>
  <c r="I777" i="15"/>
  <c r="H777" i="15"/>
  <c r="AW776" i="15"/>
  <c r="AV776" i="15"/>
  <c r="L776" i="15"/>
  <c r="K776" i="15"/>
  <c r="I776" i="15"/>
  <c r="H776" i="15"/>
  <c r="G776" i="15"/>
  <c r="AW775" i="15"/>
  <c r="AV775" i="15"/>
  <c r="L775" i="15"/>
  <c r="G775" i="15" s="1"/>
  <c r="K775" i="15"/>
  <c r="I775" i="15"/>
  <c r="H775" i="15"/>
  <c r="AW774" i="15"/>
  <c r="AV774" i="15"/>
  <c r="L774" i="15"/>
  <c r="G774" i="15" s="1"/>
  <c r="K774" i="15"/>
  <c r="I774" i="15"/>
  <c r="H774" i="15"/>
  <c r="AW773" i="15"/>
  <c r="AV773" i="15"/>
  <c r="L773" i="15"/>
  <c r="G773" i="15" s="1"/>
  <c r="K773" i="15"/>
  <c r="I773" i="15"/>
  <c r="H773" i="15"/>
  <c r="AW772" i="15"/>
  <c r="AV772" i="15"/>
  <c r="L772" i="15"/>
  <c r="G772" i="15" s="1"/>
  <c r="K772" i="15"/>
  <c r="I772" i="15"/>
  <c r="H772" i="15"/>
  <c r="AW771" i="15"/>
  <c r="AV771" i="15"/>
  <c r="L771" i="15"/>
  <c r="G771" i="15" s="1"/>
  <c r="K771" i="15"/>
  <c r="I771" i="15"/>
  <c r="H771" i="15"/>
  <c r="AW770" i="15"/>
  <c r="AV770" i="15"/>
  <c r="L770" i="15"/>
  <c r="K770" i="15"/>
  <c r="I770" i="15"/>
  <c r="H770" i="15"/>
  <c r="G770" i="15"/>
  <c r="AW769" i="15"/>
  <c r="AV769" i="15"/>
  <c r="L769" i="15"/>
  <c r="K769" i="15"/>
  <c r="I769" i="15"/>
  <c r="H769" i="15"/>
  <c r="G769" i="15"/>
  <c r="AW768" i="15"/>
  <c r="AV768" i="15"/>
  <c r="L768" i="15"/>
  <c r="G768" i="15" s="1"/>
  <c r="K768" i="15"/>
  <c r="I768" i="15"/>
  <c r="H768" i="15"/>
  <c r="AW767" i="15"/>
  <c r="AV767" i="15"/>
  <c r="L767" i="15"/>
  <c r="K767" i="15"/>
  <c r="I767" i="15"/>
  <c r="H767" i="15"/>
  <c r="G767" i="15"/>
  <c r="AW766" i="15"/>
  <c r="AV766" i="15"/>
  <c r="L766" i="15"/>
  <c r="K766" i="15"/>
  <c r="I766" i="15"/>
  <c r="H766" i="15"/>
  <c r="G766" i="15"/>
  <c r="AW765" i="15"/>
  <c r="AV765" i="15"/>
  <c r="L765" i="15"/>
  <c r="G765" i="15" s="1"/>
  <c r="K765" i="15"/>
  <c r="I765" i="15"/>
  <c r="H765" i="15"/>
  <c r="AW764" i="15"/>
  <c r="AV764" i="15"/>
  <c r="L764" i="15"/>
  <c r="G764" i="15" s="1"/>
  <c r="K764" i="15"/>
  <c r="I764" i="15"/>
  <c r="H764" i="15"/>
  <c r="AW763" i="15"/>
  <c r="AV763" i="15"/>
  <c r="L763" i="15"/>
  <c r="K763" i="15"/>
  <c r="I763" i="15"/>
  <c r="H763" i="15"/>
  <c r="G763" i="15"/>
  <c r="AW762" i="15"/>
  <c r="AV762" i="15"/>
  <c r="L762" i="15"/>
  <c r="K762" i="15"/>
  <c r="I762" i="15"/>
  <c r="H762" i="15"/>
  <c r="G762" i="15"/>
  <c r="AW761" i="15"/>
  <c r="AV761" i="15"/>
  <c r="L761" i="15"/>
  <c r="G761" i="15" s="1"/>
  <c r="K761" i="15"/>
  <c r="I761" i="15"/>
  <c r="H761" i="15"/>
  <c r="AW760" i="15"/>
  <c r="AV760" i="15"/>
  <c r="L760" i="15"/>
  <c r="K760" i="15"/>
  <c r="I760" i="15"/>
  <c r="H760" i="15"/>
  <c r="G760" i="15"/>
  <c r="AW759" i="15"/>
  <c r="AV759" i="15"/>
  <c r="L759" i="15"/>
  <c r="K759" i="15"/>
  <c r="I759" i="15"/>
  <c r="H759" i="15"/>
  <c r="G759" i="15"/>
  <c r="AW758" i="15"/>
  <c r="AV758" i="15"/>
  <c r="L758" i="15"/>
  <c r="G758" i="15" s="1"/>
  <c r="K758" i="15"/>
  <c r="I758" i="15"/>
  <c r="H758" i="15"/>
  <c r="AW757" i="15"/>
  <c r="AV757" i="15"/>
  <c r="L757" i="15"/>
  <c r="K757" i="15"/>
  <c r="I757" i="15"/>
  <c r="H757" i="15"/>
  <c r="G757" i="15"/>
  <c r="AW756" i="15"/>
  <c r="AV756" i="15"/>
  <c r="L756" i="15"/>
  <c r="K756" i="15"/>
  <c r="I756" i="15"/>
  <c r="H756" i="15"/>
  <c r="G756" i="15"/>
  <c r="AW755" i="15"/>
  <c r="AV755" i="15"/>
  <c r="L755" i="15"/>
  <c r="G755" i="15" s="1"/>
  <c r="K755" i="15"/>
  <c r="I755" i="15"/>
  <c r="H755" i="15"/>
  <c r="AW754" i="15"/>
  <c r="AV754" i="15"/>
  <c r="L754" i="15"/>
  <c r="K754" i="15"/>
  <c r="I754" i="15"/>
  <c r="H754" i="15"/>
  <c r="G754" i="15"/>
  <c r="AW753" i="15"/>
  <c r="AV753" i="15"/>
  <c r="L753" i="15"/>
  <c r="G753" i="15" s="1"/>
  <c r="K753" i="15"/>
  <c r="I753" i="15"/>
  <c r="H753" i="15"/>
  <c r="AW752" i="15"/>
  <c r="AV752" i="15"/>
  <c r="L752" i="15"/>
  <c r="G752" i="15" s="1"/>
  <c r="K752" i="15"/>
  <c r="I752" i="15"/>
  <c r="H752" i="15"/>
  <c r="AW751" i="15"/>
  <c r="AV751" i="15"/>
  <c r="L751" i="15"/>
  <c r="G751" i="15" s="1"/>
  <c r="K751" i="15"/>
  <c r="I751" i="15"/>
  <c r="H751" i="15"/>
  <c r="AW750" i="15"/>
  <c r="AV750" i="15"/>
  <c r="L750" i="15"/>
  <c r="G750" i="15" s="1"/>
  <c r="K750" i="15"/>
  <c r="I750" i="15"/>
  <c r="H750" i="15"/>
  <c r="AW749" i="15"/>
  <c r="AV749" i="15"/>
  <c r="L749" i="15"/>
  <c r="G749" i="15" s="1"/>
  <c r="K749" i="15"/>
  <c r="I749" i="15"/>
  <c r="H749" i="15"/>
  <c r="AW748" i="15"/>
  <c r="AV748" i="15"/>
  <c r="L748" i="15"/>
  <c r="K748" i="15"/>
  <c r="I748" i="15"/>
  <c r="H748" i="15"/>
  <c r="G748" i="15"/>
  <c r="AW747" i="15"/>
  <c r="AV747" i="15"/>
  <c r="L747" i="15"/>
  <c r="K747" i="15"/>
  <c r="I747" i="15"/>
  <c r="H747" i="15"/>
  <c r="G747" i="15"/>
  <c r="AW746" i="15"/>
  <c r="AV746" i="15"/>
  <c r="L746" i="15"/>
  <c r="G746" i="15" s="1"/>
  <c r="K746" i="15"/>
  <c r="I746" i="15"/>
  <c r="H746" i="15"/>
  <c r="AW745" i="15"/>
  <c r="AV745" i="15"/>
  <c r="L745" i="15"/>
  <c r="K745" i="15"/>
  <c r="I745" i="15"/>
  <c r="H745" i="15"/>
  <c r="G745" i="15"/>
  <c r="AW744" i="15"/>
  <c r="AV744" i="15"/>
  <c r="L744" i="15"/>
  <c r="K744" i="15"/>
  <c r="I744" i="15"/>
  <c r="H744" i="15"/>
  <c r="G744" i="15"/>
  <c r="AW743" i="15"/>
  <c r="AV743" i="15"/>
  <c r="L743" i="15"/>
  <c r="G743" i="15" s="1"/>
  <c r="K743" i="15"/>
  <c r="I743" i="15"/>
  <c r="H743" i="15"/>
  <c r="AW742" i="15"/>
  <c r="AV742" i="15"/>
  <c r="L742" i="15"/>
  <c r="G742" i="15" s="1"/>
  <c r="K742" i="15"/>
  <c r="I742" i="15"/>
  <c r="H742" i="15"/>
  <c r="AW741" i="15"/>
  <c r="AV741" i="15"/>
  <c r="L741" i="15"/>
  <c r="K741" i="15"/>
  <c r="I741" i="15"/>
  <c r="H741" i="15"/>
  <c r="G741" i="15"/>
  <c r="AW740" i="15"/>
  <c r="AV740" i="15"/>
  <c r="L740" i="15"/>
  <c r="K740" i="15"/>
  <c r="I740" i="15"/>
  <c r="H740" i="15"/>
  <c r="G740" i="15"/>
  <c r="AW739" i="15"/>
  <c r="AV739" i="15"/>
  <c r="L739" i="15"/>
  <c r="G739" i="15" s="1"/>
  <c r="K739" i="15"/>
  <c r="I739" i="15"/>
  <c r="H739" i="15"/>
  <c r="AW738" i="15"/>
  <c r="AV738" i="15"/>
  <c r="L738" i="15"/>
  <c r="K738" i="15"/>
  <c r="I738" i="15"/>
  <c r="H738" i="15"/>
  <c r="G738" i="15"/>
  <c r="AW737" i="15"/>
  <c r="AV737" i="15"/>
  <c r="L737" i="15"/>
  <c r="K737" i="15"/>
  <c r="I737" i="15"/>
  <c r="H737" i="15"/>
  <c r="G737" i="15"/>
  <c r="AW736" i="15"/>
  <c r="AV736" i="15"/>
  <c r="L736" i="15"/>
  <c r="G736" i="15" s="1"/>
  <c r="K736" i="15"/>
  <c r="I736" i="15"/>
  <c r="H736" i="15"/>
  <c r="AW735" i="15"/>
  <c r="AV735" i="15"/>
  <c r="L735" i="15"/>
  <c r="K735" i="15"/>
  <c r="I735" i="15"/>
  <c r="H735" i="15"/>
  <c r="G735" i="15"/>
  <c r="AW734" i="15"/>
  <c r="AV734" i="15"/>
  <c r="L734" i="15"/>
  <c r="K734" i="15"/>
  <c r="I734" i="15"/>
  <c r="H734" i="15"/>
  <c r="G734" i="15"/>
  <c r="AW733" i="15"/>
  <c r="AV733" i="15"/>
  <c r="L733" i="15"/>
  <c r="G733" i="15" s="1"/>
  <c r="K733" i="15"/>
  <c r="I733" i="15"/>
  <c r="H733" i="15"/>
  <c r="AW732" i="15"/>
  <c r="AV732" i="15"/>
  <c r="L732" i="15"/>
  <c r="K732" i="15"/>
  <c r="I732" i="15"/>
  <c r="H732" i="15"/>
  <c r="G732" i="15"/>
  <c r="AW731" i="15"/>
  <c r="AV731" i="15"/>
  <c r="L731" i="15"/>
  <c r="G731" i="15" s="1"/>
  <c r="K731" i="15"/>
  <c r="I731" i="15"/>
  <c r="H731" i="15"/>
  <c r="AW730" i="15"/>
  <c r="AV730" i="15"/>
  <c r="L730" i="15"/>
  <c r="G730" i="15" s="1"/>
  <c r="K730" i="15"/>
  <c r="I730" i="15"/>
  <c r="H730" i="15"/>
  <c r="AW729" i="15"/>
  <c r="AV729" i="15"/>
  <c r="L729" i="15"/>
  <c r="G729" i="15" s="1"/>
  <c r="K729" i="15"/>
  <c r="I729" i="15"/>
  <c r="H729" i="15"/>
  <c r="AW728" i="15"/>
  <c r="AV728" i="15"/>
  <c r="L728" i="15"/>
  <c r="G728" i="15" s="1"/>
  <c r="K728" i="15"/>
  <c r="I728" i="15"/>
  <c r="H728" i="15"/>
  <c r="AW727" i="15"/>
  <c r="AV727" i="15"/>
  <c r="L727" i="15"/>
  <c r="G727" i="15" s="1"/>
  <c r="K727" i="15"/>
  <c r="I727" i="15"/>
  <c r="H727" i="15"/>
  <c r="AW726" i="15"/>
  <c r="AV726" i="15"/>
  <c r="L726" i="15"/>
  <c r="K726" i="15"/>
  <c r="I726" i="15"/>
  <c r="H726" i="15"/>
  <c r="G726" i="15"/>
  <c r="AW725" i="15"/>
  <c r="AV725" i="15"/>
  <c r="L725" i="15"/>
  <c r="K725" i="15"/>
  <c r="I725" i="15"/>
  <c r="H725" i="15"/>
  <c r="G725" i="15"/>
  <c r="AW724" i="15"/>
  <c r="AV724" i="15"/>
  <c r="L724" i="15"/>
  <c r="G724" i="15" s="1"/>
  <c r="K724" i="15"/>
  <c r="I724" i="15"/>
  <c r="H724" i="15"/>
  <c r="AW723" i="15"/>
  <c r="AV723" i="15"/>
  <c r="L723" i="15"/>
  <c r="K723" i="15"/>
  <c r="I723" i="15"/>
  <c r="H723" i="15"/>
  <c r="G723" i="15"/>
  <c r="AW722" i="15"/>
  <c r="AV722" i="15"/>
  <c r="L722" i="15"/>
  <c r="K722" i="15"/>
  <c r="I722" i="15"/>
  <c r="H722" i="15"/>
  <c r="G722" i="15"/>
  <c r="AW721" i="15"/>
  <c r="AV721" i="15"/>
  <c r="L721" i="15"/>
  <c r="G721" i="15" s="1"/>
  <c r="K721" i="15"/>
  <c r="I721" i="15"/>
  <c r="H721" i="15"/>
  <c r="AW720" i="15"/>
  <c r="AV720" i="15"/>
  <c r="L720" i="15"/>
  <c r="G720" i="15" s="1"/>
  <c r="K720" i="15"/>
  <c r="I720" i="15"/>
  <c r="H720" i="15"/>
  <c r="AW719" i="15"/>
  <c r="AV719" i="15"/>
  <c r="L719" i="15"/>
  <c r="K719" i="15"/>
  <c r="I719" i="15"/>
  <c r="H719" i="15"/>
  <c r="G719" i="15"/>
  <c r="AW718" i="15"/>
  <c r="AV718" i="15"/>
  <c r="L718" i="15"/>
  <c r="K718" i="15"/>
  <c r="I718" i="15"/>
  <c r="H718" i="15"/>
  <c r="G718" i="15"/>
  <c r="AW717" i="15"/>
  <c r="AV717" i="15"/>
  <c r="L717" i="15"/>
  <c r="G717" i="15" s="1"/>
  <c r="K717" i="15"/>
  <c r="I717" i="15"/>
  <c r="H717" i="15"/>
  <c r="AW716" i="15"/>
  <c r="AV716" i="15"/>
  <c r="L716" i="15"/>
  <c r="K716" i="15"/>
  <c r="I716" i="15"/>
  <c r="H716" i="15"/>
  <c r="G716" i="15"/>
  <c r="AW715" i="15"/>
  <c r="AV715" i="15"/>
  <c r="L715" i="15"/>
  <c r="K715" i="15"/>
  <c r="I715" i="15"/>
  <c r="H715" i="15"/>
  <c r="G715" i="15"/>
  <c r="AW714" i="15"/>
  <c r="AV714" i="15"/>
  <c r="L714" i="15"/>
  <c r="G714" i="15" s="1"/>
  <c r="K714" i="15"/>
  <c r="I714" i="15"/>
  <c r="H714" i="15"/>
  <c r="AW713" i="15"/>
  <c r="AV713" i="15"/>
  <c r="L713" i="15"/>
  <c r="K713" i="15"/>
  <c r="I713" i="15"/>
  <c r="H713" i="15"/>
  <c r="G713" i="15"/>
  <c r="AW712" i="15"/>
  <c r="AV712" i="15"/>
  <c r="L712" i="15"/>
  <c r="K712" i="15"/>
  <c r="I712" i="15"/>
  <c r="H712" i="15"/>
  <c r="G712" i="15"/>
  <c r="AW711" i="15"/>
  <c r="AV711" i="15"/>
  <c r="L711" i="15"/>
  <c r="G711" i="15" s="1"/>
  <c r="K711" i="15"/>
  <c r="I711" i="15"/>
  <c r="H711" i="15"/>
  <c r="AW710" i="15"/>
  <c r="AV710" i="15"/>
  <c r="L710" i="15"/>
  <c r="K710" i="15"/>
  <c r="I710" i="15"/>
  <c r="H710" i="15"/>
  <c r="G710" i="15"/>
  <c r="AW709" i="15"/>
  <c r="AV709" i="15"/>
  <c r="L709" i="15"/>
  <c r="G709" i="15" s="1"/>
  <c r="K709" i="15"/>
  <c r="I709" i="15"/>
  <c r="H709" i="15"/>
  <c r="AW708" i="15"/>
  <c r="AV708" i="15"/>
  <c r="L708" i="15"/>
  <c r="G708" i="15" s="1"/>
  <c r="K708" i="15"/>
  <c r="I708" i="15"/>
  <c r="H708" i="15"/>
  <c r="AW707" i="15"/>
  <c r="AV707" i="15"/>
  <c r="L707" i="15"/>
  <c r="G707" i="15" s="1"/>
  <c r="K707" i="15"/>
  <c r="I707" i="15"/>
  <c r="H707" i="15"/>
  <c r="AW706" i="15"/>
  <c r="AV706" i="15"/>
  <c r="L706" i="15"/>
  <c r="G706" i="15" s="1"/>
  <c r="K706" i="15"/>
  <c r="I706" i="15"/>
  <c r="H706" i="15"/>
  <c r="AW705" i="15"/>
  <c r="AV705" i="15"/>
  <c r="L705" i="15"/>
  <c r="G705" i="15" s="1"/>
  <c r="K705" i="15"/>
  <c r="I705" i="15"/>
  <c r="H705" i="15"/>
  <c r="AW704" i="15"/>
  <c r="AV704" i="15"/>
  <c r="L704" i="15"/>
  <c r="K704" i="15"/>
  <c r="I704" i="15"/>
  <c r="H704" i="15"/>
  <c r="G704" i="15"/>
  <c r="AW703" i="15"/>
  <c r="AV703" i="15"/>
  <c r="L703" i="15"/>
  <c r="K703" i="15"/>
  <c r="I703" i="15"/>
  <c r="H703" i="15"/>
  <c r="G703" i="15"/>
  <c r="AW702" i="15"/>
  <c r="AV702" i="15"/>
  <c r="L702" i="15"/>
  <c r="G702" i="15" s="1"/>
  <c r="K702" i="15"/>
  <c r="I702" i="15"/>
  <c r="H702" i="15"/>
  <c r="AW701" i="15"/>
  <c r="AV701" i="15"/>
  <c r="L701" i="15"/>
  <c r="K701" i="15"/>
  <c r="I701" i="15"/>
  <c r="H701" i="15"/>
  <c r="G701" i="15"/>
  <c r="AW700" i="15"/>
  <c r="AV700" i="15"/>
  <c r="L700" i="15"/>
  <c r="K700" i="15"/>
  <c r="I700" i="15"/>
  <c r="H700" i="15"/>
  <c r="G700" i="15"/>
  <c r="AW699" i="15"/>
  <c r="AV699" i="15"/>
  <c r="L699" i="15"/>
  <c r="G699" i="15" s="1"/>
  <c r="K699" i="15"/>
  <c r="I699" i="15"/>
  <c r="H699" i="15"/>
  <c r="AW698" i="15"/>
  <c r="AV698" i="15"/>
  <c r="L698" i="15"/>
  <c r="G698" i="15" s="1"/>
  <c r="K698" i="15"/>
  <c r="I698" i="15"/>
  <c r="H698" i="15"/>
  <c r="AW697" i="15"/>
  <c r="AV697" i="15"/>
  <c r="L697" i="15"/>
  <c r="K697" i="15"/>
  <c r="I697" i="15"/>
  <c r="H697" i="15"/>
  <c r="G697" i="15"/>
  <c r="AW696" i="15"/>
  <c r="AV696" i="15"/>
  <c r="L696" i="15"/>
  <c r="K696" i="15"/>
  <c r="I696" i="15"/>
  <c r="H696" i="15"/>
  <c r="G696" i="15"/>
  <c r="AW695" i="15"/>
  <c r="AV695" i="15"/>
  <c r="L695" i="15"/>
  <c r="G695" i="15" s="1"/>
  <c r="K695" i="15"/>
  <c r="I695" i="15"/>
  <c r="H695" i="15"/>
  <c r="AW694" i="15"/>
  <c r="AV694" i="15"/>
  <c r="L694" i="15"/>
  <c r="K694" i="15"/>
  <c r="I694" i="15"/>
  <c r="H694" i="15"/>
  <c r="G694" i="15"/>
  <c r="AW693" i="15"/>
  <c r="AV693" i="15"/>
  <c r="L693" i="15"/>
  <c r="K693" i="15"/>
  <c r="I693" i="15"/>
  <c r="H693" i="15"/>
  <c r="G693" i="15"/>
  <c r="AW692" i="15"/>
  <c r="AV692" i="15"/>
  <c r="L692" i="15"/>
  <c r="G692" i="15" s="1"/>
  <c r="K692" i="15"/>
  <c r="I692" i="15"/>
  <c r="H692" i="15"/>
  <c r="AW691" i="15"/>
  <c r="AV691" i="15"/>
  <c r="L691" i="15"/>
  <c r="K691" i="15"/>
  <c r="I691" i="15"/>
  <c r="H691" i="15"/>
  <c r="G691" i="15"/>
  <c r="AW690" i="15"/>
  <c r="AV690" i="15"/>
  <c r="L690" i="15"/>
  <c r="K690" i="15"/>
  <c r="I690" i="15"/>
  <c r="H690" i="15"/>
  <c r="G690" i="15"/>
  <c r="AW689" i="15"/>
  <c r="AV689" i="15"/>
  <c r="L689" i="15"/>
  <c r="G689" i="15" s="1"/>
  <c r="K689" i="15"/>
  <c r="I689" i="15"/>
  <c r="H689" i="15"/>
  <c r="AW688" i="15"/>
  <c r="AV688" i="15"/>
  <c r="L688" i="15"/>
  <c r="K688" i="15"/>
  <c r="I688" i="15"/>
  <c r="H688" i="15"/>
  <c r="G688" i="15"/>
  <c r="AW687" i="15"/>
  <c r="AV687" i="15"/>
  <c r="L687" i="15"/>
  <c r="G687" i="15" s="1"/>
  <c r="K687" i="15"/>
  <c r="I687" i="15"/>
  <c r="H687" i="15"/>
  <c r="AW686" i="15"/>
  <c r="AV686" i="15"/>
  <c r="L686" i="15"/>
  <c r="G686" i="15" s="1"/>
  <c r="K686" i="15"/>
  <c r="I686" i="15"/>
  <c r="H686" i="15"/>
  <c r="AW685" i="15"/>
  <c r="AV685" i="15"/>
  <c r="L685" i="15"/>
  <c r="G685" i="15" s="1"/>
  <c r="K685" i="15"/>
  <c r="I685" i="15"/>
  <c r="H685" i="15"/>
  <c r="AW684" i="15"/>
  <c r="AV684" i="15"/>
  <c r="L684" i="15"/>
  <c r="G684" i="15" s="1"/>
  <c r="K684" i="15"/>
  <c r="I684" i="15"/>
  <c r="H684" i="15"/>
  <c r="AW683" i="15"/>
  <c r="AV683" i="15"/>
  <c r="L683" i="15"/>
  <c r="G683" i="15" s="1"/>
  <c r="K683" i="15"/>
  <c r="I683" i="15"/>
  <c r="H683" i="15"/>
  <c r="AW682" i="15"/>
  <c r="AV682" i="15"/>
  <c r="L682" i="15"/>
  <c r="K682" i="15"/>
  <c r="I682" i="15"/>
  <c r="H682" i="15"/>
  <c r="G682" i="15"/>
  <c r="AW681" i="15"/>
  <c r="AV681" i="15"/>
  <c r="AU681" i="15"/>
  <c r="AU682" i="15" s="1"/>
  <c r="AT681" i="15"/>
  <c r="AT682" i="15" s="1"/>
  <c r="AS681" i="15"/>
  <c r="AS682" i="15" s="1"/>
  <c r="L681" i="15"/>
  <c r="G681" i="15" s="1"/>
  <c r="K681" i="15"/>
  <c r="I681" i="15"/>
  <c r="H681" i="15"/>
  <c r="AW680" i="15"/>
  <c r="AV680" i="15"/>
  <c r="L680" i="15"/>
  <c r="G680" i="15" s="1"/>
  <c r="K680" i="15"/>
  <c r="I680" i="15"/>
  <c r="H680" i="15"/>
  <c r="AW679" i="15"/>
  <c r="AV679" i="15"/>
  <c r="L679" i="15"/>
  <c r="K679" i="15"/>
  <c r="I679" i="15"/>
  <c r="H679" i="15"/>
  <c r="G679" i="15"/>
  <c r="AW678" i="15"/>
  <c r="AV678" i="15"/>
  <c r="L678" i="15"/>
  <c r="K678" i="15"/>
  <c r="I678" i="15"/>
  <c r="H678" i="15"/>
  <c r="G678" i="15"/>
  <c r="AW677" i="15"/>
  <c r="AV677" i="15"/>
  <c r="L677" i="15"/>
  <c r="G677" i="15" s="1"/>
  <c r="K677" i="15"/>
  <c r="I677" i="15"/>
  <c r="H677" i="15"/>
  <c r="AW676" i="15"/>
  <c r="AV676" i="15"/>
  <c r="L676" i="15"/>
  <c r="K676" i="15"/>
  <c r="I676" i="15"/>
  <c r="H676" i="15"/>
  <c r="G676" i="15"/>
  <c r="AW675" i="15"/>
  <c r="AV675" i="15"/>
  <c r="L675" i="15"/>
  <c r="K675" i="15"/>
  <c r="I675" i="15"/>
  <c r="H675" i="15"/>
  <c r="G675" i="15"/>
  <c r="AW674" i="15"/>
  <c r="AV674" i="15"/>
  <c r="L674" i="15"/>
  <c r="G674" i="15" s="1"/>
  <c r="K674" i="15"/>
  <c r="I674" i="15"/>
  <c r="H674" i="15"/>
  <c r="AW673" i="15"/>
  <c r="AV673" i="15"/>
  <c r="L673" i="15"/>
  <c r="K673" i="15"/>
  <c r="I673" i="15"/>
  <c r="H673" i="15"/>
  <c r="G673" i="15"/>
  <c r="AW672" i="15"/>
  <c r="AV672" i="15"/>
  <c r="L672" i="15"/>
  <c r="K672" i="15"/>
  <c r="I672" i="15"/>
  <c r="H672" i="15"/>
  <c r="G672" i="15"/>
  <c r="AW671" i="15"/>
  <c r="AV671" i="15"/>
  <c r="L671" i="15"/>
  <c r="G671" i="15" s="1"/>
  <c r="K671" i="15"/>
  <c r="I671" i="15"/>
  <c r="H671" i="15"/>
  <c r="AW670" i="15"/>
  <c r="AV670" i="15"/>
  <c r="L670" i="15"/>
  <c r="K670" i="15"/>
  <c r="I670" i="15"/>
  <c r="H670" i="15"/>
  <c r="G670" i="15"/>
  <c r="AW669" i="15"/>
  <c r="AV669" i="15"/>
  <c r="L669" i="15"/>
  <c r="G669" i="15" s="1"/>
  <c r="K669" i="15"/>
  <c r="I669" i="15"/>
  <c r="H669" i="15"/>
  <c r="AW668" i="15"/>
  <c r="AV668" i="15"/>
  <c r="L668" i="15"/>
  <c r="G668" i="15" s="1"/>
  <c r="K668" i="15"/>
  <c r="I668" i="15"/>
  <c r="H668" i="15"/>
  <c r="AW667" i="15"/>
  <c r="AV667" i="15"/>
  <c r="L667" i="15"/>
  <c r="G667" i="15" s="1"/>
  <c r="K667" i="15"/>
  <c r="I667" i="15"/>
  <c r="H667" i="15"/>
  <c r="AW666" i="15"/>
  <c r="AV666" i="15"/>
  <c r="L666" i="15"/>
  <c r="G666" i="15" s="1"/>
  <c r="K666" i="15"/>
  <c r="I666" i="15"/>
  <c r="H666" i="15"/>
  <c r="AW665" i="15"/>
  <c r="AV665" i="15"/>
  <c r="L665" i="15"/>
  <c r="G665" i="15" s="1"/>
  <c r="K665" i="15"/>
  <c r="I665" i="15"/>
  <c r="H665" i="15"/>
  <c r="AW664" i="15"/>
  <c r="AV664" i="15"/>
  <c r="L664" i="15"/>
  <c r="K664" i="15"/>
  <c r="I664" i="15"/>
  <c r="H664" i="15"/>
  <c r="G664" i="15"/>
  <c r="AW663" i="15"/>
  <c r="AV663" i="15"/>
  <c r="L663" i="15"/>
  <c r="K663" i="15"/>
  <c r="I663" i="15"/>
  <c r="H663" i="15"/>
  <c r="G663" i="15"/>
  <c r="AW662" i="15"/>
  <c r="AV662" i="15"/>
  <c r="L662" i="15"/>
  <c r="G662" i="15" s="1"/>
  <c r="K662" i="15"/>
  <c r="I662" i="15"/>
  <c r="H662" i="15"/>
  <c r="AW661" i="15"/>
  <c r="AV661" i="15"/>
  <c r="L661" i="15"/>
  <c r="K661" i="15"/>
  <c r="I661" i="15"/>
  <c r="H661" i="15"/>
  <c r="G661" i="15"/>
  <c r="AW660" i="15"/>
  <c r="AV660" i="15"/>
  <c r="L660" i="15"/>
  <c r="K660" i="15"/>
  <c r="I660" i="15"/>
  <c r="H660" i="15"/>
  <c r="G660" i="15"/>
  <c r="AW659" i="15"/>
  <c r="AV659" i="15"/>
  <c r="L659" i="15"/>
  <c r="G659" i="15" s="1"/>
  <c r="K659" i="15"/>
  <c r="I659" i="15"/>
  <c r="H659" i="15"/>
  <c r="AW658" i="15"/>
  <c r="AV658" i="15"/>
  <c r="L658" i="15"/>
  <c r="K658" i="15"/>
  <c r="I658" i="15"/>
  <c r="H658" i="15"/>
  <c r="G658" i="15"/>
  <c r="AW657" i="15"/>
  <c r="AV657" i="15"/>
  <c r="L657" i="15"/>
  <c r="K657" i="15"/>
  <c r="I657" i="15"/>
  <c r="H657" i="15"/>
  <c r="G657" i="15"/>
  <c r="AW656" i="15"/>
  <c r="AV656" i="15"/>
  <c r="L656" i="15"/>
  <c r="K656" i="15"/>
  <c r="I656" i="15"/>
  <c r="H656" i="15"/>
  <c r="G656" i="15"/>
  <c r="AW655" i="15"/>
  <c r="AV655" i="15"/>
  <c r="L655" i="15"/>
  <c r="G655" i="15" s="1"/>
  <c r="K655" i="15"/>
  <c r="I655" i="15"/>
  <c r="H655" i="15"/>
  <c r="AW654" i="15"/>
  <c r="AV654" i="15"/>
  <c r="L654" i="15"/>
  <c r="K654" i="15"/>
  <c r="I654" i="15"/>
  <c r="H654" i="15"/>
  <c r="G654" i="15"/>
  <c r="AW653" i="15"/>
  <c r="AV653" i="15"/>
  <c r="L653" i="15"/>
  <c r="K653" i="15"/>
  <c r="I653" i="15"/>
  <c r="H653" i="15"/>
  <c r="G653" i="15"/>
  <c r="AW652" i="15"/>
  <c r="AV652" i="15"/>
  <c r="L652" i="15"/>
  <c r="G652" i="15" s="1"/>
  <c r="K652" i="15"/>
  <c r="I652" i="15"/>
  <c r="H652" i="15"/>
  <c r="AW651" i="15"/>
  <c r="AV651" i="15"/>
  <c r="L651" i="15"/>
  <c r="K651" i="15"/>
  <c r="I651" i="15"/>
  <c r="H651" i="15"/>
  <c r="G651" i="15"/>
  <c r="AW650" i="15"/>
  <c r="AV650" i="15"/>
  <c r="L650" i="15"/>
  <c r="K650" i="15"/>
  <c r="I650" i="15"/>
  <c r="H650" i="15"/>
  <c r="G650" i="15"/>
  <c r="AW649" i="15"/>
  <c r="AV649" i="15"/>
  <c r="L649" i="15"/>
  <c r="G649" i="15" s="1"/>
  <c r="K649" i="15"/>
  <c r="I649" i="15"/>
  <c r="H649" i="15"/>
  <c r="AW648" i="15"/>
  <c r="AV648" i="15"/>
  <c r="L648" i="15"/>
  <c r="K648" i="15"/>
  <c r="I648" i="15"/>
  <c r="H648" i="15"/>
  <c r="G648" i="15"/>
  <c r="AW647" i="15"/>
  <c r="AV647" i="15"/>
  <c r="L647" i="15"/>
  <c r="G647" i="15" s="1"/>
  <c r="K647" i="15"/>
  <c r="I647" i="15"/>
  <c r="H647" i="15"/>
  <c r="AW646" i="15"/>
  <c r="AV646" i="15"/>
  <c r="L646" i="15"/>
  <c r="G646" i="15" s="1"/>
  <c r="K646" i="15"/>
  <c r="I646" i="15"/>
  <c r="H646" i="15"/>
  <c r="AW645" i="15"/>
  <c r="AV645" i="15"/>
  <c r="L645" i="15"/>
  <c r="G645" i="15" s="1"/>
  <c r="K645" i="15"/>
  <c r="I645" i="15"/>
  <c r="H645" i="15"/>
  <c r="AW644" i="15"/>
  <c r="AV644" i="15"/>
  <c r="L644" i="15"/>
  <c r="G644" i="15" s="1"/>
  <c r="K644" i="15"/>
  <c r="I644" i="15"/>
  <c r="H644" i="15"/>
  <c r="AW643" i="15"/>
  <c r="AV643" i="15"/>
  <c r="L643" i="15"/>
  <c r="G643" i="15" s="1"/>
  <c r="K643" i="15"/>
  <c r="I643" i="15"/>
  <c r="H643" i="15"/>
  <c r="AW642" i="15"/>
  <c r="AV642" i="15"/>
  <c r="L642" i="15"/>
  <c r="K642" i="15"/>
  <c r="I642" i="15"/>
  <c r="H642" i="15"/>
  <c r="G642" i="15"/>
  <c r="AW641" i="15"/>
  <c r="AV641" i="15"/>
  <c r="L641" i="15"/>
  <c r="K641" i="15"/>
  <c r="I641" i="15"/>
  <c r="H641" i="15"/>
  <c r="G641" i="15"/>
  <c r="AW640" i="15"/>
  <c r="AV640" i="15"/>
  <c r="L640" i="15"/>
  <c r="G640" i="15" s="1"/>
  <c r="K640" i="15"/>
  <c r="I640" i="15"/>
  <c r="H640" i="15"/>
  <c r="AW639" i="15"/>
  <c r="AV639" i="15"/>
  <c r="L639" i="15"/>
  <c r="K639" i="15"/>
  <c r="I639" i="15"/>
  <c r="H639" i="15"/>
  <c r="G639" i="15"/>
  <c r="AW638" i="15"/>
  <c r="AV638" i="15"/>
  <c r="L638" i="15"/>
  <c r="K638" i="15"/>
  <c r="I638" i="15"/>
  <c r="H638" i="15"/>
  <c r="G638" i="15"/>
  <c r="AW637" i="15"/>
  <c r="AV637" i="15"/>
  <c r="L637" i="15"/>
  <c r="G637" i="15" s="1"/>
  <c r="K637" i="15"/>
  <c r="I637" i="15"/>
  <c r="H637" i="15"/>
  <c r="AW636" i="15"/>
  <c r="AV636" i="15"/>
  <c r="L636" i="15"/>
  <c r="K636" i="15"/>
  <c r="I636" i="15"/>
  <c r="H636" i="15"/>
  <c r="G636" i="15" s="1"/>
  <c r="AW635" i="15"/>
  <c r="AV635" i="15"/>
  <c r="L635" i="15"/>
  <c r="K635" i="15"/>
  <c r="I635" i="15"/>
  <c r="H635" i="15"/>
  <c r="G635" i="15"/>
  <c r="AW634" i="15"/>
  <c r="AV634" i="15"/>
  <c r="L634" i="15"/>
  <c r="K634" i="15"/>
  <c r="I634" i="15"/>
  <c r="H634" i="15"/>
  <c r="G634" i="15"/>
  <c r="AW633" i="15"/>
  <c r="AV633" i="15"/>
  <c r="L633" i="15"/>
  <c r="G633" i="15" s="1"/>
  <c r="K633" i="15"/>
  <c r="I633" i="15"/>
  <c r="H633" i="15"/>
  <c r="AW632" i="15"/>
  <c r="AV632" i="15"/>
  <c r="L632" i="15"/>
  <c r="K632" i="15"/>
  <c r="I632" i="15"/>
  <c r="H632" i="15"/>
  <c r="G632" i="15"/>
  <c r="AW631" i="15"/>
  <c r="AV631" i="15"/>
  <c r="L631" i="15"/>
  <c r="K631" i="15"/>
  <c r="I631" i="15"/>
  <c r="H631" i="15"/>
  <c r="G631" i="15"/>
  <c r="AW630" i="15"/>
  <c r="AV630" i="15"/>
  <c r="L630" i="15"/>
  <c r="G630" i="15" s="1"/>
  <c r="K630" i="15"/>
  <c r="I630" i="15"/>
  <c r="H630" i="15"/>
  <c r="AW629" i="15"/>
  <c r="AV629" i="15"/>
  <c r="L629" i="15"/>
  <c r="K629" i="15"/>
  <c r="I629" i="15"/>
  <c r="H629" i="15"/>
  <c r="G629" i="15"/>
  <c r="AW628" i="15"/>
  <c r="AV628" i="15"/>
  <c r="L628" i="15"/>
  <c r="K628" i="15"/>
  <c r="I628" i="15"/>
  <c r="H628" i="15"/>
  <c r="G628" i="15"/>
  <c r="AW627" i="15"/>
  <c r="AV627" i="15"/>
  <c r="L627" i="15"/>
  <c r="G627" i="15" s="1"/>
  <c r="K627" i="15"/>
  <c r="I627" i="15"/>
  <c r="H627" i="15"/>
  <c r="AW626" i="15"/>
  <c r="AV626" i="15"/>
  <c r="L626" i="15"/>
  <c r="K626" i="15"/>
  <c r="I626" i="15"/>
  <c r="H626" i="15"/>
  <c r="G626" i="15"/>
  <c r="AW625" i="15"/>
  <c r="AV625" i="15"/>
  <c r="L625" i="15"/>
  <c r="G625" i="15" s="1"/>
  <c r="K625" i="15"/>
  <c r="I625" i="15"/>
  <c r="H625" i="15"/>
  <c r="AW624" i="15"/>
  <c r="AV624" i="15"/>
  <c r="L624" i="15"/>
  <c r="G624" i="15" s="1"/>
  <c r="K624" i="15"/>
  <c r="I624" i="15"/>
  <c r="H624" i="15"/>
  <c r="AW623" i="15"/>
  <c r="AV623" i="15"/>
  <c r="L623" i="15"/>
  <c r="G623" i="15" s="1"/>
  <c r="K623" i="15"/>
  <c r="I623" i="15"/>
  <c r="H623" i="15"/>
  <c r="AW622" i="15"/>
  <c r="AV622" i="15"/>
  <c r="L622" i="15"/>
  <c r="G622" i="15" s="1"/>
  <c r="K622" i="15"/>
  <c r="I622" i="15"/>
  <c r="H622" i="15"/>
  <c r="AW621" i="15"/>
  <c r="AV621" i="15"/>
  <c r="L621" i="15"/>
  <c r="G621" i="15" s="1"/>
  <c r="K621" i="15"/>
  <c r="I621" i="15"/>
  <c r="H621" i="15"/>
  <c r="AW620" i="15"/>
  <c r="AV620" i="15"/>
  <c r="L620" i="15"/>
  <c r="K620" i="15"/>
  <c r="I620" i="15"/>
  <c r="H620" i="15"/>
  <c r="G620" i="15"/>
  <c r="AW619" i="15"/>
  <c r="AV619" i="15"/>
  <c r="L619" i="15"/>
  <c r="K619" i="15"/>
  <c r="I619" i="15"/>
  <c r="H619" i="15"/>
  <c r="G619" i="15"/>
  <c r="AW618" i="15"/>
  <c r="AV618" i="15"/>
  <c r="L618" i="15"/>
  <c r="G618" i="15" s="1"/>
  <c r="K618" i="15"/>
  <c r="I618" i="15"/>
  <c r="H618" i="15"/>
  <c r="AW617" i="15"/>
  <c r="AV617" i="15"/>
  <c r="L617" i="15"/>
  <c r="K617" i="15"/>
  <c r="I617" i="15"/>
  <c r="H617" i="15"/>
  <c r="G617" i="15"/>
  <c r="AW616" i="15"/>
  <c r="AV616" i="15"/>
  <c r="L616" i="15"/>
  <c r="K616" i="15"/>
  <c r="I616" i="15"/>
  <c r="H616" i="15"/>
  <c r="G616" i="15"/>
  <c r="AW615" i="15"/>
  <c r="AV615" i="15"/>
  <c r="L615" i="15"/>
  <c r="G615" i="15" s="1"/>
  <c r="K615" i="15"/>
  <c r="I615" i="15"/>
  <c r="H615" i="15"/>
  <c r="AW614" i="15"/>
  <c r="AV614" i="15"/>
  <c r="L614" i="15"/>
  <c r="K614" i="15"/>
  <c r="I614" i="15"/>
  <c r="H614" i="15"/>
  <c r="G614" i="15" s="1"/>
  <c r="AW613" i="15"/>
  <c r="AV613" i="15"/>
  <c r="L613" i="15"/>
  <c r="K613" i="15"/>
  <c r="I613" i="15"/>
  <c r="H613" i="15"/>
  <c r="G613" i="15"/>
  <c r="AW612" i="15"/>
  <c r="AV612" i="15"/>
  <c r="L612" i="15"/>
  <c r="K612" i="15"/>
  <c r="I612" i="15"/>
  <c r="H612" i="15"/>
  <c r="G612" i="15"/>
  <c r="AW611" i="15"/>
  <c r="AV611" i="15"/>
  <c r="L611" i="15"/>
  <c r="G611" i="15" s="1"/>
  <c r="K611" i="15"/>
  <c r="I611" i="15"/>
  <c r="H611" i="15"/>
  <c r="AW610" i="15"/>
  <c r="AV610" i="15"/>
  <c r="L610" i="15"/>
  <c r="K610" i="15"/>
  <c r="I610" i="15"/>
  <c r="H610" i="15"/>
  <c r="G610" i="15"/>
  <c r="AW609" i="15"/>
  <c r="AV609" i="15"/>
  <c r="L609" i="15"/>
  <c r="K609" i="15"/>
  <c r="I609" i="15"/>
  <c r="H609" i="15"/>
  <c r="G609" i="15"/>
  <c r="AW608" i="15"/>
  <c r="AV608" i="15"/>
  <c r="L608" i="15"/>
  <c r="G608" i="15" s="1"/>
  <c r="K608" i="15"/>
  <c r="I608" i="15"/>
  <c r="H608" i="15"/>
  <c r="AW607" i="15"/>
  <c r="AV607" i="15"/>
  <c r="L607" i="15"/>
  <c r="K607" i="15"/>
  <c r="I607" i="15"/>
  <c r="H607" i="15"/>
  <c r="G607" i="15"/>
  <c r="AW606" i="15"/>
  <c r="AV606" i="15"/>
  <c r="L606" i="15"/>
  <c r="K606" i="15"/>
  <c r="I606" i="15"/>
  <c r="H606" i="15"/>
  <c r="G606" i="15"/>
  <c r="AW605" i="15"/>
  <c r="AV605" i="15"/>
  <c r="L605" i="15"/>
  <c r="G605" i="15" s="1"/>
  <c r="K605" i="15"/>
  <c r="I605" i="15"/>
  <c r="H605" i="15"/>
  <c r="AW604" i="15"/>
  <c r="AV604" i="15"/>
  <c r="L604" i="15"/>
  <c r="K604" i="15"/>
  <c r="I604" i="15"/>
  <c r="H604" i="15"/>
  <c r="G604" i="15"/>
  <c r="AW603" i="15"/>
  <c r="AV603" i="15"/>
  <c r="L603" i="15"/>
  <c r="G603" i="15" s="1"/>
  <c r="K603" i="15"/>
  <c r="I603" i="15"/>
  <c r="H603" i="15"/>
  <c r="AW602" i="15"/>
  <c r="AV602" i="15"/>
  <c r="L602" i="15"/>
  <c r="G602" i="15" s="1"/>
  <c r="K602" i="15"/>
  <c r="I602" i="15"/>
  <c r="H602" i="15"/>
  <c r="AW601" i="15"/>
  <c r="AV601" i="15"/>
  <c r="L601" i="15"/>
  <c r="G601" i="15" s="1"/>
  <c r="K601" i="15"/>
  <c r="I601" i="15"/>
  <c r="H601" i="15"/>
  <c r="AW600" i="15"/>
  <c r="AV600" i="15"/>
  <c r="L600" i="15"/>
  <c r="G600" i="15" s="1"/>
  <c r="K600" i="15"/>
  <c r="I600" i="15"/>
  <c r="H600" i="15"/>
  <c r="AW599" i="15"/>
  <c r="AV599" i="15"/>
  <c r="L599" i="15"/>
  <c r="G599" i="15" s="1"/>
  <c r="K599" i="15"/>
  <c r="I599" i="15"/>
  <c r="H599" i="15"/>
  <c r="AW598" i="15"/>
  <c r="AV598" i="15"/>
  <c r="L598" i="15"/>
  <c r="K598" i="15"/>
  <c r="I598" i="15"/>
  <c r="H598" i="15"/>
  <c r="G598" i="15"/>
  <c r="AW597" i="15"/>
  <c r="AV597" i="15"/>
  <c r="L597" i="15"/>
  <c r="K597" i="15"/>
  <c r="I597" i="15"/>
  <c r="H597" i="15"/>
  <c r="G597" i="15"/>
  <c r="AW596" i="15"/>
  <c r="AV596" i="15"/>
  <c r="L596" i="15"/>
  <c r="G596" i="15" s="1"/>
  <c r="K596" i="15"/>
  <c r="I596" i="15"/>
  <c r="H596" i="15"/>
  <c r="AW595" i="15"/>
  <c r="AV595" i="15"/>
  <c r="L595" i="15"/>
  <c r="K595" i="15"/>
  <c r="I595" i="15"/>
  <c r="H595" i="15"/>
  <c r="G595" i="15"/>
  <c r="AW594" i="15"/>
  <c r="AV594" i="15"/>
  <c r="L594" i="15"/>
  <c r="K594" i="15"/>
  <c r="I594" i="15"/>
  <c r="H594" i="15"/>
  <c r="G594" i="15"/>
  <c r="AW593" i="15"/>
  <c r="AV593" i="15"/>
  <c r="L593" i="15"/>
  <c r="G593" i="15" s="1"/>
  <c r="K593" i="15"/>
  <c r="I593" i="15"/>
  <c r="H593" i="15"/>
  <c r="AW592" i="15"/>
  <c r="AV592" i="15"/>
  <c r="L592" i="15"/>
  <c r="K592" i="15"/>
  <c r="I592" i="15"/>
  <c r="H592" i="15"/>
  <c r="G592" i="15"/>
  <c r="AW591" i="15"/>
  <c r="AV591" i="15"/>
  <c r="L591" i="15"/>
  <c r="K591" i="15"/>
  <c r="I591" i="15"/>
  <c r="H591" i="15"/>
  <c r="G591" i="15"/>
  <c r="AW590" i="15"/>
  <c r="AV590" i="15"/>
  <c r="L590" i="15"/>
  <c r="K590" i="15"/>
  <c r="I590" i="15"/>
  <c r="H590" i="15"/>
  <c r="G590" i="15"/>
  <c r="AW589" i="15"/>
  <c r="AV589" i="15"/>
  <c r="L589" i="15"/>
  <c r="K589" i="15"/>
  <c r="I589" i="15"/>
  <c r="H589" i="15"/>
  <c r="G589" i="15"/>
  <c r="AW588" i="15"/>
  <c r="AV588" i="15"/>
  <c r="L588" i="15"/>
  <c r="K588" i="15"/>
  <c r="I588" i="15"/>
  <c r="H588" i="15"/>
  <c r="G588" i="15"/>
  <c r="AW587" i="15"/>
  <c r="AV587" i="15"/>
  <c r="L587" i="15"/>
  <c r="K587" i="15"/>
  <c r="I587" i="15"/>
  <c r="H587" i="15"/>
  <c r="G587" i="15"/>
  <c r="AW586" i="15"/>
  <c r="AV586" i="15"/>
  <c r="L586" i="15"/>
  <c r="G586" i="15" s="1"/>
  <c r="K586" i="15"/>
  <c r="I586" i="15"/>
  <c r="H586" i="15"/>
  <c r="AW585" i="15"/>
  <c r="AV585" i="15"/>
  <c r="L585" i="15"/>
  <c r="K585" i="15"/>
  <c r="I585" i="15"/>
  <c r="H585" i="15"/>
  <c r="G585" i="15"/>
  <c r="AW584" i="15"/>
  <c r="AV584" i="15"/>
  <c r="L584" i="15"/>
  <c r="K584" i="15"/>
  <c r="I584" i="15"/>
  <c r="H584" i="15"/>
  <c r="G584" i="15"/>
  <c r="AW583" i="15"/>
  <c r="AV583" i="15"/>
  <c r="L583" i="15"/>
  <c r="G583" i="15" s="1"/>
  <c r="K583" i="15"/>
  <c r="I583" i="15"/>
  <c r="H583" i="15"/>
  <c r="AW582" i="15"/>
  <c r="AV582" i="15"/>
  <c r="L582" i="15"/>
  <c r="K582" i="15"/>
  <c r="I582" i="15"/>
  <c r="H582" i="15"/>
  <c r="G582" i="15"/>
  <c r="AW581" i="15"/>
  <c r="AV581" i="15"/>
  <c r="L581" i="15"/>
  <c r="K581" i="15"/>
  <c r="I581" i="15"/>
  <c r="G581" i="15" s="1"/>
  <c r="H581" i="15"/>
  <c r="AW580" i="15"/>
  <c r="AV580" i="15"/>
  <c r="L580" i="15"/>
  <c r="G580" i="15" s="1"/>
  <c r="K580" i="15"/>
  <c r="I580" i="15"/>
  <c r="H580" i="15"/>
  <c r="AW579" i="15"/>
  <c r="AV579" i="15"/>
  <c r="L579" i="15"/>
  <c r="G579" i="15" s="1"/>
  <c r="K579" i="15"/>
  <c r="I579" i="15"/>
  <c r="H579" i="15"/>
  <c r="AW578" i="15"/>
  <c r="AV578" i="15"/>
  <c r="L578" i="15"/>
  <c r="G578" i="15" s="1"/>
  <c r="K578" i="15"/>
  <c r="I578" i="15"/>
  <c r="H578" i="15"/>
  <c r="AW577" i="15"/>
  <c r="AV577" i="15"/>
  <c r="L577" i="15"/>
  <c r="G577" i="15" s="1"/>
  <c r="K577" i="15"/>
  <c r="I577" i="15"/>
  <c r="H577" i="15"/>
  <c r="AW576" i="15"/>
  <c r="AV576" i="15"/>
  <c r="L576" i="15"/>
  <c r="K576" i="15"/>
  <c r="I576" i="15"/>
  <c r="H576" i="15"/>
  <c r="G576" i="15"/>
  <c r="AW575" i="15"/>
  <c r="AV575" i="15"/>
  <c r="L575" i="15"/>
  <c r="K575" i="15"/>
  <c r="I575" i="15"/>
  <c r="H575" i="15"/>
  <c r="G575" i="15"/>
  <c r="AW574" i="15"/>
  <c r="AV574" i="15"/>
  <c r="L574" i="15"/>
  <c r="G574" i="15" s="1"/>
  <c r="K574" i="15"/>
  <c r="I574" i="15"/>
  <c r="H574" i="15"/>
  <c r="AW573" i="15"/>
  <c r="AV573" i="15"/>
  <c r="L573" i="15"/>
  <c r="K573" i="15"/>
  <c r="I573" i="15"/>
  <c r="H573" i="15"/>
  <c r="G573" i="15"/>
  <c r="AW572" i="15"/>
  <c r="AV572" i="15"/>
  <c r="L572" i="15"/>
  <c r="K572" i="15"/>
  <c r="I572" i="15"/>
  <c r="H572" i="15"/>
  <c r="G572" i="15"/>
  <c r="AW571" i="15"/>
  <c r="AV571" i="15"/>
  <c r="L571" i="15"/>
  <c r="G571" i="15" s="1"/>
  <c r="K571" i="15"/>
  <c r="I571" i="15"/>
  <c r="H571" i="15"/>
  <c r="AW570" i="15"/>
  <c r="AV570" i="15"/>
  <c r="L570" i="15"/>
  <c r="K570" i="15"/>
  <c r="I570" i="15"/>
  <c r="H570" i="15"/>
  <c r="G570" i="15" s="1"/>
  <c r="AW569" i="15"/>
  <c r="AV569" i="15"/>
  <c r="L569" i="15"/>
  <c r="K569" i="15"/>
  <c r="I569" i="15"/>
  <c r="H569" i="15"/>
  <c r="G569" i="15"/>
  <c r="AW568" i="15"/>
  <c r="AV568" i="15"/>
  <c r="L568" i="15"/>
  <c r="K568" i="15"/>
  <c r="I568" i="15"/>
  <c r="H568" i="15"/>
  <c r="G568" i="15"/>
  <c r="AW567" i="15"/>
  <c r="AV567" i="15"/>
  <c r="L567" i="15"/>
  <c r="K567" i="15"/>
  <c r="I567" i="15"/>
  <c r="H567" i="15"/>
  <c r="G567" i="15"/>
  <c r="AW566" i="15"/>
  <c r="AV566" i="15"/>
  <c r="L566" i="15"/>
  <c r="K566" i="15"/>
  <c r="I566" i="15"/>
  <c r="H566" i="15"/>
  <c r="G566" i="15"/>
  <c r="AW565" i="15"/>
  <c r="AV565" i="15"/>
  <c r="L565" i="15"/>
  <c r="K565" i="15"/>
  <c r="I565" i="15"/>
  <c r="H565" i="15"/>
  <c r="G565" i="15"/>
  <c r="AW564" i="15"/>
  <c r="AV564" i="15"/>
  <c r="L564" i="15"/>
  <c r="G564" i="15" s="1"/>
  <c r="K564" i="15"/>
  <c r="I564" i="15"/>
  <c r="H564" i="15"/>
  <c r="AW563" i="15"/>
  <c r="AV563" i="15"/>
  <c r="L563" i="15"/>
  <c r="K563" i="15"/>
  <c r="I563" i="15"/>
  <c r="H563" i="15"/>
  <c r="G563" i="15"/>
  <c r="AW562" i="15"/>
  <c r="AV562" i="15"/>
  <c r="L562" i="15"/>
  <c r="K562" i="15"/>
  <c r="I562" i="15"/>
  <c r="H562" i="15"/>
  <c r="G562" i="15"/>
  <c r="AW561" i="15"/>
  <c r="AV561" i="15"/>
  <c r="L561" i="15"/>
  <c r="G561" i="15" s="1"/>
  <c r="K561" i="15"/>
  <c r="I561" i="15"/>
  <c r="H561" i="15"/>
  <c r="AW560" i="15"/>
  <c r="AV560" i="15"/>
  <c r="L560" i="15"/>
  <c r="K560" i="15"/>
  <c r="I560" i="15"/>
  <c r="H560" i="15"/>
  <c r="G560" i="15"/>
  <c r="AW559" i="15"/>
  <c r="AV559" i="15"/>
  <c r="L559" i="15"/>
  <c r="K559" i="15"/>
  <c r="I559" i="15"/>
  <c r="G559" i="15" s="1"/>
  <c r="H559" i="15"/>
  <c r="AW558" i="15"/>
  <c r="AV558" i="15"/>
  <c r="L558" i="15"/>
  <c r="G558" i="15" s="1"/>
  <c r="K558" i="15"/>
  <c r="I558" i="15"/>
  <c r="H558" i="15"/>
  <c r="AW557" i="15"/>
  <c r="AV557" i="15"/>
  <c r="L557" i="15"/>
  <c r="G557" i="15" s="1"/>
  <c r="K557" i="15"/>
  <c r="I557" i="15"/>
  <c r="H557" i="15"/>
  <c r="AW556" i="15"/>
  <c r="AV556" i="15"/>
  <c r="L556" i="15"/>
  <c r="G556" i="15" s="1"/>
  <c r="K556" i="15"/>
  <c r="I556" i="15"/>
  <c r="H556" i="15"/>
  <c r="AW555" i="15"/>
  <c r="AV555" i="15"/>
  <c r="L555" i="15"/>
  <c r="G555" i="15" s="1"/>
  <c r="K555" i="15"/>
  <c r="I555" i="15"/>
  <c r="H555" i="15"/>
  <c r="AW554" i="15"/>
  <c r="AV554" i="15"/>
  <c r="L554" i="15"/>
  <c r="K554" i="15"/>
  <c r="I554" i="15"/>
  <c r="H554" i="15"/>
  <c r="G554" i="15"/>
  <c r="AW553" i="15"/>
  <c r="AV553" i="15"/>
  <c r="L553" i="15"/>
  <c r="K553" i="15"/>
  <c r="I553" i="15"/>
  <c r="H553" i="15"/>
  <c r="G553" i="15"/>
  <c r="AW552" i="15"/>
  <c r="AV552" i="15"/>
  <c r="L552" i="15"/>
  <c r="G552" i="15" s="1"/>
  <c r="K552" i="15"/>
  <c r="I552" i="15"/>
  <c r="H552" i="15"/>
  <c r="AW551" i="15"/>
  <c r="AV551" i="15"/>
  <c r="L551" i="15"/>
  <c r="K551" i="15"/>
  <c r="I551" i="15"/>
  <c r="H551" i="15"/>
  <c r="G551" i="15"/>
  <c r="AW550" i="15"/>
  <c r="AV550" i="15"/>
  <c r="L550" i="15"/>
  <c r="K550" i="15"/>
  <c r="I550" i="15"/>
  <c r="H550" i="15"/>
  <c r="G550" i="15"/>
  <c r="AW549" i="15"/>
  <c r="AV549" i="15"/>
  <c r="L549" i="15"/>
  <c r="G549" i="15" s="1"/>
  <c r="K549" i="15"/>
  <c r="I549" i="15"/>
  <c r="H549" i="15"/>
  <c r="AW548" i="15"/>
  <c r="AV548" i="15"/>
  <c r="L548" i="15"/>
  <c r="K548" i="15"/>
  <c r="I548" i="15"/>
  <c r="H548" i="15"/>
  <c r="G548" i="15" s="1"/>
  <c r="AW547" i="15"/>
  <c r="AV547" i="15"/>
  <c r="L547" i="15"/>
  <c r="K547" i="15"/>
  <c r="I547" i="15"/>
  <c r="H547" i="15"/>
  <c r="G547" i="15"/>
  <c r="AW546" i="15"/>
  <c r="AV546" i="15"/>
  <c r="L546" i="15"/>
  <c r="K546" i="15"/>
  <c r="I546" i="15"/>
  <c r="H546" i="15"/>
  <c r="G546" i="15"/>
  <c r="AW545" i="15"/>
  <c r="AV545" i="15"/>
  <c r="L545" i="15"/>
  <c r="K545" i="15"/>
  <c r="I545" i="15"/>
  <c r="H545" i="15"/>
  <c r="G545" i="15"/>
  <c r="AW544" i="15"/>
  <c r="AV544" i="15"/>
  <c r="L544" i="15"/>
  <c r="K544" i="15"/>
  <c r="I544" i="15"/>
  <c r="H544" i="15"/>
  <c r="G544" i="15"/>
  <c r="AW543" i="15"/>
  <c r="AV543" i="15"/>
  <c r="L543" i="15"/>
  <c r="K543" i="15"/>
  <c r="I543" i="15"/>
  <c r="H543" i="15"/>
  <c r="G543" i="15"/>
  <c r="AW542" i="15"/>
  <c r="AV542" i="15"/>
  <c r="L542" i="15"/>
  <c r="G542" i="15" s="1"/>
  <c r="K542" i="15"/>
  <c r="I542" i="15"/>
  <c r="H542" i="15"/>
  <c r="AW541" i="15"/>
  <c r="AV541" i="15"/>
  <c r="L541" i="15"/>
  <c r="K541" i="15"/>
  <c r="I541" i="15"/>
  <c r="H541" i="15"/>
  <c r="G541" i="15"/>
  <c r="AW540" i="15"/>
  <c r="AV540" i="15"/>
  <c r="L540" i="15"/>
  <c r="K540" i="15"/>
  <c r="I540" i="15"/>
  <c r="H540" i="15"/>
  <c r="G540" i="15"/>
  <c r="AW539" i="15"/>
  <c r="AV539" i="15"/>
  <c r="L539" i="15"/>
  <c r="G539" i="15" s="1"/>
  <c r="K539" i="15"/>
  <c r="I539" i="15"/>
  <c r="H539" i="15"/>
  <c r="AW538" i="15"/>
  <c r="AV538" i="15"/>
  <c r="L538" i="15"/>
  <c r="K538" i="15"/>
  <c r="I538" i="15"/>
  <c r="H538" i="15"/>
  <c r="G538" i="15"/>
  <c r="AW537" i="15"/>
  <c r="AV537" i="15"/>
  <c r="L537" i="15"/>
  <c r="K537" i="15"/>
  <c r="I537" i="15"/>
  <c r="G537" i="15" s="1"/>
  <c r="H537" i="15"/>
  <c r="AW536" i="15"/>
  <c r="AV536" i="15"/>
  <c r="L536" i="15"/>
  <c r="G536" i="15" s="1"/>
  <c r="K536" i="15"/>
  <c r="I536" i="15"/>
  <c r="H536" i="15"/>
  <c r="AW535" i="15"/>
  <c r="AV535" i="15"/>
  <c r="L535" i="15"/>
  <c r="G535" i="15" s="1"/>
  <c r="K535" i="15"/>
  <c r="I535" i="15"/>
  <c r="H535" i="15"/>
  <c r="AW534" i="15"/>
  <c r="AV534" i="15"/>
  <c r="L534" i="15"/>
  <c r="G534" i="15" s="1"/>
  <c r="K534" i="15"/>
  <c r="I534" i="15"/>
  <c r="H534" i="15"/>
  <c r="AW533" i="15"/>
  <c r="AV533" i="15"/>
  <c r="L533" i="15"/>
  <c r="G533" i="15" s="1"/>
  <c r="K533" i="15"/>
  <c r="I533" i="15"/>
  <c r="H533" i="15"/>
  <c r="AW532" i="15"/>
  <c r="AV532" i="15"/>
  <c r="L532" i="15"/>
  <c r="K532" i="15"/>
  <c r="I532" i="15"/>
  <c r="H532" i="15"/>
  <c r="G532" i="15"/>
  <c r="AW531" i="15"/>
  <c r="AV531" i="15"/>
  <c r="L531" i="15"/>
  <c r="K531" i="15"/>
  <c r="I531" i="15"/>
  <c r="H531" i="15"/>
  <c r="G531" i="15"/>
  <c r="AW530" i="15"/>
  <c r="AV530" i="15"/>
  <c r="L530" i="15"/>
  <c r="G530" i="15" s="1"/>
  <c r="K530" i="15"/>
  <c r="I530" i="15"/>
  <c r="H530" i="15"/>
  <c r="AW529" i="15"/>
  <c r="AV529" i="15"/>
  <c r="L529" i="15"/>
  <c r="K529" i="15"/>
  <c r="I529" i="15"/>
  <c r="H529" i="15"/>
  <c r="G529" i="15"/>
  <c r="AW528" i="15"/>
  <c r="AV528" i="15"/>
  <c r="L528" i="15"/>
  <c r="K528" i="15"/>
  <c r="I528" i="15"/>
  <c r="H528" i="15"/>
  <c r="G528" i="15"/>
  <c r="AW527" i="15"/>
  <c r="AV527" i="15"/>
  <c r="L527" i="15"/>
  <c r="G527" i="15" s="1"/>
  <c r="K527" i="15"/>
  <c r="I527" i="15"/>
  <c r="H527" i="15"/>
  <c r="AW526" i="15"/>
  <c r="AV526" i="15"/>
  <c r="L526" i="15"/>
  <c r="K526" i="15"/>
  <c r="I526" i="15"/>
  <c r="H526" i="15"/>
  <c r="G526" i="15" s="1"/>
  <c r="AW525" i="15"/>
  <c r="AV525" i="15"/>
  <c r="L525" i="15"/>
  <c r="K525" i="15"/>
  <c r="I525" i="15"/>
  <c r="H525" i="15"/>
  <c r="G525" i="15"/>
  <c r="AW524" i="15"/>
  <c r="AV524" i="15"/>
  <c r="L524" i="15"/>
  <c r="K524" i="15"/>
  <c r="I524" i="15"/>
  <c r="H524" i="15"/>
  <c r="G524" i="15"/>
  <c r="AW523" i="15"/>
  <c r="AV523" i="15"/>
  <c r="L523" i="15"/>
  <c r="K523" i="15"/>
  <c r="I523" i="15"/>
  <c r="H523" i="15"/>
  <c r="G523" i="15"/>
  <c r="AW522" i="15"/>
  <c r="AV522" i="15"/>
  <c r="L522" i="15"/>
  <c r="K522" i="15"/>
  <c r="I522" i="15"/>
  <c r="H522" i="15"/>
  <c r="G522" i="15"/>
  <c r="AW521" i="15"/>
  <c r="AV521" i="15"/>
  <c r="L521" i="15"/>
  <c r="K521" i="15"/>
  <c r="I521" i="15"/>
  <c r="H521" i="15"/>
  <c r="G521" i="15"/>
  <c r="AW520" i="15"/>
  <c r="AV520" i="15"/>
  <c r="L520" i="15"/>
  <c r="G520" i="15" s="1"/>
  <c r="K520" i="15"/>
  <c r="I520" i="15"/>
  <c r="H520" i="15"/>
  <c r="AW519" i="15"/>
  <c r="AV519" i="15"/>
  <c r="L519" i="15"/>
  <c r="K519" i="15"/>
  <c r="I519" i="15"/>
  <c r="H519" i="15"/>
  <c r="G519" i="15"/>
  <c r="AW518" i="15"/>
  <c r="AV518" i="15"/>
  <c r="L518" i="15"/>
  <c r="K518" i="15"/>
  <c r="I518" i="15"/>
  <c r="H518" i="15"/>
  <c r="G518" i="15"/>
  <c r="AW517" i="15"/>
  <c r="AV517" i="15"/>
  <c r="L517" i="15"/>
  <c r="G517" i="15" s="1"/>
  <c r="K517" i="15"/>
  <c r="I517" i="15"/>
  <c r="H517" i="15"/>
  <c r="AW516" i="15"/>
  <c r="AV516" i="15"/>
  <c r="L516" i="15"/>
  <c r="K516" i="15"/>
  <c r="I516" i="15"/>
  <c r="H516" i="15"/>
  <c r="G516" i="15"/>
  <c r="AW515" i="15"/>
  <c r="AV515" i="15"/>
  <c r="L515" i="15"/>
  <c r="K515" i="15"/>
  <c r="I515" i="15"/>
  <c r="G515" i="15" s="1"/>
  <c r="H515" i="15"/>
  <c r="AW514" i="15"/>
  <c r="AV514" i="15"/>
  <c r="L514" i="15"/>
  <c r="G514" i="15" s="1"/>
  <c r="K514" i="15"/>
  <c r="I514" i="15"/>
  <c r="H514" i="15"/>
  <c r="AW513" i="15"/>
  <c r="AV513" i="15"/>
  <c r="L513" i="15"/>
  <c r="G513" i="15" s="1"/>
  <c r="K513" i="15"/>
  <c r="I513" i="15"/>
  <c r="H513" i="15"/>
  <c r="AW512" i="15"/>
  <c r="AV512" i="15"/>
  <c r="L512" i="15"/>
  <c r="G512" i="15" s="1"/>
  <c r="K512" i="15"/>
  <c r="I512" i="15"/>
  <c r="H512" i="15"/>
  <c r="AW511" i="15"/>
  <c r="AV511" i="15"/>
  <c r="L511" i="15"/>
  <c r="G511" i="15" s="1"/>
  <c r="K511" i="15"/>
  <c r="I511" i="15"/>
  <c r="H511" i="15"/>
  <c r="AW510" i="15"/>
  <c r="AV510" i="15"/>
  <c r="L510" i="15"/>
  <c r="K510" i="15"/>
  <c r="I510" i="15"/>
  <c r="H510" i="15"/>
  <c r="G510" i="15"/>
  <c r="AW509" i="15"/>
  <c r="AV509" i="15"/>
  <c r="L509" i="15"/>
  <c r="K509" i="15"/>
  <c r="I509" i="15"/>
  <c r="H509" i="15"/>
  <c r="G509" i="15"/>
  <c r="AW508" i="15"/>
  <c r="AV508" i="15"/>
  <c r="L508" i="15"/>
  <c r="G508" i="15" s="1"/>
  <c r="K508" i="15"/>
  <c r="I508" i="15"/>
  <c r="H508" i="15"/>
  <c r="AW507" i="15"/>
  <c r="AV507" i="15"/>
  <c r="L507" i="15"/>
  <c r="K507" i="15"/>
  <c r="I507" i="15"/>
  <c r="H507" i="15"/>
  <c r="G507" i="15"/>
  <c r="AW506" i="15"/>
  <c r="AV506" i="15"/>
  <c r="L506" i="15"/>
  <c r="K506" i="15"/>
  <c r="I506" i="15"/>
  <c r="H506" i="15"/>
  <c r="G506" i="15"/>
  <c r="AW505" i="15"/>
  <c r="AV505" i="15"/>
  <c r="L505" i="15"/>
  <c r="G505" i="15" s="1"/>
  <c r="K505" i="15"/>
  <c r="I505" i="15"/>
  <c r="H505" i="15"/>
  <c r="AW504" i="15"/>
  <c r="AV504" i="15"/>
  <c r="L504" i="15"/>
  <c r="K504" i="15"/>
  <c r="I504" i="15"/>
  <c r="H504" i="15"/>
  <c r="G504" i="15" s="1"/>
  <c r="AW503" i="15"/>
  <c r="AV503" i="15"/>
  <c r="L503" i="15"/>
  <c r="K503" i="15"/>
  <c r="I503" i="15"/>
  <c r="H503" i="15"/>
  <c r="G503" i="15"/>
  <c r="AW502" i="15"/>
  <c r="AV502" i="15"/>
  <c r="L502" i="15"/>
  <c r="K502" i="15"/>
  <c r="I502" i="15"/>
  <c r="H502" i="15"/>
  <c r="G502" i="15"/>
  <c r="AW501" i="15"/>
  <c r="AV501" i="15"/>
  <c r="L501" i="15"/>
  <c r="K501" i="15"/>
  <c r="I501" i="15"/>
  <c r="H501" i="15"/>
  <c r="G501" i="15"/>
  <c r="AW500" i="15"/>
  <c r="AV500" i="15"/>
  <c r="L500" i="15"/>
  <c r="K500" i="15"/>
  <c r="I500" i="15"/>
  <c r="H500" i="15"/>
  <c r="G500" i="15"/>
  <c r="AW499" i="15"/>
  <c r="AV499" i="15"/>
  <c r="L499" i="15"/>
  <c r="K499" i="15"/>
  <c r="I499" i="15"/>
  <c r="H499" i="15"/>
  <c r="G499" i="15"/>
  <c r="AW498" i="15"/>
  <c r="AV498" i="15"/>
  <c r="L498" i="15"/>
  <c r="G498" i="15" s="1"/>
  <c r="K498" i="15"/>
  <c r="I498" i="15"/>
  <c r="H498" i="15"/>
  <c r="AW497" i="15"/>
  <c r="AV497" i="15"/>
  <c r="L497" i="15"/>
  <c r="K497" i="15"/>
  <c r="I497" i="15"/>
  <c r="H497" i="15"/>
  <c r="G497" i="15"/>
  <c r="AW496" i="15"/>
  <c r="AV496" i="15"/>
  <c r="L496" i="15"/>
  <c r="K496" i="15"/>
  <c r="I496" i="15"/>
  <c r="H496" i="15"/>
  <c r="G496" i="15"/>
  <c r="AW495" i="15"/>
  <c r="AV495" i="15"/>
  <c r="L495" i="15"/>
  <c r="G495" i="15" s="1"/>
  <c r="K495" i="15"/>
  <c r="I495" i="15"/>
  <c r="H495" i="15"/>
  <c r="AW494" i="15"/>
  <c r="AV494" i="15"/>
  <c r="L494" i="15"/>
  <c r="K494" i="15"/>
  <c r="I494" i="15"/>
  <c r="H494" i="15"/>
  <c r="G494" i="15"/>
  <c r="AW493" i="15"/>
  <c r="AV493" i="15"/>
  <c r="L493" i="15"/>
  <c r="K493" i="15"/>
  <c r="I493" i="15"/>
  <c r="G493" i="15" s="1"/>
  <c r="H493" i="15"/>
  <c r="AW492" i="15"/>
  <c r="AV492" i="15"/>
  <c r="L492" i="15"/>
  <c r="G492" i="15" s="1"/>
  <c r="K492" i="15"/>
  <c r="I492" i="15"/>
  <c r="H492" i="15"/>
  <c r="AW491" i="15"/>
  <c r="AV491" i="15"/>
  <c r="L491" i="15"/>
  <c r="G491" i="15" s="1"/>
  <c r="K491" i="15"/>
  <c r="I491" i="15"/>
  <c r="H491" i="15"/>
  <c r="AW490" i="15"/>
  <c r="AV490" i="15"/>
  <c r="L490" i="15"/>
  <c r="G490" i="15" s="1"/>
  <c r="K490" i="15"/>
  <c r="I490" i="15"/>
  <c r="H490" i="15"/>
  <c r="AW489" i="15"/>
  <c r="AV489" i="15"/>
  <c r="L489" i="15"/>
  <c r="G489" i="15" s="1"/>
  <c r="K489" i="15"/>
  <c r="I489" i="15"/>
  <c r="H489" i="15"/>
  <c r="AW488" i="15"/>
  <c r="AV488" i="15"/>
  <c r="L488" i="15"/>
  <c r="K488" i="15"/>
  <c r="I488" i="15"/>
  <c r="H488" i="15"/>
  <c r="G488" i="15"/>
  <c r="AW487" i="15"/>
  <c r="AV487" i="15"/>
  <c r="L487" i="15"/>
  <c r="K487" i="15"/>
  <c r="I487" i="15"/>
  <c r="H487" i="15"/>
  <c r="G487" i="15"/>
  <c r="AW486" i="15"/>
  <c r="AV486" i="15"/>
  <c r="L486" i="15"/>
  <c r="G486" i="15" s="1"/>
  <c r="K486" i="15"/>
  <c r="I486" i="15"/>
  <c r="H486" i="15"/>
  <c r="AW485" i="15"/>
  <c r="AV485" i="15"/>
  <c r="L485" i="15"/>
  <c r="K485" i="15"/>
  <c r="I485" i="15"/>
  <c r="H485" i="15"/>
  <c r="G485" i="15"/>
  <c r="AW484" i="15"/>
  <c r="AV484" i="15"/>
  <c r="L484" i="15"/>
  <c r="K484" i="15"/>
  <c r="I484" i="15"/>
  <c r="H484" i="15"/>
  <c r="G484" i="15"/>
  <c r="AW483" i="15"/>
  <c r="AV483" i="15"/>
  <c r="L483" i="15"/>
  <c r="G483" i="15" s="1"/>
  <c r="K483" i="15"/>
  <c r="I483" i="15"/>
  <c r="H483" i="15"/>
  <c r="AW482" i="15"/>
  <c r="AV482" i="15"/>
  <c r="L482" i="15"/>
  <c r="K482" i="15"/>
  <c r="I482" i="15"/>
  <c r="H482" i="15"/>
  <c r="G482" i="15" s="1"/>
  <c r="AW481" i="15"/>
  <c r="AV481" i="15"/>
  <c r="L481" i="15"/>
  <c r="K481" i="15"/>
  <c r="I481" i="15"/>
  <c r="H481" i="15"/>
  <c r="G481" i="15"/>
  <c r="AW480" i="15"/>
  <c r="AV480" i="15"/>
  <c r="L480" i="15"/>
  <c r="K480" i="15"/>
  <c r="I480" i="15"/>
  <c r="H480" i="15"/>
  <c r="G480" i="15"/>
  <c r="AW479" i="15"/>
  <c r="AV479" i="15"/>
  <c r="L479" i="15"/>
  <c r="K479" i="15"/>
  <c r="I479" i="15"/>
  <c r="H479" i="15"/>
  <c r="G479" i="15"/>
  <c r="AW478" i="15"/>
  <c r="AV478" i="15"/>
  <c r="L478" i="15"/>
  <c r="K478" i="15"/>
  <c r="I478" i="15"/>
  <c r="H478" i="15"/>
  <c r="G478" i="15"/>
  <c r="AW477" i="15"/>
  <c r="AV477" i="15"/>
  <c r="L477" i="15"/>
  <c r="K477" i="15"/>
  <c r="I477" i="15"/>
  <c r="H477" i="15"/>
  <c r="G477" i="15"/>
  <c r="AW476" i="15"/>
  <c r="AV476" i="15"/>
  <c r="L476" i="15"/>
  <c r="G476" i="15" s="1"/>
  <c r="K476" i="15"/>
  <c r="I476" i="15"/>
  <c r="H476" i="15"/>
  <c r="AW475" i="15"/>
  <c r="AV475" i="15"/>
  <c r="L475" i="15"/>
  <c r="K475" i="15"/>
  <c r="I475" i="15"/>
  <c r="H475" i="15"/>
  <c r="G475" i="15"/>
  <c r="AW474" i="15"/>
  <c r="AV474" i="15"/>
  <c r="L474" i="15"/>
  <c r="K474" i="15"/>
  <c r="I474" i="15"/>
  <c r="H474" i="15"/>
  <c r="G474" i="15"/>
  <c r="AW473" i="15"/>
  <c r="AV473" i="15"/>
  <c r="L473" i="15"/>
  <c r="G473" i="15" s="1"/>
  <c r="K473" i="15"/>
  <c r="I473" i="15"/>
  <c r="H473" i="15"/>
  <c r="AW472" i="15"/>
  <c r="AV472" i="15"/>
  <c r="L472" i="15"/>
  <c r="K472" i="15"/>
  <c r="I472" i="15"/>
  <c r="H472" i="15"/>
  <c r="G472" i="15"/>
  <c r="AW471" i="15"/>
  <c r="AV471" i="15"/>
  <c r="L471" i="15"/>
  <c r="K471" i="15"/>
  <c r="I471" i="15"/>
  <c r="G471" i="15" s="1"/>
  <c r="H471" i="15"/>
  <c r="AW470" i="15"/>
  <c r="AV470" i="15"/>
  <c r="L470" i="15"/>
  <c r="G470" i="15" s="1"/>
  <c r="K470" i="15"/>
  <c r="I470" i="15"/>
  <c r="H470" i="15"/>
  <c r="AW469" i="15"/>
  <c r="AV469" i="15"/>
  <c r="L469" i="15"/>
  <c r="G469" i="15" s="1"/>
  <c r="K469" i="15"/>
  <c r="I469" i="15"/>
  <c r="H469" i="15"/>
  <c r="AW468" i="15"/>
  <c r="AV468" i="15"/>
  <c r="L468" i="15"/>
  <c r="G468" i="15" s="1"/>
  <c r="K468" i="15"/>
  <c r="I468" i="15"/>
  <c r="H468" i="15"/>
  <c r="AW467" i="15"/>
  <c r="AV467" i="15"/>
  <c r="L467" i="15"/>
  <c r="G467" i="15" s="1"/>
  <c r="K467" i="15"/>
  <c r="I467" i="15"/>
  <c r="H467" i="15"/>
  <c r="AW466" i="15"/>
  <c r="AV466" i="15"/>
  <c r="L466" i="15"/>
  <c r="K466" i="15"/>
  <c r="I466" i="15"/>
  <c r="H466" i="15"/>
  <c r="G466" i="15"/>
  <c r="AW465" i="15"/>
  <c r="AV465" i="15"/>
  <c r="L465" i="15"/>
  <c r="K465" i="15"/>
  <c r="I465" i="15"/>
  <c r="H465" i="15"/>
  <c r="G465" i="15"/>
  <c r="AW464" i="15"/>
  <c r="AV464" i="15"/>
  <c r="L464" i="15"/>
  <c r="G464" i="15" s="1"/>
  <c r="K464" i="15"/>
  <c r="I464" i="15"/>
  <c r="H464" i="15"/>
  <c r="AW463" i="15"/>
  <c r="AV463" i="15"/>
  <c r="L463" i="15"/>
  <c r="K463" i="15"/>
  <c r="I463" i="15"/>
  <c r="H463" i="15"/>
  <c r="G463" i="15"/>
  <c r="AW462" i="15"/>
  <c r="AV462" i="15"/>
  <c r="L462" i="15"/>
  <c r="K462" i="15"/>
  <c r="I462" i="15"/>
  <c r="H462" i="15"/>
  <c r="G462" i="15"/>
  <c r="AW461" i="15"/>
  <c r="AV461" i="15"/>
  <c r="L461" i="15"/>
  <c r="G461" i="15" s="1"/>
  <c r="K461" i="15"/>
  <c r="I461" i="15"/>
  <c r="H461" i="15"/>
  <c r="AW460" i="15"/>
  <c r="AV460" i="15"/>
  <c r="L460" i="15"/>
  <c r="G460" i="15" s="1"/>
  <c r="K460" i="15"/>
  <c r="I460" i="15"/>
  <c r="H460" i="15"/>
  <c r="AW459" i="15"/>
  <c r="AV459" i="15"/>
  <c r="AU459" i="15"/>
  <c r="AU460" i="15" s="1"/>
  <c r="AT459" i="15"/>
  <c r="AT460" i="15" s="1"/>
  <c r="AS459" i="15"/>
  <c r="AS460" i="15" s="1"/>
  <c r="L459" i="15"/>
  <c r="K459" i="15"/>
  <c r="I459" i="15"/>
  <c r="H459" i="15"/>
  <c r="G459" i="15"/>
  <c r="AW458" i="15"/>
  <c r="AV458" i="15"/>
  <c r="L458" i="15"/>
  <c r="G458" i="15" s="1"/>
  <c r="K458" i="15"/>
  <c r="I458" i="15"/>
  <c r="H458" i="15"/>
  <c r="AW457" i="15"/>
  <c r="AV457" i="15"/>
  <c r="L457" i="15"/>
  <c r="K457" i="15"/>
  <c r="I457" i="15"/>
  <c r="H457" i="15"/>
  <c r="G457" i="15"/>
  <c r="AW456" i="15"/>
  <c r="AV456" i="15"/>
  <c r="L456" i="15"/>
  <c r="K456" i="15"/>
  <c r="I456" i="15"/>
  <c r="H456" i="15"/>
  <c r="G456" i="15"/>
  <c r="AW455" i="15"/>
  <c r="AV455" i="15"/>
  <c r="L455" i="15"/>
  <c r="G455" i="15" s="1"/>
  <c r="K455" i="15"/>
  <c r="I455" i="15"/>
  <c r="H455" i="15"/>
  <c r="AW454" i="15"/>
  <c r="AV454" i="15"/>
  <c r="L454" i="15"/>
  <c r="K454" i="15"/>
  <c r="I454" i="15"/>
  <c r="H454" i="15"/>
  <c r="G454" i="15"/>
  <c r="AW453" i="15"/>
  <c r="AV453" i="15"/>
  <c r="L453" i="15"/>
  <c r="K453" i="15"/>
  <c r="I453" i="15"/>
  <c r="G453" i="15" s="1"/>
  <c r="H453" i="15"/>
  <c r="AW452" i="15"/>
  <c r="AV452" i="15"/>
  <c r="L452" i="15"/>
  <c r="G452" i="15" s="1"/>
  <c r="K452" i="15"/>
  <c r="I452" i="15"/>
  <c r="H452" i="15"/>
  <c r="AW451" i="15"/>
  <c r="AV451" i="15"/>
  <c r="L451" i="15"/>
  <c r="G451" i="15" s="1"/>
  <c r="K451" i="15"/>
  <c r="I451" i="15"/>
  <c r="H451" i="15"/>
  <c r="AW450" i="15"/>
  <c r="AV450" i="15"/>
  <c r="L450" i="15"/>
  <c r="G450" i="15" s="1"/>
  <c r="K450" i="15"/>
  <c r="I450" i="15"/>
  <c r="H450" i="15"/>
  <c r="AW449" i="15"/>
  <c r="AV449" i="15"/>
  <c r="L449" i="15"/>
  <c r="G449" i="15" s="1"/>
  <c r="K449" i="15"/>
  <c r="I449" i="15"/>
  <c r="H449" i="15"/>
  <c r="AW448" i="15"/>
  <c r="AV448" i="15"/>
  <c r="L448" i="15"/>
  <c r="K448" i="15"/>
  <c r="I448" i="15"/>
  <c r="H448" i="15"/>
  <c r="G448" i="15"/>
  <c r="AW447" i="15"/>
  <c r="AV447" i="15"/>
  <c r="L447" i="15"/>
  <c r="K447" i="15"/>
  <c r="I447" i="15"/>
  <c r="H447" i="15"/>
  <c r="G447" i="15"/>
  <c r="AW446" i="15"/>
  <c r="AV446" i="15"/>
  <c r="L446" i="15"/>
  <c r="G446" i="15" s="1"/>
  <c r="K446" i="15"/>
  <c r="I446" i="15"/>
  <c r="H446" i="15"/>
  <c r="AW445" i="15"/>
  <c r="AV445" i="15"/>
  <c r="L445" i="15"/>
  <c r="K445" i="15"/>
  <c r="I445" i="15"/>
  <c r="H445" i="15"/>
  <c r="G445" i="15"/>
  <c r="AW444" i="15"/>
  <c r="AV444" i="15"/>
  <c r="L444" i="15"/>
  <c r="K444" i="15"/>
  <c r="I444" i="15"/>
  <c r="H444" i="15"/>
  <c r="G444" i="15"/>
  <c r="AW443" i="15"/>
  <c r="AV443" i="15"/>
  <c r="L443" i="15"/>
  <c r="G443" i="15" s="1"/>
  <c r="K443" i="15"/>
  <c r="I443" i="15"/>
  <c r="H443" i="15"/>
  <c r="AW442" i="15"/>
  <c r="AV442" i="15"/>
  <c r="L442" i="15"/>
  <c r="K442" i="15"/>
  <c r="I442" i="15"/>
  <c r="H442" i="15"/>
  <c r="G442" i="15" s="1"/>
  <c r="AW441" i="15"/>
  <c r="AV441" i="15"/>
  <c r="L441" i="15"/>
  <c r="K441" i="15"/>
  <c r="I441" i="15"/>
  <c r="H441" i="15"/>
  <c r="G441" i="15"/>
  <c r="AW440" i="15"/>
  <c r="AV440" i="15"/>
  <c r="L440" i="15"/>
  <c r="K440" i="15"/>
  <c r="I440" i="15"/>
  <c r="H440" i="15"/>
  <c r="G440" i="15"/>
  <c r="AW439" i="15"/>
  <c r="AV439" i="15"/>
  <c r="L439" i="15"/>
  <c r="K439" i="15"/>
  <c r="I439" i="15"/>
  <c r="H439" i="15"/>
  <c r="G439" i="15"/>
  <c r="AW438" i="15"/>
  <c r="AV438" i="15"/>
  <c r="L438" i="15"/>
  <c r="K438" i="15"/>
  <c r="I438" i="15"/>
  <c r="H438" i="15"/>
  <c r="G438" i="15"/>
  <c r="AW437" i="15"/>
  <c r="AV437" i="15"/>
  <c r="L437" i="15"/>
  <c r="K437" i="15"/>
  <c r="I437" i="15"/>
  <c r="H437" i="15"/>
  <c r="G437" i="15"/>
  <c r="AW436" i="15"/>
  <c r="AV436" i="15"/>
  <c r="L436" i="15"/>
  <c r="G436" i="15" s="1"/>
  <c r="K436" i="15"/>
  <c r="I436" i="15"/>
  <c r="H436" i="15"/>
  <c r="AW435" i="15"/>
  <c r="AV435" i="15"/>
  <c r="L435" i="15"/>
  <c r="K435" i="15"/>
  <c r="I435" i="15"/>
  <c r="H435" i="15"/>
  <c r="G435" i="15"/>
  <c r="AW434" i="15"/>
  <c r="AV434" i="15"/>
  <c r="L434" i="15"/>
  <c r="K434" i="15"/>
  <c r="I434" i="15"/>
  <c r="H434" i="15"/>
  <c r="G434" i="15"/>
  <c r="AW433" i="15"/>
  <c r="AV433" i="15"/>
  <c r="L433" i="15"/>
  <c r="G433" i="15" s="1"/>
  <c r="K433" i="15"/>
  <c r="I433" i="15"/>
  <c r="H433" i="15"/>
  <c r="AW432" i="15"/>
  <c r="AV432" i="15"/>
  <c r="L432" i="15"/>
  <c r="K432" i="15"/>
  <c r="I432" i="15"/>
  <c r="H432" i="15"/>
  <c r="G432" i="15"/>
  <c r="AW431" i="15"/>
  <c r="AV431" i="15"/>
  <c r="L431" i="15"/>
  <c r="K431" i="15"/>
  <c r="I431" i="15"/>
  <c r="G431" i="15" s="1"/>
  <c r="H431" i="15"/>
  <c r="AW430" i="15"/>
  <c r="AV430" i="15"/>
  <c r="L430" i="15"/>
  <c r="G430" i="15" s="1"/>
  <c r="K430" i="15"/>
  <c r="I430" i="15"/>
  <c r="H430" i="15"/>
  <c r="AW429" i="15"/>
  <c r="AV429" i="15"/>
  <c r="L429" i="15"/>
  <c r="G429" i="15" s="1"/>
  <c r="K429" i="15"/>
  <c r="I429" i="15"/>
  <c r="H429" i="15"/>
  <c r="AW428" i="15"/>
  <c r="AV428" i="15"/>
  <c r="L428" i="15"/>
  <c r="G428" i="15" s="1"/>
  <c r="K428" i="15"/>
  <c r="I428" i="15"/>
  <c r="H428" i="15"/>
  <c r="AW427" i="15"/>
  <c r="AV427" i="15"/>
  <c r="L427" i="15"/>
  <c r="G427" i="15" s="1"/>
  <c r="K427" i="15"/>
  <c r="I427" i="15"/>
  <c r="H427" i="15"/>
  <c r="AW426" i="15"/>
  <c r="AV426" i="15"/>
  <c r="L426" i="15"/>
  <c r="K426" i="15"/>
  <c r="I426" i="15"/>
  <c r="H426" i="15"/>
  <c r="G426" i="15"/>
  <c r="AW425" i="15"/>
  <c r="AV425" i="15"/>
  <c r="L425" i="15"/>
  <c r="K425" i="15"/>
  <c r="I425" i="15"/>
  <c r="H425" i="15"/>
  <c r="G425" i="15"/>
  <c r="AW424" i="15"/>
  <c r="AV424" i="15"/>
  <c r="L424" i="15"/>
  <c r="G424" i="15" s="1"/>
  <c r="K424" i="15"/>
  <c r="I424" i="15"/>
  <c r="H424" i="15"/>
  <c r="AW423" i="15"/>
  <c r="AV423" i="15"/>
  <c r="L423" i="15"/>
  <c r="K423" i="15"/>
  <c r="I423" i="15"/>
  <c r="H423" i="15"/>
  <c r="G423" i="15"/>
  <c r="AW422" i="15"/>
  <c r="AV422" i="15"/>
  <c r="L422" i="15"/>
  <c r="K422" i="15"/>
  <c r="I422" i="15"/>
  <c r="H422" i="15"/>
  <c r="G422" i="15"/>
  <c r="AW421" i="15"/>
  <c r="AV421" i="15"/>
  <c r="L421" i="15"/>
  <c r="G421" i="15" s="1"/>
  <c r="K421" i="15"/>
  <c r="I421" i="15"/>
  <c r="H421" i="15"/>
  <c r="AW420" i="15"/>
  <c r="AV420" i="15"/>
  <c r="L420" i="15"/>
  <c r="K420" i="15"/>
  <c r="I420" i="15"/>
  <c r="H420" i="15"/>
  <c r="G420" i="15" s="1"/>
  <c r="AW419" i="15"/>
  <c r="AV419" i="15"/>
  <c r="L419" i="15"/>
  <c r="K419" i="15"/>
  <c r="I419" i="15"/>
  <c r="H419" i="15"/>
  <c r="G419" i="15"/>
  <c r="AW418" i="15"/>
  <c r="AV418" i="15"/>
  <c r="L418" i="15"/>
  <c r="K418" i="15"/>
  <c r="I418" i="15"/>
  <c r="H418" i="15"/>
  <c r="G418" i="15"/>
  <c r="AW417" i="15"/>
  <c r="AV417" i="15"/>
  <c r="L417" i="15"/>
  <c r="K417" i="15"/>
  <c r="I417" i="15"/>
  <c r="H417" i="15"/>
  <c r="G417" i="15"/>
  <c r="AW416" i="15"/>
  <c r="AV416" i="15"/>
  <c r="L416" i="15"/>
  <c r="K416" i="15"/>
  <c r="I416" i="15"/>
  <c r="H416" i="15"/>
  <c r="G416" i="15"/>
  <c r="AW415" i="15"/>
  <c r="AV415" i="15"/>
  <c r="L415" i="15"/>
  <c r="K415" i="15"/>
  <c r="I415" i="15"/>
  <c r="H415" i="15"/>
  <c r="G415" i="15"/>
  <c r="AW414" i="15"/>
  <c r="AV414" i="15"/>
  <c r="L414" i="15"/>
  <c r="G414" i="15" s="1"/>
  <c r="K414" i="15"/>
  <c r="I414" i="15"/>
  <c r="H414" i="15"/>
  <c r="AW413" i="15"/>
  <c r="AV413" i="15"/>
  <c r="L413" i="15"/>
  <c r="K413" i="15"/>
  <c r="I413" i="15"/>
  <c r="H413" i="15"/>
  <c r="G413" i="15"/>
  <c r="AW412" i="15"/>
  <c r="AV412" i="15"/>
  <c r="L412" i="15"/>
  <c r="K412" i="15"/>
  <c r="I412" i="15"/>
  <c r="H412" i="15"/>
  <c r="G412" i="15"/>
  <c r="AW411" i="15"/>
  <c r="AV411" i="15"/>
  <c r="L411" i="15"/>
  <c r="G411" i="15" s="1"/>
  <c r="K411" i="15"/>
  <c r="I411" i="15"/>
  <c r="H411" i="15"/>
  <c r="AW410" i="15"/>
  <c r="AV410" i="15"/>
  <c r="L410" i="15"/>
  <c r="K410" i="15"/>
  <c r="I410" i="15"/>
  <c r="H410" i="15"/>
  <c r="G410" i="15"/>
  <c r="AW409" i="15"/>
  <c r="AV409" i="15"/>
  <c r="L409" i="15"/>
  <c r="K409" i="15"/>
  <c r="I409" i="15"/>
  <c r="G409" i="15" s="1"/>
  <c r="H409" i="15"/>
  <c r="AW408" i="15"/>
  <c r="AV408" i="15"/>
  <c r="L408" i="15"/>
  <c r="G408" i="15" s="1"/>
  <c r="K408" i="15"/>
  <c r="I408" i="15"/>
  <c r="H408" i="15"/>
  <c r="AW407" i="15"/>
  <c r="AV407" i="15"/>
  <c r="L407" i="15"/>
  <c r="G407" i="15" s="1"/>
  <c r="K407" i="15"/>
  <c r="I407" i="15"/>
  <c r="H407" i="15"/>
  <c r="AW406" i="15"/>
  <c r="AV406" i="15"/>
  <c r="L406" i="15"/>
  <c r="G406" i="15" s="1"/>
  <c r="K406" i="15"/>
  <c r="I406" i="15"/>
  <c r="H406" i="15"/>
  <c r="AW405" i="15"/>
  <c r="AV405" i="15"/>
  <c r="L405" i="15"/>
  <c r="G405" i="15" s="1"/>
  <c r="K405" i="15"/>
  <c r="I405" i="15"/>
  <c r="H405" i="15"/>
  <c r="AW404" i="15"/>
  <c r="AV404" i="15"/>
  <c r="L404" i="15"/>
  <c r="K404" i="15"/>
  <c r="I404" i="15"/>
  <c r="H404" i="15"/>
  <c r="G404" i="15"/>
  <c r="AW403" i="15"/>
  <c r="AV403" i="15"/>
  <c r="L403" i="15"/>
  <c r="K403" i="15"/>
  <c r="I403" i="15"/>
  <c r="H403" i="15"/>
  <c r="G403" i="15"/>
  <c r="AW402" i="15"/>
  <c r="AV402" i="15"/>
  <c r="L402" i="15"/>
  <c r="G402" i="15" s="1"/>
  <c r="K402" i="15"/>
  <c r="I402" i="15"/>
  <c r="H402" i="15"/>
  <c r="AW401" i="15"/>
  <c r="AV401" i="15"/>
  <c r="L401" i="15"/>
  <c r="K401" i="15"/>
  <c r="I401" i="15"/>
  <c r="H401" i="15"/>
  <c r="G401" i="15"/>
  <c r="AW400" i="15"/>
  <c r="AV400" i="15"/>
  <c r="L400" i="15"/>
  <c r="K400" i="15"/>
  <c r="I400" i="15"/>
  <c r="H400" i="15"/>
  <c r="G400" i="15"/>
  <c r="AW399" i="15"/>
  <c r="AV399" i="15"/>
  <c r="L399" i="15"/>
  <c r="G399" i="15" s="1"/>
  <c r="K399" i="15"/>
  <c r="I399" i="15"/>
  <c r="H399" i="15"/>
  <c r="AW398" i="15"/>
  <c r="AV398" i="15"/>
  <c r="L398" i="15"/>
  <c r="K398" i="15"/>
  <c r="I398" i="15"/>
  <c r="H398" i="15"/>
  <c r="G398" i="15" s="1"/>
  <c r="AW397" i="15"/>
  <c r="AV397" i="15"/>
  <c r="L397" i="15"/>
  <c r="K397" i="15"/>
  <c r="I397" i="15"/>
  <c r="H397" i="15"/>
  <c r="G397" i="15"/>
  <c r="AW396" i="15"/>
  <c r="AV396" i="15"/>
  <c r="L396" i="15"/>
  <c r="K396" i="15"/>
  <c r="I396" i="15"/>
  <c r="H396" i="15"/>
  <c r="G396" i="15"/>
  <c r="AW395" i="15"/>
  <c r="AV395" i="15"/>
  <c r="L395" i="15"/>
  <c r="K395" i="15"/>
  <c r="I395" i="15"/>
  <c r="H395" i="15"/>
  <c r="G395" i="15"/>
  <c r="AW394" i="15"/>
  <c r="AV394" i="15"/>
  <c r="L394" i="15"/>
  <c r="K394" i="15"/>
  <c r="I394" i="15"/>
  <c r="H394" i="15"/>
  <c r="G394" i="15"/>
  <c r="AW393" i="15"/>
  <c r="AV393" i="15"/>
  <c r="L393" i="15"/>
  <c r="K393" i="15"/>
  <c r="I393" i="15"/>
  <c r="H393" i="15"/>
  <c r="G393" i="15"/>
  <c r="AW392" i="15"/>
  <c r="AV392" i="15"/>
  <c r="L392" i="15"/>
  <c r="G392" i="15" s="1"/>
  <c r="K392" i="15"/>
  <c r="I392" i="15"/>
  <c r="H392" i="15"/>
  <c r="AW391" i="15"/>
  <c r="AV391" i="15"/>
  <c r="L391" i="15"/>
  <c r="K391" i="15"/>
  <c r="I391" i="15"/>
  <c r="H391" i="15"/>
  <c r="G391" i="15"/>
  <c r="AW390" i="15"/>
  <c r="AV390" i="15"/>
  <c r="L390" i="15"/>
  <c r="K390" i="15"/>
  <c r="I390" i="15"/>
  <c r="H390" i="15"/>
  <c r="G390" i="15"/>
  <c r="AW389" i="15"/>
  <c r="AV389" i="15"/>
  <c r="L389" i="15"/>
  <c r="G389" i="15" s="1"/>
  <c r="K389" i="15"/>
  <c r="I389" i="15"/>
  <c r="H389" i="15"/>
  <c r="AW388" i="15"/>
  <c r="AV388" i="15"/>
  <c r="L388" i="15"/>
  <c r="K388" i="15"/>
  <c r="I388" i="15"/>
  <c r="H388" i="15"/>
  <c r="G388" i="15"/>
  <c r="AW387" i="15"/>
  <c r="AV387" i="15"/>
  <c r="L387" i="15"/>
  <c r="K387" i="15"/>
  <c r="I387" i="15"/>
  <c r="G387" i="15" s="1"/>
  <c r="H387" i="15"/>
  <c r="AW386" i="15"/>
  <c r="AV386" i="15"/>
  <c r="L386" i="15"/>
  <c r="G386" i="15" s="1"/>
  <c r="K386" i="15"/>
  <c r="I386" i="15"/>
  <c r="H386" i="15"/>
  <c r="AW385" i="15"/>
  <c r="AV385" i="15"/>
  <c r="AU385" i="15"/>
  <c r="AT385" i="15"/>
  <c r="AS385" i="15"/>
  <c r="L385" i="15"/>
  <c r="K385" i="15"/>
  <c r="I385" i="15"/>
  <c r="H385" i="15"/>
  <c r="G385" i="15"/>
  <c r="AW384" i="15"/>
  <c r="AV384" i="15"/>
  <c r="L384" i="15"/>
  <c r="K384" i="15"/>
  <c r="I384" i="15"/>
  <c r="H384" i="15"/>
  <c r="G384" i="15"/>
  <c r="AW383" i="15"/>
  <c r="AV383" i="15"/>
  <c r="L383" i="15"/>
  <c r="G383" i="15" s="1"/>
  <c r="K383" i="15"/>
  <c r="I383" i="15"/>
  <c r="H383" i="15"/>
  <c r="AW382" i="15"/>
  <c r="AV382" i="15"/>
  <c r="L382" i="15"/>
  <c r="K382" i="15"/>
  <c r="I382" i="15"/>
  <c r="H382" i="15"/>
  <c r="G382" i="15"/>
  <c r="AW381" i="15"/>
  <c r="AV381" i="15"/>
  <c r="L381" i="15"/>
  <c r="K381" i="15"/>
  <c r="I381" i="15"/>
  <c r="H381" i="15"/>
  <c r="G381" i="15"/>
  <c r="AW380" i="15"/>
  <c r="AV380" i="15"/>
  <c r="L380" i="15"/>
  <c r="G380" i="15" s="1"/>
  <c r="K380" i="15"/>
  <c r="I380" i="15"/>
  <c r="H380" i="15"/>
  <c r="AW379" i="15"/>
  <c r="AV379" i="15"/>
  <c r="L379" i="15"/>
  <c r="K379" i="15"/>
  <c r="I379" i="15"/>
  <c r="H379" i="15"/>
  <c r="G379" i="15"/>
  <c r="AW378" i="15"/>
  <c r="AV378" i="15"/>
  <c r="L378" i="15"/>
  <c r="K378" i="15"/>
  <c r="I378" i="15"/>
  <c r="G378" i="15" s="1"/>
  <c r="H378" i="15"/>
  <c r="AW377" i="15"/>
  <c r="AV377" i="15"/>
  <c r="L377" i="15"/>
  <c r="G377" i="15" s="1"/>
  <c r="K377" i="15"/>
  <c r="I377" i="15"/>
  <c r="H377" i="15"/>
  <c r="AW376" i="15"/>
  <c r="AV376" i="15"/>
  <c r="L376" i="15"/>
  <c r="G376" i="15" s="1"/>
  <c r="K376" i="15"/>
  <c r="I376" i="15"/>
  <c r="H376" i="15"/>
  <c r="AW375" i="15"/>
  <c r="AV375" i="15"/>
  <c r="L375" i="15"/>
  <c r="G375" i="15" s="1"/>
  <c r="K375" i="15"/>
  <c r="I375" i="15"/>
  <c r="H375" i="15"/>
  <c r="AW374" i="15"/>
  <c r="AV374" i="15"/>
  <c r="L374" i="15"/>
  <c r="G374" i="15" s="1"/>
  <c r="K374" i="15"/>
  <c r="I374" i="15"/>
  <c r="H374" i="15"/>
  <c r="AW373" i="15"/>
  <c r="AV373" i="15"/>
  <c r="L373" i="15"/>
  <c r="K373" i="15"/>
  <c r="I373" i="15"/>
  <c r="H373" i="15"/>
  <c r="G373" i="15"/>
  <c r="AW372" i="15"/>
  <c r="AV372" i="15"/>
  <c r="L372" i="15"/>
  <c r="K372" i="15"/>
  <c r="I372" i="15"/>
  <c r="H372" i="15"/>
  <c r="G372" i="15"/>
  <c r="AW371" i="15"/>
  <c r="AV371" i="15"/>
  <c r="L371" i="15"/>
  <c r="G371" i="15" s="1"/>
  <c r="K371" i="15"/>
  <c r="I371" i="15"/>
  <c r="H371" i="15"/>
  <c r="AW370" i="15"/>
  <c r="AV370" i="15"/>
  <c r="L370" i="15"/>
  <c r="K370" i="15"/>
  <c r="I370" i="15"/>
  <c r="H370" i="15"/>
  <c r="G370" i="15"/>
  <c r="AW369" i="15"/>
  <c r="AV369" i="15"/>
  <c r="L369" i="15"/>
  <c r="K369" i="15"/>
  <c r="I369" i="15"/>
  <c r="H369" i="15"/>
  <c r="G369" i="15"/>
  <c r="AW368" i="15"/>
  <c r="AV368" i="15"/>
  <c r="L368" i="15"/>
  <c r="G368" i="15" s="1"/>
  <c r="K368" i="15"/>
  <c r="I368" i="15"/>
  <c r="H368" i="15"/>
  <c r="AW367" i="15"/>
  <c r="AV367" i="15"/>
  <c r="L367" i="15"/>
  <c r="K367" i="15"/>
  <c r="I367" i="15"/>
  <c r="H367" i="15"/>
  <c r="G367" i="15" s="1"/>
  <c r="AW366" i="15"/>
  <c r="AV366" i="15"/>
  <c r="L366" i="15"/>
  <c r="K366" i="15"/>
  <c r="I366" i="15"/>
  <c r="H366" i="15"/>
  <c r="G366" i="15"/>
  <c r="AW365" i="15"/>
  <c r="AV365" i="15"/>
  <c r="L365" i="15"/>
  <c r="K365" i="15"/>
  <c r="I365" i="15"/>
  <c r="H365" i="15"/>
  <c r="G365" i="15"/>
  <c r="AW364" i="15"/>
  <c r="AV364" i="15"/>
  <c r="L364" i="15"/>
  <c r="K364" i="15"/>
  <c r="I364" i="15"/>
  <c r="H364" i="15"/>
  <c r="G364" i="15"/>
  <c r="AW363" i="15"/>
  <c r="AV363" i="15"/>
  <c r="L363" i="15"/>
  <c r="K363" i="15"/>
  <c r="I363" i="15"/>
  <c r="H363" i="15"/>
  <c r="G363" i="15"/>
  <c r="AW362" i="15"/>
  <c r="AV362" i="15"/>
  <c r="L362" i="15"/>
  <c r="K362" i="15"/>
  <c r="I362" i="15"/>
  <c r="H362" i="15"/>
  <c r="G362" i="15"/>
  <c r="AW361" i="15"/>
  <c r="AV361" i="15"/>
  <c r="L361" i="15"/>
  <c r="G361" i="15" s="1"/>
  <c r="K361" i="15"/>
  <c r="I361" i="15"/>
  <c r="H361" i="15"/>
  <c r="AW360" i="15"/>
  <c r="AV360" i="15"/>
  <c r="L360" i="15"/>
  <c r="K360" i="15"/>
  <c r="I360" i="15"/>
  <c r="H360" i="15"/>
  <c r="G360" i="15"/>
  <c r="AW359" i="15"/>
  <c r="AV359" i="15"/>
  <c r="L359" i="15"/>
  <c r="K359" i="15"/>
  <c r="I359" i="15"/>
  <c r="H359" i="15"/>
  <c r="G359" i="15"/>
  <c r="AW358" i="15"/>
  <c r="AV358" i="15"/>
  <c r="L358" i="15"/>
  <c r="G358" i="15" s="1"/>
  <c r="K358" i="15"/>
  <c r="I358" i="15"/>
  <c r="H358" i="15"/>
  <c r="AW357" i="15"/>
  <c r="AV357" i="15"/>
  <c r="L357" i="15"/>
  <c r="K357" i="15"/>
  <c r="I357" i="15"/>
  <c r="H357" i="15"/>
  <c r="G357" i="15"/>
  <c r="AW356" i="15"/>
  <c r="AV356" i="15"/>
  <c r="L356" i="15"/>
  <c r="K356" i="15"/>
  <c r="I356" i="15"/>
  <c r="G356" i="15" s="1"/>
  <c r="H356" i="15"/>
  <c r="AW355" i="15"/>
  <c r="AV355" i="15"/>
  <c r="L355" i="15"/>
  <c r="G355" i="15" s="1"/>
  <c r="K355" i="15"/>
  <c r="I355" i="15"/>
  <c r="H355" i="15"/>
  <c r="AW354" i="15"/>
  <c r="AV354" i="15"/>
  <c r="L354" i="15"/>
  <c r="G354" i="15" s="1"/>
  <c r="K354" i="15"/>
  <c r="I354" i="15"/>
  <c r="H354" i="15"/>
  <c r="AW353" i="15"/>
  <c r="AV353" i="15"/>
  <c r="L353" i="15"/>
  <c r="G353" i="15" s="1"/>
  <c r="K353" i="15"/>
  <c r="I353" i="15"/>
  <c r="H353" i="15"/>
  <c r="AW352" i="15"/>
  <c r="AV352" i="15"/>
  <c r="L352" i="15"/>
  <c r="G352" i="15" s="1"/>
  <c r="K352" i="15"/>
  <c r="I352" i="15"/>
  <c r="H352" i="15"/>
  <c r="AW351" i="15"/>
  <c r="AV351" i="15"/>
  <c r="L351" i="15"/>
  <c r="K351" i="15"/>
  <c r="I351" i="15"/>
  <c r="H351" i="15"/>
  <c r="G351" i="15"/>
  <c r="AW350" i="15"/>
  <c r="AV350" i="15"/>
  <c r="L350" i="15"/>
  <c r="K350" i="15"/>
  <c r="I350" i="15"/>
  <c r="H350" i="15"/>
  <c r="G350" i="15"/>
  <c r="AW349" i="15"/>
  <c r="AV349" i="15"/>
  <c r="L349" i="15"/>
  <c r="G349" i="15" s="1"/>
  <c r="K349" i="15"/>
  <c r="I349" i="15"/>
  <c r="H349" i="15"/>
  <c r="AW348" i="15"/>
  <c r="AV348" i="15"/>
  <c r="L348" i="15"/>
  <c r="K348" i="15"/>
  <c r="I348" i="15"/>
  <c r="H348" i="15"/>
  <c r="G348" i="15"/>
  <c r="AW347" i="15"/>
  <c r="AV347" i="15"/>
  <c r="L347" i="15"/>
  <c r="K347" i="15"/>
  <c r="I347" i="15"/>
  <c r="H347" i="15"/>
  <c r="G347" i="15"/>
  <c r="AW346" i="15"/>
  <c r="AV346" i="15"/>
  <c r="L346" i="15"/>
  <c r="G346" i="15" s="1"/>
  <c r="K346" i="15"/>
  <c r="I346" i="15"/>
  <c r="H346" i="15"/>
  <c r="AW345" i="15"/>
  <c r="AV345" i="15"/>
  <c r="L345" i="15"/>
  <c r="K345" i="15"/>
  <c r="I345" i="15"/>
  <c r="H345" i="15"/>
  <c r="G345" i="15" s="1"/>
  <c r="AW344" i="15"/>
  <c r="AV344" i="15"/>
  <c r="L344" i="15"/>
  <c r="K344" i="15"/>
  <c r="I344" i="15"/>
  <c r="H344" i="15"/>
  <c r="G344" i="15"/>
  <c r="AW343" i="15"/>
  <c r="AV343" i="15"/>
  <c r="L343" i="15"/>
  <c r="K343" i="15"/>
  <c r="I343" i="15"/>
  <c r="H343" i="15"/>
  <c r="G343" i="15"/>
  <c r="AW342" i="15"/>
  <c r="AV342" i="15"/>
  <c r="L342" i="15"/>
  <c r="K342" i="15"/>
  <c r="I342" i="15"/>
  <c r="H342" i="15"/>
  <c r="G342" i="15"/>
  <c r="AW341" i="15"/>
  <c r="AV341" i="15"/>
  <c r="L341" i="15"/>
  <c r="K341" i="15"/>
  <c r="I341" i="15"/>
  <c r="H341" i="15"/>
  <c r="G341" i="15"/>
  <c r="AW340" i="15"/>
  <c r="AV340" i="15"/>
  <c r="L340" i="15"/>
  <c r="K340" i="15"/>
  <c r="I340" i="15"/>
  <c r="H340" i="15"/>
  <c r="G340" i="15"/>
  <c r="AW339" i="15"/>
  <c r="AV339" i="15"/>
  <c r="L339" i="15"/>
  <c r="G339" i="15" s="1"/>
  <c r="K339" i="15"/>
  <c r="I339" i="15"/>
  <c r="H339" i="15"/>
  <c r="AW338" i="15"/>
  <c r="AV338" i="15"/>
  <c r="L338" i="15"/>
  <c r="K338" i="15"/>
  <c r="I338" i="15"/>
  <c r="H338" i="15"/>
  <c r="G338" i="15"/>
  <c r="AW337" i="15"/>
  <c r="AV337" i="15"/>
  <c r="L337" i="15"/>
  <c r="K337" i="15"/>
  <c r="I337" i="15"/>
  <c r="H337" i="15"/>
  <c r="G337" i="15"/>
  <c r="AW336" i="15"/>
  <c r="AV336" i="15"/>
  <c r="L336" i="15"/>
  <c r="G336" i="15" s="1"/>
  <c r="K336" i="15"/>
  <c r="I336" i="15"/>
  <c r="H336" i="15"/>
  <c r="AW335" i="15"/>
  <c r="AV335" i="15"/>
  <c r="L335" i="15"/>
  <c r="K335" i="15"/>
  <c r="I335" i="15"/>
  <c r="H335" i="15"/>
  <c r="G335" i="15"/>
  <c r="AW334" i="15"/>
  <c r="AV334" i="15"/>
  <c r="L334" i="15"/>
  <c r="K334" i="15"/>
  <c r="I334" i="15"/>
  <c r="H334" i="15"/>
  <c r="G334" i="15"/>
  <c r="AW333" i="15"/>
  <c r="AV333" i="15"/>
  <c r="L333" i="15"/>
  <c r="G333" i="15" s="1"/>
  <c r="K333" i="15"/>
  <c r="I333" i="15"/>
  <c r="H333" i="15"/>
  <c r="AW332" i="15"/>
  <c r="AV332" i="15"/>
  <c r="L332" i="15"/>
  <c r="G332" i="15" s="1"/>
  <c r="K332" i="15"/>
  <c r="I332" i="15"/>
  <c r="H332" i="15"/>
  <c r="AW331" i="15"/>
  <c r="AV331" i="15"/>
  <c r="L331" i="15"/>
  <c r="G331" i="15" s="1"/>
  <c r="K331" i="15"/>
  <c r="I331" i="15"/>
  <c r="H331" i="15"/>
  <c r="AW330" i="15"/>
  <c r="AV330" i="15"/>
  <c r="L330" i="15"/>
  <c r="G330" i="15" s="1"/>
  <c r="K330" i="15"/>
  <c r="I330" i="15"/>
  <c r="H330" i="15"/>
  <c r="AW329" i="15"/>
  <c r="AV329" i="15"/>
  <c r="L329" i="15"/>
  <c r="K329" i="15"/>
  <c r="I329" i="15"/>
  <c r="H329" i="15"/>
  <c r="G329" i="15"/>
  <c r="AW328" i="15"/>
  <c r="AV328" i="15"/>
  <c r="L328" i="15"/>
  <c r="K328" i="15"/>
  <c r="I328" i="15"/>
  <c r="H328" i="15"/>
  <c r="G328" i="15"/>
  <c r="AW327" i="15"/>
  <c r="AV327" i="15"/>
  <c r="L327" i="15"/>
  <c r="G327" i="15" s="1"/>
  <c r="K327" i="15"/>
  <c r="I327" i="15"/>
  <c r="H327" i="15"/>
  <c r="AW326" i="15"/>
  <c r="AV326" i="15"/>
  <c r="L326" i="15"/>
  <c r="K326" i="15"/>
  <c r="I326" i="15"/>
  <c r="H326" i="15"/>
  <c r="G326" i="15"/>
  <c r="AW325" i="15"/>
  <c r="AV325" i="15"/>
  <c r="L325" i="15"/>
  <c r="K325" i="15"/>
  <c r="I325" i="15"/>
  <c r="H325" i="15"/>
  <c r="G325" i="15"/>
  <c r="AW324" i="15"/>
  <c r="AV324" i="15"/>
  <c r="L324" i="15"/>
  <c r="G324" i="15" s="1"/>
  <c r="K324" i="15"/>
  <c r="I324" i="15"/>
  <c r="H324" i="15"/>
  <c r="AW323" i="15"/>
  <c r="AV323" i="15"/>
  <c r="L323" i="15"/>
  <c r="K323" i="15"/>
  <c r="I323" i="15"/>
  <c r="H323" i="15"/>
  <c r="G323" i="15" s="1"/>
  <c r="AW322" i="15"/>
  <c r="AV322" i="15"/>
  <c r="L322" i="15"/>
  <c r="K322" i="15"/>
  <c r="I322" i="15"/>
  <c r="H322" i="15"/>
  <c r="G322" i="15"/>
  <c r="AW321" i="15"/>
  <c r="AV321" i="15"/>
  <c r="L321" i="15"/>
  <c r="K321" i="15"/>
  <c r="I321" i="15"/>
  <c r="H321" i="15"/>
  <c r="G321" i="15"/>
  <c r="AW320" i="15"/>
  <c r="AV320" i="15"/>
  <c r="L320" i="15"/>
  <c r="K320" i="15"/>
  <c r="I320" i="15"/>
  <c r="H320" i="15"/>
  <c r="G320" i="15"/>
  <c r="AW319" i="15"/>
  <c r="AV319" i="15"/>
  <c r="L319" i="15"/>
  <c r="K319" i="15"/>
  <c r="I319" i="15"/>
  <c r="H319" i="15"/>
  <c r="G319" i="15"/>
  <c r="AW318" i="15"/>
  <c r="AV318" i="15"/>
  <c r="L318" i="15"/>
  <c r="K318" i="15"/>
  <c r="I318" i="15"/>
  <c r="H318" i="15"/>
  <c r="G318" i="15"/>
  <c r="AW317" i="15"/>
  <c r="AV317" i="15"/>
  <c r="L317" i="15"/>
  <c r="G317" i="15" s="1"/>
  <c r="K317" i="15"/>
  <c r="I317" i="15"/>
  <c r="H317" i="15"/>
  <c r="AW316" i="15"/>
  <c r="AV316" i="15"/>
  <c r="L316" i="15"/>
  <c r="K316" i="15"/>
  <c r="I316" i="15"/>
  <c r="H316" i="15"/>
  <c r="G316" i="15"/>
  <c r="AW315" i="15"/>
  <c r="AV315" i="15"/>
  <c r="L315" i="15"/>
  <c r="K315" i="15"/>
  <c r="I315" i="15"/>
  <c r="H315" i="15"/>
  <c r="G315" i="15"/>
  <c r="AW314" i="15"/>
  <c r="AV314" i="15"/>
  <c r="L314" i="15"/>
  <c r="G314" i="15" s="1"/>
  <c r="K314" i="15"/>
  <c r="I314" i="15"/>
  <c r="H314" i="15"/>
  <c r="AW313" i="15"/>
  <c r="AV313" i="15"/>
  <c r="L313" i="15"/>
  <c r="K313" i="15"/>
  <c r="I313" i="15"/>
  <c r="H313" i="15"/>
  <c r="G313" i="15"/>
  <c r="AW312" i="15"/>
  <c r="AV312" i="15"/>
  <c r="L312" i="15"/>
  <c r="K312" i="15"/>
  <c r="I312" i="15"/>
  <c r="H312" i="15"/>
  <c r="G312" i="15"/>
  <c r="AW311" i="15"/>
  <c r="AV311" i="15"/>
  <c r="L311" i="15"/>
  <c r="G311" i="15" s="1"/>
  <c r="K311" i="15"/>
  <c r="I311" i="15"/>
  <c r="H311" i="15"/>
  <c r="AW310" i="15"/>
  <c r="AV310" i="15"/>
  <c r="L310" i="15"/>
  <c r="G310" i="15" s="1"/>
  <c r="K310" i="15"/>
  <c r="I310" i="15"/>
  <c r="H310" i="15"/>
  <c r="AW309" i="15"/>
  <c r="AV309" i="15"/>
  <c r="L309" i="15"/>
  <c r="G309" i="15" s="1"/>
  <c r="K309" i="15"/>
  <c r="I309" i="15"/>
  <c r="H309" i="15"/>
  <c r="AW308" i="15"/>
  <c r="AV308" i="15"/>
  <c r="L308" i="15"/>
  <c r="G308" i="15" s="1"/>
  <c r="K308" i="15"/>
  <c r="I308" i="15"/>
  <c r="H308" i="15"/>
  <c r="AW307" i="15"/>
  <c r="AV307" i="15"/>
  <c r="L307" i="15"/>
  <c r="K307" i="15"/>
  <c r="I307" i="15"/>
  <c r="H307" i="15"/>
  <c r="G307" i="15"/>
  <c r="AW306" i="15"/>
  <c r="AV306" i="15"/>
  <c r="L306" i="15"/>
  <c r="K306" i="15"/>
  <c r="I306" i="15"/>
  <c r="H306" i="15"/>
  <c r="G306" i="15"/>
  <c r="AW305" i="15"/>
  <c r="AV305" i="15"/>
  <c r="L305" i="15"/>
  <c r="G305" i="15" s="1"/>
  <c r="K305" i="15"/>
  <c r="I305" i="15"/>
  <c r="H305" i="15"/>
  <c r="AW304" i="15"/>
  <c r="AV304" i="15"/>
  <c r="L304" i="15"/>
  <c r="K304" i="15"/>
  <c r="I304" i="15"/>
  <c r="H304" i="15"/>
  <c r="G304" i="15"/>
  <c r="AW303" i="15"/>
  <c r="AV303" i="15"/>
  <c r="L303" i="15"/>
  <c r="K303" i="15"/>
  <c r="I303" i="15"/>
  <c r="H303" i="15"/>
  <c r="G303" i="15"/>
  <c r="AW302" i="15"/>
  <c r="AV302" i="15"/>
  <c r="L302" i="15"/>
  <c r="G302" i="15" s="1"/>
  <c r="K302" i="15"/>
  <c r="I302" i="15"/>
  <c r="H302" i="15"/>
  <c r="AW301" i="15"/>
  <c r="AV301" i="15"/>
  <c r="L301" i="15"/>
  <c r="K301" i="15"/>
  <c r="I301" i="15"/>
  <c r="H301" i="15"/>
  <c r="G301" i="15" s="1"/>
  <c r="AW300" i="15"/>
  <c r="AV300" i="15"/>
  <c r="L300" i="15"/>
  <c r="K300" i="15"/>
  <c r="I300" i="15"/>
  <c r="H300" i="15"/>
  <c r="G300" i="15"/>
  <c r="AW299" i="15"/>
  <c r="AV299" i="15"/>
  <c r="L299" i="15"/>
  <c r="K299" i="15"/>
  <c r="I299" i="15"/>
  <c r="H299" i="15"/>
  <c r="G299" i="15"/>
  <c r="AW298" i="15"/>
  <c r="AV298" i="15"/>
  <c r="L298" i="15"/>
  <c r="K298" i="15"/>
  <c r="I298" i="15"/>
  <c r="H298" i="15"/>
  <c r="G298" i="15"/>
  <c r="AW297" i="15"/>
  <c r="AV297" i="15"/>
  <c r="L297" i="15"/>
  <c r="K297" i="15"/>
  <c r="I297" i="15"/>
  <c r="H297" i="15"/>
  <c r="G297" i="15"/>
  <c r="AW296" i="15"/>
  <c r="AV296" i="15"/>
  <c r="L296" i="15"/>
  <c r="K296" i="15"/>
  <c r="I296" i="15"/>
  <c r="H296" i="15"/>
  <c r="G296" i="15"/>
  <c r="AW295" i="15"/>
  <c r="AV295" i="15"/>
  <c r="L295" i="15"/>
  <c r="G295" i="15" s="1"/>
  <c r="K295" i="15"/>
  <c r="I295" i="15"/>
  <c r="H295" i="15"/>
  <c r="AW294" i="15"/>
  <c r="AV294" i="15"/>
  <c r="L294" i="15"/>
  <c r="K294" i="15"/>
  <c r="I294" i="15"/>
  <c r="H294" i="15"/>
  <c r="G294" i="15"/>
  <c r="AW293" i="15"/>
  <c r="AV293" i="15"/>
  <c r="L293" i="15"/>
  <c r="K293" i="15"/>
  <c r="I293" i="15"/>
  <c r="H293" i="15"/>
  <c r="G293" i="15"/>
  <c r="AW292" i="15"/>
  <c r="AV292" i="15"/>
  <c r="L292" i="15"/>
  <c r="G292" i="15" s="1"/>
  <c r="K292" i="15"/>
  <c r="I292" i="15"/>
  <c r="H292" i="15"/>
  <c r="AW291" i="15"/>
  <c r="AV291" i="15"/>
  <c r="L291" i="15"/>
  <c r="K291" i="15"/>
  <c r="I291" i="15"/>
  <c r="H291" i="15"/>
  <c r="G291" i="15"/>
  <c r="AW290" i="15"/>
  <c r="AV290" i="15"/>
  <c r="L290" i="15"/>
  <c r="K290" i="15"/>
  <c r="I290" i="15"/>
  <c r="H290" i="15"/>
  <c r="G290" i="15"/>
  <c r="AW289" i="15"/>
  <c r="AV289" i="15"/>
  <c r="AU289" i="15"/>
  <c r="L289" i="15"/>
  <c r="K289" i="15"/>
  <c r="I289" i="15"/>
  <c r="H289" i="15"/>
  <c r="G289" i="15"/>
  <c r="AW288" i="15"/>
  <c r="AV288" i="15"/>
  <c r="AU288" i="15"/>
  <c r="AT288" i="15"/>
  <c r="AT289" i="15" s="1"/>
  <c r="AS288" i="15"/>
  <c r="AS289" i="15" s="1"/>
  <c r="L288" i="15"/>
  <c r="K288" i="15"/>
  <c r="I288" i="15"/>
  <c r="H288" i="15"/>
  <c r="G288" i="15"/>
  <c r="AW287" i="15"/>
  <c r="AV287" i="15"/>
  <c r="L287" i="15"/>
  <c r="G287" i="15" s="1"/>
  <c r="K287" i="15"/>
  <c r="I287" i="15"/>
  <c r="H287" i="15"/>
  <c r="AW286" i="15"/>
  <c r="AV286" i="15"/>
  <c r="L286" i="15"/>
  <c r="K286" i="15"/>
  <c r="I286" i="15"/>
  <c r="H286" i="15"/>
  <c r="G286" i="15"/>
  <c r="AW285" i="15"/>
  <c r="AV285" i="15"/>
  <c r="L285" i="15"/>
  <c r="K285" i="15"/>
  <c r="I285" i="15"/>
  <c r="H285" i="15"/>
  <c r="G285" i="15"/>
  <c r="AW284" i="15"/>
  <c r="AV284" i="15"/>
  <c r="L284" i="15"/>
  <c r="G284" i="15" s="1"/>
  <c r="K284" i="15"/>
  <c r="I284" i="15"/>
  <c r="H284" i="15"/>
  <c r="AW283" i="15"/>
  <c r="AV283" i="15"/>
  <c r="L283" i="15"/>
  <c r="K283" i="15"/>
  <c r="I283" i="15"/>
  <c r="H283" i="15"/>
  <c r="G283" i="15" s="1"/>
  <c r="AW282" i="15"/>
  <c r="AV282" i="15"/>
  <c r="L282" i="15"/>
  <c r="K282" i="15"/>
  <c r="I282" i="15"/>
  <c r="H282" i="15"/>
  <c r="G282" i="15"/>
  <c r="AW281" i="15"/>
  <c r="AV281" i="15"/>
  <c r="L281" i="15"/>
  <c r="K281" i="15"/>
  <c r="I281" i="15"/>
  <c r="H281" i="15"/>
  <c r="G281" i="15"/>
  <c r="AW280" i="15"/>
  <c r="AV280" i="15"/>
  <c r="L280" i="15"/>
  <c r="K280" i="15"/>
  <c r="I280" i="15"/>
  <c r="H280" i="15"/>
  <c r="G280" i="15"/>
  <c r="AW279" i="15"/>
  <c r="AV279" i="15"/>
  <c r="L279" i="15"/>
  <c r="K279" i="15"/>
  <c r="I279" i="15"/>
  <c r="H279" i="15"/>
  <c r="G279" i="15"/>
  <c r="AW278" i="15"/>
  <c r="AV278" i="15"/>
  <c r="L278" i="15"/>
  <c r="K278" i="15"/>
  <c r="I278" i="15"/>
  <c r="H278" i="15"/>
  <c r="G278" i="15"/>
  <c r="AW277" i="15"/>
  <c r="AV277" i="15"/>
  <c r="L277" i="15"/>
  <c r="G277" i="15" s="1"/>
  <c r="K277" i="15"/>
  <c r="I277" i="15"/>
  <c r="H277" i="15"/>
  <c r="AW276" i="15"/>
  <c r="AV276" i="15"/>
  <c r="L276" i="15"/>
  <c r="K276" i="15"/>
  <c r="I276" i="15"/>
  <c r="H276" i="15"/>
  <c r="G276" i="15"/>
  <c r="AW275" i="15"/>
  <c r="AV275" i="15"/>
  <c r="L275" i="15"/>
  <c r="K275" i="15"/>
  <c r="I275" i="15"/>
  <c r="H275" i="15"/>
  <c r="G275" i="15"/>
  <c r="AW274" i="15"/>
  <c r="AV274" i="15"/>
  <c r="L274" i="15"/>
  <c r="G274" i="15" s="1"/>
  <c r="K274" i="15"/>
  <c r="I274" i="15"/>
  <c r="H274" i="15"/>
  <c r="AW273" i="15"/>
  <c r="AV273" i="15"/>
  <c r="L273" i="15"/>
  <c r="K273" i="15"/>
  <c r="I273" i="15"/>
  <c r="H273" i="15"/>
  <c r="G273" i="15"/>
  <c r="AW272" i="15"/>
  <c r="AV272" i="15"/>
  <c r="L272" i="15"/>
  <c r="K272" i="15"/>
  <c r="I272" i="15"/>
  <c r="H272" i="15"/>
  <c r="G272" i="15"/>
  <c r="AW271" i="15"/>
  <c r="AV271" i="15"/>
  <c r="L271" i="15"/>
  <c r="G271" i="15" s="1"/>
  <c r="K271" i="15"/>
  <c r="I271" i="15"/>
  <c r="H271" i="15"/>
  <c r="AW270" i="15"/>
  <c r="AV270" i="15"/>
  <c r="L270" i="15"/>
  <c r="G270" i="15" s="1"/>
  <c r="K270" i="15"/>
  <c r="I270" i="15"/>
  <c r="H270" i="15"/>
  <c r="AW269" i="15"/>
  <c r="AV269" i="15"/>
  <c r="L269" i="15"/>
  <c r="G269" i="15" s="1"/>
  <c r="K269" i="15"/>
  <c r="I269" i="15"/>
  <c r="H269" i="15"/>
  <c r="AW268" i="15"/>
  <c r="AV268" i="15"/>
  <c r="L268" i="15"/>
  <c r="G268" i="15" s="1"/>
  <c r="K268" i="15"/>
  <c r="I268" i="15"/>
  <c r="H268" i="15"/>
  <c r="AW267" i="15"/>
  <c r="AV267" i="15"/>
  <c r="L267" i="15"/>
  <c r="K267" i="15"/>
  <c r="I267" i="15"/>
  <c r="H267" i="15"/>
  <c r="G267" i="15"/>
  <c r="AW266" i="15"/>
  <c r="AV266" i="15"/>
  <c r="L266" i="15"/>
  <c r="K266" i="15"/>
  <c r="I266" i="15"/>
  <c r="H266" i="15"/>
  <c r="G266" i="15"/>
  <c r="AW265" i="15"/>
  <c r="AV265" i="15"/>
  <c r="L265" i="15"/>
  <c r="G265" i="15" s="1"/>
  <c r="K265" i="15"/>
  <c r="I265" i="15"/>
  <c r="H265" i="15"/>
  <c r="AW264" i="15"/>
  <c r="AV264" i="15"/>
  <c r="L264" i="15"/>
  <c r="K264" i="15"/>
  <c r="I264" i="15"/>
  <c r="H264" i="15"/>
  <c r="G264" i="15"/>
  <c r="AW263" i="15"/>
  <c r="AV263" i="15"/>
  <c r="L263" i="15"/>
  <c r="K263" i="15"/>
  <c r="I263" i="15"/>
  <c r="H263" i="15"/>
  <c r="G263" i="15"/>
  <c r="AW262" i="15"/>
  <c r="AV262" i="15"/>
  <c r="L262" i="15"/>
  <c r="G262" i="15" s="1"/>
  <c r="K262" i="15"/>
  <c r="I262" i="15"/>
  <c r="H262" i="15"/>
  <c r="AW261" i="15"/>
  <c r="AV261" i="15"/>
  <c r="L261" i="15"/>
  <c r="K261" i="15"/>
  <c r="I261" i="15"/>
  <c r="H261" i="15"/>
  <c r="G261" i="15" s="1"/>
  <c r="AW260" i="15"/>
  <c r="AV260" i="15"/>
  <c r="L260" i="15"/>
  <c r="K260" i="15"/>
  <c r="I260" i="15"/>
  <c r="H260" i="15"/>
  <c r="G260" i="15"/>
  <c r="AW259" i="15"/>
  <c r="AV259" i="15"/>
  <c r="L259" i="15"/>
  <c r="K259" i="15"/>
  <c r="I259" i="15"/>
  <c r="H259" i="15"/>
  <c r="G259" i="15"/>
  <c r="AW258" i="15"/>
  <c r="AV258" i="15"/>
  <c r="L258" i="15"/>
  <c r="K258" i="15"/>
  <c r="I258" i="15"/>
  <c r="H258" i="15"/>
  <c r="G258" i="15"/>
  <c r="AW257" i="15"/>
  <c r="AV257" i="15"/>
  <c r="L257" i="15"/>
  <c r="K257" i="15"/>
  <c r="I257" i="15"/>
  <c r="H257" i="15"/>
  <c r="G257" i="15"/>
  <c r="AW256" i="15"/>
  <c r="AV256" i="15"/>
  <c r="L256" i="15"/>
  <c r="K256" i="15"/>
  <c r="I256" i="15"/>
  <c r="H256" i="15"/>
  <c r="G256" i="15"/>
  <c r="AW255" i="15"/>
  <c r="AV255" i="15"/>
  <c r="L255" i="15"/>
  <c r="G255" i="15" s="1"/>
  <c r="K255" i="15"/>
  <c r="I255" i="15"/>
  <c r="H255" i="15"/>
  <c r="AW254" i="15"/>
  <c r="AV254" i="15"/>
  <c r="L254" i="15"/>
  <c r="K254" i="15"/>
  <c r="I254" i="15"/>
  <c r="H254" i="15"/>
  <c r="G254" i="15"/>
  <c r="AW253" i="15"/>
  <c r="AV253" i="15"/>
  <c r="L253" i="15"/>
  <c r="K253" i="15"/>
  <c r="I253" i="15"/>
  <c r="H253" i="15"/>
  <c r="G253" i="15"/>
  <c r="AW252" i="15"/>
  <c r="AV252" i="15"/>
  <c r="L252" i="15"/>
  <c r="G252" i="15" s="1"/>
  <c r="K252" i="15"/>
  <c r="I252" i="15"/>
  <c r="H252" i="15"/>
  <c r="AW251" i="15"/>
  <c r="AV251" i="15"/>
  <c r="L251" i="15"/>
  <c r="K251" i="15"/>
  <c r="I251" i="15"/>
  <c r="H251" i="15"/>
  <c r="G251" i="15"/>
  <c r="AW250" i="15"/>
  <c r="AV250" i="15"/>
  <c r="L250" i="15"/>
  <c r="K250" i="15"/>
  <c r="I250" i="15"/>
  <c r="H250" i="15"/>
  <c r="G250" i="15"/>
  <c r="AW249" i="15"/>
  <c r="AV249" i="15"/>
  <c r="L249" i="15"/>
  <c r="G249" i="15" s="1"/>
  <c r="K249" i="15"/>
  <c r="I249" i="15"/>
  <c r="H249" i="15"/>
  <c r="AW248" i="15"/>
  <c r="AV248" i="15"/>
  <c r="L248" i="15"/>
  <c r="G248" i="15" s="1"/>
  <c r="K248" i="15"/>
  <c r="I248" i="15"/>
  <c r="H248" i="15"/>
  <c r="AW247" i="15"/>
  <c r="AV247" i="15"/>
  <c r="L247" i="15"/>
  <c r="G247" i="15" s="1"/>
  <c r="K247" i="15"/>
  <c r="I247" i="15"/>
  <c r="H247" i="15"/>
  <c r="AW246" i="15"/>
  <c r="AV246" i="15"/>
  <c r="L246" i="15"/>
  <c r="G246" i="15" s="1"/>
  <c r="K246" i="15"/>
  <c r="I246" i="15"/>
  <c r="H246" i="15"/>
  <c r="AW245" i="15"/>
  <c r="AV245" i="15"/>
  <c r="L245" i="15"/>
  <c r="K245" i="15"/>
  <c r="I245" i="15"/>
  <c r="H245" i="15"/>
  <c r="G245" i="15"/>
  <c r="AW244" i="15"/>
  <c r="AV244" i="15"/>
  <c r="L244" i="15"/>
  <c r="K244" i="15"/>
  <c r="I244" i="15"/>
  <c r="H244" i="15"/>
  <c r="G244" i="15"/>
  <c r="AW243" i="15"/>
  <c r="AV243" i="15"/>
  <c r="L243" i="15"/>
  <c r="G243" i="15" s="1"/>
  <c r="K243" i="15"/>
  <c r="I243" i="15"/>
  <c r="H243" i="15"/>
  <c r="AW242" i="15"/>
  <c r="AV242" i="15"/>
  <c r="L242" i="15"/>
  <c r="K242" i="15"/>
  <c r="I242" i="15"/>
  <c r="H242" i="15"/>
  <c r="G242" i="15"/>
  <c r="AW241" i="15"/>
  <c r="AV241" i="15"/>
  <c r="L241" i="15"/>
  <c r="K241" i="15"/>
  <c r="I241" i="15"/>
  <c r="H241" i="15"/>
  <c r="G241" i="15"/>
  <c r="AW240" i="15"/>
  <c r="AV240" i="15"/>
  <c r="L240" i="15"/>
  <c r="G240" i="15" s="1"/>
  <c r="K240" i="15"/>
  <c r="I240" i="15"/>
  <c r="H240" i="15"/>
  <c r="AW239" i="15"/>
  <c r="AV239" i="15"/>
  <c r="L239" i="15"/>
  <c r="K239" i="15"/>
  <c r="I239" i="15"/>
  <c r="H239" i="15"/>
  <c r="G239" i="15" s="1"/>
  <c r="AW238" i="15"/>
  <c r="AV238" i="15"/>
  <c r="L238" i="15"/>
  <c r="K238" i="15"/>
  <c r="I238" i="15"/>
  <c r="H238" i="15"/>
  <c r="G238" i="15"/>
  <c r="AW237" i="15"/>
  <c r="AV237" i="15"/>
  <c r="L237" i="15"/>
  <c r="K237" i="15"/>
  <c r="I237" i="15"/>
  <c r="H237" i="15"/>
  <c r="G237" i="15"/>
  <c r="AW236" i="15"/>
  <c r="AV236" i="15"/>
  <c r="L236" i="15"/>
  <c r="K236" i="15"/>
  <c r="I236" i="15"/>
  <c r="H236" i="15"/>
  <c r="G236" i="15"/>
  <c r="AW235" i="15"/>
  <c r="AV235" i="15"/>
  <c r="L235" i="15"/>
  <c r="K235" i="15"/>
  <c r="I235" i="15"/>
  <c r="H235" i="15"/>
  <c r="G235" i="15"/>
  <c r="AW234" i="15"/>
  <c r="AV234" i="15"/>
  <c r="L234" i="15"/>
  <c r="K234" i="15"/>
  <c r="I234" i="15"/>
  <c r="H234" i="15"/>
  <c r="G234" i="15"/>
  <c r="AW233" i="15"/>
  <c r="AV233" i="15"/>
  <c r="L233" i="15"/>
  <c r="G233" i="15" s="1"/>
  <c r="K233" i="15"/>
  <c r="I233" i="15"/>
  <c r="H233" i="15"/>
  <c r="AW232" i="15"/>
  <c r="AV232" i="15"/>
  <c r="L232" i="15"/>
  <c r="K232" i="15"/>
  <c r="I232" i="15"/>
  <c r="H232" i="15"/>
  <c r="G232" i="15"/>
  <c r="AW231" i="15"/>
  <c r="AV231" i="15"/>
  <c r="L231" i="15"/>
  <c r="K231" i="15"/>
  <c r="I231" i="15"/>
  <c r="H231" i="15"/>
  <c r="G231" i="15"/>
  <c r="AW230" i="15"/>
  <c r="AV230" i="15"/>
  <c r="L230" i="15"/>
  <c r="G230" i="15" s="1"/>
  <c r="K230" i="15"/>
  <c r="I230" i="15"/>
  <c r="H230" i="15"/>
  <c r="AW229" i="15"/>
  <c r="AV229" i="15"/>
  <c r="L229" i="15"/>
  <c r="K229" i="15"/>
  <c r="I229" i="15"/>
  <c r="H229" i="15"/>
  <c r="G229" i="15"/>
  <c r="AW228" i="15"/>
  <c r="AV228" i="15"/>
  <c r="L228" i="15"/>
  <c r="K228" i="15"/>
  <c r="I228" i="15"/>
  <c r="H228" i="15"/>
  <c r="G228" i="15"/>
  <c r="AW227" i="15"/>
  <c r="AV227" i="15"/>
  <c r="L227" i="15"/>
  <c r="G227" i="15" s="1"/>
  <c r="K227" i="15"/>
  <c r="I227" i="15"/>
  <c r="H227" i="15"/>
  <c r="AW226" i="15"/>
  <c r="AV226" i="15"/>
  <c r="L226" i="15"/>
  <c r="G226" i="15" s="1"/>
  <c r="K226" i="15"/>
  <c r="I226" i="15"/>
  <c r="H226" i="15"/>
  <c r="AW225" i="15"/>
  <c r="AV225" i="15"/>
  <c r="L225" i="15"/>
  <c r="G225" i="15" s="1"/>
  <c r="K225" i="15"/>
  <c r="I225" i="15"/>
  <c r="H225" i="15"/>
  <c r="AW224" i="15"/>
  <c r="AV224" i="15"/>
  <c r="L224" i="15"/>
  <c r="G224" i="15" s="1"/>
  <c r="K224" i="15"/>
  <c r="I224" i="15"/>
  <c r="H224" i="15"/>
  <c r="AW223" i="15"/>
  <c r="AV223" i="15"/>
  <c r="L223" i="15"/>
  <c r="K223" i="15"/>
  <c r="I223" i="15"/>
  <c r="H223" i="15"/>
  <c r="G223" i="15"/>
  <c r="AW222" i="15"/>
  <c r="AV222" i="15"/>
  <c r="L222" i="15"/>
  <c r="K222" i="15"/>
  <c r="I222" i="15"/>
  <c r="H222" i="15"/>
  <c r="G222" i="15"/>
  <c r="AW221" i="15"/>
  <c r="AV221" i="15"/>
  <c r="L221" i="15"/>
  <c r="G221" i="15" s="1"/>
  <c r="K221" i="15"/>
  <c r="I221" i="15"/>
  <c r="H221" i="15"/>
  <c r="AW220" i="15"/>
  <c r="AV220" i="15"/>
  <c r="L220" i="15"/>
  <c r="K220" i="15"/>
  <c r="I220" i="15"/>
  <c r="H220" i="15"/>
  <c r="G220" i="15"/>
  <c r="AW219" i="15"/>
  <c r="AV219" i="15"/>
  <c r="L219" i="15"/>
  <c r="K219" i="15"/>
  <c r="I219" i="15"/>
  <c r="H219" i="15"/>
  <c r="G219" i="15"/>
  <c r="AW218" i="15"/>
  <c r="AV218" i="15"/>
  <c r="L218" i="15"/>
  <c r="G218" i="15" s="1"/>
  <c r="K218" i="15"/>
  <c r="I218" i="15"/>
  <c r="H218" i="15"/>
  <c r="AW217" i="15"/>
  <c r="AV217" i="15"/>
  <c r="L217" i="15"/>
  <c r="K217" i="15"/>
  <c r="I217" i="15"/>
  <c r="H217" i="15"/>
  <c r="G217" i="15" s="1"/>
  <c r="AW216" i="15"/>
  <c r="AV216" i="15"/>
  <c r="L216" i="15"/>
  <c r="K216" i="15"/>
  <c r="I216" i="15"/>
  <c r="H216" i="15"/>
  <c r="G216" i="15"/>
  <c r="AW215" i="15"/>
  <c r="AV215" i="15"/>
  <c r="L215" i="15"/>
  <c r="K215" i="15"/>
  <c r="I215" i="15"/>
  <c r="H215" i="15"/>
  <c r="G215" i="15"/>
  <c r="AW214" i="15"/>
  <c r="AV214" i="15"/>
  <c r="L214" i="15"/>
  <c r="K214" i="15"/>
  <c r="I214" i="15"/>
  <c r="H214" i="15"/>
  <c r="G214" i="15"/>
  <c r="AW213" i="15"/>
  <c r="AV213" i="15"/>
  <c r="L213" i="15"/>
  <c r="K213" i="15"/>
  <c r="I213" i="15"/>
  <c r="H213" i="15"/>
  <c r="G213" i="15"/>
  <c r="AW212" i="15"/>
  <c r="AV212" i="15"/>
  <c r="L212" i="15"/>
  <c r="K212" i="15"/>
  <c r="I212" i="15"/>
  <c r="H212" i="15"/>
  <c r="G212" i="15"/>
  <c r="AW211" i="15"/>
  <c r="AV211" i="15"/>
  <c r="L211" i="15"/>
  <c r="G211" i="15" s="1"/>
  <c r="K211" i="15"/>
  <c r="I211" i="15"/>
  <c r="H211" i="15"/>
  <c r="AW210" i="15"/>
  <c r="AV210" i="15"/>
  <c r="L210" i="15"/>
  <c r="K210" i="15"/>
  <c r="I210" i="15"/>
  <c r="H210" i="15"/>
  <c r="G210" i="15"/>
  <c r="AW209" i="15"/>
  <c r="AV209" i="15"/>
  <c r="L209" i="15"/>
  <c r="K209" i="15"/>
  <c r="I209" i="15"/>
  <c r="H209" i="15"/>
  <c r="G209" i="15"/>
  <c r="AW208" i="15"/>
  <c r="AV208" i="15"/>
  <c r="L208" i="15"/>
  <c r="G208" i="15" s="1"/>
  <c r="K208" i="15"/>
  <c r="I208" i="15"/>
  <c r="H208" i="15"/>
  <c r="AW207" i="15"/>
  <c r="AV207" i="15"/>
  <c r="L207" i="15"/>
  <c r="K207" i="15"/>
  <c r="I207" i="15"/>
  <c r="H207" i="15"/>
  <c r="G207" i="15"/>
  <c r="AW206" i="15"/>
  <c r="AV206" i="15"/>
  <c r="AU206" i="15"/>
  <c r="AT206" i="15"/>
  <c r="AS206" i="15"/>
  <c r="L206" i="15"/>
  <c r="K206" i="15"/>
  <c r="I206" i="15"/>
  <c r="H206" i="15"/>
  <c r="G206" i="15"/>
  <c r="AW205" i="15"/>
  <c r="AV205" i="15"/>
  <c r="AU205" i="15"/>
  <c r="AT205" i="15"/>
  <c r="AS205" i="15"/>
  <c r="L205" i="15"/>
  <c r="K205" i="15"/>
  <c r="I205" i="15"/>
  <c r="H205" i="15"/>
  <c r="G205" i="15"/>
  <c r="AW204" i="15"/>
  <c r="AV204" i="15"/>
  <c r="L204" i="15"/>
  <c r="K204" i="15"/>
  <c r="I204" i="15"/>
  <c r="H204" i="15"/>
  <c r="G204" i="15"/>
  <c r="AW203" i="15"/>
  <c r="AV203" i="15"/>
  <c r="L203" i="15"/>
  <c r="G203" i="15" s="1"/>
  <c r="K203" i="15"/>
  <c r="I203" i="15"/>
  <c r="H203" i="15"/>
  <c r="AW202" i="15"/>
  <c r="AV202" i="15"/>
  <c r="L202" i="15"/>
  <c r="K202" i="15"/>
  <c r="I202" i="15"/>
  <c r="H202" i="15"/>
  <c r="G202" i="15"/>
  <c r="AW201" i="15"/>
  <c r="AV201" i="15"/>
  <c r="L201" i="15"/>
  <c r="K201" i="15"/>
  <c r="I201" i="15"/>
  <c r="H201" i="15"/>
  <c r="G201" i="15"/>
  <c r="AW200" i="15"/>
  <c r="AV200" i="15"/>
  <c r="L200" i="15"/>
  <c r="G200" i="15" s="1"/>
  <c r="K200" i="15"/>
  <c r="I200" i="15"/>
  <c r="H200" i="15"/>
  <c r="AW199" i="15"/>
  <c r="AV199" i="15"/>
  <c r="L199" i="15"/>
  <c r="K199" i="15"/>
  <c r="I199" i="15"/>
  <c r="H199" i="15"/>
  <c r="G199" i="15"/>
  <c r="AW198" i="15"/>
  <c r="AV198" i="15"/>
  <c r="L198" i="15"/>
  <c r="K198" i="15"/>
  <c r="I198" i="15"/>
  <c r="H198" i="15"/>
  <c r="G198" i="15"/>
  <c r="AW197" i="15"/>
  <c r="AV197" i="15"/>
  <c r="L197" i="15"/>
  <c r="K197" i="15"/>
  <c r="I197" i="15"/>
  <c r="H197" i="15"/>
  <c r="G197" i="15"/>
  <c r="AW196" i="15"/>
  <c r="AV196" i="15"/>
  <c r="L196" i="15"/>
  <c r="K196" i="15"/>
  <c r="I196" i="15"/>
  <c r="H196" i="15"/>
  <c r="G196" i="15"/>
  <c r="AW195" i="15"/>
  <c r="AV195" i="15"/>
  <c r="L195" i="15"/>
  <c r="K195" i="15"/>
  <c r="I195" i="15"/>
  <c r="H195" i="15"/>
  <c r="G195" i="15"/>
  <c r="AW194" i="15"/>
  <c r="AV194" i="15"/>
  <c r="L194" i="15"/>
  <c r="K194" i="15"/>
  <c r="I194" i="15"/>
  <c r="H194" i="15"/>
  <c r="G194" i="15"/>
  <c r="AW193" i="15"/>
  <c r="AV193" i="15"/>
  <c r="L193" i="15"/>
  <c r="G193" i="15" s="1"/>
  <c r="K193" i="15"/>
  <c r="I193" i="15"/>
  <c r="H193" i="15"/>
  <c r="AW192" i="15"/>
  <c r="AV192" i="15"/>
  <c r="L192" i="15"/>
  <c r="K192" i="15"/>
  <c r="I192" i="15"/>
  <c r="H192" i="15"/>
  <c r="G192" i="15"/>
  <c r="AW191" i="15"/>
  <c r="AV191" i="15"/>
  <c r="L191" i="15"/>
  <c r="K191" i="15"/>
  <c r="I191" i="15"/>
  <c r="H191" i="15"/>
  <c r="G191" i="15"/>
  <c r="AW190" i="15"/>
  <c r="AV190" i="15"/>
  <c r="L190" i="15"/>
  <c r="K190" i="15"/>
  <c r="I190" i="15"/>
  <c r="H190" i="15"/>
  <c r="G190" i="15"/>
  <c r="AW189" i="15"/>
  <c r="AV189" i="15"/>
  <c r="AU189" i="15"/>
  <c r="AU190" i="15" s="1"/>
  <c r="AT189" i="15"/>
  <c r="AT190" i="15" s="1"/>
  <c r="AS189" i="15"/>
  <c r="AS190" i="15" s="1"/>
  <c r="L189" i="15"/>
  <c r="G189" i="15" s="1"/>
  <c r="K189" i="15"/>
  <c r="I189" i="15"/>
  <c r="H189" i="15"/>
  <c r="AW188" i="15"/>
  <c r="AV188" i="15"/>
  <c r="L188" i="15"/>
  <c r="G188" i="15" s="1"/>
  <c r="K188" i="15"/>
  <c r="I188" i="15"/>
  <c r="H188" i="15"/>
  <c r="AW187" i="15"/>
  <c r="AV187" i="15"/>
  <c r="L187" i="15"/>
  <c r="K187" i="15"/>
  <c r="I187" i="15"/>
  <c r="H187" i="15"/>
  <c r="G187" i="15"/>
  <c r="AW186" i="15"/>
  <c r="AV186" i="15"/>
  <c r="L186" i="15"/>
  <c r="K186" i="15"/>
  <c r="I186" i="15"/>
  <c r="H186" i="15"/>
  <c r="G186" i="15"/>
  <c r="AW185" i="15"/>
  <c r="AV185" i="15"/>
  <c r="L185" i="15"/>
  <c r="G185" i="15" s="1"/>
  <c r="K185" i="15"/>
  <c r="I185" i="15"/>
  <c r="H185" i="15"/>
  <c r="AW184" i="15"/>
  <c r="AV184" i="15"/>
  <c r="L184" i="15"/>
  <c r="K184" i="15"/>
  <c r="I184" i="15"/>
  <c r="H184" i="15"/>
  <c r="G184" i="15"/>
  <c r="AW183" i="15"/>
  <c r="AV183" i="15"/>
  <c r="L183" i="15"/>
  <c r="K183" i="15"/>
  <c r="I183" i="15"/>
  <c r="H183" i="15"/>
  <c r="G183" i="15"/>
  <c r="AW182" i="15"/>
  <c r="AV182" i="15"/>
  <c r="L182" i="15"/>
  <c r="G182" i="15" s="1"/>
  <c r="K182" i="15"/>
  <c r="I182" i="15"/>
  <c r="H182" i="15"/>
  <c r="AW181" i="15"/>
  <c r="AV181" i="15"/>
  <c r="L181" i="15"/>
  <c r="K181" i="15"/>
  <c r="I181" i="15"/>
  <c r="H181" i="15"/>
  <c r="G181" i="15"/>
  <c r="AW180" i="15"/>
  <c r="AV180" i="15"/>
  <c r="L180" i="15"/>
  <c r="K180" i="15"/>
  <c r="I180" i="15"/>
  <c r="H180" i="15"/>
  <c r="G180" i="15"/>
  <c r="AW179" i="15"/>
  <c r="AV179" i="15"/>
  <c r="L179" i="15"/>
  <c r="K179" i="15"/>
  <c r="I179" i="15"/>
  <c r="H179" i="15"/>
  <c r="G179" i="15"/>
  <c r="AW178" i="15"/>
  <c r="AV178" i="15"/>
  <c r="L178" i="15"/>
  <c r="K178" i="15"/>
  <c r="I178" i="15"/>
  <c r="H178" i="15"/>
  <c r="G178" i="15"/>
  <c r="AW177" i="15"/>
  <c r="AV177" i="15"/>
  <c r="L177" i="15"/>
  <c r="K177" i="15"/>
  <c r="I177" i="15"/>
  <c r="H177" i="15"/>
  <c r="G177" i="15"/>
  <c r="AW176" i="15"/>
  <c r="AV176" i="15"/>
  <c r="L176" i="15"/>
  <c r="K176" i="15"/>
  <c r="I176" i="15"/>
  <c r="H176" i="15"/>
  <c r="G176" i="15"/>
  <c r="AW175" i="15"/>
  <c r="AV175" i="15"/>
  <c r="L175" i="15"/>
  <c r="G175" i="15" s="1"/>
  <c r="K175" i="15"/>
  <c r="I175" i="15"/>
  <c r="H175" i="15"/>
  <c r="AW174" i="15"/>
  <c r="AV174" i="15"/>
  <c r="L174" i="15"/>
  <c r="K174" i="15"/>
  <c r="I174" i="15"/>
  <c r="H174" i="15"/>
  <c r="G174" i="15"/>
  <c r="AW173" i="15"/>
  <c r="AV173" i="15"/>
  <c r="L173" i="15"/>
  <c r="K173" i="15"/>
  <c r="I173" i="15"/>
  <c r="H173" i="15"/>
  <c r="G173" i="15"/>
  <c r="AW172" i="15"/>
  <c r="AV172" i="15"/>
  <c r="L172" i="15"/>
  <c r="G172" i="15" s="1"/>
  <c r="K172" i="15"/>
  <c r="I172" i="15"/>
  <c r="H172" i="15"/>
  <c r="AW171" i="15"/>
  <c r="AV171" i="15"/>
  <c r="L171" i="15"/>
  <c r="K171" i="15"/>
  <c r="I171" i="15"/>
  <c r="H171" i="15"/>
  <c r="G171" i="15"/>
  <c r="AW170" i="15"/>
  <c r="AV170" i="15"/>
  <c r="L170" i="15"/>
  <c r="K170" i="15"/>
  <c r="I170" i="15"/>
  <c r="H170" i="15"/>
  <c r="G170" i="15"/>
  <c r="AW169" i="15"/>
  <c r="AV169" i="15"/>
  <c r="L169" i="15"/>
  <c r="G169" i="15" s="1"/>
  <c r="K169" i="15"/>
  <c r="I169" i="15"/>
  <c r="H169" i="15"/>
  <c r="AW168" i="15"/>
  <c r="AV168" i="15"/>
  <c r="L168" i="15"/>
  <c r="K168" i="15"/>
  <c r="I168" i="15"/>
  <c r="H168" i="15"/>
  <c r="G168" i="15" s="1"/>
  <c r="AW167" i="15"/>
  <c r="AV167" i="15"/>
  <c r="L167" i="15"/>
  <c r="G167" i="15" s="1"/>
  <c r="K167" i="15"/>
  <c r="I167" i="15"/>
  <c r="H167" i="15"/>
  <c r="AW166" i="15"/>
  <c r="AV166" i="15"/>
  <c r="L166" i="15"/>
  <c r="G166" i="15" s="1"/>
  <c r="K166" i="15"/>
  <c r="I166" i="15"/>
  <c r="H166" i="15"/>
  <c r="AW165" i="15"/>
  <c r="AV165" i="15"/>
  <c r="L165" i="15"/>
  <c r="K165" i="15"/>
  <c r="I165" i="15"/>
  <c r="H165" i="15"/>
  <c r="G165" i="15"/>
  <c r="AW164" i="15"/>
  <c r="AV164" i="15"/>
  <c r="L164" i="15"/>
  <c r="K164" i="15"/>
  <c r="I164" i="15"/>
  <c r="H164" i="15"/>
  <c r="G164" i="15"/>
  <c r="AW163" i="15"/>
  <c r="AV163" i="15"/>
  <c r="L163" i="15"/>
  <c r="G163" i="15" s="1"/>
  <c r="K163" i="15"/>
  <c r="I163" i="15"/>
  <c r="H163" i="15"/>
  <c r="AW162" i="15"/>
  <c r="AV162" i="15"/>
  <c r="L162" i="15"/>
  <c r="K162" i="15"/>
  <c r="I162" i="15"/>
  <c r="H162" i="15"/>
  <c r="G162" i="15"/>
  <c r="AW161" i="15"/>
  <c r="AV161" i="15"/>
  <c r="L161" i="15"/>
  <c r="K161" i="15"/>
  <c r="I161" i="15"/>
  <c r="H161" i="15"/>
  <c r="G161" i="15"/>
  <c r="AW160" i="15"/>
  <c r="AV160" i="15"/>
  <c r="L160" i="15"/>
  <c r="G160" i="15" s="1"/>
  <c r="K160" i="15"/>
  <c r="I160" i="15"/>
  <c r="H160" i="15"/>
  <c r="AW159" i="15"/>
  <c r="AV159" i="15"/>
  <c r="L159" i="15"/>
  <c r="K159" i="15"/>
  <c r="I159" i="15"/>
  <c r="H159" i="15"/>
  <c r="G159" i="15"/>
  <c r="AW158" i="15"/>
  <c r="AV158" i="15"/>
  <c r="L158" i="15"/>
  <c r="K158" i="15"/>
  <c r="I158" i="15"/>
  <c r="H158" i="15"/>
  <c r="G158" i="15"/>
  <c r="AW157" i="15"/>
  <c r="AV157" i="15"/>
  <c r="L157" i="15"/>
  <c r="K157" i="15"/>
  <c r="I157" i="15"/>
  <c r="H157" i="15"/>
  <c r="G157" i="15"/>
  <c r="AW156" i="15"/>
  <c r="AV156" i="15"/>
  <c r="L156" i="15"/>
  <c r="K156" i="15"/>
  <c r="I156" i="15"/>
  <c r="H156" i="15"/>
  <c r="G156" i="15"/>
  <c r="AW155" i="15"/>
  <c r="AV155" i="15"/>
  <c r="L155" i="15"/>
  <c r="K155" i="15"/>
  <c r="I155" i="15"/>
  <c r="H155" i="15"/>
  <c r="G155" i="15"/>
  <c r="AW154" i="15"/>
  <c r="AV154" i="15"/>
  <c r="L154" i="15"/>
  <c r="K154" i="15"/>
  <c r="I154" i="15"/>
  <c r="H154" i="15"/>
  <c r="G154" i="15"/>
  <c r="AW153" i="15"/>
  <c r="AV153" i="15"/>
  <c r="L153" i="15"/>
  <c r="G153" i="15" s="1"/>
  <c r="K153" i="15"/>
  <c r="I153" i="15"/>
  <c r="H153" i="15"/>
  <c r="AW152" i="15"/>
  <c r="AV152" i="15"/>
  <c r="L152" i="15"/>
  <c r="K152" i="15"/>
  <c r="I152" i="15"/>
  <c r="H152" i="15"/>
  <c r="G152" i="15"/>
  <c r="AW151" i="15"/>
  <c r="AV151" i="15"/>
  <c r="L151" i="15"/>
  <c r="K151" i="15"/>
  <c r="I151" i="15"/>
  <c r="H151" i="15"/>
  <c r="G151" i="15"/>
  <c r="AW150" i="15"/>
  <c r="AV150" i="15"/>
  <c r="L150" i="15"/>
  <c r="G150" i="15" s="1"/>
  <c r="K150" i="15"/>
  <c r="I150" i="15"/>
  <c r="H150" i="15"/>
  <c r="AW149" i="15"/>
  <c r="AV149" i="15"/>
  <c r="L149" i="15"/>
  <c r="K149" i="15"/>
  <c r="I149" i="15"/>
  <c r="H149" i="15"/>
  <c r="G149" i="15"/>
  <c r="AW148" i="15"/>
  <c r="AV148" i="15"/>
  <c r="L148" i="15"/>
  <c r="K148" i="15"/>
  <c r="I148" i="15"/>
  <c r="H148" i="15"/>
  <c r="G148" i="15"/>
  <c r="AW147" i="15"/>
  <c r="AV147" i="15"/>
  <c r="L147" i="15"/>
  <c r="G147" i="15" s="1"/>
  <c r="K147" i="15"/>
  <c r="I147" i="15"/>
  <c r="H147" i="15"/>
  <c r="AW146" i="15"/>
  <c r="AV146" i="15"/>
  <c r="L146" i="15"/>
  <c r="K146" i="15"/>
  <c r="I146" i="15"/>
  <c r="H146" i="15"/>
  <c r="G146" i="15" s="1"/>
  <c r="AW145" i="15"/>
  <c r="AV145" i="15"/>
  <c r="L145" i="15"/>
  <c r="G145" i="15" s="1"/>
  <c r="K145" i="15"/>
  <c r="I145" i="15"/>
  <c r="H145" i="15"/>
  <c r="AW144" i="15"/>
  <c r="AV144" i="15"/>
  <c r="L144" i="15"/>
  <c r="G144" i="15" s="1"/>
  <c r="K144" i="15"/>
  <c r="I144" i="15"/>
  <c r="H144" i="15"/>
  <c r="AW143" i="15"/>
  <c r="AV143" i="15"/>
  <c r="L143" i="15"/>
  <c r="K143" i="15"/>
  <c r="I143" i="15"/>
  <c r="H143" i="15"/>
  <c r="G143" i="15"/>
  <c r="AW142" i="15"/>
  <c r="AV142" i="15"/>
  <c r="L142" i="15"/>
  <c r="K142" i="15"/>
  <c r="I142" i="15"/>
  <c r="H142" i="15"/>
  <c r="G142" i="15"/>
  <c r="AW141" i="15"/>
  <c r="AV141" i="15"/>
  <c r="L141" i="15"/>
  <c r="G141" i="15" s="1"/>
  <c r="K141" i="15"/>
  <c r="I141" i="15"/>
  <c r="H141" i="15"/>
  <c r="AW140" i="15"/>
  <c r="AV140" i="15"/>
  <c r="L140" i="15"/>
  <c r="K140" i="15"/>
  <c r="I140" i="15"/>
  <c r="H140" i="15"/>
  <c r="G140" i="15"/>
  <c r="AW139" i="15"/>
  <c r="AV139" i="15"/>
  <c r="L139" i="15"/>
  <c r="K139" i="15"/>
  <c r="I139" i="15"/>
  <c r="H139" i="15"/>
  <c r="G139" i="15"/>
  <c r="AW138" i="15"/>
  <c r="AV138" i="15"/>
  <c r="L138" i="15"/>
  <c r="G138" i="15" s="1"/>
  <c r="K138" i="15"/>
  <c r="I138" i="15"/>
  <c r="H138" i="15"/>
  <c r="AW137" i="15"/>
  <c r="AV137" i="15"/>
  <c r="L137" i="15"/>
  <c r="K137" i="15"/>
  <c r="I137" i="15"/>
  <c r="H137" i="15"/>
  <c r="G137" i="15"/>
  <c r="AW136" i="15"/>
  <c r="AV136" i="15"/>
  <c r="L136" i="15"/>
  <c r="K136" i="15"/>
  <c r="I136" i="15"/>
  <c r="H136" i="15"/>
  <c r="G136" i="15"/>
  <c r="AW135" i="15"/>
  <c r="AV135" i="15"/>
  <c r="L135" i="15"/>
  <c r="K135" i="15"/>
  <c r="I135" i="15"/>
  <c r="H135" i="15"/>
  <c r="G135" i="15"/>
  <c r="AW134" i="15"/>
  <c r="AV134" i="15"/>
  <c r="L134" i="15"/>
  <c r="K134" i="15"/>
  <c r="I134" i="15"/>
  <c r="H134" i="15"/>
  <c r="G134" i="15"/>
  <c r="AW133" i="15"/>
  <c r="AV133" i="15"/>
  <c r="L133" i="15"/>
  <c r="K133" i="15"/>
  <c r="I133" i="15"/>
  <c r="H133" i="15"/>
  <c r="G133" i="15"/>
  <c r="AW132" i="15"/>
  <c r="AV132" i="15"/>
  <c r="L132" i="15"/>
  <c r="K132" i="15"/>
  <c r="I132" i="15"/>
  <c r="H132" i="15"/>
  <c r="G132" i="15"/>
  <c r="AW131" i="15"/>
  <c r="AV131" i="15"/>
  <c r="L131" i="15"/>
  <c r="G131" i="15" s="1"/>
  <c r="K131" i="15"/>
  <c r="I131" i="15"/>
  <c r="H131" i="15"/>
  <c r="AW130" i="15"/>
  <c r="AV130" i="15"/>
  <c r="L130" i="15"/>
  <c r="K130" i="15"/>
  <c r="I130" i="15"/>
  <c r="H130" i="15"/>
  <c r="G130" i="15"/>
  <c r="AW129" i="15"/>
  <c r="AV129" i="15"/>
  <c r="L129" i="15"/>
  <c r="K129" i="15"/>
  <c r="I129" i="15"/>
  <c r="H129" i="15"/>
  <c r="G129" i="15"/>
  <c r="AW128" i="15"/>
  <c r="AV128" i="15"/>
  <c r="L128" i="15"/>
  <c r="G128" i="15" s="1"/>
  <c r="K128" i="15"/>
  <c r="I128" i="15"/>
  <c r="H128" i="15"/>
  <c r="AW127" i="15"/>
  <c r="AV127" i="15"/>
  <c r="L127" i="15"/>
  <c r="K127" i="15"/>
  <c r="I127" i="15"/>
  <c r="H127" i="15"/>
  <c r="G127" i="15"/>
  <c r="AW126" i="15"/>
  <c r="AV126" i="15"/>
  <c r="L126" i="15"/>
  <c r="K126" i="15"/>
  <c r="I126" i="15"/>
  <c r="H126" i="15"/>
  <c r="G126" i="15"/>
  <c r="AW125" i="15"/>
  <c r="AV125" i="15"/>
  <c r="L125" i="15"/>
  <c r="G125" i="15" s="1"/>
  <c r="K125" i="15"/>
  <c r="I125" i="15"/>
  <c r="H125" i="15"/>
  <c r="AW124" i="15"/>
  <c r="AV124" i="15"/>
  <c r="L124" i="15"/>
  <c r="K124" i="15"/>
  <c r="I124" i="15"/>
  <c r="H124" i="15"/>
  <c r="G124" i="15" s="1"/>
  <c r="AW123" i="15"/>
  <c r="AV123" i="15"/>
  <c r="L123" i="15"/>
  <c r="G123" i="15" s="1"/>
  <c r="K123" i="15"/>
  <c r="I123" i="15"/>
  <c r="H123" i="15"/>
  <c r="AW122" i="15"/>
  <c r="AV122" i="15"/>
  <c r="L122" i="15"/>
  <c r="G122" i="15" s="1"/>
  <c r="K122" i="15"/>
  <c r="I122" i="15"/>
  <c r="H122" i="15"/>
  <c r="AW121" i="15"/>
  <c r="AV121" i="15"/>
  <c r="L121" i="15"/>
  <c r="K121" i="15"/>
  <c r="I121" i="15"/>
  <c r="H121" i="15"/>
  <c r="G121" i="15"/>
  <c r="AW120" i="15"/>
  <c r="AV120" i="15"/>
  <c r="L120" i="15"/>
  <c r="K120" i="15"/>
  <c r="I120" i="15"/>
  <c r="H120" i="15"/>
  <c r="G120" i="15"/>
  <c r="AW119" i="15"/>
  <c r="AV119" i="15"/>
  <c r="L119" i="15"/>
  <c r="G119" i="15" s="1"/>
  <c r="K119" i="15"/>
  <c r="I119" i="15"/>
  <c r="H119" i="15"/>
  <c r="AW118" i="15"/>
  <c r="AV118" i="15"/>
  <c r="L118" i="15"/>
  <c r="K118" i="15"/>
  <c r="I118" i="15"/>
  <c r="H118" i="15"/>
  <c r="G118" i="15"/>
  <c r="AW117" i="15"/>
  <c r="AV117" i="15"/>
  <c r="L117" i="15"/>
  <c r="K117" i="15"/>
  <c r="I117" i="15"/>
  <c r="H117" i="15"/>
  <c r="G117" i="15"/>
  <c r="AW116" i="15"/>
  <c r="AV116" i="15"/>
  <c r="L116" i="15"/>
  <c r="G116" i="15" s="1"/>
  <c r="K116" i="15"/>
  <c r="I116" i="15"/>
  <c r="H116" i="15"/>
  <c r="AW115" i="15"/>
  <c r="AV115" i="15"/>
  <c r="L115" i="15"/>
  <c r="K115" i="15"/>
  <c r="I115" i="15"/>
  <c r="H115" i="15"/>
  <c r="G115" i="15"/>
  <c r="AW114" i="15"/>
  <c r="AV114" i="15"/>
  <c r="L114" i="15"/>
  <c r="K114" i="15"/>
  <c r="I114" i="15"/>
  <c r="H114" i="15"/>
  <c r="G114" i="15"/>
  <c r="AW113" i="15"/>
  <c r="AV113" i="15"/>
  <c r="L113" i="15"/>
  <c r="K113" i="15"/>
  <c r="I113" i="15"/>
  <c r="H113" i="15"/>
  <c r="G113" i="15"/>
  <c r="AW112" i="15"/>
  <c r="AV112" i="15"/>
  <c r="L112" i="15"/>
  <c r="K112" i="15"/>
  <c r="I112" i="15"/>
  <c r="H112" i="15"/>
  <c r="G112" i="15"/>
  <c r="AW111" i="15"/>
  <c r="AV111" i="15"/>
  <c r="L111" i="15"/>
  <c r="K111" i="15"/>
  <c r="I111" i="15"/>
  <c r="H111" i="15"/>
  <c r="G111" i="15"/>
  <c r="AW110" i="15"/>
  <c r="AV110" i="15"/>
  <c r="L110" i="15"/>
  <c r="K110" i="15"/>
  <c r="I110" i="15"/>
  <c r="H110" i="15"/>
  <c r="G110" i="15"/>
  <c r="AW109" i="15"/>
  <c r="AV109" i="15"/>
  <c r="L109" i="15"/>
  <c r="G109" i="15" s="1"/>
  <c r="K109" i="15"/>
  <c r="I109" i="15"/>
  <c r="H109" i="15"/>
  <c r="AW108" i="15"/>
  <c r="AV108" i="15"/>
  <c r="L108" i="15"/>
  <c r="K108" i="15"/>
  <c r="I108" i="15"/>
  <c r="H108" i="15"/>
  <c r="G108" i="15"/>
  <c r="AW107" i="15"/>
  <c r="AV107" i="15"/>
  <c r="L107" i="15"/>
  <c r="K107" i="15"/>
  <c r="I107" i="15"/>
  <c r="H107" i="15"/>
  <c r="G107" i="15"/>
  <c r="AW106" i="15"/>
  <c r="AV106" i="15"/>
  <c r="L106" i="15"/>
  <c r="G106" i="15" s="1"/>
  <c r="K106" i="15"/>
  <c r="I106" i="15"/>
  <c r="H106" i="15"/>
  <c r="AW105" i="15"/>
  <c r="AV105" i="15"/>
  <c r="L105" i="15"/>
  <c r="K105" i="15"/>
  <c r="I105" i="15"/>
  <c r="H105" i="15"/>
  <c r="G105" i="15"/>
  <c r="AW104" i="15"/>
  <c r="AV104" i="15"/>
  <c r="L104" i="15"/>
  <c r="K104" i="15"/>
  <c r="I104" i="15"/>
  <c r="H104" i="15"/>
  <c r="G104" i="15"/>
  <c r="AW103" i="15"/>
  <c r="AV103" i="15"/>
  <c r="L103" i="15"/>
  <c r="G103" i="15" s="1"/>
  <c r="K103" i="15"/>
  <c r="I103" i="15"/>
  <c r="H103" i="15"/>
  <c r="AW102" i="15"/>
  <c r="AV102" i="15"/>
  <c r="L102" i="15"/>
  <c r="K102" i="15"/>
  <c r="I102" i="15"/>
  <c r="H102" i="15"/>
  <c r="G102" i="15" s="1"/>
  <c r="AW101" i="15"/>
  <c r="AV101" i="15"/>
  <c r="L101" i="15"/>
  <c r="G101" i="15" s="1"/>
  <c r="K101" i="15"/>
  <c r="I101" i="15"/>
  <c r="H101" i="15"/>
  <c r="AW100" i="15"/>
  <c r="AV100" i="15"/>
  <c r="L100" i="15"/>
  <c r="G100" i="15" s="1"/>
  <c r="K100" i="15"/>
  <c r="I100" i="15"/>
  <c r="H100" i="15"/>
  <c r="AW99" i="15"/>
  <c r="AV99" i="15"/>
  <c r="L99" i="15"/>
  <c r="K99" i="15"/>
  <c r="I99" i="15"/>
  <c r="H99" i="15"/>
  <c r="G99" i="15"/>
  <c r="AW98" i="15"/>
  <c r="AV98" i="15"/>
  <c r="L98" i="15"/>
  <c r="K98" i="15"/>
  <c r="I98" i="15"/>
  <c r="H98" i="15"/>
  <c r="G98" i="15"/>
  <c r="AW97" i="15"/>
  <c r="AV97" i="15"/>
  <c r="L97" i="15"/>
  <c r="G97" i="15" s="1"/>
  <c r="K97" i="15"/>
  <c r="I97" i="15"/>
  <c r="H97" i="15"/>
  <c r="AW96" i="15"/>
  <c r="AV96" i="15"/>
  <c r="L96" i="15"/>
  <c r="K96" i="15"/>
  <c r="I96" i="15"/>
  <c r="H96" i="15"/>
  <c r="G96" i="15"/>
  <c r="AW95" i="15"/>
  <c r="AV95" i="15"/>
  <c r="AU95" i="15"/>
  <c r="AU96" i="15" s="1"/>
  <c r="AT95" i="15"/>
  <c r="AT96" i="15" s="1"/>
  <c r="AS95" i="15"/>
  <c r="AS96" i="15" s="1"/>
  <c r="L95" i="15"/>
  <c r="K95" i="15"/>
  <c r="I95" i="15"/>
  <c r="H95" i="15"/>
  <c r="G95" i="15"/>
  <c r="AW94" i="15"/>
  <c r="AV94" i="15"/>
  <c r="L94" i="15"/>
  <c r="K94" i="15"/>
  <c r="I94" i="15"/>
  <c r="H94" i="15"/>
  <c r="G94" i="15"/>
  <c r="AW93" i="15"/>
  <c r="AV93" i="15"/>
  <c r="L93" i="15"/>
  <c r="K93" i="15"/>
  <c r="I93" i="15"/>
  <c r="H93" i="15"/>
  <c r="G93" i="15"/>
  <c r="AW92" i="15"/>
  <c r="AV92" i="15"/>
  <c r="L92" i="15"/>
  <c r="K92" i="15"/>
  <c r="I92" i="15"/>
  <c r="H92" i="15"/>
  <c r="G92" i="15"/>
  <c r="AW91" i="15"/>
  <c r="AV91" i="15"/>
  <c r="L91" i="15"/>
  <c r="G91" i="15" s="1"/>
  <c r="K91" i="15"/>
  <c r="I91" i="15"/>
  <c r="H91" i="15"/>
  <c r="AW90" i="15"/>
  <c r="AV90" i="15"/>
  <c r="L90" i="15"/>
  <c r="K90" i="15"/>
  <c r="I90" i="15"/>
  <c r="H90" i="15"/>
  <c r="G90" i="15"/>
  <c r="AW89" i="15"/>
  <c r="AV89" i="15"/>
  <c r="L89" i="15"/>
  <c r="K89" i="15"/>
  <c r="I89" i="15"/>
  <c r="H89" i="15"/>
  <c r="G89" i="15"/>
  <c r="AW88" i="15"/>
  <c r="AV88" i="15"/>
  <c r="L88" i="15"/>
  <c r="G88" i="15" s="1"/>
  <c r="K88" i="15"/>
  <c r="I88" i="15"/>
  <c r="H88" i="15"/>
  <c r="AW87" i="15"/>
  <c r="AV87" i="15"/>
  <c r="L87" i="15"/>
  <c r="K87" i="15"/>
  <c r="I87" i="15"/>
  <c r="H87" i="15"/>
  <c r="G87" i="15"/>
  <c r="AW86" i="15"/>
  <c r="AV86" i="15"/>
  <c r="L86" i="15"/>
  <c r="K86" i="15"/>
  <c r="I86" i="15"/>
  <c r="H86" i="15"/>
  <c r="G86" i="15"/>
  <c r="AW85" i="15"/>
  <c r="AV85" i="15"/>
  <c r="L85" i="15"/>
  <c r="G85" i="15" s="1"/>
  <c r="K85" i="15"/>
  <c r="I85" i="15"/>
  <c r="H85" i="15"/>
  <c r="AW84" i="15"/>
  <c r="AV84" i="15"/>
  <c r="L84" i="15"/>
  <c r="K84" i="15"/>
  <c r="I84" i="15"/>
  <c r="H84" i="15"/>
  <c r="G84" i="15" s="1"/>
  <c r="AW83" i="15"/>
  <c r="AV83" i="15"/>
  <c r="L83" i="15"/>
  <c r="G83" i="15" s="1"/>
  <c r="K83" i="15"/>
  <c r="I83" i="15"/>
  <c r="H83" i="15"/>
  <c r="AW82" i="15"/>
  <c r="AV82" i="15"/>
  <c r="L82" i="15"/>
  <c r="G82" i="15" s="1"/>
  <c r="K82" i="15"/>
  <c r="I82" i="15"/>
  <c r="H82" i="15"/>
  <c r="AW81" i="15"/>
  <c r="AV81" i="15"/>
  <c r="L81" i="15"/>
  <c r="K81" i="15"/>
  <c r="I81" i="15"/>
  <c r="H81" i="15"/>
  <c r="G81" i="15"/>
  <c r="AW80" i="15"/>
  <c r="AV80" i="15"/>
  <c r="L80" i="15"/>
  <c r="K80" i="15"/>
  <c r="I80" i="15"/>
  <c r="H80" i="15"/>
  <c r="G80" i="15"/>
  <c r="AW79" i="15"/>
  <c r="AV79" i="15"/>
  <c r="L79" i="15"/>
  <c r="G79" i="15" s="1"/>
  <c r="K79" i="15"/>
  <c r="I79" i="15"/>
  <c r="H79" i="15"/>
  <c r="AW78" i="15"/>
  <c r="AV78" i="15"/>
  <c r="L78" i="15"/>
  <c r="K78" i="15"/>
  <c r="I78" i="15"/>
  <c r="H78" i="15"/>
  <c r="G78" i="15"/>
  <c r="AW77" i="15"/>
  <c r="AV77" i="15"/>
  <c r="L77" i="15"/>
  <c r="K77" i="15"/>
  <c r="I77" i="15"/>
  <c r="H77" i="15"/>
  <c r="G77" i="15"/>
  <c r="AW76" i="15"/>
  <c r="AV76" i="15"/>
  <c r="L76" i="15"/>
  <c r="G76" i="15" s="1"/>
  <c r="K76" i="15"/>
  <c r="I76" i="15"/>
  <c r="H76" i="15"/>
  <c r="AW75" i="15"/>
  <c r="AV75" i="15"/>
  <c r="L75" i="15"/>
  <c r="K75" i="15"/>
  <c r="I75" i="15"/>
  <c r="H75" i="15"/>
  <c r="G75" i="15"/>
  <c r="AW74" i="15"/>
  <c r="AV74" i="15"/>
  <c r="L74" i="15"/>
  <c r="K74" i="15"/>
  <c r="I74" i="15"/>
  <c r="H74" i="15"/>
  <c r="G74" i="15"/>
  <c r="AW73" i="15"/>
  <c r="AV73" i="15"/>
  <c r="L73" i="15"/>
  <c r="K73" i="15"/>
  <c r="I73" i="15"/>
  <c r="H73" i="15"/>
  <c r="G73" i="15"/>
  <c r="AW72" i="15"/>
  <c r="AV72" i="15"/>
  <c r="L72" i="15"/>
  <c r="G72" i="15" s="1"/>
  <c r="K72" i="15"/>
  <c r="I72" i="15"/>
  <c r="H72" i="15"/>
  <c r="AW71" i="15"/>
  <c r="AV71" i="15"/>
  <c r="L71" i="15"/>
  <c r="K71" i="15"/>
  <c r="I71" i="15"/>
  <c r="H71" i="15"/>
  <c r="G71" i="15"/>
  <c r="AW70" i="15"/>
  <c r="AV70" i="15"/>
  <c r="L70" i="15"/>
  <c r="K70" i="15"/>
  <c r="I70" i="15"/>
  <c r="H70" i="15"/>
  <c r="G70" i="15"/>
  <c r="AW69" i="15"/>
  <c r="AV69" i="15"/>
  <c r="L69" i="15"/>
  <c r="G69" i="15" s="1"/>
  <c r="K69" i="15"/>
  <c r="I69" i="15"/>
  <c r="H69" i="15"/>
  <c r="AW68" i="15"/>
  <c r="AV68" i="15"/>
  <c r="L68" i="15"/>
  <c r="K68" i="15"/>
  <c r="I68" i="15"/>
  <c r="H68" i="15"/>
  <c r="G68" i="15"/>
  <c r="AW67" i="15"/>
  <c r="AV67" i="15"/>
  <c r="L67" i="15"/>
  <c r="K67" i="15"/>
  <c r="I67" i="15"/>
  <c r="H67" i="15"/>
  <c r="G67" i="15"/>
  <c r="AW66" i="15"/>
  <c r="AV66" i="15"/>
  <c r="L66" i="15"/>
  <c r="G66" i="15" s="1"/>
  <c r="K66" i="15"/>
  <c r="I66" i="15"/>
  <c r="H66" i="15"/>
  <c r="AW65" i="15"/>
  <c r="AV65" i="15"/>
  <c r="L65" i="15"/>
  <c r="K65" i="15"/>
  <c r="I65" i="15"/>
  <c r="H65" i="15"/>
  <c r="G65" i="15"/>
  <c r="AW64" i="15"/>
  <c r="AV64" i="15"/>
  <c r="L64" i="15"/>
  <c r="K64" i="15"/>
  <c r="I64" i="15"/>
  <c r="H64" i="15"/>
  <c r="G64" i="15"/>
  <c r="AW63" i="15"/>
  <c r="AV63" i="15"/>
  <c r="L63" i="15"/>
  <c r="G63" i="15" s="1"/>
  <c r="K63" i="15"/>
  <c r="I63" i="15"/>
  <c r="H63" i="15"/>
  <c r="AW62" i="15"/>
  <c r="AV62" i="15"/>
  <c r="L62" i="15"/>
  <c r="K62" i="15"/>
  <c r="I62" i="15"/>
  <c r="H62" i="15"/>
  <c r="G62" i="15" s="1"/>
  <c r="AW61" i="15"/>
  <c r="AV61" i="15"/>
  <c r="L61" i="15"/>
  <c r="G61" i="15" s="1"/>
  <c r="K61" i="15"/>
  <c r="I61" i="15"/>
  <c r="H61" i="15"/>
  <c r="AW60" i="15"/>
  <c r="AV60" i="15"/>
  <c r="L60" i="15"/>
  <c r="G60" i="15" s="1"/>
  <c r="K60" i="15"/>
  <c r="I60" i="15"/>
  <c r="H60" i="15"/>
  <c r="AW59" i="15"/>
  <c r="AV59" i="15"/>
  <c r="L59" i="15"/>
  <c r="K59" i="15"/>
  <c r="I59" i="15"/>
  <c r="H59" i="15"/>
  <c r="G59" i="15"/>
  <c r="AW58" i="15"/>
  <c r="AV58" i="15"/>
  <c r="L58" i="15"/>
  <c r="K58" i="15"/>
  <c r="I58" i="15"/>
  <c r="H58" i="15"/>
  <c r="G58" i="15"/>
  <c r="AW57" i="15"/>
  <c r="AV57" i="15"/>
  <c r="L57" i="15"/>
  <c r="G57" i="15" s="1"/>
  <c r="K57" i="15"/>
  <c r="I57" i="15"/>
  <c r="H57" i="15"/>
  <c r="AW56" i="15"/>
  <c r="AV56" i="15"/>
  <c r="L56" i="15"/>
  <c r="K56" i="15"/>
  <c r="I56" i="15"/>
  <c r="H56" i="15"/>
  <c r="G56" i="15"/>
  <c r="AW55" i="15"/>
  <c r="AV55" i="15"/>
  <c r="L55" i="15"/>
  <c r="K55" i="15"/>
  <c r="I55" i="15"/>
  <c r="H55" i="15"/>
  <c r="G55" i="15"/>
  <c r="AW54" i="15"/>
  <c r="AV54" i="15"/>
  <c r="L54" i="15"/>
  <c r="G54" i="15" s="1"/>
  <c r="K54" i="15"/>
  <c r="I54" i="15"/>
  <c r="H54" i="15"/>
  <c r="AW53" i="15"/>
  <c r="AV53" i="15"/>
  <c r="L53" i="15"/>
  <c r="K53" i="15"/>
  <c r="I53" i="15"/>
  <c r="H53" i="15"/>
  <c r="G53" i="15"/>
  <c r="AW52" i="15"/>
  <c r="AV52" i="15"/>
  <c r="L52" i="15"/>
  <c r="K52" i="15"/>
  <c r="I52" i="15"/>
  <c r="H52" i="15"/>
  <c r="G52" i="15"/>
  <c r="AW51" i="15"/>
  <c r="AV51" i="15"/>
  <c r="L51" i="15"/>
  <c r="K51" i="15"/>
  <c r="I51" i="15"/>
  <c r="H51" i="15"/>
  <c r="G51" i="15"/>
  <c r="AW50" i="15"/>
  <c r="AV50" i="15"/>
  <c r="L50" i="15"/>
  <c r="G50" i="15" s="1"/>
  <c r="K50" i="15"/>
  <c r="I50" i="15"/>
  <c r="H50" i="15"/>
  <c r="AW49" i="15"/>
  <c r="AV49" i="15"/>
  <c r="L49" i="15"/>
  <c r="K49" i="15"/>
  <c r="I49" i="15"/>
  <c r="H49" i="15"/>
  <c r="G49" i="15"/>
  <c r="AW48" i="15"/>
  <c r="AV48" i="15"/>
  <c r="L48" i="15"/>
  <c r="K48" i="15"/>
  <c r="I48" i="15"/>
  <c r="H48" i="15"/>
  <c r="G48" i="15"/>
  <c r="AW47" i="15"/>
  <c r="AV47" i="15"/>
  <c r="L47" i="15"/>
  <c r="G47" i="15" s="1"/>
  <c r="K47" i="15"/>
  <c r="I47" i="15"/>
  <c r="H47" i="15"/>
  <c r="AW46" i="15"/>
  <c r="AV46" i="15"/>
  <c r="L46" i="15"/>
  <c r="K46" i="15"/>
  <c r="I46" i="15"/>
  <c r="H46" i="15"/>
  <c r="G46" i="15"/>
  <c r="AW45" i="15"/>
  <c r="AV45" i="15"/>
  <c r="L45" i="15"/>
  <c r="K45" i="15"/>
  <c r="I45" i="15"/>
  <c r="H45" i="15"/>
  <c r="G45" i="15"/>
  <c r="AW44" i="15"/>
  <c r="AV44" i="15"/>
  <c r="L44" i="15"/>
  <c r="G44" i="15" s="1"/>
  <c r="K44" i="15"/>
  <c r="I44" i="15"/>
  <c r="H44" i="15"/>
  <c r="AW43" i="15"/>
  <c r="AV43" i="15"/>
  <c r="L43" i="15"/>
  <c r="K43" i="15"/>
  <c r="I43" i="15"/>
  <c r="H43" i="15"/>
  <c r="G43" i="15"/>
  <c r="AW42" i="15"/>
  <c r="AV42" i="15"/>
  <c r="L42" i="15"/>
  <c r="K42" i="15"/>
  <c r="I42" i="15"/>
  <c r="H42" i="15"/>
  <c r="G42" i="15"/>
  <c r="AW41" i="15"/>
  <c r="AV41" i="15"/>
  <c r="L41" i="15"/>
  <c r="G41" i="15" s="1"/>
  <c r="K41" i="15"/>
  <c r="I41" i="15"/>
  <c r="H41" i="15"/>
  <c r="AW40" i="15"/>
  <c r="AV40" i="15"/>
  <c r="L40" i="15"/>
  <c r="K40" i="15"/>
  <c r="I40" i="15"/>
  <c r="H40" i="15"/>
  <c r="G40" i="15"/>
  <c r="AW39" i="15"/>
  <c r="AV39" i="15"/>
  <c r="L39" i="15"/>
  <c r="G39" i="15" s="1"/>
  <c r="K39" i="15"/>
  <c r="I39" i="15"/>
  <c r="H39" i="15"/>
  <c r="AW38" i="15"/>
  <c r="AV38" i="15"/>
  <c r="L38" i="15"/>
  <c r="G38" i="15" s="1"/>
  <c r="K38" i="15"/>
  <c r="I38" i="15"/>
  <c r="H38" i="15"/>
  <c r="AW37" i="15"/>
  <c r="AV37" i="15"/>
  <c r="L37" i="15"/>
  <c r="K37" i="15"/>
  <c r="I37" i="15"/>
  <c r="H37" i="15"/>
  <c r="G37" i="15"/>
  <c r="AW36" i="15"/>
  <c r="AV36" i="15"/>
  <c r="L36" i="15"/>
  <c r="K36" i="15"/>
  <c r="I36" i="15"/>
  <c r="H36" i="15"/>
  <c r="G36" i="15"/>
  <c r="AW35" i="15"/>
  <c r="AV35" i="15"/>
  <c r="L35" i="15"/>
  <c r="G35" i="15" s="1"/>
  <c r="K35" i="15"/>
  <c r="I35" i="15"/>
  <c r="H35" i="15"/>
  <c r="AW34" i="15"/>
  <c r="AV34" i="15"/>
  <c r="L34" i="15"/>
  <c r="K34" i="15"/>
  <c r="I34" i="15"/>
  <c r="H34" i="15"/>
  <c r="G34" i="15"/>
  <c r="AW33" i="15"/>
  <c r="AV33" i="15"/>
  <c r="L33" i="15"/>
  <c r="K33" i="15"/>
  <c r="I33" i="15"/>
  <c r="H33" i="15"/>
  <c r="G33" i="15"/>
  <c r="AW32" i="15"/>
  <c r="AV32" i="15"/>
  <c r="L32" i="15"/>
  <c r="G32" i="15" s="1"/>
  <c r="K32" i="15"/>
  <c r="I32" i="15"/>
  <c r="H32" i="15"/>
  <c r="AW31" i="15"/>
  <c r="AV31" i="15"/>
  <c r="L31" i="15"/>
  <c r="G31" i="15" s="1"/>
  <c r="K31" i="15"/>
  <c r="I31" i="15"/>
  <c r="H31" i="15"/>
  <c r="AW30" i="15"/>
  <c r="AV30" i="15"/>
  <c r="L30" i="15"/>
  <c r="K30" i="15"/>
  <c r="I30" i="15"/>
  <c r="H30" i="15"/>
  <c r="G30" i="15"/>
  <c r="AW29" i="15"/>
  <c r="AV29" i="15"/>
  <c r="L29" i="15"/>
  <c r="K29" i="15"/>
  <c r="I29" i="15"/>
  <c r="H29" i="15"/>
  <c r="G29" i="15"/>
  <c r="AW28" i="15"/>
  <c r="AV28" i="15"/>
  <c r="L28" i="15"/>
  <c r="G28" i="15" s="1"/>
  <c r="K28" i="15"/>
  <c r="I28" i="15"/>
  <c r="H28" i="15"/>
  <c r="AW27" i="15"/>
  <c r="AV27" i="15"/>
  <c r="L27" i="15"/>
  <c r="K27" i="15"/>
  <c r="I27" i="15"/>
  <c r="H27" i="15"/>
  <c r="G27" i="15"/>
  <c r="AW26" i="15"/>
  <c r="AV26" i="15"/>
  <c r="L26" i="15"/>
  <c r="K26" i="15"/>
  <c r="I26" i="15"/>
  <c r="H26" i="15"/>
  <c r="G26" i="15"/>
  <c r="AW25" i="15"/>
  <c r="AV25" i="15"/>
  <c r="L25" i="15"/>
  <c r="G25" i="15" s="1"/>
  <c r="K25" i="15"/>
  <c r="I25" i="15"/>
  <c r="H25" i="15"/>
  <c r="AW24" i="15"/>
  <c r="AV24" i="15"/>
  <c r="L24" i="15"/>
  <c r="K24" i="15"/>
  <c r="I24" i="15"/>
  <c r="H24" i="15"/>
  <c r="G24" i="15"/>
  <c r="AW23" i="15"/>
  <c r="AV23" i="15"/>
  <c r="L23" i="15"/>
  <c r="K23" i="15"/>
  <c r="I23" i="15"/>
  <c r="H23" i="15"/>
  <c r="G23" i="15"/>
  <c r="AW22" i="15"/>
  <c r="AV22" i="15"/>
  <c r="L22" i="15"/>
  <c r="G22" i="15" s="1"/>
  <c r="K22" i="15"/>
  <c r="I22" i="15"/>
  <c r="H22" i="15"/>
  <c r="AW21" i="15"/>
  <c r="AV21" i="15"/>
  <c r="L21" i="15"/>
  <c r="K21" i="15"/>
  <c r="I21" i="15"/>
  <c r="H21" i="15"/>
  <c r="G21" i="15"/>
  <c r="AW20" i="15"/>
  <c r="AV20" i="15"/>
  <c r="L20" i="15"/>
  <c r="K20" i="15"/>
  <c r="I20" i="15"/>
  <c r="H20" i="15"/>
  <c r="G20" i="15"/>
  <c r="AW19" i="15"/>
  <c r="AV19" i="15"/>
  <c r="L19" i="15"/>
  <c r="G19" i="15" s="1"/>
  <c r="K19" i="15"/>
  <c r="I19" i="15"/>
  <c r="H19" i="15"/>
  <c r="AW18" i="15"/>
  <c r="AV18" i="15"/>
  <c r="L18" i="15"/>
  <c r="K18" i="15"/>
  <c r="I18" i="15"/>
  <c r="H18" i="15"/>
  <c r="H849" i="15" s="1"/>
  <c r="G18" i="15"/>
  <c r="AW17" i="15"/>
  <c r="AV17" i="15"/>
  <c r="L17" i="15"/>
  <c r="G17" i="15" s="1"/>
  <c r="K17" i="15"/>
  <c r="I17" i="15"/>
  <c r="H17" i="15"/>
  <c r="AW16" i="15"/>
  <c r="AV16" i="15"/>
  <c r="L16" i="15"/>
  <c r="G16" i="15" s="1"/>
  <c r="K16" i="15"/>
  <c r="I16" i="15"/>
  <c r="H16" i="15"/>
  <c r="AW15" i="15"/>
  <c r="AV15" i="15"/>
  <c r="L15" i="15"/>
  <c r="K15" i="15"/>
  <c r="I15" i="15"/>
  <c r="H15" i="15"/>
  <c r="G15" i="15"/>
  <c r="AW14" i="15"/>
  <c r="AV14" i="15"/>
  <c r="L14" i="15"/>
  <c r="K14" i="15"/>
  <c r="I14" i="15"/>
  <c r="H14" i="15"/>
  <c r="G14" i="15"/>
  <c r="AW13" i="15"/>
  <c r="AV13" i="15"/>
  <c r="L13" i="15"/>
  <c r="G13" i="15" s="1"/>
  <c r="K13" i="15"/>
  <c r="I13" i="15"/>
  <c r="H13" i="15"/>
  <c r="AW12" i="15"/>
  <c r="AV12" i="15"/>
  <c r="L12" i="15"/>
  <c r="K12" i="15"/>
  <c r="I12" i="15"/>
  <c r="H12" i="15"/>
  <c r="G12" i="15"/>
  <c r="AW11" i="15"/>
  <c r="AV11" i="15"/>
  <c r="L11" i="15"/>
  <c r="K11" i="15"/>
  <c r="I11" i="15"/>
  <c r="H11" i="15"/>
  <c r="G11" i="15"/>
  <c r="AW10" i="15"/>
  <c r="AV10" i="15"/>
  <c r="L10" i="15"/>
  <c r="G10" i="15" s="1"/>
  <c r="K10" i="15"/>
  <c r="I10" i="15"/>
  <c r="H10" i="15"/>
  <c r="AW9" i="15"/>
  <c r="AV9" i="15"/>
  <c r="L9" i="15"/>
  <c r="G9" i="15" s="1"/>
  <c r="K9" i="15"/>
  <c r="I9" i="15"/>
  <c r="H9" i="15"/>
  <c r="AW8" i="15"/>
  <c r="AV8" i="15"/>
  <c r="L8" i="15"/>
  <c r="K8" i="15"/>
  <c r="I8" i="15"/>
  <c r="H8" i="15"/>
  <c r="G8" i="15"/>
  <c r="AW7" i="15"/>
  <c r="AV7" i="15"/>
  <c r="L7" i="15"/>
  <c r="K7" i="15"/>
  <c r="I7" i="15"/>
  <c r="H7" i="15"/>
  <c r="G7" i="15"/>
  <c r="AW6" i="15"/>
  <c r="AV6" i="15"/>
  <c r="L6" i="15"/>
  <c r="G6" i="15" s="1"/>
  <c r="K6" i="15"/>
  <c r="I6" i="15"/>
  <c r="H6" i="15"/>
  <c r="AW5" i="15"/>
  <c r="AV5" i="15"/>
  <c r="L5" i="15"/>
  <c r="K5" i="15"/>
  <c r="I5" i="15"/>
  <c r="H5" i="15"/>
  <c r="G5" i="15"/>
  <c r="AW4" i="15"/>
  <c r="AV4" i="15"/>
  <c r="AU4" i="15"/>
  <c r="AU5" i="15" s="1"/>
  <c r="AT4" i="15"/>
  <c r="AT5" i="15" s="1"/>
  <c r="AS4" i="15"/>
  <c r="AS5" i="15" s="1"/>
  <c r="AR4" i="15"/>
  <c r="L4" i="15"/>
  <c r="G4" i="15" s="1"/>
  <c r="K4" i="15"/>
  <c r="I4" i="15"/>
  <c r="H4" i="15"/>
  <c r="J383" i="1"/>
  <c r="H383" i="1"/>
  <c r="G383" i="1"/>
  <c r="J269" i="1"/>
  <c r="H269" i="1"/>
  <c r="G269" i="1"/>
  <c r="J263" i="1"/>
  <c r="H263" i="1"/>
  <c r="G263" i="1"/>
  <c r="J232" i="1"/>
  <c r="H232" i="1"/>
  <c r="G232" i="1"/>
  <c r="J218" i="1"/>
  <c r="H218" i="1"/>
  <c r="G218" i="1"/>
  <c r="J215" i="1"/>
  <c r="H215" i="1"/>
  <c r="G215" i="1"/>
  <c r="J206" i="1"/>
  <c r="H206" i="1"/>
  <c r="G206" i="1"/>
  <c r="J205" i="1"/>
  <c r="H205" i="1"/>
  <c r="G205" i="1"/>
  <c r="J372" i="1"/>
  <c r="H372" i="1"/>
  <c r="G372" i="1"/>
  <c r="J314" i="1"/>
  <c r="H314" i="1"/>
  <c r="G314" i="1"/>
  <c r="J312" i="1"/>
  <c r="H312" i="1"/>
  <c r="G312" i="1"/>
  <c r="J292" i="1"/>
  <c r="H292" i="1"/>
  <c r="G292" i="1"/>
  <c r="J286" i="1"/>
  <c r="H286" i="1"/>
  <c r="G286" i="1"/>
  <c r="J284" i="1"/>
  <c r="H284" i="1"/>
  <c r="G284" i="1"/>
  <c r="J283" i="1"/>
  <c r="H283" i="1"/>
  <c r="G283" i="1"/>
  <c r="J277" i="1"/>
  <c r="H277" i="1"/>
  <c r="G277" i="1"/>
  <c r="J273" i="1"/>
  <c r="H273" i="1"/>
  <c r="G273" i="1"/>
  <c r="J90" i="1"/>
  <c r="H90" i="1"/>
  <c r="G90" i="1"/>
  <c r="J87" i="1"/>
  <c r="H87" i="1"/>
  <c r="G87" i="1"/>
  <c r="J85" i="1"/>
  <c r="H85" i="1"/>
  <c r="G85" i="1"/>
  <c r="J82" i="1"/>
  <c r="H82" i="1"/>
  <c r="G82" i="1"/>
  <c r="J71" i="1"/>
  <c r="H71" i="1"/>
  <c r="G71" i="1"/>
  <c r="J69" i="1"/>
  <c r="H69" i="1"/>
  <c r="G69" i="1"/>
  <c r="J64" i="1"/>
  <c r="H64" i="1"/>
  <c r="G64" i="1"/>
  <c r="J55" i="1"/>
  <c r="H55" i="1"/>
  <c r="G55" i="1"/>
  <c r="J52" i="1"/>
  <c r="H52" i="1"/>
  <c r="G52" i="1"/>
  <c r="J46" i="1"/>
  <c r="H46" i="1"/>
  <c r="G46" i="1"/>
  <c r="J166" i="1"/>
  <c r="H166" i="1"/>
  <c r="G166" i="1"/>
  <c r="J160" i="1"/>
  <c r="H160" i="1"/>
  <c r="G160" i="1"/>
  <c r="J158" i="1"/>
  <c r="H158" i="1"/>
  <c r="G158" i="1"/>
  <c r="J157" i="1"/>
  <c r="H157" i="1"/>
  <c r="G157" i="1"/>
  <c r="J153" i="1"/>
  <c r="H153" i="1"/>
  <c r="G153" i="1"/>
  <c r="J134" i="1"/>
  <c r="H134" i="1"/>
  <c r="G134" i="1"/>
  <c r="F39" i="9" l="1"/>
  <c r="F36" i="9"/>
  <c r="F41" i="9"/>
  <c r="F40" i="9"/>
  <c r="F38" i="9"/>
  <c r="F37" i="9"/>
  <c r="F332" i="1"/>
  <c r="F334" i="1"/>
  <c r="AT765" i="1"/>
  <c r="F343" i="1"/>
  <c r="F354" i="1"/>
  <c r="F769" i="1"/>
  <c r="F767" i="1"/>
  <c r="F337" i="1"/>
  <c r="F348" i="1"/>
  <c r="F774" i="1"/>
  <c r="F776" i="1"/>
  <c r="F454" i="1"/>
  <c r="F764" i="1"/>
  <c r="F766" i="1"/>
  <c r="F773" i="1"/>
  <c r="F453" i="1"/>
  <c r="F345" i="1"/>
  <c r="F349" i="1"/>
  <c r="F339" i="1"/>
  <c r="F765" i="1"/>
  <c r="F344" i="1"/>
  <c r="F335" i="1"/>
  <c r="F770" i="1"/>
  <c r="F355" i="1"/>
  <c r="F351" i="1"/>
  <c r="F346" i="1"/>
  <c r="F341" i="1"/>
  <c r="F347" i="1"/>
  <c r="F338" i="1"/>
  <c r="F452" i="1"/>
  <c r="F771" i="1"/>
  <c r="F768" i="1"/>
  <c r="F775" i="1"/>
  <c r="F353" i="1"/>
  <c r="F455" i="1"/>
  <c r="F763" i="1"/>
  <c r="F340" i="1"/>
  <c r="F331" i="1"/>
  <c r="F342" i="1"/>
  <c r="F762" i="1"/>
  <c r="F772" i="1"/>
  <c r="F333" i="1"/>
  <c r="F350" i="1"/>
  <c r="F96" i="1"/>
  <c r="F97" i="1"/>
  <c r="G849" i="15"/>
  <c r="G1" i="15" s="1"/>
  <c r="L47" i="9" l="1"/>
  <c r="J47" i="9"/>
  <c r="H47" i="9"/>
  <c r="G47" i="9"/>
  <c r="F47" i="9" l="1"/>
  <c r="K209" i="1"/>
  <c r="J209" i="1"/>
  <c r="H209" i="1"/>
  <c r="G209" i="1"/>
  <c r="J208" i="1"/>
  <c r="H208" i="1"/>
  <c r="G208" i="1"/>
  <c r="J207" i="1"/>
  <c r="H207" i="1"/>
  <c r="G207" i="1"/>
  <c r="F209" i="1" l="1"/>
  <c r="K630" i="1" l="1"/>
  <c r="J630" i="1"/>
  <c r="H630" i="1"/>
  <c r="G630" i="1"/>
  <c r="K629" i="1"/>
  <c r="J629" i="1"/>
  <c r="H629" i="1"/>
  <c r="G629" i="1"/>
  <c r="K628" i="1"/>
  <c r="J628" i="1"/>
  <c r="H628" i="1"/>
  <c r="G628" i="1"/>
  <c r="K627" i="1"/>
  <c r="J627" i="1"/>
  <c r="H627" i="1"/>
  <c r="G627" i="1"/>
  <c r="K626" i="1"/>
  <c r="J626" i="1"/>
  <c r="H626" i="1"/>
  <c r="G626" i="1"/>
  <c r="K206" i="1"/>
  <c r="F206" i="1" s="1"/>
  <c r="K317" i="1"/>
  <c r="J317" i="1"/>
  <c r="H317" i="1"/>
  <c r="G317" i="1"/>
  <c r="K316" i="1"/>
  <c r="J316" i="1"/>
  <c r="H316" i="1"/>
  <c r="G316" i="1"/>
  <c r="K315" i="1"/>
  <c r="J315" i="1"/>
  <c r="H315" i="1"/>
  <c r="G315" i="1"/>
  <c r="K314" i="1"/>
  <c r="K313" i="1"/>
  <c r="J313" i="1"/>
  <c r="H313" i="1"/>
  <c r="G313" i="1"/>
  <c r="K160" i="1"/>
  <c r="K159" i="1"/>
  <c r="J159" i="1"/>
  <c r="H159" i="1"/>
  <c r="G159" i="1"/>
  <c r="K158" i="1"/>
  <c r="K157" i="1"/>
  <c r="K156" i="1"/>
  <c r="J156" i="1"/>
  <c r="H156" i="1"/>
  <c r="G156" i="1"/>
  <c r="K620" i="1"/>
  <c r="J620" i="1"/>
  <c r="H620" i="1"/>
  <c r="G620" i="1"/>
  <c r="K621" i="1"/>
  <c r="J621" i="1"/>
  <c r="H621" i="1"/>
  <c r="G621" i="1"/>
  <c r="K737" i="1"/>
  <c r="J737" i="1"/>
  <c r="H737" i="1"/>
  <c r="G737" i="1"/>
  <c r="K736" i="1"/>
  <c r="J736" i="1"/>
  <c r="H736" i="1"/>
  <c r="G736" i="1"/>
  <c r="K735" i="1"/>
  <c r="J735" i="1"/>
  <c r="H735" i="1"/>
  <c r="G735" i="1"/>
  <c r="L124" i="9"/>
  <c r="J124" i="9"/>
  <c r="H124" i="9"/>
  <c r="G124" i="9"/>
  <c r="K705" i="1"/>
  <c r="J705" i="1"/>
  <c r="H705" i="1"/>
  <c r="G705" i="1"/>
  <c r="K702" i="1"/>
  <c r="J702" i="1"/>
  <c r="H702" i="1"/>
  <c r="G702" i="1"/>
  <c r="K168" i="1"/>
  <c r="J168" i="1"/>
  <c r="H168" i="1"/>
  <c r="G168" i="1"/>
  <c r="K738" i="1"/>
  <c r="J738" i="1"/>
  <c r="H738" i="1"/>
  <c r="G738" i="1"/>
  <c r="K761" i="1"/>
  <c r="J761" i="1"/>
  <c r="H761" i="1"/>
  <c r="G761" i="1"/>
  <c r="K647" i="1"/>
  <c r="J647" i="1"/>
  <c r="H647" i="1"/>
  <c r="G647" i="1"/>
  <c r="K376" i="1"/>
  <c r="J376" i="1"/>
  <c r="H376" i="1"/>
  <c r="G376" i="1"/>
  <c r="G781" i="1"/>
  <c r="H781" i="1"/>
  <c r="J781" i="1"/>
  <c r="K781" i="1"/>
  <c r="K780" i="1"/>
  <c r="J780" i="1"/>
  <c r="H780" i="1"/>
  <c r="G780" i="1"/>
  <c r="K634" i="1"/>
  <c r="J634" i="1"/>
  <c r="H634" i="1"/>
  <c r="G634" i="1"/>
  <c r="K633" i="1"/>
  <c r="J633" i="1"/>
  <c r="H633" i="1"/>
  <c r="G633" i="1"/>
  <c r="K632" i="1"/>
  <c r="J632" i="1"/>
  <c r="H632" i="1"/>
  <c r="G632" i="1"/>
  <c r="K631" i="1"/>
  <c r="J631" i="1"/>
  <c r="H631" i="1"/>
  <c r="G631" i="1"/>
  <c r="L125" i="9"/>
  <c r="J125" i="9"/>
  <c r="H125" i="9"/>
  <c r="G125" i="9"/>
  <c r="K734" i="1"/>
  <c r="J734" i="1"/>
  <c r="H734" i="1"/>
  <c r="G734" i="1"/>
  <c r="K582" i="1"/>
  <c r="J582" i="1"/>
  <c r="H582" i="1"/>
  <c r="G582" i="1"/>
  <c r="K581" i="1"/>
  <c r="J581" i="1"/>
  <c r="H581" i="1"/>
  <c r="G581" i="1"/>
  <c r="K580" i="1"/>
  <c r="J580" i="1"/>
  <c r="H580" i="1"/>
  <c r="G580" i="1"/>
  <c r="K579" i="1"/>
  <c r="J579" i="1"/>
  <c r="H579" i="1"/>
  <c r="G579" i="1"/>
  <c r="K760" i="1"/>
  <c r="J760" i="1"/>
  <c r="H760" i="1"/>
  <c r="G760" i="1"/>
  <c r="K759" i="1"/>
  <c r="J759" i="1"/>
  <c r="H759" i="1"/>
  <c r="G759" i="1"/>
  <c r="L107" i="9"/>
  <c r="J107" i="9"/>
  <c r="H107" i="9"/>
  <c r="G107" i="9"/>
  <c r="K466" i="1"/>
  <c r="J466" i="1"/>
  <c r="H466" i="1"/>
  <c r="G466" i="1"/>
  <c r="K465" i="1"/>
  <c r="J465" i="1"/>
  <c r="H465" i="1"/>
  <c r="G465" i="1"/>
  <c r="K464" i="1"/>
  <c r="J464" i="1"/>
  <c r="H464" i="1"/>
  <c r="G464" i="1"/>
  <c r="K463" i="1"/>
  <c r="J463" i="1"/>
  <c r="H463" i="1"/>
  <c r="G463" i="1"/>
  <c r="K388" i="1"/>
  <c r="J388" i="1"/>
  <c r="H388" i="1"/>
  <c r="G388" i="1"/>
  <c r="K208" i="1"/>
  <c r="F208" i="1" s="1"/>
  <c r="K207" i="1"/>
  <c r="F207" i="1" s="1"/>
  <c r="K205" i="1"/>
  <c r="F205" i="1" s="1"/>
  <c r="K319" i="1"/>
  <c r="J319" i="1"/>
  <c r="H319" i="1"/>
  <c r="G319" i="1"/>
  <c r="K283" i="1"/>
  <c r="K282" i="1"/>
  <c r="J282" i="1"/>
  <c r="H282" i="1"/>
  <c r="G282" i="1"/>
  <c r="K281" i="1"/>
  <c r="J281" i="1"/>
  <c r="H281" i="1"/>
  <c r="G281" i="1"/>
  <c r="K280" i="1"/>
  <c r="J280" i="1"/>
  <c r="H280" i="1"/>
  <c r="G280" i="1"/>
  <c r="K279" i="1"/>
  <c r="J279" i="1"/>
  <c r="H279" i="1"/>
  <c r="G279" i="1"/>
  <c r="K278" i="1"/>
  <c r="J278" i="1"/>
  <c r="H278" i="1"/>
  <c r="G278" i="1"/>
  <c r="K277" i="1"/>
  <c r="K68" i="1"/>
  <c r="J68" i="1"/>
  <c r="H68" i="1"/>
  <c r="G68" i="1"/>
  <c r="K67" i="1"/>
  <c r="J67" i="1"/>
  <c r="H67" i="1"/>
  <c r="G67" i="1"/>
  <c r="K9" i="1"/>
  <c r="J9" i="1"/>
  <c r="H9" i="1"/>
  <c r="G9" i="1"/>
  <c r="K170" i="1"/>
  <c r="J170" i="1"/>
  <c r="H170" i="1"/>
  <c r="G170" i="1"/>
  <c r="K108" i="1"/>
  <c r="J108" i="1"/>
  <c r="H108" i="1"/>
  <c r="G108" i="1"/>
  <c r="K107" i="1"/>
  <c r="J107" i="1"/>
  <c r="H107" i="1"/>
  <c r="G107" i="1"/>
  <c r="K578" i="1"/>
  <c r="J578" i="1"/>
  <c r="H578" i="1"/>
  <c r="G578" i="1"/>
  <c r="L75" i="9"/>
  <c r="J75" i="9"/>
  <c r="H75" i="9"/>
  <c r="G75" i="9"/>
  <c r="K575" i="1"/>
  <c r="J575" i="1"/>
  <c r="H575" i="1"/>
  <c r="G575" i="1"/>
  <c r="K574" i="1"/>
  <c r="J574" i="1"/>
  <c r="H574" i="1"/>
  <c r="G574" i="1"/>
  <c r="K272" i="1"/>
  <c r="J272" i="1"/>
  <c r="H272" i="1"/>
  <c r="G272" i="1"/>
  <c r="K327" i="1"/>
  <c r="J327" i="1"/>
  <c r="H327" i="1"/>
  <c r="G327" i="1"/>
  <c r="K326" i="1"/>
  <c r="J326" i="1"/>
  <c r="H326" i="1"/>
  <c r="G326" i="1"/>
  <c r="L10" i="9"/>
  <c r="J10" i="9"/>
  <c r="H10" i="9"/>
  <c r="G10" i="9"/>
  <c r="F10" i="9" l="1"/>
  <c r="F107" i="9"/>
  <c r="F75" i="9"/>
  <c r="F124" i="9"/>
  <c r="F629" i="1"/>
  <c r="F630" i="1"/>
  <c r="F628" i="1"/>
  <c r="F627" i="1"/>
  <c r="F313" i="1"/>
  <c r="F626" i="1"/>
  <c r="F316" i="1"/>
  <c r="F315" i="1"/>
  <c r="F317" i="1"/>
  <c r="F314" i="1"/>
  <c r="F158" i="1"/>
  <c r="F159" i="1"/>
  <c r="F156" i="1"/>
  <c r="F160" i="1"/>
  <c r="F157" i="1"/>
  <c r="F620" i="1"/>
  <c r="F621" i="1"/>
  <c r="F736" i="1"/>
  <c r="F735" i="1"/>
  <c r="F737" i="1"/>
  <c r="F705" i="1"/>
  <c r="F702" i="1"/>
  <c r="F168" i="1"/>
  <c r="F738" i="1"/>
  <c r="F761" i="1"/>
  <c r="F647" i="1"/>
  <c r="F376" i="1"/>
  <c r="F781" i="1"/>
  <c r="F780" i="1"/>
  <c r="F632" i="1"/>
  <c r="F631" i="1"/>
  <c r="F633" i="1"/>
  <c r="F634" i="1"/>
  <c r="F125" i="9"/>
  <c r="F734" i="1"/>
  <c r="F580" i="1"/>
  <c r="F581" i="1"/>
  <c r="F579" i="1"/>
  <c r="F759" i="1"/>
  <c r="F582" i="1"/>
  <c r="F760" i="1"/>
  <c r="F466" i="1"/>
  <c r="F465" i="1"/>
  <c r="F464" i="1"/>
  <c r="F463" i="1"/>
  <c r="F388" i="1"/>
  <c r="F283" i="1"/>
  <c r="F277" i="1"/>
  <c r="F319" i="1"/>
  <c r="F280" i="1"/>
  <c r="F282" i="1"/>
  <c r="F281" i="1"/>
  <c r="F170" i="1"/>
  <c r="F278" i="1"/>
  <c r="F279" i="1"/>
  <c r="F107" i="1"/>
  <c r="F108" i="1"/>
  <c r="F67" i="1"/>
  <c r="F68" i="1"/>
  <c r="F9" i="1"/>
  <c r="F574" i="1"/>
  <c r="F578" i="1"/>
  <c r="F575" i="1"/>
  <c r="F272" i="1"/>
  <c r="F327" i="1"/>
  <c r="F326" i="1"/>
  <c r="G135" i="1" l="1"/>
  <c r="H135" i="1"/>
  <c r="J135" i="1"/>
  <c r="K135" i="1"/>
  <c r="G136" i="1"/>
  <c r="H136" i="1"/>
  <c r="J136" i="1"/>
  <c r="K136" i="1"/>
  <c r="G137" i="1"/>
  <c r="H137" i="1"/>
  <c r="J137" i="1"/>
  <c r="K137" i="1"/>
  <c r="G138" i="1"/>
  <c r="H138" i="1"/>
  <c r="J138" i="1"/>
  <c r="K138" i="1"/>
  <c r="G139" i="1"/>
  <c r="H139" i="1"/>
  <c r="J139" i="1"/>
  <c r="K139" i="1"/>
  <c r="G140" i="1"/>
  <c r="H140" i="1"/>
  <c r="J140" i="1"/>
  <c r="K140" i="1"/>
  <c r="G141" i="1"/>
  <c r="H141" i="1"/>
  <c r="J141" i="1"/>
  <c r="K141" i="1"/>
  <c r="G142" i="1"/>
  <c r="H142" i="1"/>
  <c r="J142" i="1"/>
  <c r="K142" i="1"/>
  <c r="G143" i="1"/>
  <c r="H143" i="1"/>
  <c r="J143" i="1"/>
  <c r="K143" i="1"/>
  <c r="G144" i="1"/>
  <c r="H144" i="1"/>
  <c r="J144" i="1"/>
  <c r="K144" i="1"/>
  <c r="G145" i="1"/>
  <c r="H145" i="1"/>
  <c r="J145" i="1"/>
  <c r="K145" i="1"/>
  <c r="G146" i="1"/>
  <c r="H146" i="1"/>
  <c r="J146" i="1"/>
  <c r="K146" i="1"/>
  <c r="G147" i="1"/>
  <c r="H147" i="1"/>
  <c r="J147" i="1"/>
  <c r="K147" i="1"/>
  <c r="G148" i="1"/>
  <c r="H148" i="1"/>
  <c r="J148" i="1"/>
  <c r="K148" i="1"/>
  <c r="G149" i="1"/>
  <c r="H149" i="1"/>
  <c r="J149" i="1"/>
  <c r="K149" i="1"/>
  <c r="G150" i="1"/>
  <c r="H150" i="1"/>
  <c r="J150" i="1"/>
  <c r="K150" i="1"/>
  <c r="G151" i="1"/>
  <c r="H151" i="1"/>
  <c r="J151" i="1"/>
  <c r="K151" i="1"/>
  <c r="G152" i="1"/>
  <c r="H152" i="1"/>
  <c r="J152" i="1"/>
  <c r="K152" i="1"/>
  <c r="K153" i="1"/>
  <c r="G154" i="1"/>
  <c r="H154" i="1"/>
  <c r="J154" i="1"/>
  <c r="K154" i="1"/>
  <c r="G155" i="1"/>
  <c r="H155" i="1"/>
  <c r="J155" i="1"/>
  <c r="K155" i="1"/>
  <c r="G161" i="1"/>
  <c r="H161" i="1"/>
  <c r="J161" i="1"/>
  <c r="K161" i="1"/>
  <c r="G162" i="1"/>
  <c r="H162" i="1"/>
  <c r="J162" i="1"/>
  <c r="K162" i="1"/>
  <c r="G163" i="1"/>
  <c r="H163" i="1"/>
  <c r="J163" i="1"/>
  <c r="K163" i="1"/>
  <c r="G164" i="1"/>
  <c r="H164" i="1"/>
  <c r="J164" i="1"/>
  <c r="K164" i="1"/>
  <c r="G165" i="1"/>
  <c r="H165" i="1"/>
  <c r="J165" i="1"/>
  <c r="K165" i="1"/>
  <c r="K166" i="1"/>
  <c r="G167" i="1"/>
  <c r="H167" i="1"/>
  <c r="J167" i="1"/>
  <c r="K167" i="1"/>
  <c r="G169" i="1"/>
  <c r="H169" i="1"/>
  <c r="J169" i="1"/>
  <c r="K169" i="1"/>
  <c r="G171" i="1"/>
  <c r="H171" i="1"/>
  <c r="J171" i="1"/>
  <c r="K171" i="1"/>
  <c r="G172" i="1"/>
  <c r="H172" i="1"/>
  <c r="J172" i="1"/>
  <c r="K172" i="1"/>
  <c r="G173" i="1"/>
  <c r="H173" i="1"/>
  <c r="J173" i="1"/>
  <c r="K173" i="1"/>
  <c r="G174" i="1"/>
  <c r="H174" i="1"/>
  <c r="J174" i="1"/>
  <c r="K174" i="1"/>
  <c r="G175" i="1"/>
  <c r="H175" i="1"/>
  <c r="J175" i="1"/>
  <c r="K175" i="1"/>
  <c r="G176" i="1"/>
  <c r="H176" i="1"/>
  <c r="J176" i="1"/>
  <c r="K176" i="1"/>
  <c r="G177" i="1"/>
  <c r="H177" i="1"/>
  <c r="J177" i="1"/>
  <c r="K177" i="1"/>
  <c r="G178" i="1"/>
  <c r="H178" i="1"/>
  <c r="J178" i="1"/>
  <c r="K178" i="1"/>
  <c r="G179" i="1"/>
  <c r="H179" i="1"/>
  <c r="J179" i="1"/>
  <c r="K179" i="1"/>
  <c r="G180" i="1"/>
  <c r="H180" i="1"/>
  <c r="J180" i="1"/>
  <c r="K180" i="1"/>
  <c r="G181" i="1"/>
  <c r="H181" i="1"/>
  <c r="J181" i="1"/>
  <c r="K181" i="1"/>
  <c r="G182" i="1"/>
  <c r="H182" i="1"/>
  <c r="J182" i="1"/>
  <c r="K182" i="1"/>
  <c r="G183" i="1"/>
  <c r="H183" i="1"/>
  <c r="J183" i="1"/>
  <c r="K183" i="1"/>
  <c r="G184" i="1"/>
  <c r="H184" i="1"/>
  <c r="J184" i="1"/>
  <c r="K184" i="1"/>
  <c r="G4" i="1"/>
  <c r="H4" i="1"/>
  <c r="J4" i="1"/>
  <c r="K4" i="1"/>
  <c r="G5" i="1"/>
  <c r="H5" i="1"/>
  <c r="J5" i="1"/>
  <c r="K5" i="1"/>
  <c r="G6" i="1"/>
  <c r="H6" i="1"/>
  <c r="J6" i="1"/>
  <c r="K6" i="1"/>
  <c r="G7" i="1"/>
  <c r="H7" i="1"/>
  <c r="J7" i="1"/>
  <c r="K7" i="1"/>
  <c r="G8" i="1"/>
  <c r="H8" i="1"/>
  <c r="J8" i="1"/>
  <c r="K8" i="1"/>
  <c r="G10" i="1"/>
  <c r="H10" i="1"/>
  <c r="J10" i="1"/>
  <c r="K10" i="1"/>
  <c r="G11" i="1"/>
  <c r="H11" i="1"/>
  <c r="J11" i="1"/>
  <c r="K11" i="1"/>
  <c r="G12" i="1"/>
  <c r="H12" i="1"/>
  <c r="J12" i="1"/>
  <c r="K12" i="1"/>
  <c r="G13" i="1"/>
  <c r="H13" i="1"/>
  <c r="J13" i="1"/>
  <c r="K13" i="1"/>
  <c r="G14" i="1"/>
  <c r="H14" i="1"/>
  <c r="J14" i="1"/>
  <c r="K14" i="1"/>
  <c r="G15" i="1"/>
  <c r="H15" i="1"/>
  <c r="J15" i="1"/>
  <c r="K15" i="1"/>
  <c r="G16" i="1"/>
  <c r="H16" i="1"/>
  <c r="J16" i="1"/>
  <c r="K16" i="1"/>
  <c r="G17" i="1"/>
  <c r="H17" i="1"/>
  <c r="J17" i="1"/>
  <c r="K17" i="1"/>
  <c r="G18" i="1"/>
  <c r="H18" i="1"/>
  <c r="J18" i="1"/>
  <c r="K18" i="1"/>
  <c r="G19" i="1"/>
  <c r="H19" i="1"/>
  <c r="J19" i="1"/>
  <c r="K19" i="1"/>
  <c r="G20" i="1"/>
  <c r="H20" i="1"/>
  <c r="J20" i="1"/>
  <c r="K20" i="1"/>
  <c r="G21" i="1"/>
  <c r="H21" i="1"/>
  <c r="J21" i="1"/>
  <c r="K21" i="1"/>
  <c r="G22" i="1"/>
  <c r="H22" i="1"/>
  <c r="J22" i="1"/>
  <c r="K22" i="1"/>
  <c r="G23" i="1"/>
  <c r="H23" i="1"/>
  <c r="J23" i="1"/>
  <c r="K23" i="1"/>
  <c r="G24" i="1"/>
  <c r="H24" i="1"/>
  <c r="J24" i="1"/>
  <c r="K24" i="1"/>
  <c r="G25" i="1"/>
  <c r="H25" i="1"/>
  <c r="J25" i="1"/>
  <c r="K25" i="1"/>
  <c r="G26" i="1"/>
  <c r="H26" i="1"/>
  <c r="J26" i="1"/>
  <c r="K26" i="1"/>
  <c r="G27" i="1"/>
  <c r="H27" i="1"/>
  <c r="J27" i="1"/>
  <c r="K27" i="1"/>
  <c r="G28" i="1"/>
  <c r="H28" i="1"/>
  <c r="J28" i="1"/>
  <c r="K28" i="1"/>
  <c r="G29" i="1"/>
  <c r="H29" i="1"/>
  <c r="J29" i="1"/>
  <c r="K29" i="1"/>
  <c r="G30" i="1"/>
  <c r="H30" i="1"/>
  <c r="J30" i="1"/>
  <c r="K30" i="1"/>
  <c r="G31" i="1"/>
  <c r="H31" i="1"/>
  <c r="J31" i="1"/>
  <c r="K31" i="1"/>
  <c r="G32" i="1"/>
  <c r="H32" i="1"/>
  <c r="J32" i="1"/>
  <c r="K32" i="1"/>
  <c r="G33" i="1"/>
  <c r="H33" i="1"/>
  <c r="J33" i="1"/>
  <c r="K33" i="1"/>
  <c r="G34" i="1"/>
  <c r="H34" i="1"/>
  <c r="J34" i="1"/>
  <c r="K34" i="1"/>
  <c r="G35" i="1"/>
  <c r="H35" i="1"/>
  <c r="J35" i="1"/>
  <c r="K35" i="1"/>
  <c r="G36" i="1"/>
  <c r="H36" i="1"/>
  <c r="J36" i="1"/>
  <c r="K36" i="1"/>
  <c r="G37" i="1"/>
  <c r="H37" i="1"/>
  <c r="J37" i="1"/>
  <c r="K37" i="1"/>
  <c r="G38" i="1"/>
  <c r="H38" i="1"/>
  <c r="J38" i="1"/>
  <c r="K38" i="1"/>
  <c r="G39" i="1"/>
  <c r="H39" i="1"/>
  <c r="J39" i="1"/>
  <c r="K39" i="1"/>
  <c r="G40" i="1"/>
  <c r="H40" i="1"/>
  <c r="J40" i="1"/>
  <c r="K40" i="1"/>
  <c r="G41" i="1"/>
  <c r="H41" i="1"/>
  <c r="J41" i="1"/>
  <c r="K41" i="1"/>
  <c r="G42" i="1"/>
  <c r="H42" i="1"/>
  <c r="J42" i="1"/>
  <c r="K42" i="1"/>
  <c r="G43" i="1"/>
  <c r="H43" i="1"/>
  <c r="J43" i="1"/>
  <c r="K43" i="1"/>
  <c r="G44" i="1"/>
  <c r="H44" i="1"/>
  <c r="J44" i="1"/>
  <c r="K44" i="1"/>
  <c r="G45" i="1"/>
  <c r="H45" i="1"/>
  <c r="J45" i="1"/>
  <c r="K45" i="1"/>
  <c r="K46" i="1"/>
  <c r="G47" i="1"/>
  <c r="H47" i="1"/>
  <c r="J47" i="1"/>
  <c r="K47" i="1"/>
  <c r="G48" i="1"/>
  <c r="H48" i="1"/>
  <c r="J48" i="1"/>
  <c r="K48" i="1"/>
  <c r="G49" i="1"/>
  <c r="H49" i="1"/>
  <c r="J49" i="1"/>
  <c r="K49" i="1"/>
  <c r="G50" i="1"/>
  <c r="H50" i="1"/>
  <c r="J50" i="1"/>
  <c r="K50" i="1"/>
  <c r="G51" i="1"/>
  <c r="H51" i="1"/>
  <c r="J51" i="1"/>
  <c r="K51" i="1"/>
  <c r="K52" i="1"/>
  <c r="G53" i="1"/>
  <c r="H53" i="1"/>
  <c r="J53" i="1"/>
  <c r="K53" i="1"/>
  <c r="G54" i="1"/>
  <c r="H54" i="1"/>
  <c r="J54" i="1"/>
  <c r="K54" i="1"/>
  <c r="K55" i="1"/>
  <c r="G56" i="1"/>
  <c r="H56" i="1"/>
  <c r="J56" i="1"/>
  <c r="K56" i="1"/>
  <c r="G57" i="1"/>
  <c r="H57" i="1"/>
  <c r="J57" i="1"/>
  <c r="K57" i="1"/>
  <c r="G58" i="1"/>
  <c r="H58" i="1"/>
  <c r="J58" i="1"/>
  <c r="K58" i="1"/>
  <c r="G59" i="1"/>
  <c r="H59" i="1"/>
  <c r="J59" i="1"/>
  <c r="K59" i="1"/>
  <c r="G60" i="1"/>
  <c r="H60" i="1"/>
  <c r="J60" i="1"/>
  <c r="K60" i="1"/>
  <c r="G61" i="1"/>
  <c r="H61" i="1"/>
  <c r="J61" i="1"/>
  <c r="K61" i="1"/>
  <c r="G62" i="1"/>
  <c r="H62" i="1"/>
  <c r="J62" i="1"/>
  <c r="K62" i="1"/>
  <c r="G63" i="1"/>
  <c r="H63" i="1"/>
  <c r="J63" i="1"/>
  <c r="K63" i="1"/>
  <c r="K64" i="1"/>
  <c r="G65" i="1"/>
  <c r="H65" i="1"/>
  <c r="J65" i="1"/>
  <c r="K65" i="1"/>
  <c r="G66" i="1"/>
  <c r="H66" i="1"/>
  <c r="J66" i="1"/>
  <c r="K66" i="1"/>
  <c r="K69" i="1"/>
  <c r="G70" i="1"/>
  <c r="H70" i="1"/>
  <c r="J70" i="1"/>
  <c r="K70" i="1"/>
  <c r="K71" i="1"/>
  <c r="G72" i="1"/>
  <c r="H72" i="1"/>
  <c r="J72" i="1"/>
  <c r="K72" i="1"/>
  <c r="G73" i="1"/>
  <c r="H73" i="1"/>
  <c r="J73" i="1"/>
  <c r="K73" i="1"/>
  <c r="G74" i="1"/>
  <c r="H74" i="1"/>
  <c r="J74" i="1"/>
  <c r="K74" i="1"/>
  <c r="G75" i="1"/>
  <c r="H75" i="1"/>
  <c r="J75" i="1"/>
  <c r="K75" i="1"/>
  <c r="G76" i="1"/>
  <c r="H76" i="1"/>
  <c r="J76" i="1"/>
  <c r="K76" i="1"/>
  <c r="G77" i="1"/>
  <c r="H77" i="1"/>
  <c r="J77" i="1"/>
  <c r="K77" i="1"/>
  <c r="G78" i="1"/>
  <c r="H78" i="1"/>
  <c r="J78" i="1"/>
  <c r="K78" i="1"/>
  <c r="G79" i="1"/>
  <c r="H79" i="1"/>
  <c r="J79" i="1"/>
  <c r="K79" i="1"/>
  <c r="G80" i="1"/>
  <c r="H80" i="1"/>
  <c r="J80" i="1"/>
  <c r="K80" i="1"/>
  <c r="G81" i="1"/>
  <c r="H81" i="1"/>
  <c r="J81" i="1"/>
  <c r="K81" i="1"/>
  <c r="K82" i="1"/>
  <c r="G83" i="1"/>
  <c r="H83" i="1"/>
  <c r="J83" i="1"/>
  <c r="K83" i="1"/>
  <c r="G84" i="1"/>
  <c r="H84" i="1"/>
  <c r="J84" i="1"/>
  <c r="K84" i="1"/>
  <c r="K85" i="1"/>
  <c r="G86" i="1"/>
  <c r="H86" i="1"/>
  <c r="J86" i="1"/>
  <c r="K86" i="1"/>
  <c r="K87" i="1"/>
  <c r="G88" i="1"/>
  <c r="H88" i="1"/>
  <c r="J88" i="1"/>
  <c r="K88" i="1"/>
  <c r="G89" i="1"/>
  <c r="H89" i="1"/>
  <c r="J89" i="1"/>
  <c r="K89" i="1"/>
  <c r="K90" i="1"/>
  <c r="G91" i="1"/>
  <c r="H91" i="1"/>
  <c r="J91" i="1"/>
  <c r="K91" i="1"/>
  <c r="G92" i="1"/>
  <c r="H92" i="1"/>
  <c r="J92" i="1"/>
  <c r="K92" i="1"/>
  <c r="G93" i="1"/>
  <c r="H93" i="1"/>
  <c r="J93" i="1"/>
  <c r="K93" i="1"/>
  <c r="G94" i="1"/>
  <c r="H94" i="1"/>
  <c r="J94" i="1"/>
  <c r="K94" i="1"/>
  <c r="G95" i="1"/>
  <c r="H95" i="1"/>
  <c r="J95" i="1"/>
  <c r="K95" i="1"/>
  <c r="G98" i="1"/>
  <c r="H98" i="1"/>
  <c r="J98" i="1"/>
  <c r="K98" i="1"/>
  <c r="G99" i="1"/>
  <c r="H99" i="1"/>
  <c r="J99" i="1"/>
  <c r="K99" i="1"/>
  <c r="G185" i="1"/>
  <c r="H185" i="1"/>
  <c r="J185" i="1"/>
  <c r="K185" i="1"/>
  <c r="G186" i="1"/>
  <c r="H186" i="1"/>
  <c r="J186" i="1"/>
  <c r="K186" i="1"/>
  <c r="G187" i="1"/>
  <c r="H187" i="1"/>
  <c r="J187" i="1"/>
  <c r="K187" i="1"/>
  <c r="G188" i="1"/>
  <c r="H188" i="1"/>
  <c r="J188" i="1"/>
  <c r="K188" i="1"/>
  <c r="G189" i="1"/>
  <c r="H189" i="1"/>
  <c r="J189" i="1"/>
  <c r="K189" i="1"/>
  <c r="G190" i="1"/>
  <c r="H190" i="1"/>
  <c r="J190" i="1"/>
  <c r="K190" i="1"/>
  <c r="G191" i="1"/>
  <c r="H191" i="1"/>
  <c r="J191" i="1"/>
  <c r="K191" i="1"/>
  <c r="F191" i="1" s="1"/>
  <c r="G192" i="1"/>
  <c r="H192" i="1"/>
  <c r="J192" i="1"/>
  <c r="K192" i="1"/>
  <c r="G193" i="1"/>
  <c r="H193" i="1"/>
  <c r="J193" i="1"/>
  <c r="K193" i="1"/>
  <c r="G194" i="1"/>
  <c r="H194" i="1"/>
  <c r="J194" i="1"/>
  <c r="K194" i="1"/>
  <c r="G195" i="1"/>
  <c r="H195" i="1"/>
  <c r="J195" i="1"/>
  <c r="K195" i="1"/>
  <c r="G196" i="1"/>
  <c r="H196" i="1"/>
  <c r="J196" i="1"/>
  <c r="K196" i="1"/>
  <c r="G197" i="1"/>
  <c r="H197" i="1"/>
  <c r="J197" i="1"/>
  <c r="K197" i="1"/>
  <c r="G198" i="1"/>
  <c r="H198" i="1"/>
  <c r="J198" i="1"/>
  <c r="K198" i="1"/>
  <c r="G199" i="1"/>
  <c r="H199" i="1"/>
  <c r="J199" i="1"/>
  <c r="K199" i="1"/>
  <c r="G200" i="1"/>
  <c r="H200" i="1"/>
  <c r="J200" i="1"/>
  <c r="K200" i="1"/>
  <c r="K273" i="1"/>
  <c r="G274" i="1"/>
  <c r="H274" i="1"/>
  <c r="J274" i="1"/>
  <c r="K274" i="1"/>
  <c r="G275" i="1"/>
  <c r="H275" i="1"/>
  <c r="J275" i="1"/>
  <c r="K275" i="1"/>
  <c r="G276" i="1"/>
  <c r="H276" i="1"/>
  <c r="J276" i="1"/>
  <c r="K276" i="1"/>
  <c r="K284" i="1"/>
  <c r="G285" i="1"/>
  <c r="H285" i="1"/>
  <c r="J285" i="1"/>
  <c r="K285" i="1"/>
  <c r="K286" i="1"/>
  <c r="G287" i="1"/>
  <c r="H287" i="1"/>
  <c r="J287" i="1"/>
  <c r="K287" i="1"/>
  <c r="G288" i="1"/>
  <c r="H288" i="1"/>
  <c r="J288" i="1"/>
  <c r="K288" i="1"/>
  <c r="G289" i="1"/>
  <c r="H289" i="1"/>
  <c r="J289" i="1"/>
  <c r="K289" i="1"/>
  <c r="G290" i="1"/>
  <c r="H290" i="1"/>
  <c r="J290" i="1"/>
  <c r="K290" i="1"/>
  <c r="G291" i="1"/>
  <c r="H291" i="1"/>
  <c r="J291" i="1"/>
  <c r="K291" i="1"/>
  <c r="K292" i="1"/>
  <c r="G293" i="1"/>
  <c r="H293" i="1"/>
  <c r="J293" i="1"/>
  <c r="K293" i="1"/>
  <c r="G294" i="1"/>
  <c r="H294" i="1"/>
  <c r="J294" i="1"/>
  <c r="K294" i="1"/>
  <c r="G295" i="1"/>
  <c r="H295" i="1"/>
  <c r="J295" i="1"/>
  <c r="K295" i="1"/>
  <c r="G296" i="1"/>
  <c r="H296" i="1"/>
  <c r="J296" i="1"/>
  <c r="K296" i="1"/>
  <c r="G297" i="1"/>
  <c r="H297" i="1"/>
  <c r="J297" i="1"/>
  <c r="K297" i="1"/>
  <c r="G298" i="1"/>
  <c r="H298" i="1"/>
  <c r="J298" i="1"/>
  <c r="K298" i="1"/>
  <c r="G299" i="1"/>
  <c r="H299" i="1"/>
  <c r="J299" i="1"/>
  <c r="K299" i="1"/>
  <c r="G300" i="1"/>
  <c r="H300" i="1"/>
  <c r="J300" i="1"/>
  <c r="K300" i="1"/>
  <c r="G301" i="1"/>
  <c r="H301" i="1"/>
  <c r="J301" i="1"/>
  <c r="K301" i="1"/>
  <c r="G302" i="1"/>
  <c r="H302" i="1"/>
  <c r="J302" i="1"/>
  <c r="K302" i="1"/>
  <c r="G303" i="1"/>
  <c r="H303" i="1"/>
  <c r="J303" i="1"/>
  <c r="K303" i="1"/>
  <c r="G304" i="1"/>
  <c r="H304" i="1"/>
  <c r="J304" i="1"/>
  <c r="K304" i="1"/>
  <c r="G305" i="1"/>
  <c r="H305" i="1"/>
  <c r="J305" i="1"/>
  <c r="K305" i="1"/>
  <c r="G306" i="1"/>
  <c r="H306" i="1"/>
  <c r="J306" i="1"/>
  <c r="K306" i="1"/>
  <c r="G307" i="1"/>
  <c r="H307" i="1"/>
  <c r="J307" i="1"/>
  <c r="K307" i="1"/>
  <c r="G308" i="1"/>
  <c r="H308" i="1"/>
  <c r="J308" i="1"/>
  <c r="K308" i="1"/>
  <c r="G309" i="1"/>
  <c r="H309" i="1"/>
  <c r="J309" i="1"/>
  <c r="K309" i="1"/>
  <c r="G310" i="1"/>
  <c r="H310" i="1"/>
  <c r="J310" i="1"/>
  <c r="K310" i="1"/>
  <c r="G311" i="1"/>
  <c r="H311" i="1"/>
  <c r="J311" i="1"/>
  <c r="K311" i="1"/>
  <c r="K312" i="1"/>
  <c r="G318" i="1"/>
  <c r="H318" i="1"/>
  <c r="J318" i="1"/>
  <c r="K318" i="1"/>
  <c r="G320" i="1"/>
  <c r="H320" i="1"/>
  <c r="J320" i="1"/>
  <c r="K320" i="1"/>
  <c r="G321" i="1"/>
  <c r="H321" i="1"/>
  <c r="J321" i="1"/>
  <c r="K321" i="1"/>
  <c r="G322" i="1"/>
  <c r="H322" i="1"/>
  <c r="J322" i="1"/>
  <c r="K322" i="1"/>
  <c r="G323" i="1"/>
  <c r="H323" i="1"/>
  <c r="J323" i="1"/>
  <c r="K323" i="1"/>
  <c r="G324" i="1"/>
  <c r="H324" i="1"/>
  <c r="J324" i="1"/>
  <c r="K324" i="1"/>
  <c r="G325" i="1"/>
  <c r="H325" i="1"/>
  <c r="J325" i="1"/>
  <c r="K325" i="1"/>
  <c r="G328" i="1"/>
  <c r="H328" i="1"/>
  <c r="J328" i="1"/>
  <c r="K328" i="1"/>
  <c r="G329" i="1"/>
  <c r="H329" i="1"/>
  <c r="J329" i="1"/>
  <c r="K329" i="1"/>
  <c r="G330" i="1"/>
  <c r="H330" i="1"/>
  <c r="J330" i="1"/>
  <c r="K330" i="1"/>
  <c r="G356" i="1"/>
  <c r="H356" i="1"/>
  <c r="J356" i="1"/>
  <c r="K356" i="1"/>
  <c r="G357" i="1"/>
  <c r="H357" i="1"/>
  <c r="J357" i="1"/>
  <c r="K357" i="1"/>
  <c r="G358" i="1"/>
  <c r="H358" i="1"/>
  <c r="J358" i="1"/>
  <c r="K358" i="1"/>
  <c r="G359" i="1"/>
  <c r="H359" i="1"/>
  <c r="J359" i="1"/>
  <c r="K359" i="1"/>
  <c r="G360" i="1"/>
  <c r="H360" i="1"/>
  <c r="J360" i="1"/>
  <c r="K360" i="1"/>
  <c r="G361" i="1"/>
  <c r="H361" i="1"/>
  <c r="J361" i="1"/>
  <c r="K361" i="1"/>
  <c r="G362" i="1"/>
  <c r="H362" i="1"/>
  <c r="J362" i="1"/>
  <c r="K362" i="1"/>
  <c r="G363" i="1"/>
  <c r="H363" i="1"/>
  <c r="J363" i="1"/>
  <c r="K363" i="1"/>
  <c r="G364" i="1"/>
  <c r="H364" i="1"/>
  <c r="J364" i="1"/>
  <c r="K364" i="1"/>
  <c r="G365" i="1"/>
  <c r="H365" i="1"/>
  <c r="J365" i="1"/>
  <c r="K365" i="1"/>
  <c r="G366" i="1"/>
  <c r="H366" i="1"/>
  <c r="J366" i="1"/>
  <c r="K366" i="1"/>
  <c r="G367" i="1"/>
  <c r="H367" i="1"/>
  <c r="J367" i="1"/>
  <c r="K367" i="1"/>
  <c r="G368" i="1"/>
  <c r="H368" i="1"/>
  <c r="J368" i="1"/>
  <c r="K368" i="1"/>
  <c r="G369" i="1"/>
  <c r="H369" i="1"/>
  <c r="J369" i="1"/>
  <c r="K369" i="1"/>
  <c r="G370" i="1"/>
  <c r="H370" i="1"/>
  <c r="J370" i="1"/>
  <c r="K370" i="1"/>
  <c r="G371" i="1"/>
  <c r="H371" i="1"/>
  <c r="J371" i="1"/>
  <c r="K371" i="1"/>
  <c r="K372" i="1"/>
  <c r="G373" i="1"/>
  <c r="H373" i="1"/>
  <c r="J373" i="1"/>
  <c r="K373" i="1"/>
  <c r="G374" i="1"/>
  <c r="H374" i="1"/>
  <c r="J374" i="1"/>
  <c r="K374" i="1"/>
  <c r="G375" i="1"/>
  <c r="H375" i="1"/>
  <c r="J375" i="1"/>
  <c r="K375" i="1"/>
  <c r="G377" i="1"/>
  <c r="H377" i="1"/>
  <c r="J377" i="1"/>
  <c r="K377" i="1"/>
  <c r="G378" i="1"/>
  <c r="H378" i="1"/>
  <c r="J378" i="1"/>
  <c r="K378" i="1"/>
  <c r="G379" i="1"/>
  <c r="H379" i="1"/>
  <c r="J379" i="1"/>
  <c r="K379" i="1"/>
  <c r="G380" i="1"/>
  <c r="H380" i="1"/>
  <c r="J380" i="1"/>
  <c r="K380" i="1"/>
  <c r="G201" i="1"/>
  <c r="H201" i="1"/>
  <c r="J201" i="1"/>
  <c r="K201" i="1"/>
  <c r="G202" i="1"/>
  <c r="H202" i="1"/>
  <c r="J202" i="1"/>
  <c r="K202" i="1"/>
  <c r="G203" i="1"/>
  <c r="H203" i="1"/>
  <c r="J203" i="1"/>
  <c r="K203" i="1"/>
  <c r="G204" i="1"/>
  <c r="H204" i="1"/>
  <c r="J204" i="1"/>
  <c r="K204" i="1"/>
  <c r="G210" i="1"/>
  <c r="H210" i="1"/>
  <c r="J210" i="1"/>
  <c r="K210" i="1"/>
  <c r="G211" i="1"/>
  <c r="H211" i="1"/>
  <c r="J211" i="1"/>
  <c r="K211" i="1"/>
  <c r="G212" i="1"/>
  <c r="H212" i="1"/>
  <c r="J212" i="1"/>
  <c r="K212" i="1"/>
  <c r="G213" i="1"/>
  <c r="H213" i="1"/>
  <c r="J213" i="1"/>
  <c r="K213" i="1"/>
  <c r="G214" i="1"/>
  <c r="H214" i="1"/>
  <c r="J214" i="1"/>
  <c r="K214" i="1"/>
  <c r="K215" i="1"/>
  <c r="G216" i="1"/>
  <c r="H216" i="1"/>
  <c r="J216" i="1"/>
  <c r="K216" i="1"/>
  <c r="G217" i="1"/>
  <c r="H217" i="1"/>
  <c r="J217" i="1"/>
  <c r="K217" i="1"/>
  <c r="K218" i="1"/>
  <c r="G219" i="1"/>
  <c r="H219" i="1"/>
  <c r="J219" i="1"/>
  <c r="K219" i="1"/>
  <c r="G220" i="1"/>
  <c r="H220" i="1"/>
  <c r="J220" i="1"/>
  <c r="K220" i="1"/>
  <c r="G221" i="1"/>
  <c r="H221" i="1"/>
  <c r="J221" i="1"/>
  <c r="K221" i="1"/>
  <c r="G222" i="1"/>
  <c r="H222" i="1"/>
  <c r="J222" i="1"/>
  <c r="K222" i="1"/>
  <c r="G223" i="1"/>
  <c r="H223" i="1"/>
  <c r="J223" i="1"/>
  <c r="K223" i="1"/>
  <c r="G224" i="1"/>
  <c r="H224" i="1"/>
  <c r="J224" i="1"/>
  <c r="K224" i="1"/>
  <c r="G225" i="1"/>
  <c r="H225" i="1"/>
  <c r="J225" i="1"/>
  <c r="K225" i="1"/>
  <c r="G226" i="1"/>
  <c r="H226" i="1"/>
  <c r="J226" i="1"/>
  <c r="K226" i="1"/>
  <c r="G227" i="1"/>
  <c r="H227" i="1"/>
  <c r="J227" i="1"/>
  <c r="K227" i="1"/>
  <c r="G228" i="1"/>
  <c r="H228" i="1"/>
  <c r="J228" i="1"/>
  <c r="K228" i="1"/>
  <c r="G229" i="1"/>
  <c r="H229" i="1"/>
  <c r="J229" i="1"/>
  <c r="K229" i="1"/>
  <c r="G230" i="1"/>
  <c r="H230" i="1"/>
  <c r="J230" i="1"/>
  <c r="K230" i="1"/>
  <c r="G231" i="1"/>
  <c r="H231" i="1"/>
  <c r="J231" i="1"/>
  <c r="K231" i="1"/>
  <c r="K232" i="1"/>
  <c r="G233" i="1"/>
  <c r="H233" i="1"/>
  <c r="J233" i="1"/>
  <c r="K233" i="1"/>
  <c r="G234" i="1"/>
  <c r="H234" i="1"/>
  <c r="J234" i="1"/>
  <c r="K234" i="1"/>
  <c r="G235" i="1"/>
  <c r="H235" i="1"/>
  <c r="J235" i="1"/>
  <c r="K235" i="1"/>
  <c r="G236" i="1"/>
  <c r="H236" i="1"/>
  <c r="J236" i="1"/>
  <c r="K236" i="1"/>
  <c r="G237" i="1"/>
  <c r="H237" i="1"/>
  <c r="J237" i="1"/>
  <c r="K237" i="1"/>
  <c r="G238" i="1"/>
  <c r="H238" i="1"/>
  <c r="J238" i="1"/>
  <c r="K238" i="1"/>
  <c r="G239" i="1"/>
  <c r="H239" i="1"/>
  <c r="J239" i="1"/>
  <c r="K239" i="1"/>
  <c r="G240" i="1"/>
  <c r="H240" i="1"/>
  <c r="J240" i="1"/>
  <c r="K240" i="1"/>
  <c r="G241" i="1"/>
  <c r="H241" i="1"/>
  <c r="J241" i="1"/>
  <c r="K241" i="1"/>
  <c r="G242" i="1"/>
  <c r="H242" i="1"/>
  <c r="J242" i="1"/>
  <c r="K242" i="1"/>
  <c r="G243" i="1"/>
  <c r="H243" i="1"/>
  <c r="J243" i="1"/>
  <c r="K243" i="1"/>
  <c r="G244" i="1"/>
  <c r="H244" i="1"/>
  <c r="J244" i="1"/>
  <c r="K244" i="1"/>
  <c r="G245" i="1"/>
  <c r="H245" i="1"/>
  <c r="J245" i="1"/>
  <c r="K245" i="1"/>
  <c r="G246" i="1"/>
  <c r="H246" i="1"/>
  <c r="J246" i="1"/>
  <c r="K246" i="1"/>
  <c r="G247" i="1"/>
  <c r="H247" i="1"/>
  <c r="J247" i="1"/>
  <c r="K247" i="1"/>
  <c r="G248" i="1"/>
  <c r="H248" i="1"/>
  <c r="J248" i="1"/>
  <c r="K248" i="1"/>
  <c r="G249" i="1"/>
  <c r="H249" i="1"/>
  <c r="J249" i="1"/>
  <c r="K249" i="1"/>
  <c r="G250" i="1"/>
  <c r="H250" i="1"/>
  <c r="J250" i="1"/>
  <c r="K250" i="1"/>
  <c r="G251" i="1"/>
  <c r="H251" i="1"/>
  <c r="J251" i="1"/>
  <c r="K251" i="1"/>
  <c r="G252" i="1"/>
  <c r="H252" i="1"/>
  <c r="J252" i="1"/>
  <c r="K252" i="1"/>
  <c r="G253" i="1"/>
  <c r="H253" i="1"/>
  <c r="J253" i="1"/>
  <c r="K253" i="1"/>
  <c r="G254" i="1"/>
  <c r="H254" i="1"/>
  <c r="J254" i="1"/>
  <c r="K254" i="1"/>
  <c r="G255" i="1"/>
  <c r="H255" i="1"/>
  <c r="J255" i="1"/>
  <c r="K255" i="1"/>
  <c r="G256" i="1"/>
  <c r="H256" i="1"/>
  <c r="J256" i="1"/>
  <c r="K256" i="1"/>
  <c r="G257" i="1"/>
  <c r="H257" i="1"/>
  <c r="J257" i="1"/>
  <c r="K257" i="1"/>
  <c r="G258" i="1"/>
  <c r="H258" i="1"/>
  <c r="J258" i="1"/>
  <c r="K258" i="1"/>
  <c r="G259" i="1"/>
  <c r="H259" i="1"/>
  <c r="J259" i="1"/>
  <c r="K259" i="1"/>
  <c r="G260" i="1"/>
  <c r="H260" i="1"/>
  <c r="J260" i="1"/>
  <c r="K260" i="1"/>
  <c r="G261" i="1"/>
  <c r="H261" i="1"/>
  <c r="J261" i="1"/>
  <c r="K261" i="1"/>
  <c r="G262" i="1"/>
  <c r="H262" i="1"/>
  <c r="J262" i="1"/>
  <c r="K262" i="1"/>
  <c r="K263" i="1"/>
  <c r="G264" i="1"/>
  <c r="H264" i="1"/>
  <c r="J264" i="1"/>
  <c r="K264" i="1"/>
  <c r="G265" i="1"/>
  <c r="H265" i="1"/>
  <c r="J265" i="1"/>
  <c r="K265" i="1"/>
  <c r="G266" i="1"/>
  <c r="H266" i="1"/>
  <c r="J266" i="1"/>
  <c r="K266" i="1"/>
  <c r="G267" i="1"/>
  <c r="H267" i="1"/>
  <c r="J267" i="1"/>
  <c r="K267" i="1"/>
  <c r="G268" i="1"/>
  <c r="H268" i="1"/>
  <c r="J268" i="1"/>
  <c r="K268" i="1"/>
  <c r="K269" i="1"/>
  <c r="G270" i="1"/>
  <c r="H270" i="1"/>
  <c r="J270" i="1"/>
  <c r="K270" i="1"/>
  <c r="G271" i="1"/>
  <c r="H271" i="1"/>
  <c r="J271" i="1"/>
  <c r="K271" i="1"/>
  <c r="G381" i="1"/>
  <c r="H381" i="1"/>
  <c r="J381" i="1"/>
  <c r="K381" i="1"/>
  <c r="G382" i="1"/>
  <c r="H382" i="1"/>
  <c r="J382" i="1"/>
  <c r="K382" i="1"/>
  <c r="K383" i="1"/>
  <c r="G384" i="1"/>
  <c r="H384" i="1"/>
  <c r="J384" i="1"/>
  <c r="K384" i="1"/>
  <c r="G385" i="1"/>
  <c r="H385" i="1"/>
  <c r="J385" i="1"/>
  <c r="K385" i="1"/>
  <c r="G386" i="1"/>
  <c r="H386" i="1"/>
  <c r="J386" i="1"/>
  <c r="K386" i="1"/>
  <c r="G387" i="1"/>
  <c r="H387" i="1"/>
  <c r="J387" i="1"/>
  <c r="K387" i="1"/>
  <c r="G389" i="1"/>
  <c r="H389" i="1"/>
  <c r="J389" i="1"/>
  <c r="K389" i="1"/>
  <c r="G390" i="1"/>
  <c r="H390" i="1"/>
  <c r="J390" i="1"/>
  <c r="K390" i="1"/>
  <c r="G391" i="1"/>
  <c r="H391" i="1"/>
  <c r="J391" i="1"/>
  <c r="K391" i="1"/>
  <c r="G392" i="1"/>
  <c r="H392" i="1"/>
  <c r="J392" i="1"/>
  <c r="K392" i="1"/>
  <c r="G393" i="1"/>
  <c r="H393" i="1"/>
  <c r="J393" i="1"/>
  <c r="K393" i="1"/>
  <c r="G394" i="1"/>
  <c r="H394" i="1"/>
  <c r="J394" i="1"/>
  <c r="K394" i="1"/>
  <c r="G395" i="1"/>
  <c r="H395" i="1"/>
  <c r="J395" i="1"/>
  <c r="K395" i="1"/>
  <c r="G396" i="1"/>
  <c r="H396" i="1"/>
  <c r="J396" i="1"/>
  <c r="K396" i="1"/>
  <c r="G397" i="1"/>
  <c r="H397" i="1"/>
  <c r="J397" i="1"/>
  <c r="K397" i="1"/>
  <c r="G398" i="1"/>
  <c r="H398" i="1"/>
  <c r="J398" i="1"/>
  <c r="K398" i="1"/>
  <c r="G399" i="1"/>
  <c r="H399" i="1"/>
  <c r="J399" i="1"/>
  <c r="K399" i="1"/>
  <c r="G400" i="1"/>
  <c r="H400" i="1"/>
  <c r="J400" i="1"/>
  <c r="K400" i="1"/>
  <c r="G401" i="1"/>
  <c r="H401" i="1"/>
  <c r="J401" i="1"/>
  <c r="K401" i="1"/>
  <c r="G402" i="1"/>
  <c r="H402" i="1"/>
  <c r="J402" i="1"/>
  <c r="K402" i="1"/>
  <c r="G403" i="1"/>
  <c r="H403" i="1"/>
  <c r="J403" i="1"/>
  <c r="K403" i="1"/>
  <c r="G404" i="1"/>
  <c r="H404" i="1"/>
  <c r="J404" i="1"/>
  <c r="K404" i="1"/>
  <c r="G405" i="1"/>
  <c r="H405" i="1"/>
  <c r="J405" i="1"/>
  <c r="K405" i="1"/>
  <c r="G406" i="1"/>
  <c r="H406" i="1"/>
  <c r="J406" i="1"/>
  <c r="K406" i="1"/>
  <c r="G407" i="1"/>
  <c r="H407" i="1"/>
  <c r="J407" i="1"/>
  <c r="K407" i="1"/>
  <c r="G408" i="1"/>
  <c r="H408" i="1"/>
  <c r="J408" i="1"/>
  <c r="K408" i="1"/>
  <c r="G409" i="1"/>
  <c r="H409" i="1"/>
  <c r="J409" i="1"/>
  <c r="K409" i="1"/>
  <c r="G410" i="1"/>
  <c r="H410" i="1"/>
  <c r="J410" i="1"/>
  <c r="K410" i="1"/>
  <c r="G411" i="1"/>
  <c r="H411" i="1"/>
  <c r="J411" i="1"/>
  <c r="K411" i="1"/>
  <c r="G412" i="1"/>
  <c r="H412" i="1"/>
  <c r="J412" i="1"/>
  <c r="K412" i="1"/>
  <c r="G413" i="1"/>
  <c r="H413" i="1"/>
  <c r="J413" i="1"/>
  <c r="K413" i="1"/>
  <c r="G414" i="1"/>
  <c r="H414" i="1"/>
  <c r="J414" i="1"/>
  <c r="K414" i="1"/>
  <c r="G415" i="1"/>
  <c r="H415" i="1"/>
  <c r="J415" i="1"/>
  <c r="K415" i="1"/>
  <c r="G416" i="1"/>
  <c r="H416" i="1"/>
  <c r="J416" i="1"/>
  <c r="K416" i="1"/>
  <c r="G417" i="1"/>
  <c r="H417" i="1"/>
  <c r="J417" i="1"/>
  <c r="K417" i="1"/>
  <c r="G418" i="1"/>
  <c r="H418" i="1"/>
  <c r="J418" i="1"/>
  <c r="K418" i="1"/>
  <c r="G419" i="1"/>
  <c r="H419" i="1"/>
  <c r="J419" i="1"/>
  <c r="K419" i="1"/>
  <c r="G420" i="1"/>
  <c r="H420" i="1"/>
  <c r="J420" i="1"/>
  <c r="K420" i="1"/>
  <c r="G421" i="1"/>
  <c r="H421" i="1"/>
  <c r="J421" i="1"/>
  <c r="K421" i="1"/>
  <c r="G422" i="1"/>
  <c r="H422" i="1"/>
  <c r="J422" i="1"/>
  <c r="K422" i="1"/>
  <c r="G423" i="1"/>
  <c r="H423" i="1"/>
  <c r="J423" i="1"/>
  <c r="K423" i="1"/>
  <c r="G424" i="1"/>
  <c r="H424" i="1"/>
  <c r="J424" i="1"/>
  <c r="K424" i="1"/>
  <c r="G425" i="1"/>
  <c r="H425" i="1"/>
  <c r="J425" i="1"/>
  <c r="K425" i="1"/>
  <c r="G426" i="1"/>
  <c r="H426" i="1"/>
  <c r="J426" i="1"/>
  <c r="K426" i="1"/>
  <c r="G427" i="1"/>
  <c r="H427" i="1"/>
  <c r="J427" i="1"/>
  <c r="K427" i="1"/>
  <c r="G428" i="1"/>
  <c r="H428" i="1"/>
  <c r="J428" i="1"/>
  <c r="K428" i="1"/>
  <c r="G429" i="1"/>
  <c r="H429" i="1"/>
  <c r="J429" i="1"/>
  <c r="K429" i="1"/>
  <c r="G430" i="1"/>
  <c r="H430" i="1"/>
  <c r="J430" i="1"/>
  <c r="K430" i="1"/>
  <c r="G431" i="1"/>
  <c r="H431" i="1"/>
  <c r="J431" i="1"/>
  <c r="K431" i="1"/>
  <c r="G432" i="1"/>
  <c r="H432" i="1"/>
  <c r="J432" i="1"/>
  <c r="K432" i="1"/>
  <c r="G433" i="1"/>
  <c r="H433" i="1"/>
  <c r="J433" i="1"/>
  <c r="K433" i="1"/>
  <c r="G434" i="1"/>
  <c r="H434" i="1"/>
  <c r="J434" i="1"/>
  <c r="K434" i="1"/>
  <c r="G435" i="1"/>
  <c r="H435" i="1"/>
  <c r="J435" i="1"/>
  <c r="K435" i="1"/>
  <c r="G436" i="1"/>
  <c r="H436" i="1"/>
  <c r="J436" i="1"/>
  <c r="K436" i="1"/>
  <c r="G437" i="1"/>
  <c r="H437" i="1"/>
  <c r="J437" i="1"/>
  <c r="K437" i="1"/>
  <c r="G438" i="1"/>
  <c r="H438" i="1"/>
  <c r="J438" i="1"/>
  <c r="K438" i="1"/>
  <c r="G439" i="1"/>
  <c r="H439" i="1"/>
  <c r="J439" i="1"/>
  <c r="K439" i="1"/>
  <c r="G440" i="1"/>
  <c r="H440" i="1"/>
  <c r="J440" i="1"/>
  <c r="K440" i="1"/>
  <c r="G441" i="1"/>
  <c r="H441" i="1"/>
  <c r="J441" i="1"/>
  <c r="K441" i="1"/>
  <c r="G442" i="1"/>
  <c r="H442" i="1"/>
  <c r="J442" i="1"/>
  <c r="K442" i="1"/>
  <c r="G443" i="1"/>
  <c r="H443" i="1"/>
  <c r="J443" i="1"/>
  <c r="K443" i="1"/>
  <c r="G444" i="1"/>
  <c r="H444" i="1"/>
  <c r="J444" i="1"/>
  <c r="K444" i="1"/>
  <c r="G445" i="1"/>
  <c r="H445" i="1"/>
  <c r="J445" i="1"/>
  <c r="K445" i="1"/>
  <c r="G446" i="1"/>
  <c r="H446" i="1"/>
  <c r="J446" i="1"/>
  <c r="K446" i="1"/>
  <c r="G447" i="1"/>
  <c r="H447" i="1"/>
  <c r="J447" i="1"/>
  <c r="K447" i="1"/>
  <c r="G448" i="1"/>
  <c r="H448" i="1"/>
  <c r="J448" i="1"/>
  <c r="K448" i="1"/>
  <c r="G449" i="1"/>
  <c r="H449" i="1"/>
  <c r="J449" i="1"/>
  <c r="K449" i="1"/>
  <c r="G450" i="1"/>
  <c r="H450" i="1"/>
  <c r="J450" i="1"/>
  <c r="K450" i="1"/>
  <c r="G451" i="1"/>
  <c r="H451" i="1"/>
  <c r="J451" i="1"/>
  <c r="K451" i="1"/>
  <c r="G456" i="1"/>
  <c r="H456" i="1"/>
  <c r="J456" i="1"/>
  <c r="K456" i="1"/>
  <c r="G457" i="1"/>
  <c r="H457" i="1"/>
  <c r="J457" i="1"/>
  <c r="K457" i="1"/>
  <c r="G458" i="1"/>
  <c r="H458" i="1"/>
  <c r="J458" i="1"/>
  <c r="K458" i="1"/>
  <c r="G459" i="1"/>
  <c r="H459" i="1"/>
  <c r="J459" i="1"/>
  <c r="K459" i="1"/>
  <c r="G460" i="1"/>
  <c r="H460" i="1"/>
  <c r="J460" i="1"/>
  <c r="K460" i="1"/>
  <c r="G461" i="1"/>
  <c r="H461" i="1"/>
  <c r="J461" i="1"/>
  <c r="K461" i="1"/>
  <c r="G462" i="1"/>
  <c r="H462" i="1"/>
  <c r="J462" i="1"/>
  <c r="K462" i="1"/>
  <c r="G467" i="1"/>
  <c r="H467" i="1"/>
  <c r="J467" i="1"/>
  <c r="K467" i="1"/>
  <c r="G468" i="1"/>
  <c r="H468" i="1"/>
  <c r="J468" i="1"/>
  <c r="K468" i="1"/>
  <c r="G469" i="1"/>
  <c r="H469" i="1"/>
  <c r="J469" i="1"/>
  <c r="K469" i="1"/>
  <c r="G470" i="1"/>
  <c r="H470" i="1"/>
  <c r="J470" i="1"/>
  <c r="K470" i="1"/>
  <c r="G471" i="1"/>
  <c r="H471" i="1"/>
  <c r="J471" i="1"/>
  <c r="K471" i="1"/>
  <c r="G472" i="1"/>
  <c r="H472" i="1"/>
  <c r="J472" i="1"/>
  <c r="K472" i="1"/>
  <c r="G473" i="1"/>
  <c r="H473" i="1"/>
  <c r="J473" i="1"/>
  <c r="K473" i="1"/>
  <c r="G474" i="1"/>
  <c r="H474" i="1"/>
  <c r="J474" i="1"/>
  <c r="K474" i="1"/>
  <c r="G475" i="1"/>
  <c r="H475" i="1"/>
  <c r="J475" i="1"/>
  <c r="K475" i="1"/>
  <c r="G476" i="1"/>
  <c r="H476" i="1"/>
  <c r="J476" i="1"/>
  <c r="K476" i="1"/>
  <c r="G477" i="1"/>
  <c r="H477" i="1"/>
  <c r="J477" i="1"/>
  <c r="K477" i="1"/>
  <c r="G478" i="1"/>
  <c r="H478" i="1"/>
  <c r="J478" i="1"/>
  <c r="K478" i="1"/>
  <c r="G479" i="1"/>
  <c r="H479" i="1"/>
  <c r="J479" i="1"/>
  <c r="K479" i="1"/>
  <c r="G480" i="1"/>
  <c r="H480" i="1"/>
  <c r="J480" i="1"/>
  <c r="K480" i="1"/>
  <c r="G481" i="1"/>
  <c r="H481" i="1"/>
  <c r="J481" i="1"/>
  <c r="K481" i="1"/>
  <c r="G482" i="1"/>
  <c r="H482" i="1"/>
  <c r="J482" i="1"/>
  <c r="K482" i="1"/>
  <c r="G483" i="1"/>
  <c r="H483" i="1"/>
  <c r="J483" i="1"/>
  <c r="K483" i="1"/>
  <c r="G484" i="1"/>
  <c r="H484" i="1"/>
  <c r="J484" i="1"/>
  <c r="K484" i="1"/>
  <c r="G485" i="1"/>
  <c r="H485" i="1"/>
  <c r="J485" i="1"/>
  <c r="K485" i="1"/>
  <c r="G486" i="1"/>
  <c r="H486" i="1"/>
  <c r="J486" i="1"/>
  <c r="K486" i="1"/>
  <c r="G487" i="1"/>
  <c r="H487" i="1"/>
  <c r="J487" i="1"/>
  <c r="K487" i="1"/>
  <c r="G488" i="1"/>
  <c r="H488" i="1"/>
  <c r="J488" i="1"/>
  <c r="K488" i="1"/>
  <c r="G489" i="1"/>
  <c r="H489" i="1"/>
  <c r="J489" i="1"/>
  <c r="K489" i="1"/>
  <c r="G490" i="1"/>
  <c r="H490" i="1"/>
  <c r="J490" i="1"/>
  <c r="K490" i="1"/>
  <c r="G491" i="1"/>
  <c r="H491" i="1"/>
  <c r="J491" i="1"/>
  <c r="K491" i="1"/>
  <c r="G492" i="1"/>
  <c r="H492" i="1"/>
  <c r="J492" i="1"/>
  <c r="K492" i="1"/>
  <c r="G493" i="1"/>
  <c r="H493" i="1"/>
  <c r="J493" i="1"/>
  <c r="K493" i="1"/>
  <c r="G494" i="1"/>
  <c r="H494" i="1"/>
  <c r="J494" i="1"/>
  <c r="K494" i="1"/>
  <c r="G495" i="1"/>
  <c r="H495" i="1"/>
  <c r="J495" i="1"/>
  <c r="K495" i="1"/>
  <c r="G496" i="1"/>
  <c r="H496" i="1"/>
  <c r="J496" i="1"/>
  <c r="K496" i="1"/>
  <c r="G497" i="1"/>
  <c r="H497" i="1"/>
  <c r="J497" i="1"/>
  <c r="K497" i="1"/>
  <c r="G498" i="1"/>
  <c r="H498" i="1"/>
  <c r="J498" i="1"/>
  <c r="K498" i="1"/>
  <c r="G499" i="1"/>
  <c r="H499" i="1"/>
  <c r="J499" i="1"/>
  <c r="K499" i="1"/>
  <c r="G500" i="1"/>
  <c r="H500" i="1"/>
  <c r="J500" i="1"/>
  <c r="K500" i="1"/>
  <c r="G501" i="1"/>
  <c r="H501" i="1"/>
  <c r="J501" i="1"/>
  <c r="K501" i="1"/>
  <c r="G502" i="1"/>
  <c r="H502" i="1"/>
  <c r="J502" i="1"/>
  <c r="K502" i="1"/>
  <c r="G503" i="1"/>
  <c r="H503" i="1"/>
  <c r="J503" i="1"/>
  <c r="K503" i="1"/>
  <c r="G504" i="1"/>
  <c r="H504" i="1"/>
  <c r="J504" i="1"/>
  <c r="K504" i="1"/>
  <c r="G505" i="1"/>
  <c r="H505" i="1"/>
  <c r="J505" i="1"/>
  <c r="K505" i="1"/>
  <c r="G506" i="1"/>
  <c r="H506" i="1"/>
  <c r="J506" i="1"/>
  <c r="K506" i="1"/>
  <c r="G507" i="1"/>
  <c r="H507" i="1"/>
  <c r="J507" i="1"/>
  <c r="K507" i="1"/>
  <c r="G508" i="1"/>
  <c r="H508" i="1"/>
  <c r="J508" i="1"/>
  <c r="K508" i="1"/>
  <c r="G509" i="1"/>
  <c r="H509" i="1"/>
  <c r="J509" i="1"/>
  <c r="K509" i="1"/>
  <c r="G510" i="1"/>
  <c r="H510" i="1"/>
  <c r="J510" i="1"/>
  <c r="K510" i="1"/>
  <c r="G511" i="1"/>
  <c r="H511" i="1"/>
  <c r="J511" i="1"/>
  <c r="K511" i="1"/>
  <c r="G512" i="1"/>
  <c r="H512" i="1"/>
  <c r="J512" i="1"/>
  <c r="K512" i="1"/>
  <c r="G513" i="1"/>
  <c r="H513" i="1"/>
  <c r="J513" i="1"/>
  <c r="K513" i="1"/>
  <c r="G514" i="1"/>
  <c r="H514" i="1"/>
  <c r="J514" i="1"/>
  <c r="K514" i="1"/>
  <c r="G515" i="1"/>
  <c r="H515" i="1"/>
  <c r="J515" i="1"/>
  <c r="K515" i="1"/>
  <c r="G516" i="1"/>
  <c r="H516" i="1"/>
  <c r="J516" i="1"/>
  <c r="K516" i="1"/>
  <c r="G517" i="1"/>
  <c r="H517" i="1"/>
  <c r="J517" i="1"/>
  <c r="K517" i="1"/>
  <c r="G518" i="1"/>
  <c r="H518" i="1"/>
  <c r="J518" i="1"/>
  <c r="K518" i="1"/>
  <c r="G519" i="1"/>
  <c r="H519" i="1"/>
  <c r="J519" i="1"/>
  <c r="K519" i="1"/>
  <c r="G520" i="1"/>
  <c r="H520" i="1"/>
  <c r="J520" i="1"/>
  <c r="K520" i="1"/>
  <c r="G521" i="1"/>
  <c r="H521" i="1"/>
  <c r="J521" i="1"/>
  <c r="K521" i="1"/>
  <c r="G522" i="1"/>
  <c r="H522" i="1"/>
  <c r="J522" i="1"/>
  <c r="K522" i="1"/>
  <c r="G523" i="1"/>
  <c r="H523" i="1"/>
  <c r="J523" i="1"/>
  <c r="K523" i="1"/>
  <c r="G524" i="1"/>
  <c r="H524" i="1"/>
  <c r="J524" i="1"/>
  <c r="K524" i="1"/>
  <c r="G525" i="1"/>
  <c r="H525" i="1"/>
  <c r="J525" i="1"/>
  <c r="K525" i="1"/>
  <c r="G526" i="1"/>
  <c r="H526" i="1"/>
  <c r="J526" i="1"/>
  <c r="K526" i="1"/>
  <c r="G527" i="1"/>
  <c r="H527" i="1"/>
  <c r="J527" i="1"/>
  <c r="K527" i="1"/>
  <c r="G528" i="1"/>
  <c r="H528" i="1"/>
  <c r="J528" i="1"/>
  <c r="K528" i="1"/>
  <c r="G529" i="1"/>
  <c r="H529" i="1"/>
  <c r="J529" i="1"/>
  <c r="K529" i="1"/>
  <c r="G530" i="1"/>
  <c r="H530" i="1"/>
  <c r="J530" i="1"/>
  <c r="K530" i="1"/>
  <c r="G531" i="1"/>
  <c r="H531" i="1"/>
  <c r="J531" i="1"/>
  <c r="K531" i="1"/>
  <c r="G532" i="1"/>
  <c r="H532" i="1"/>
  <c r="J532" i="1"/>
  <c r="K532" i="1"/>
  <c r="G533" i="1"/>
  <c r="H533" i="1"/>
  <c r="J533" i="1"/>
  <c r="K533" i="1"/>
  <c r="G534" i="1"/>
  <c r="H534" i="1"/>
  <c r="J534" i="1"/>
  <c r="K534" i="1"/>
  <c r="G535" i="1"/>
  <c r="H535" i="1"/>
  <c r="J535" i="1"/>
  <c r="K535" i="1"/>
  <c r="G536" i="1"/>
  <c r="H536" i="1"/>
  <c r="J536" i="1"/>
  <c r="K536" i="1"/>
  <c r="G537" i="1"/>
  <c r="H537" i="1"/>
  <c r="J537" i="1"/>
  <c r="K537" i="1"/>
  <c r="G538" i="1"/>
  <c r="H538" i="1"/>
  <c r="J538" i="1"/>
  <c r="K538" i="1"/>
  <c r="G539" i="1"/>
  <c r="H539" i="1"/>
  <c r="J539" i="1"/>
  <c r="K539" i="1"/>
  <c r="G540" i="1"/>
  <c r="H540" i="1"/>
  <c r="J540" i="1"/>
  <c r="K540" i="1"/>
  <c r="G541" i="1"/>
  <c r="H541" i="1"/>
  <c r="J541" i="1"/>
  <c r="K541" i="1"/>
  <c r="G542" i="1"/>
  <c r="H542" i="1"/>
  <c r="J542" i="1"/>
  <c r="K542" i="1"/>
  <c r="G543" i="1"/>
  <c r="H543" i="1"/>
  <c r="J543" i="1"/>
  <c r="K543" i="1"/>
  <c r="G544" i="1"/>
  <c r="H544" i="1"/>
  <c r="J544" i="1"/>
  <c r="K544" i="1"/>
  <c r="G545" i="1"/>
  <c r="H545" i="1"/>
  <c r="J545" i="1"/>
  <c r="K545" i="1"/>
  <c r="G546" i="1"/>
  <c r="H546" i="1"/>
  <c r="J546" i="1"/>
  <c r="K546" i="1"/>
  <c r="G547" i="1"/>
  <c r="H547" i="1"/>
  <c r="J547" i="1"/>
  <c r="K547" i="1"/>
  <c r="G548" i="1"/>
  <c r="H548" i="1"/>
  <c r="J548" i="1"/>
  <c r="K548" i="1"/>
  <c r="G549" i="1"/>
  <c r="H549" i="1"/>
  <c r="J549" i="1"/>
  <c r="K549" i="1"/>
  <c r="G550" i="1"/>
  <c r="H550" i="1"/>
  <c r="J550" i="1"/>
  <c r="K550" i="1"/>
  <c r="G551" i="1"/>
  <c r="H551" i="1"/>
  <c r="J551" i="1"/>
  <c r="K551" i="1"/>
  <c r="G552" i="1"/>
  <c r="H552" i="1"/>
  <c r="J552" i="1"/>
  <c r="K552" i="1"/>
  <c r="G553" i="1"/>
  <c r="H553" i="1"/>
  <c r="J553" i="1"/>
  <c r="K553" i="1"/>
  <c r="G554" i="1"/>
  <c r="H554" i="1"/>
  <c r="J554" i="1"/>
  <c r="K554" i="1"/>
  <c r="G555" i="1"/>
  <c r="H555" i="1"/>
  <c r="J555" i="1"/>
  <c r="K555" i="1"/>
  <c r="G556" i="1"/>
  <c r="H556" i="1"/>
  <c r="J556" i="1"/>
  <c r="K556" i="1"/>
  <c r="G557" i="1"/>
  <c r="H557" i="1"/>
  <c r="J557" i="1"/>
  <c r="K557" i="1"/>
  <c r="G558" i="1"/>
  <c r="H558" i="1"/>
  <c r="J558" i="1"/>
  <c r="K558" i="1"/>
  <c r="G559" i="1"/>
  <c r="H559" i="1"/>
  <c r="J559" i="1"/>
  <c r="K559" i="1"/>
  <c r="G560" i="1"/>
  <c r="H560" i="1"/>
  <c r="J560" i="1"/>
  <c r="K560" i="1"/>
  <c r="G561" i="1"/>
  <c r="H561" i="1"/>
  <c r="J561" i="1"/>
  <c r="K561" i="1"/>
  <c r="G562" i="1"/>
  <c r="H562" i="1"/>
  <c r="J562" i="1"/>
  <c r="K562" i="1"/>
  <c r="G563" i="1"/>
  <c r="H563" i="1"/>
  <c r="J563" i="1"/>
  <c r="K563" i="1"/>
  <c r="G564" i="1"/>
  <c r="H564" i="1"/>
  <c r="J564" i="1"/>
  <c r="K564" i="1"/>
  <c r="G565" i="1"/>
  <c r="H565" i="1"/>
  <c r="J565" i="1"/>
  <c r="K565" i="1"/>
  <c r="G566" i="1"/>
  <c r="H566" i="1"/>
  <c r="J566" i="1"/>
  <c r="K566" i="1"/>
  <c r="G567" i="1"/>
  <c r="H567" i="1"/>
  <c r="J567" i="1"/>
  <c r="K567" i="1"/>
  <c r="G568" i="1"/>
  <c r="H568" i="1"/>
  <c r="J568" i="1"/>
  <c r="K568" i="1"/>
  <c r="G569" i="1"/>
  <c r="H569" i="1"/>
  <c r="J569" i="1"/>
  <c r="K569" i="1"/>
  <c r="G570" i="1"/>
  <c r="H570" i="1"/>
  <c r="J570" i="1"/>
  <c r="K570" i="1"/>
  <c r="G571" i="1"/>
  <c r="H571" i="1"/>
  <c r="J571" i="1"/>
  <c r="K571" i="1"/>
  <c r="G572" i="1"/>
  <c r="H572" i="1"/>
  <c r="J572" i="1"/>
  <c r="K572" i="1"/>
  <c r="G573" i="1"/>
  <c r="H573" i="1"/>
  <c r="J573" i="1"/>
  <c r="K573" i="1"/>
  <c r="G576" i="1"/>
  <c r="H576" i="1"/>
  <c r="J576" i="1"/>
  <c r="K576" i="1"/>
  <c r="G577" i="1"/>
  <c r="H577" i="1"/>
  <c r="J577" i="1"/>
  <c r="K577" i="1"/>
  <c r="G583" i="1"/>
  <c r="H583" i="1"/>
  <c r="J583" i="1"/>
  <c r="K583" i="1"/>
  <c r="G584" i="1"/>
  <c r="H584" i="1"/>
  <c r="J584" i="1"/>
  <c r="K584" i="1"/>
  <c r="G585" i="1"/>
  <c r="H585" i="1"/>
  <c r="J585" i="1"/>
  <c r="K585" i="1"/>
  <c r="G586" i="1"/>
  <c r="H586" i="1"/>
  <c r="J586" i="1"/>
  <c r="K586" i="1"/>
  <c r="G587" i="1"/>
  <c r="H587" i="1"/>
  <c r="J587" i="1"/>
  <c r="K587" i="1"/>
  <c r="G588" i="1"/>
  <c r="H588" i="1"/>
  <c r="J588" i="1"/>
  <c r="K588" i="1"/>
  <c r="G589" i="1"/>
  <c r="H589" i="1"/>
  <c r="J589" i="1"/>
  <c r="K589" i="1"/>
  <c r="G590" i="1"/>
  <c r="H590" i="1"/>
  <c r="J590" i="1"/>
  <c r="K590" i="1"/>
  <c r="G591" i="1"/>
  <c r="H591" i="1"/>
  <c r="J591" i="1"/>
  <c r="K591" i="1"/>
  <c r="G592" i="1"/>
  <c r="H592" i="1"/>
  <c r="J592" i="1"/>
  <c r="K592" i="1"/>
  <c r="G593" i="1"/>
  <c r="H593" i="1"/>
  <c r="J593" i="1"/>
  <c r="K593" i="1"/>
  <c r="G594" i="1"/>
  <c r="H594" i="1"/>
  <c r="J594" i="1"/>
  <c r="K594" i="1"/>
  <c r="G595" i="1"/>
  <c r="H595" i="1"/>
  <c r="J595" i="1"/>
  <c r="K595" i="1"/>
  <c r="G596" i="1"/>
  <c r="H596" i="1"/>
  <c r="J596" i="1"/>
  <c r="K596" i="1"/>
  <c r="G597" i="1"/>
  <c r="H597" i="1"/>
  <c r="J597" i="1"/>
  <c r="K597" i="1"/>
  <c r="G598" i="1"/>
  <c r="H598" i="1"/>
  <c r="J598" i="1"/>
  <c r="K598" i="1"/>
  <c r="G599" i="1"/>
  <c r="H599" i="1"/>
  <c r="J599" i="1"/>
  <c r="K599" i="1"/>
  <c r="G600" i="1"/>
  <c r="H600" i="1"/>
  <c r="J600" i="1"/>
  <c r="K600" i="1"/>
  <c r="G601" i="1"/>
  <c r="H601" i="1"/>
  <c r="J601" i="1"/>
  <c r="K601" i="1"/>
  <c r="G602" i="1"/>
  <c r="H602" i="1"/>
  <c r="J602" i="1"/>
  <c r="K602" i="1"/>
  <c r="G603" i="1"/>
  <c r="H603" i="1"/>
  <c r="J603" i="1"/>
  <c r="K603" i="1"/>
  <c r="G604" i="1"/>
  <c r="H604" i="1"/>
  <c r="J604" i="1"/>
  <c r="K604" i="1"/>
  <c r="G605" i="1"/>
  <c r="H605" i="1"/>
  <c r="J605" i="1"/>
  <c r="K605" i="1"/>
  <c r="G606" i="1"/>
  <c r="H606" i="1"/>
  <c r="J606" i="1"/>
  <c r="K606" i="1"/>
  <c r="G607" i="1"/>
  <c r="H607" i="1"/>
  <c r="J607" i="1"/>
  <c r="K607" i="1"/>
  <c r="G608" i="1"/>
  <c r="H608" i="1"/>
  <c r="J608" i="1"/>
  <c r="K608" i="1"/>
  <c r="G609" i="1"/>
  <c r="H609" i="1"/>
  <c r="J609" i="1"/>
  <c r="K609" i="1"/>
  <c r="G610" i="1"/>
  <c r="H610" i="1"/>
  <c r="J610" i="1"/>
  <c r="K610" i="1"/>
  <c r="G611" i="1"/>
  <c r="H611" i="1"/>
  <c r="J611" i="1"/>
  <c r="K611" i="1"/>
  <c r="G612" i="1"/>
  <c r="H612" i="1"/>
  <c r="J612" i="1"/>
  <c r="K612" i="1"/>
  <c r="G613" i="1"/>
  <c r="H613" i="1"/>
  <c r="J613" i="1"/>
  <c r="K613" i="1"/>
  <c r="G614" i="1"/>
  <c r="H614" i="1"/>
  <c r="J614" i="1"/>
  <c r="K614" i="1"/>
  <c r="G615" i="1"/>
  <c r="H615" i="1"/>
  <c r="J615" i="1"/>
  <c r="K615" i="1"/>
  <c r="G616" i="1"/>
  <c r="H616" i="1"/>
  <c r="J616" i="1"/>
  <c r="K616" i="1"/>
  <c r="G617" i="1"/>
  <c r="H617" i="1"/>
  <c r="J617" i="1"/>
  <c r="K617" i="1"/>
  <c r="G618" i="1"/>
  <c r="H618" i="1"/>
  <c r="J618" i="1"/>
  <c r="K618" i="1"/>
  <c r="G619" i="1"/>
  <c r="H619" i="1"/>
  <c r="J619" i="1"/>
  <c r="K619" i="1"/>
  <c r="G622" i="1"/>
  <c r="H622" i="1"/>
  <c r="J622" i="1"/>
  <c r="K622" i="1"/>
  <c r="G623" i="1"/>
  <c r="H623" i="1"/>
  <c r="J623" i="1"/>
  <c r="K623" i="1"/>
  <c r="G624" i="1"/>
  <c r="H624" i="1"/>
  <c r="J624" i="1"/>
  <c r="K624" i="1"/>
  <c r="G625" i="1"/>
  <c r="H625" i="1"/>
  <c r="J625" i="1"/>
  <c r="K625" i="1"/>
  <c r="G635" i="1"/>
  <c r="H635" i="1"/>
  <c r="J635" i="1"/>
  <c r="K635" i="1"/>
  <c r="G636" i="1"/>
  <c r="H636" i="1"/>
  <c r="J636" i="1"/>
  <c r="K636" i="1"/>
  <c r="G637" i="1"/>
  <c r="H637" i="1"/>
  <c r="J637" i="1"/>
  <c r="K637" i="1"/>
  <c r="G638" i="1"/>
  <c r="H638" i="1"/>
  <c r="J638" i="1"/>
  <c r="K638" i="1"/>
  <c r="G639" i="1"/>
  <c r="H639" i="1"/>
  <c r="J639" i="1"/>
  <c r="K639" i="1"/>
  <c r="G640" i="1"/>
  <c r="H640" i="1"/>
  <c r="J640" i="1"/>
  <c r="K640" i="1"/>
  <c r="G641" i="1"/>
  <c r="H641" i="1"/>
  <c r="J641" i="1"/>
  <c r="K641" i="1"/>
  <c r="G642" i="1"/>
  <c r="H642" i="1"/>
  <c r="J642" i="1"/>
  <c r="K642" i="1"/>
  <c r="G643" i="1"/>
  <c r="H643" i="1"/>
  <c r="J643" i="1"/>
  <c r="K643" i="1"/>
  <c r="G644" i="1"/>
  <c r="H644" i="1"/>
  <c r="J644" i="1"/>
  <c r="K644" i="1"/>
  <c r="G645" i="1"/>
  <c r="H645" i="1"/>
  <c r="J645" i="1"/>
  <c r="K645" i="1"/>
  <c r="G646" i="1"/>
  <c r="H646" i="1"/>
  <c r="J646" i="1"/>
  <c r="K646" i="1"/>
  <c r="G648" i="1"/>
  <c r="H648" i="1"/>
  <c r="J648" i="1"/>
  <c r="K648" i="1"/>
  <c r="G649" i="1"/>
  <c r="H649" i="1"/>
  <c r="J649" i="1"/>
  <c r="K649" i="1"/>
  <c r="G650" i="1"/>
  <c r="H650" i="1"/>
  <c r="J650" i="1"/>
  <c r="K650" i="1"/>
  <c r="G651" i="1"/>
  <c r="H651" i="1"/>
  <c r="J651" i="1"/>
  <c r="K651" i="1"/>
  <c r="G652" i="1"/>
  <c r="H652" i="1"/>
  <c r="J652" i="1"/>
  <c r="K652" i="1"/>
  <c r="G653" i="1"/>
  <c r="H653" i="1"/>
  <c r="J653" i="1"/>
  <c r="K653" i="1"/>
  <c r="G654" i="1"/>
  <c r="H654" i="1"/>
  <c r="J654" i="1"/>
  <c r="K654" i="1"/>
  <c r="G655" i="1"/>
  <c r="H655" i="1"/>
  <c r="J655" i="1"/>
  <c r="K655" i="1"/>
  <c r="G656" i="1"/>
  <c r="H656" i="1"/>
  <c r="J656" i="1"/>
  <c r="K656" i="1"/>
  <c r="G657" i="1"/>
  <c r="H657" i="1"/>
  <c r="J657" i="1"/>
  <c r="K657" i="1"/>
  <c r="G658" i="1"/>
  <c r="H658" i="1"/>
  <c r="J658" i="1"/>
  <c r="K658" i="1"/>
  <c r="G659" i="1"/>
  <c r="H659" i="1"/>
  <c r="J659" i="1"/>
  <c r="K659" i="1"/>
  <c r="G660" i="1"/>
  <c r="H660" i="1"/>
  <c r="J660" i="1"/>
  <c r="K660" i="1"/>
  <c r="G661" i="1"/>
  <c r="H661" i="1"/>
  <c r="J661" i="1"/>
  <c r="K661" i="1"/>
  <c r="G662" i="1"/>
  <c r="H662" i="1"/>
  <c r="J662" i="1"/>
  <c r="K662" i="1"/>
  <c r="G663" i="1"/>
  <c r="H663" i="1"/>
  <c r="J663" i="1"/>
  <c r="K663" i="1"/>
  <c r="G664" i="1"/>
  <c r="H664" i="1"/>
  <c r="J664" i="1"/>
  <c r="K664" i="1"/>
  <c r="G665" i="1"/>
  <c r="H665" i="1"/>
  <c r="J665" i="1"/>
  <c r="K665" i="1"/>
  <c r="G666" i="1"/>
  <c r="H666" i="1"/>
  <c r="J666" i="1"/>
  <c r="K666" i="1"/>
  <c r="G667" i="1"/>
  <c r="H667" i="1"/>
  <c r="J667" i="1"/>
  <c r="K667" i="1"/>
  <c r="G668" i="1"/>
  <c r="H668" i="1"/>
  <c r="J668" i="1"/>
  <c r="K668" i="1"/>
  <c r="G669" i="1"/>
  <c r="H669" i="1"/>
  <c r="J669" i="1"/>
  <c r="K669" i="1"/>
  <c r="G670" i="1"/>
  <c r="H670" i="1"/>
  <c r="J670" i="1"/>
  <c r="K670" i="1"/>
  <c r="G671" i="1"/>
  <c r="H671" i="1"/>
  <c r="J671" i="1"/>
  <c r="K671" i="1"/>
  <c r="G672" i="1"/>
  <c r="H672" i="1"/>
  <c r="J672" i="1"/>
  <c r="K672" i="1"/>
  <c r="G673" i="1"/>
  <c r="H673" i="1"/>
  <c r="J673" i="1"/>
  <c r="K673" i="1"/>
  <c r="G674" i="1"/>
  <c r="H674" i="1"/>
  <c r="J674" i="1"/>
  <c r="K674" i="1"/>
  <c r="G675" i="1"/>
  <c r="H675" i="1"/>
  <c r="J675" i="1"/>
  <c r="K675" i="1"/>
  <c r="G676" i="1"/>
  <c r="H676" i="1"/>
  <c r="J676" i="1"/>
  <c r="K676" i="1"/>
  <c r="G677" i="1"/>
  <c r="H677" i="1"/>
  <c r="J677" i="1"/>
  <c r="K677" i="1"/>
  <c r="G678" i="1"/>
  <c r="H678" i="1"/>
  <c r="J678" i="1"/>
  <c r="K678" i="1"/>
  <c r="G679" i="1"/>
  <c r="H679" i="1"/>
  <c r="J679" i="1"/>
  <c r="K679" i="1"/>
  <c r="G680" i="1"/>
  <c r="H680" i="1"/>
  <c r="J680" i="1"/>
  <c r="K680" i="1"/>
  <c r="G681" i="1"/>
  <c r="H681" i="1"/>
  <c r="J681" i="1"/>
  <c r="K681" i="1"/>
  <c r="G682" i="1"/>
  <c r="H682" i="1"/>
  <c r="J682" i="1"/>
  <c r="K682" i="1"/>
  <c r="G683" i="1"/>
  <c r="H683" i="1"/>
  <c r="J683" i="1"/>
  <c r="K683" i="1"/>
  <c r="G684" i="1"/>
  <c r="H684" i="1"/>
  <c r="J684" i="1"/>
  <c r="K684" i="1"/>
  <c r="G685" i="1"/>
  <c r="H685" i="1"/>
  <c r="J685" i="1"/>
  <c r="K685" i="1"/>
  <c r="G686" i="1"/>
  <c r="H686" i="1"/>
  <c r="J686" i="1"/>
  <c r="K686" i="1"/>
  <c r="G687" i="1"/>
  <c r="H687" i="1"/>
  <c r="J687" i="1"/>
  <c r="K687" i="1"/>
  <c r="G688" i="1"/>
  <c r="H688" i="1"/>
  <c r="J688" i="1"/>
  <c r="K688" i="1"/>
  <c r="G689" i="1"/>
  <c r="H689" i="1"/>
  <c r="J689" i="1"/>
  <c r="K689" i="1"/>
  <c r="G690" i="1"/>
  <c r="H690" i="1"/>
  <c r="J690" i="1"/>
  <c r="K690" i="1"/>
  <c r="G691" i="1"/>
  <c r="H691" i="1"/>
  <c r="J691" i="1"/>
  <c r="K691" i="1"/>
  <c r="G692" i="1"/>
  <c r="H692" i="1"/>
  <c r="J692" i="1"/>
  <c r="K692" i="1"/>
  <c r="G693" i="1"/>
  <c r="H693" i="1"/>
  <c r="J693" i="1"/>
  <c r="K693" i="1"/>
  <c r="G694" i="1"/>
  <c r="H694" i="1"/>
  <c r="J694" i="1"/>
  <c r="K694" i="1"/>
  <c r="G695" i="1"/>
  <c r="H695" i="1"/>
  <c r="J695" i="1"/>
  <c r="K695" i="1"/>
  <c r="G696" i="1"/>
  <c r="H696" i="1"/>
  <c r="J696" i="1"/>
  <c r="K696" i="1"/>
  <c r="G697" i="1"/>
  <c r="H697" i="1"/>
  <c r="J697" i="1"/>
  <c r="K697" i="1"/>
  <c r="G698" i="1"/>
  <c r="H698" i="1"/>
  <c r="J698" i="1"/>
  <c r="K698" i="1"/>
  <c r="G699" i="1"/>
  <c r="H699" i="1"/>
  <c r="J699" i="1"/>
  <c r="K699" i="1"/>
  <c r="G700" i="1"/>
  <c r="H700" i="1"/>
  <c r="J700" i="1"/>
  <c r="K700" i="1"/>
  <c r="G701" i="1"/>
  <c r="H701" i="1"/>
  <c r="J701" i="1"/>
  <c r="K701" i="1"/>
  <c r="G703" i="1"/>
  <c r="H703" i="1"/>
  <c r="J703" i="1"/>
  <c r="K703" i="1"/>
  <c r="G704" i="1"/>
  <c r="H704" i="1"/>
  <c r="J704" i="1"/>
  <c r="K704" i="1"/>
  <c r="G706" i="1"/>
  <c r="H706" i="1"/>
  <c r="J706" i="1"/>
  <c r="K706" i="1"/>
  <c r="G707" i="1"/>
  <c r="H707" i="1"/>
  <c r="J707" i="1"/>
  <c r="K707" i="1"/>
  <c r="G708" i="1"/>
  <c r="H708" i="1"/>
  <c r="J708" i="1"/>
  <c r="K708" i="1"/>
  <c r="G709" i="1"/>
  <c r="H709" i="1"/>
  <c r="J709" i="1"/>
  <c r="K709" i="1"/>
  <c r="G710" i="1"/>
  <c r="H710" i="1"/>
  <c r="J710" i="1"/>
  <c r="K710" i="1"/>
  <c r="G711" i="1"/>
  <c r="H711" i="1"/>
  <c r="J711" i="1"/>
  <c r="K711" i="1"/>
  <c r="G712" i="1"/>
  <c r="H712" i="1"/>
  <c r="J712" i="1"/>
  <c r="K712" i="1"/>
  <c r="G713" i="1"/>
  <c r="H713" i="1"/>
  <c r="J713" i="1"/>
  <c r="K713" i="1"/>
  <c r="G714" i="1"/>
  <c r="H714" i="1"/>
  <c r="J714" i="1"/>
  <c r="K714" i="1"/>
  <c r="G715" i="1"/>
  <c r="H715" i="1"/>
  <c r="J715" i="1"/>
  <c r="K715" i="1"/>
  <c r="G716" i="1"/>
  <c r="H716" i="1"/>
  <c r="J716" i="1"/>
  <c r="K716" i="1"/>
  <c r="G717" i="1"/>
  <c r="H717" i="1"/>
  <c r="J717" i="1"/>
  <c r="K717" i="1"/>
  <c r="G718" i="1"/>
  <c r="H718" i="1"/>
  <c r="J718" i="1"/>
  <c r="K718" i="1"/>
  <c r="G719" i="1"/>
  <c r="H719" i="1"/>
  <c r="J719" i="1"/>
  <c r="K719" i="1"/>
  <c r="G720" i="1"/>
  <c r="H720" i="1"/>
  <c r="J720" i="1"/>
  <c r="K720" i="1"/>
  <c r="G721" i="1"/>
  <c r="H721" i="1"/>
  <c r="J721" i="1"/>
  <c r="K721" i="1"/>
  <c r="G722" i="1"/>
  <c r="H722" i="1"/>
  <c r="J722" i="1"/>
  <c r="K722" i="1"/>
  <c r="G723" i="1"/>
  <c r="H723" i="1"/>
  <c r="J723" i="1"/>
  <c r="K723" i="1"/>
  <c r="G724" i="1"/>
  <c r="H724" i="1"/>
  <c r="J724" i="1"/>
  <c r="K724" i="1"/>
  <c r="G725" i="1"/>
  <c r="H725" i="1"/>
  <c r="J725" i="1"/>
  <c r="K725" i="1"/>
  <c r="G726" i="1"/>
  <c r="H726" i="1"/>
  <c r="J726" i="1"/>
  <c r="K726" i="1"/>
  <c r="G727" i="1"/>
  <c r="H727" i="1"/>
  <c r="J727" i="1"/>
  <c r="K727" i="1"/>
  <c r="G728" i="1"/>
  <c r="H728" i="1"/>
  <c r="J728" i="1"/>
  <c r="K728" i="1"/>
  <c r="G729" i="1"/>
  <c r="H729" i="1"/>
  <c r="J729" i="1"/>
  <c r="K729" i="1"/>
  <c r="G730" i="1"/>
  <c r="H730" i="1"/>
  <c r="J730" i="1"/>
  <c r="K730" i="1"/>
  <c r="G731" i="1"/>
  <c r="H731" i="1"/>
  <c r="J731" i="1"/>
  <c r="K731" i="1"/>
  <c r="G732" i="1"/>
  <c r="H732" i="1"/>
  <c r="J732" i="1"/>
  <c r="K732" i="1"/>
  <c r="G733" i="1"/>
  <c r="H733" i="1"/>
  <c r="J733" i="1"/>
  <c r="K733" i="1"/>
  <c r="G739" i="1"/>
  <c r="H739" i="1"/>
  <c r="J739" i="1"/>
  <c r="K739" i="1"/>
  <c r="G740" i="1"/>
  <c r="H740" i="1"/>
  <c r="J740" i="1"/>
  <c r="K740" i="1"/>
  <c r="G741" i="1"/>
  <c r="H741" i="1"/>
  <c r="J741" i="1"/>
  <c r="K741" i="1"/>
  <c r="G742" i="1"/>
  <c r="H742" i="1"/>
  <c r="J742" i="1"/>
  <c r="K742" i="1"/>
  <c r="G743" i="1"/>
  <c r="H743" i="1"/>
  <c r="J743" i="1"/>
  <c r="K743" i="1"/>
  <c r="G744" i="1"/>
  <c r="H744" i="1"/>
  <c r="J744" i="1"/>
  <c r="K744" i="1"/>
  <c r="G745" i="1"/>
  <c r="H745" i="1"/>
  <c r="J745" i="1"/>
  <c r="K745" i="1"/>
  <c r="G746" i="1"/>
  <c r="H746" i="1"/>
  <c r="J746" i="1"/>
  <c r="K746" i="1"/>
  <c r="G747" i="1"/>
  <c r="H747" i="1"/>
  <c r="J747" i="1"/>
  <c r="K747" i="1"/>
  <c r="G748" i="1"/>
  <c r="H748" i="1"/>
  <c r="J748" i="1"/>
  <c r="K748" i="1"/>
  <c r="G749" i="1"/>
  <c r="H749" i="1"/>
  <c r="J749" i="1"/>
  <c r="K749" i="1"/>
  <c r="G750" i="1"/>
  <c r="H750" i="1"/>
  <c r="J750" i="1"/>
  <c r="K750" i="1"/>
  <c r="G751" i="1"/>
  <c r="H751" i="1"/>
  <c r="J751" i="1"/>
  <c r="K751" i="1"/>
  <c r="G752" i="1"/>
  <c r="H752" i="1"/>
  <c r="J752" i="1"/>
  <c r="K752" i="1"/>
  <c r="G753" i="1"/>
  <c r="H753" i="1"/>
  <c r="J753" i="1"/>
  <c r="K753" i="1"/>
  <c r="G754" i="1"/>
  <c r="H754" i="1"/>
  <c r="J754" i="1"/>
  <c r="K754" i="1"/>
  <c r="G755" i="1"/>
  <c r="H755" i="1"/>
  <c r="J755" i="1"/>
  <c r="K755" i="1"/>
  <c r="G756" i="1"/>
  <c r="H756" i="1"/>
  <c r="J756" i="1"/>
  <c r="K756" i="1"/>
  <c r="G757" i="1"/>
  <c r="H757" i="1"/>
  <c r="J757" i="1"/>
  <c r="K757" i="1"/>
  <c r="G758" i="1"/>
  <c r="H758" i="1"/>
  <c r="J758" i="1"/>
  <c r="K758" i="1"/>
  <c r="G777" i="1"/>
  <c r="H777" i="1"/>
  <c r="J777" i="1"/>
  <c r="K777" i="1"/>
  <c r="G778" i="1"/>
  <c r="H778" i="1"/>
  <c r="J778" i="1"/>
  <c r="K778" i="1"/>
  <c r="G779" i="1"/>
  <c r="H779" i="1"/>
  <c r="J779" i="1"/>
  <c r="K779" i="1"/>
  <c r="G782" i="1"/>
  <c r="H782" i="1"/>
  <c r="J782" i="1"/>
  <c r="K782" i="1"/>
  <c r="G783" i="1"/>
  <c r="H783" i="1"/>
  <c r="J783" i="1"/>
  <c r="K783" i="1"/>
  <c r="G784" i="1"/>
  <c r="H784" i="1"/>
  <c r="J784" i="1"/>
  <c r="K784" i="1"/>
  <c r="G785" i="1"/>
  <c r="H785" i="1"/>
  <c r="J785" i="1"/>
  <c r="K785" i="1"/>
  <c r="G786" i="1"/>
  <c r="H786" i="1"/>
  <c r="J786" i="1"/>
  <c r="K786" i="1"/>
  <c r="G787" i="1"/>
  <c r="H787" i="1"/>
  <c r="J787" i="1"/>
  <c r="K787" i="1"/>
  <c r="G788" i="1"/>
  <c r="H788" i="1"/>
  <c r="J788" i="1"/>
  <c r="K788" i="1"/>
  <c r="G789" i="1"/>
  <c r="H789" i="1"/>
  <c r="J789" i="1"/>
  <c r="K789" i="1"/>
  <c r="G790" i="1"/>
  <c r="H790" i="1"/>
  <c r="J790" i="1"/>
  <c r="K790" i="1"/>
  <c r="G791" i="1"/>
  <c r="H791" i="1"/>
  <c r="J791" i="1"/>
  <c r="K791" i="1"/>
  <c r="G792" i="1"/>
  <c r="H792" i="1"/>
  <c r="J792" i="1"/>
  <c r="K792" i="1"/>
  <c r="G793" i="1"/>
  <c r="H793" i="1"/>
  <c r="J793" i="1"/>
  <c r="K793" i="1"/>
  <c r="G794" i="1"/>
  <c r="H794" i="1"/>
  <c r="J794" i="1"/>
  <c r="K794" i="1"/>
  <c r="G795" i="1"/>
  <c r="H795" i="1"/>
  <c r="J795" i="1"/>
  <c r="K795" i="1"/>
  <c r="G796" i="1"/>
  <c r="H796" i="1"/>
  <c r="J796" i="1"/>
  <c r="K796" i="1"/>
  <c r="G797" i="1"/>
  <c r="H797" i="1"/>
  <c r="J797" i="1"/>
  <c r="K797" i="1"/>
  <c r="G798" i="1"/>
  <c r="H798" i="1"/>
  <c r="J798" i="1"/>
  <c r="K798" i="1"/>
  <c r="G799" i="1"/>
  <c r="H799" i="1"/>
  <c r="J799" i="1"/>
  <c r="K799" i="1"/>
  <c r="G800" i="1"/>
  <c r="H800" i="1"/>
  <c r="J800" i="1"/>
  <c r="K800" i="1"/>
  <c r="G801" i="1"/>
  <c r="H801" i="1"/>
  <c r="J801" i="1"/>
  <c r="K801" i="1"/>
  <c r="G802" i="1"/>
  <c r="H802" i="1"/>
  <c r="J802" i="1"/>
  <c r="K802" i="1"/>
  <c r="G803" i="1"/>
  <c r="H803" i="1"/>
  <c r="J803" i="1"/>
  <c r="K803" i="1"/>
  <c r="G804" i="1"/>
  <c r="H804" i="1"/>
  <c r="J804" i="1"/>
  <c r="K804" i="1"/>
  <c r="G805" i="1"/>
  <c r="H805" i="1"/>
  <c r="J805" i="1"/>
  <c r="K805" i="1"/>
  <c r="G806" i="1"/>
  <c r="H806" i="1"/>
  <c r="J806" i="1"/>
  <c r="K806" i="1"/>
  <c r="G807" i="1"/>
  <c r="H807" i="1"/>
  <c r="J807" i="1"/>
  <c r="K807" i="1"/>
  <c r="G808" i="1"/>
  <c r="H808" i="1"/>
  <c r="J808" i="1"/>
  <c r="K808" i="1"/>
  <c r="G809" i="1"/>
  <c r="H809" i="1"/>
  <c r="J809" i="1"/>
  <c r="K809" i="1"/>
  <c r="G810" i="1"/>
  <c r="H810" i="1"/>
  <c r="J810" i="1"/>
  <c r="K810" i="1"/>
  <c r="G811" i="1"/>
  <c r="H811" i="1"/>
  <c r="J811" i="1"/>
  <c r="K811" i="1"/>
  <c r="G812" i="1"/>
  <c r="H812" i="1"/>
  <c r="J812" i="1"/>
  <c r="K812" i="1"/>
  <c r="G813" i="1"/>
  <c r="H813" i="1"/>
  <c r="J813" i="1"/>
  <c r="K813" i="1"/>
  <c r="G814" i="1"/>
  <c r="H814" i="1"/>
  <c r="J814" i="1"/>
  <c r="K814" i="1"/>
  <c r="G815" i="1"/>
  <c r="H815" i="1"/>
  <c r="J815" i="1"/>
  <c r="K815" i="1"/>
  <c r="G816" i="1"/>
  <c r="H816" i="1"/>
  <c r="J816" i="1"/>
  <c r="K816" i="1"/>
  <c r="G817" i="1"/>
  <c r="H817" i="1"/>
  <c r="J817" i="1"/>
  <c r="K817" i="1"/>
  <c r="G818" i="1"/>
  <c r="H818" i="1"/>
  <c r="J818" i="1"/>
  <c r="K818" i="1"/>
  <c r="G819" i="1"/>
  <c r="H819" i="1"/>
  <c r="J819" i="1"/>
  <c r="K819" i="1"/>
  <c r="G820" i="1"/>
  <c r="H820" i="1"/>
  <c r="J820" i="1"/>
  <c r="K820" i="1"/>
  <c r="G821" i="1"/>
  <c r="H821" i="1"/>
  <c r="J821" i="1"/>
  <c r="K821" i="1"/>
  <c r="G822" i="1"/>
  <c r="H822" i="1"/>
  <c r="J822" i="1"/>
  <c r="K822" i="1"/>
  <c r="G823" i="1"/>
  <c r="H823" i="1"/>
  <c r="J823" i="1"/>
  <c r="K823" i="1"/>
  <c r="G824" i="1"/>
  <c r="H824" i="1"/>
  <c r="J824" i="1"/>
  <c r="K824" i="1"/>
  <c r="G825" i="1"/>
  <c r="H825" i="1"/>
  <c r="J825" i="1"/>
  <c r="K825" i="1"/>
  <c r="G826" i="1"/>
  <c r="H826" i="1"/>
  <c r="J826" i="1"/>
  <c r="K826" i="1"/>
  <c r="G827" i="1"/>
  <c r="H827" i="1"/>
  <c r="J827" i="1"/>
  <c r="K827" i="1"/>
  <c r="G828" i="1"/>
  <c r="H828" i="1"/>
  <c r="J828" i="1"/>
  <c r="K828" i="1"/>
  <c r="G829" i="1"/>
  <c r="H829" i="1"/>
  <c r="J829" i="1"/>
  <c r="K829" i="1"/>
  <c r="G830" i="1"/>
  <c r="H830" i="1"/>
  <c r="J830" i="1"/>
  <c r="K830" i="1"/>
  <c r="G831" i="1"/>
  <c r="H831" i="1"/>
  <c r="J831" i="1"/>
  <c r="K831" i="1"/>
  <c r="G832" i="1"/>
  <c r="H832" i="1"/>
  <c r="J832" i="1"/>
  <c r="K832" i="1"/>
  <c r="K53" i="9"/>
  <c r="K77" i="9"/>
  <c r="K94" i="9"/>
  <c r="K78" i="9"/>
  <c r="K66" i="9"/>
  <c r="K27" i="9"/>
  <c r="K28" i="9"/>
  <c r="D49" i="8"/>
  <c r="C49" i="8"/>
  <c r="E49" i="8" s="1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AT813" i="1"/>
  <c r="AS813" i="1"/>
  <c r="AR813" i="1"/>
  <c r="AT797" i="1"/>
  <c r="AS797" i="1"/>
  <c r="AR797" i="1"/>
  <c r="AT784" i="1"/>
  <c r="AS784" i="1"/>
  <c r="AR784" i="1"/>
  <c r="AT667" i="1"/>
  <c r="AS667" i="1"/>
  <c r="AR667" i="1"/>
  <c r="AT461" i="1"/>
  <c r="AS461" i="1"/>
  <c r="AR461" i="1"/>
  <c r="AT203" i="1"/>
  <c r="AS203" i="1"/>
  <c r="AR203" i="1"/>
  <c r="AT275" i="1"/>
  <c r="AS275" i="1"/>
  <c r="AR275" i="1"/>
  <c r="AT187" i="1"/>
  <c r="AS187" i="1"/>
  <c r="AR187" i="1"/>
  <c r="AT6" i="1"/>
  <c r="AS6" i="1"/>
  <c r="K134" i="1"/>
  <c r="K133" i="1"/>
  <c r="J133" i="1"/>
  <c r="H133" i="1"/>
  <c r="G133" i="1"/>
  <c r="K132" i="1"/>
  <c r="J132" i="1"/>
  <c r="H132" i="1"/>
  <c r="G132" i="1"/>
  <c r="K131" i="1"/>
  <c r="J131" i="1"/>
  <c r="H131" i="1"/>
  <c r="G131" i="1"/>
  <c r="K130" i="1"/>
  <c r="J130" i="1"/>
  <c r="H130" i="1"/>
  <c r="G130" i="1"/>
  <c r="K129" i="1"/>
  <c r="J129" i="1"/>
  <c r="H129" i="1"/>
  <c r="G129" i="1"/>
  <c r="K128" i="1"/>
  <c r="J128" i="1"/>
  <c r="H128" i="1"/>
  <c r="G128" i="1"/>
  <c r="K127" i="1"/>
  <c r="J127" i="1"/>
  <c r="H127" i="1"/>
  <c r="G127" i="1"/>
  <c r="K126" i="1"/>
  <c r="J126" i="1"/>
  <c r="H126" i="1"/>
  <c r="G126" i="1"/>
  <c r="K125" i="1"/>
  <c r="J125" i="1"/>
  <c r="H125" i="1"/>
  <c r="G125" i="1"/>
  <c r="K124" i="1"/>
  <c r="J124" i="1"/>
  <c r="H124" i="1"/>
  <c r="G124" i="1"/>
  <c r="K123" i="1"/>
  <c r="J123" i="1"/>
  <c r="H123" i="1"/>
  <c r="G123" i="1"/>
  <c r="K122" i="1"/>
  <c r="J122" i="1"/>
  <c r="H122" i="1"/>
  <c r="G122" i="1"/>
  <c r="K121" i="1"/>
  <c r="J121" i="1"/>
  <c r="H121" i="1"/>
  <c r="G121" i="1"/>
  <c r="K120" i="1"/>
  <c r="J120" i="1"/>
  <c r="H120" i="1"/>
  <c r="G120" i="1"/>
  <c r="K119" i="1"/>
  <c r="J119" i="1"/>
  <c r="H119" i="1"/>
  <c r="G119" i="1"/>
  <c r="K118" i="1"/>
  <c r="J118" i="1"/>
  <c r="H118" i="1"/>
  <c r="G118" i="1"/>
  <c r="K117" i="1"/>
  <c r="J117" i="1"/>
  <c r="H117" i="1"/>
  <c r="G117" i="1"/>
  <c r="K116" i="1"/>
  <c r="J116" i="1"/>
  <c r="H116" i="1"/>
  <c r="G116" i="1"/>
  <c r="K115" i="1"/>
  <c r="J115" i="1"/>
  <c r="H115" i="1"/>
  <c r="G115" i="1"/>
  <c r="K114" i="1"/>
  <c r="J114" i="1"/>
  <c r="H114" i="1"/>
  <c r="G114" i="1"/>
  <c r="K113" i="1"/>
  <c r="J113" i="1"/>
  <c r="H113" i="1"/>
  <c r="G113" i="1"/>
  <c r="K112" i="1"/>
  <c r="J112" i="1"/>
  <c r="H112" i="1"/>
  <c r="G112" i="1"/>
  <c r="K111" i="1"/>
  <c r="J111" i="1"/>
  <c r="H111" i="1"/>
  <c r="G111" i="1"/>
  <c r="K110" i="1"/>
  <c r="J110" i="1"/>
  <c r="H110" i="1"/>
  <c r="G110" i="1"/>
  <c r="K109" i="1"/>
  <c r="J109" i="1"/>
  <c r="H109" i="1"/>
  <c r="G109" i="1"/>
  <c r="K106" i="1"/>
  <c r="J106" i="1"/>
  <c r="H106" i="1"/>
  <c r="G106" i="1"/>
  <c r="K105" i="1"/>
  <c r="J105" i="1"/>
  <c r="H105" i="1"/>
  <c r="G105" i="1"/>
  <c r="K104" i="1"/>
  <c r="J104" i="1"/>
  <c r="H104" i="1"/>
  <c r="G104" i="1"/>
  <c r="K103" i="1"/>
  <c r="J103" i="1"/>
  <c r="H103" i="1"/>
  <c r="G103" i="1"/>
  <c r="K102" i="1"/>
  <c r="J102" i="1"/>
  <c r="H102" i="1"/>
  <c r="G102" i="1"/>
  <c r="K101" i="1"/>
  <c r="J101" i="1"/>
  <c r="H101" i="1"/>
  <c r="G101" i="1"/>
  <c r="AT102" i="1"/>
  <c r="AS102" i="1"/>
  <c r="K100" i="1"/>
  <c r="J100" i="1"/>
  <c r="H100" i="1"/>
  <c r="G100" i="1"/>
  <c r="P130" i="9"/>
  <c r="O130" i="9"/>
  <c r="L129" i="9"/>
  <c r="J129" i="9"/>
  <c r="H129" i="9"/>
  <c r="G129" i="9"/>
  <c r="L128" i="9"/>
  <c r="J128" i="9"/>
  <c r="H128" i="9"/>
  <c r="G128" i="9"/>
  <c r="L127" i="9"/>
  <c r="J127" i="9"/>
  <c r="H127" i="9"/>
  <c r="G127" i="9"/>
  <c r="L126" i="9"/>
  <c r="J126" i="9"/>
  <c r="H126" i="9"/>
  <c r="G126" i="9"/>
  <c r="L123" i="9"/>
  <c r="J123" i="9"/>
  <c r="H123" i="9"/>
  <c r="G123" i="9"/>
  <c r="L122" i="9"/>
  <c r="J122" i="9"/>
  <c r="H122" i="9"/>
  <c r="G122" i="9"/>
  <c r="L121" i="9"/>
  <c r="J121" i="9"/>
  <c r="H121" i="9"/>
  <c r="G121" i="9"/>
  <c r="L120" i="9"/>
  <c r="J120" i="9"/>
  <c r="H120" i="9"/>
  <c r="G120" i="9"/>
  <c r="L119" i="9"/>
  <c r="J119" i="9"/>
  <c r="H119" i="9"/>
  <c r="G119" i="9"/>
  <c r="L118" i="9"/>
  <c r="J118" i="9"/>
  <c r="H118" i="9"/>
  <c r="G118" i="9"/>
  <c r="L117" i="9"/>
  <c r="J117" i="9"/>
  <c r="H117" i="9"/>
  <c r="G117" i="9"/>
  <c r="L116" i="9"/>
  <c r="J116" i="9"/>
  <c r="H116" i="9"/>
  <c r="G116" i="9"/>
  <c r="L114" i="9"/>
  <c r="J114" i="9"/>
  <c r="H114" i="9"/>
  <c r="G114" i="9"/>
  <c r="L112" i="9"/>
  <c r="J112" i="9"/>
  <c r="H112" i="9"/>
  <c r="G112" i="9"/>
  <c r="L111" i="9"/>
  <c r="J111" i="9"/>
  <c r="H111" i="9"/>
  <c r="G111" i="9"/>
  <c r="L110" i="9"/>
  <c r="J110" i="9"/>
  <c r="H110" i="9"/>
  <c r="G110" i="9"/>
  <c r="L109" i="9"/>
  <c r="J109" i="9"/>
  <c r="H109" i="9"/>
  <c r="G109" i="9"/>
  <c r="L108" i="9"/>
  <c r="J108" i="9"/>
  <c r="H108" i="9"/>
  <c r="G108" i="9"/>
  <c r="L106" i="9"/>
  <c r="J106" i="9"/>
  <c r="H106" i="9"/>
  <c r="G106" i="9"/>
  <c r="L105" i="9"/>
  <c r="J105" i="9"/>
  <c r="H105" i="9"/>
  <c r="G105" i="9"/>
  <c r="L104" i="9"/>
  <c r="J104" i="9"/>
  <c r="H104" i="9"/>
  <c r="G104" i="9"/>
  <c r="L103" i="9"/>
  <c r="J103" i="9"/>
  <c r="H103" i="9"/>
  <c r="G103" i="9"/>
  <c r="L102" i="9"/>
  <c r="J102" i="9"/>
  <c r="H102" i="9"/>
  <c r="G102" i="9"/>
  <c r="L101" i="9"/>
  <c r="J101" i="9"/>
  <c r="H101" i="9"/>
  <c r="G101" i="9"/>
  <c r="L100" i="9"/>
  <c r="J100" i="9"/>
  <c r="H100" i="9"/>
  <c r="G100" i="9"/>
  <c r="L99" i="9"/>
  <c r="J99" i="9"/>
  <c r="H99" i="9"/>
  <c r="G99" i="9"/>
  <c r="L98" i="9"/>
  <c r="J98" i="9"/>
  <c r="H98" i="9"/>
  <c r="G98" i="9"/>
  <c r="L97" i="9"/>
  <c r="J97" i="9"/>
  <c r="H97" i="9"/>
  <c r="G97" i="9"/>
  <c r="L96" i="9"/>
  <c r="J96" i="9"/>
  <c r="H96" i="9"/>
  <c r="G96" i="9"/>
  <c r="L95" i="9"/>
  <c r="J95" i="9"/>
  <c r="H95" i="9"/>
  <c r="G95" i="9"/>
  <c r="L94" i="9"/>
  <c r="J94" i="9"/>
  <c r="H94" i="9"/>
  <c r="G94" i="9"/>
  <c r="L93" i="9"/>
  <c r="J93" i="9"/>
  <c r="H93" i="9"/>
  <c r="G93" i="9"/>
  <c r="L92" i="9"/>
  <c r="J92" i="9"/>
  <c r="H92" i="9"/>
  <c r="G92" i="9"/>
  <c r="L91" i="9"/>
  <c r="J91" i="9"/>
  <c r="H91" i="9"/>
  <c r="G91" i="9"/>
  <c r="L90" i="9"/>
  <c r="J90" i="9"/>
  <c r="H90" i="9"/>
  <c r="G90" i="9"/>
  <c r="L89" i="9"/>
  <c r="J89" i="9"/>
  <c r="H89" i="9"/>
  <c r="G89" i="9"/>
  <c r="L88" i="9"/>
  <c r="J88" i="9"/>
  <c r="H88" i="9"/>
  <c r="G88" i="9"/>
  <c r="L87" i="9"/>
  <c r="J87" i="9"/>
  <c r="H87" i="9"/>
  <c r="G87" i="9"/>
  <c r="L86" i="9"/>
  <c r="J86" i="9"/>
  <c r="H86" i="9"/>
  <c r="G86" i="9"/>
  <c r="L85" i="9"/>
  <c r="J85" i="9"/>
  <c r="H85" i="9"/>
  <c r="G85" i="9"/>
  <c r="L84" i="9"/>
  <c r="J84" i="9"/>
  <c r="H84" i="9"/>
  <c r="G84" i="9"/>
  <c r="L83" i="9"/>
  <c r="J83" i="9"/>
  <c r="H83" i="9"/>
  <c r="G83" i="9"/>
  <c r="L82" i="9"/>
  <c r="J82" i="9"/>
  <c r="H82" i="9"/>
  <c r="G82" i="9"/>
  <c r="L81" i="9"/>
  <c r="J81" i="9"/>
  <c r="H81" i="9"/>
  <c r="G81" i="9"/>
  <c r="L80" i="9"/>
  <c r="J80" i="9"/>
  <c r="H80" i="9"/>
  <c r="G80" i="9"/>
  <c r="L79" i="9"/>
  <c r="J79" i="9"/>
  <c r="H79" i="9"/>
  <c r="G79" i="9"/>
  <c r="L78" i="9"/>
  <c r="J78" i="9"/>
  <c r="H78" i="9"/>
  <c r="G78" i="9"/>
  <c r="L77" i="9"/>
  <c r="J77" i="9"/>
  <c r="H77" i="9"/>
  <c r="G77" i="9"/>
  <c r="L65" i="9"/>
  <c r="J65" i="9"/>
  <c r="H65" i="9"/>
  <c r="G65" i="9"/>
  <c r="L76" i="9"/>
  <c r="J76" i="9"/>
  <c r="H76" i="9"/>
  <c r="G76" i="9"/>
  <c r="L74" i="9"/>
  <c r="J74" i="9"/>
  <c r="H74" i="9"/>
  <c r="G74" i="9"/>
  <c r="L73" i="9"/>
  <c r="J73" i="9"/>
  <c r="H73" i="9"/>
  <c r="G73" i="9"/>
  <c r="L72" i="9"/>
  <c r="J72" i="9"/>
  <c r="H72" i="9"/>
  <c r="G72" i="9"/>
  <c r="L71" i="9"/>
  <c r="J71" i="9"/>
  <c r="H71" i="9"/>
  <c r="G71" i="9"/>
  <c r="L70" i="9"/>
  <c r="J70" i="9"/>
  <c r="H70" i="9"/>
  <c r="G70" i="9"/>
  <c r="L69" i="9"/>
  <c r="J69" i="9"/>
  <c r="H69" i="9"/>
  <c r="G69" i="9"/>
  <c r="L68" i="9"/>
  <c r="J68" i="9"/>
  <c r="H68" i="9"/>
  <c r="G68" i="9"/>
  <c r="L67" i="9"/>
  <c r="J67" i="9"/>
  <c r="H67" i="9"/>
  <c r="G67" i="9"/>
  <c r="L66" i="9"/>
  <c r="J66" i="9"/>
  <c r="H66" i="9"/>
  <c r="G66" i="9"/>
  <c r="L64" i="9"/>
  <c r="J64" i="9"/>
  <c r="H64" i="9"/>
  <c r="G64" i="9"/>
  <c r="L63" i="9"/>
  <c r="J63" i="9"/>
  <c r="H63" i="9"/>
  <c r="G63" i="9"/>
  <c r="L62" i="9"/>
  <c r="J62" i="9"/>
  <c r="H62" i="9"/>
  <c r="G62" i="9"/>
  <c r="L61" i="9"/>
  <c r="J61" i="9"/>
  <c r="H61" i="9"/>
  <c r="G61" i="9"/>
  <c r="L60" i="9"/>
  <c r="J60" i="9"/>
  <c r="H60" i="9"/>
  <c r="G60" i="9"/>
  <c r="L59" i="9"/>
  <c r="J59" i="9"/>
  <c r="H59" i="9"/>
  <c r="G59" i="9"/>
  <c r="L58" i="9"/>
  <c r="J58" i="9"/>
  <c r="H58" i="9"/>
  <c r="G58" i="9"/>
  <c r="L57" i="9"/>
  <c r="J57" i="9"/>
  <c r="H57" i="9"/>
  <c r="G57" i="9"/>
  <c r="L56" i="9"/>
  <c r="J56" i="9"/>
  <c r="H56" i="9"/>
  <c r="G56" i="9"/>
  <c r="L55" i="9"/>
  <c r="J55" i="9"/>
  <c r="H55" i="9"/>
  <c r="G55" i="9"/>
  <c r="L54" i="9"/>
  <c r="J54" i="9"/>
  <c r="H54" i="9"/>
  <c r="G54" i="9"/>
  <c r="L53" i="9"/>
  <c r="J53" i="9"/>
  <c r="H53" i="9"/>
  <c r="G53" i="9"/>
  <c r="L52" i="9"/>
  <c r="J52" i="9"/>
  <c r="H52" i="9"/>
  <c r="G52" i="9"/>
  <c r="L51" i="9"/>
  <c r="J51" i="9"/>
  <c r="H51" i="9"/>
  <c r="G51" i="9"/>
  <c r="L50" i="9"/>
  <c r="J50" i="9"/>
  <c r="H50" i="9"/>
  <c r="G50" i="9"/>
  <c r="L49" i="9"/>
  <c r="J49" i="9"/>
  <c r="H49" i="9"/>
  <c r="G49" i="9"/>
  <c r="L48" i="9"/>
  <c r="J48" i="9"/>
  <c r="H48" i="9"/>
  <c r="G48" i="9"/>
  <c r="L46" i="9"/>
  <c r="J46" i="9"/>
  <c r="H46" i="9"/>
  <c r="G46" i="9"/>
  <c r="L45" i="9"/>
  <c r="J45" i="9"/>
  <c r="H45" i="9"/>
  <c r="G45" i="9"/>
  <c r="L35" i="9"/>
  <c r="J35" i="9"/>
  <c r="H35" i="9"/>
  <c r="G35" i="9"/>
  <c r="L34" i="9"/>
  <c r="J34" i="9"/>
  <c r="H34" i="9"/>
  <c r="G34" i="9"/>
  <c r="L33" i="9"/>
  <c r="J33" i="9"/>
  <c r="H33" i="9"/>
  <c r="G33" i="9"/>
  <c r="L32" i="9"/>
  <c r="J32" i="9"/>
  <c r="H32" i="9"/>
  <c r="G32" i="9"/>
  <c r="L31" i="9"/>
  <c r="J31" i="9"/>
  <c r="H31" i="9"/>
  <c r="G31" i="9"/>
  <c r="L28" i="9"/>
  <c r="J28" i="9"/>
  <c r="H28" i="9"/>
  <c r="G28" i="9"/>
  <c r="L27" i="9"/>
  <c r="J27" i="9"/>
  <c r="H27" i="9"/>
  <c r="G27" i="9"/>
  <c r="L26" i="9"/>
  <c r="J26" i="9"/>
  <c r="H26" i="9"/>
  <c r="G26" i="9"/>
  <c r="L25" i="9"/>
  <c r="J25" i="9"/>
  <c r="H25" i="9"/>
  <c r="G25" i="9"/>
  <c r="L24" i="9"/>
  <c r="J24" i="9"/>
  <c r="H24" i="9"/>
  <c r="G24" i="9"/>
  <c r="L23" i="9"/>
  <c r="J23" i="9"/>
  <c r="H23" i="9"/>
  <c r="G23" i="9"/>
  <c r="L22" i="9"/>
  <c r="J22" i="9"/>
  <c r="H22" i="9"/>
  <c r="G22" i="9"/>
  <c r="L21" i="9"/>
  <c r="J21" i="9"/>
  <c r="H21" i="9"/>
  <c r="G21" i="9"/>
  <c r="L20" i="9"/>
  <c r="J20" i="9"/>
  <c r="H20" i="9"/>
  <c r="G20" i="9"/>
  <c r="L19" i="9"/>
  <c r="J19" i="9"/>
  <c r="H19" i="9"/>
  <c r="G19" i="9"/>
  <c r="L18" i="9"/>
  <c r="J18" i="9"/>
  <c r="H18" i="9"/>
  <c r="G18" i="9"/>
  <c r="L17" i="9"/>
  <c r="J17" i="9"/>
  <c r="H17" i="9"/>
  <c r="G17" i="9"/>
  <c r="L16" i="9"/>
  <c r="J16" i="9"/>
  <c r="H16" i="9"/>
  <c r="G16" i="9"/>
  <c r="L15" i="9"/>
  <c r="J15" i="9"/>
  <c r="H15" i="9"/>
  <c r="G15" i="9"/>
  <c r="L13" i="9"/>
  <c r="J13" i="9"/>
  <c r="H13" i="9"/>
  <c r="G13" i="9"/>
  <c r="L12" i="9"/>
  <c r="J12" i="9"/>
  <c r="H12" i="9"/>
  <c r="G12" i="9"/>
  <c r="L11" i="9"/>
  <c r="J11" i="9"/>
  <c r="H11" i="9"/>
  <c r="G11" i="9"/>
  <c r="L9" i="9"/>
  <c r="J9" i="9"/>
  <c r="H9" i="9"/>
  <c r="G9" i="9"/>
  <c r="L8" i="9"/>
  <c r="J8" i="9"/>
  <c r="H8" i="9"/>
  <c r="G8" i="9"/>
  <c r="L7" i="9"/>
  <c r="J7" i="9"/>
  <c r="H7" i="9"/>
  <c r="G7" i="9"/>
  <c r="L6" i="9"/>
  <c r="J6" i="9"/>
  <c r="H6" i="9"/>
  <c r="G6" i="9"/>
  <c r="L5" i="9"/>
  <c r="J5" i="9"/>
  <c r="H5" i="9"/>
  <c r="G5" i="9"/>
  <c r="L4" i="9"/>
  <c r="J4" i="9"/>
  <c r="H4" i="9"/>
  <c r="G4" i="9"/>
  <c r="L3" i="9"/>
  <c r="J3" i="9"/>
  <c r="H3" i="9"/>
  <c r="G3" i="9"/>
  <c r="L2" i="9"/>
  <c r="J2" i="9"/>
  <c r="H2" i="9"/>
  <c r="G2" i="9"/>
  <c r="F118" i="9" l="1"/>
  <c r="F96" i="9"/>
  <c r="F33" i="9"/>
  <c r="F74" i="9"/>
  <c r="F21" i="9"/>
  <c r="F52" i="9"/>
  <c r="F8" i="9"/>
  <c r="F85" i="9"/>
  <c r="F59" i="9"/>
  <c r="F23" i="9"/>
  <c r="F65" i="9"/>
  <c r="F5" i="9"/>
  <c r="F18" i="9"/>
  <c r="F49" i="9"/>
  <c r="F60" i="9"/>
  <c r="F71" i="9"/>
  <c r="F82" i="9"/>
  <c r="F93" i="9"/>
  <c r="F104" i="9"/>
  <c r="F116" i="9"/>
  <c r="F27" i="9"/>
  <c r="F58" i="9"/>
  <c r="F91" i="9"/>
  <c r="F53" i="9"/>
  <c r="F81" i="9"/>
  <c r="F16" i="9"/>
  <c r="F46" i="9"/>
  <c r="F80" i="9"/>
  <c r="F11" i="9"/>
  <c r="F64" i="9"/>
  <c r="F119" i="9"/>
  <c r="F17" i="9"/>
  <c r="F28" i="9"/>
  <c r="F48" i="9"/>
  <c r="F114" i="9"/>
  <c r="F120" i="9"/>
  <c r="F55" i="9"/>
  <c r="F6" i="9"/>
  <c r="F19" i="9"/>
  <c r="F31" i="9"/>
  <c r="F50" i="9"/>
  <c r="F61" i="9"/>
  <c r="F72" i="9"/>
  <c r="F83" i="9"/>
  <c r="F94" i="9"/>
  <c r="F105" i="9"/>
  <c r="F117" i="9"/>
  <c r="F112" i="9"/>
  <c r="F35" i="9"/>
  <c r="F121" i="9"/>
  <c r="F103" i="9"/>
  <c r="F98" i="9"/>
  <c r="F109" i="9"/>
  <c r="F88" i="9"/>
  <c r="F13" i="9"/>
  <c r="F25" i="9"/>
  <c r="F56" i="9"/>
  <c r="F67" i="9"/>
  <c r="F78" i="9"/>
  <c r="F89" i="9"/>
  <c r="F100" i="9"/>
  <c r="F110" i="9"/>
  <c r="F22" i="9"/>
  <c r="F63" i="9"/>
  <c r="F87" i="9"/>
  <c r="F12" i="9"/>
  <c r="F24" i="9"/>
  <c r="F66" i="9"/>
  <c r="F97" i="9"/>
  <c r="F7" i="9"/>
  <c r="F20" i="9"/>
  <c r="F32" i="9"/>
  <c r="F51" i="9"/>
  <c r="F62" i="9"/>
  <c r="F73" i="9"/>
  <c r="F84" i="9"/>
  <c r="F95" i="9"/>
  <c r="F106" i="9"/>
  <c r="F102" i="9"/>
  <c r="F9" i="9"/>
  <c r="F34" i="9"/>
  <c r="F86" i="9"/>
  <c r="F54" i="9"/>
  <c r="F76" i="9"/>
  <c r="F70" i="9"/>
  <c r="F92" i="9"/>
  <c r="F77" i="9"/>
  <c r="F99" i="9"/>
  <c r="F15" i="9"/>
  <c r="F26" i="9"/>
  <c r="F45" i="9"/>
  <c r="F57" i="9"/>
  <c r="F68" i="9"/>
  <c r="F79" i="9"/>
  <c r="F90" i="9"/>
  <c r="F101" i="9"/>
  <c r="F111" i="9"/>
  <c r="F69" i="9"/>
  <c r="F108" i="9"/>
  <c r="F194" i="1"/>
  <c r="F193" i="1"/>
  <c r="F192" i="1"/>
  <c r="F149" i="1"/>
  <c r="F136" i="1"/>
  <c r="F164" i="1"/>
  <c r="F384" i="1"/>
  <c r="F128" i="9"/>
  <c r="F142" i="1"/>
  <c r="AS765" i="1"/>
  <c r="AT814" i="1"/>
  <c r="F792" i="1"/>
  <c r="F755" i="1"/>
  <c r="AR785" i="1"/>
  <c r="AT188" i="1"/>
  <c r="F309" i="1"/>
  <c r="AS7" i="1"/>
  <c r="AS188" i="1"/>
  <c r="AT785" i="1"/>
  <c r="F12" i="1"/>
  <c r="F174" i="1"/>
  <c r="F162" i="1"/>
  <c r="F147" i="1"/>
  <c r="F141" i="1"/>
  <c r="AT668" i="1"/>
  <c r="F114" i="1"/>
  <c r="F85" i="1"/>
  <c r="F406" i="1"/>
  <c r="F212" i="1"/>
  <c r="F562" i="1"/>
  <c r="F721" i="1"/>
  <c r="F711" i="1"/>
  <c r="F691" i="1"/>
  <c r="F505" i="1"/>
  <c r="F494" i="1"/>
  <c r="F418" i="1"/>
  <c r="F256" i="1"/>
  <c r="F73" i="1"/>
  <c r="F13" i="1"/>
  <c r="F752" i="1"/>
  <c r="F542" i="1"/>
  <c r="F397" i="1"/>
  <c r="F535" i="1"/>
  <c r="F173" i="1"/>
  <c r="F161" i="1"/>
  <c r="F65" i="1"/>
  <c r="F55" i="1"/>
  <c r="F48" i="1"/>
  <c r="F754" i="1"/>
  <c r="F729" i="1"/>
  <c r="F733" i="1"/>
  <c r="F165" i="1"/>
  <c r="F139" i="1"/>
  <c r="F118" i="1"/>
  <c r="F679" i="1"/>
  <c r="F652" i="1"/>
  <c r="F438" i="1"/>
  <c r="F392" i="1"/>
  <c r="F90" i="1"/>
  <c r="F102" i="1"/>
  <c r="F230" i="1"/>
  <c r="F234" i="1"/>
  <c r="F169" i="1"/>
  <c r="F143" i="1"/>
  <c r="F513" i="1"/>
  <c r="F492" i="1"/>
  <c r="F471" i="1"/>
  <c r="F446" i="1"/>
  <c r="F436" i="1"/>
  <c r="F426" i="1"/>
  <c r="F269" i="1"/>
  <c r="F72" i="1"/>
  <c r="F62" i="1"/>
  <c r="F175" i="1"/>
  <c r="F509" i="1"/>
  <c r="F487" i="1"/>
  <c r="F640" i="1"/>
  <c r="F28" i="1"/>
  <c r="F100" i="1"/>
  <c r="F116" i="1"/>
  <c r="F750" i="1"/>
  <c r="F667" i="1"/>
  <c r="F576" i="1"/>
  <c r="F378" i="1"/>
  <c r="F356" i="1"/>
  <c r="F302" i="1"/>
  <c r="F285" i="1"/>
  <c r="F197" i="1"/>
  <c r="F186" i="1"/>
  <c r="F5" i="1"/>
  <c r="F166" i="1"/>
  <c r="F801" i="1"/>
  <c r="F779" i="1"/>
  <c r="F724" i="1"/>
  <c r="F704" i="1"/>
  <c r="F656" i="1"/>
  <c r="F372" i="1"/>
  <c r="F655" i="1"/>
  <c r="F643" i="1"/>
  <c r="F113" i="1"/>
  <c r="F419" i="1"/>
  <c r="F405" i="1"/>
  <c r="F394" i="1"/>
  <c r="F222" i="1"/>
  <c r="F27" i="1"/>
  <c r="F88" i="1"/>
  <c r="F451" i="1"/>
  <c r="F444" i="1"/>
  <c r="F538" i="1"/>
  <c r="F828" i="1"/>
  <c r="F672" i="1"/>
  <c r="F611" i="1"/>
  <c r="F592" i="1"/>
  <c r="F519" i="1"/>
  <c r="F294" i="1"/>
  <c r="F189" i="1"/>
  <c r="F709" i="1"/>
  <c r="F697" i="1"/>
  <c r="F688" i="1"/>
  <c r="F565" i="1"/>
  <c r="F555" i="1"/>
  <c r="F546" i="1"/>
  <c r="F380" i="1"/>
  <c r="F328" i="1"/>
  <c r="F83" i="1"/>
  <c r="F70" i="1"/>
  <c r="F587" i="1"/>
  <c r="F229" i="1"/>
  <c r="F369" i="1"/>
  <c r="F358" i="1"/>
  <c r="F713" i="1"/>
  <c r="F650" i="1"/>
  <c r="F624" i="1"/>
  <c r="F559" i="1"/>
  <c r="F396" i="1"/>
  <c r="F218" i="1"/>
  <c r="F210" i="1"/>
  <c r="F320" i="1"/>
  <c r="F304" i="1"/>
  <c r="F744" i="1"/>
  <c r="F610" i="1"/>
  <c r="F601" i="1"/>
  <c r="F591" i="1"/>
  <c r="F411" i="1"/>
  <c r="F255" i="1"/>
  <c r="F233" i="1"/>
  <c r="F363" i="1"/>
  <c r="F293" i="1"/>
  <c r="F117" i="1"/>
  <c r="F788" i="1"/>
  <c r="F676" i="1"/>
  <c r="F661" i="1"/>
  <c r="F606" i="1"/>
  <c r="F462" i="1"/>
  <c r="F441" i="1"/>
  <c r="F249" i="1"/>
  <c r="F228" i="1"/>
  <c r="F368" i="1"/>
  <c r="AT276" i="1"/>
  <c r="F827" i="1"/>
  <c r="F681" i="1"/>
  <c r="F666" i="1"/>
  <c r="F649" i="1"/>
  <c r="F623" i="1"/>
  <c r="F449" i="1"/>
  <c r="F264" i="1"/>
  <c r="F204" i="1"/>
  <c r="F199" i="1"/>
  <c r="F53" i="1"/>
  <c r="F35" i="1"/>
  <c r="F24" i="1"/>
  <c r="F131" i="1"/>
  <c r="F128" i="1"/>
  <c r="F804" i="1"/>
  <c r="F481" i="1"/>
  <c r="F254" i="1"/>
  <c r="F243" i="1"/>
  <c r="F232" i="1"/>
  <c r="F69" i="1"/>
  <c r="F51" i="1"/>
  <c r="F707" i="1"/>
  <c r="F695" i="1"/>
  <c r="F389" i="1"/>
  <c r="F50" i="1"/>
  <c r="F732" i="1"/>
  <c r="F675" i="1"/>
  <c r="F522" i="1"/>
  <c r="F415" i="1"/>
  <c r="F248" i="1"/>
  <c r="F324" i="1"/>
  <c r="F148" i="1"/>
  <c r="F809" i="1"/>
  <c r="F605" i="1"/>
  <c r="F475" i="1"/>
  <c r="F297" i="1"/>
  <c r="F274" i="1"/>
  <c r="F115" i="1"/>
  <c r="F808" i="1"/>
  <c r="F797" i="1"/>
  <c r="F786" i="1"/>
  <c r="F747" i="1"/>
  <c r="F731" i="1"/>
  <c r="F584" i="1"/>
  <c r="F474" i="1"/>
  <c r="F414" i="1"/>
  <c r="F287" i="1"/>
  <c r="F119" i="1"/>
  <c r="F814" i="1"/>
  <c r="F720" i="1"/>
  <c r="F710" i="1"/>
  <c r="F459" i="1"/>
  <c r="F447" i="1"/>
  <c r="F429" i="1"/>
  <c r="F393" i="1"/>
  <c r="F44" i="1"/>
  <c r="F33" i="1"/>
  <c r="F22" i="1"/>
  <c r="F112" i="1"/>
  <c r="F824" i="1"/>
  <c r="F813" i="1"/>
  <c r="F791" i="1"/>
  <c r="F741" i="1"/>
  <c r="F543" i="1"/>
  <c r="F526" i="1"/>
  <c r="F515" i="1"/>
  <c r="F489" i="1"/>
  <c r="F408" i="1"/>
  <c r="F56" i="1"/>
  <c r="F11" i="1"/>
  <c r="F184" i="1"/>
  <c r="F123" i="1"/>
  <c r="F247" i="1"/>
  <c r="F226" i="1"/>
  <c r="F135" i="1"/>
  <c r="F829" i="1"/>
  <c r="F807" i="1"/>
  <c r="F131" i="9" s="1"/>
  <c r="F785" i="1"/>
  <c r="F699" i="1"/>
  <c r="F548" i="1"/>
  <c r="F531" i="1"/>
  <c r="F520" i="1"/>
  <c r="F483" i="1"/>
  <c r="F473" i="1"/>
  <c r="F225" i="1"/>
  <c r="F92" i="1"/>
  <c r="F81" i="1"/>
  <c r="F61" i="1"/>
  <c r="F4" i="1"/>
  <c r="F645" i="1"/>
  <c r="F589" i="1"/>
  <c r="F566" i="1"/>
  <c r="F547" i="1"/>
  <c r="F499" i="1"/>
  <c r="F458" i="1"/>
  <c r="F32" i="1"/>
  <c r="F823" i="1"/>
  <c r="F812" i="1"/>
  <c r="F588" i="1"/>
  <c r="F525" i="1"/>
  <c r="F478" i="1"/>
  <c r="F306" i="1"/>
  <c r="F291" i="1"/>
  <c r="F195" i="1"/>
  <c r="F104" i="1"/>
  <c r="F593" i="1"/>
  <c r="F571" i="1"/>
  <c r="F560" i="1"/>
  <c r="F541" i="1"/>
  <c r="F504" i="1"/>
  <c r="F266" i="1"/>
  <c r="F305" i="1"/>
  <c r="F87" i="1"/>
  <c r="F123" i="9"/>
  <c r="F129" i="9"/>
  <c r="F124" i="1"/>
  <c r="F832" i="1"/>
  <c r="F789" i="1"/>
  <c r="F757" i="1"/>
  <c r="F745" i="1"/>
  <c r="F714" i="1"/>
  <c r="F698" i="1"/>
  <c r="F673" i="1"/>
  <c r="F663" i="1"/>
  <c r="F608" i="1"/>
  <c r="F563" i="1"/>
  <c r="F523" i="1"/>
  <c r="F497" i="1"/>
  <c r="F482" i="1"/>
  <c r="F450" i="1"/>
  <c r="F437" i="1"/>
  <c r="F412" i="1"/>
  <c r="F385" i="1"/>
  <c r="F267" i="1"/>
  <c r="F252" i="1"/>
  <c r="F213" i="1"/>
  <c r="F361" i="1"/>
  <c r="F312" i="1"/>
  <c r="F288" i="1"/>
  <c r="F198" i="1"/>
  <c r="F187" i="1"/>
  <c r="F86" i="1"/>
  <c r="F63" i="1"/>
  <c r="F25" i="1"/>
  <c r="F8" i="1"/>
  <c r="F150" i="1"/>
  <c r="F126" i="1"/>
  <c r="F821" i="1"/>
  <c r="F794" i="1"/>
  <c r="F778" i="1"/>
  <c r="F638" i="1"/>
  <c r="F612" i="1"/>
  <c r="F600" i="1"/>
  <c r="F568" i="1"/>
  <c r="F553" i="1"/>
  <c r="F528" i="1"/>
  <c r="F512" i="1"/>
  <c r="F486" i="1"/>
  <c r="F402" i="1"/>
  <c r="F257" i="1"/>
  <c r="F241" i="1"/>
  <c r="F216" i="1"/>
  <c r="F377" i="1"/>
  <c r="F323" i="1"/>
  <c r="F78" i="1"/>
  <c r="F41" i="1"/>
  <c r="F14" i="1"/>
  <c r="F182" i="1"/>
  <c r="AS462" i="1"/>
  <c r="F826" i="1"/>
  <c r="F810" i="1"/>
  <c r="F739" i="1"/>
  <c r="F718" i="1"/>
  <c r="F693" i="1"/>
  <c r="F678" i="1"/>
  <c r="F641" i="1"/>
  <c r="F604" i="1"/>
  <c r="F557" i="1"/>
  <c r="F544" i="1"/>
  <c r="F502" i="1"/>
  <c r="F476" i="1"/>
  <c r="F457" i="1"/>
  <c r="F432" i="1"/>
  <c r="F417" i="1"/>
  <c r="F391" i="1"/>
  <c r="F246" i="1"/>
  <c r="F231" i="1"/>
  <c r="F366" i="1"/>
  <c r="F307" i="1"/>
  <c r="F171" i="1"/>
  <c r="F154" i="1"/>
  <c r="F815" i="1"/>
  <c r="F805" i="1"/>
  <c r="F799" i="1"/>
  <c r="F723" i="1"/>
  <c r="F689" i="1"/>
  <c r="F657" i="1"/>
  <c r="F646" i="1"/>
  <c r="F617" i="1"/>
  <c r="F594" i="1"/>
  <c r="F585" i="1"/>
  <c r="F572" i="1"/>
  <c r="F549" i="1"/>
  <c r="F539" i="1"/>
  <c r="F533" i="1"/>
  <c r="F507" i="1"/>
  <c r="F491" i="1"/>
  <c r="F461" i="1"/>
  <c r="F427" i="1"/>
  <c r="F381" i="1"/>
  <c r="F262" i="1"/>
  <c r="F235" i="1"/>
  <c r="F220" i="1"/>
  <c r="F371" i="1"/>
  <c r="F330" i="1"/>
  <c r="F296" i="1"/>
  <c r="F57" i="1"/>
  <c r="F19" i="1"/>
  <c r="F176" i="1"/>
  <c r="F144" i="1"/>
  <c r="AS103" i="1"/>
  <c r="F109" i="1"/>
  <c r="AT103" i="1"/>
  <c r="F820" i="1"/>
  <c r="F793" i="1"/>
  <c r="F783" i="1"/>
  <c r="F777" i="1"/>
  <c r="F749" i="1"/>
  <c r="F728" i="1"/>
  <c r="F703" i="1"/>
  <c r="F668" i="1"/>
  <c r="F637" i="1"/>
  <c r="F622" i="1"/>
  <c r="F599" i="1"/>
  <c r="F567" i="1"/>
  <c r="F527" i="1"/>
  <c r="F517" i="1"/>
  <c r="F485" i="1"/>
  <c r="F470" i="1"/>
  <c r="F440" i="1"/>
  <c r="F271" i="1"/>
  <c r="F240" i="1"/>
  <c r="F215" i="1"/>
  <c r="F202" i="1"/>
  <c r="F375" i="1"/>
  <c r="F322" i="1"/>
  <c r="F301" i="1"/>
  <c r="F273" i="1"/>
  <c r="F40" i="1"/>
  <c r="F30" i="1"/>
  <c r="F181" i="1"/>
  <c r="F138" i="1"/>
  <c r="F825" i="1"/>
  <c r="F782" i="1"/>
  <c r="F717" i="1"/>
  <c r="F683" i="1"/>
  <c r="F677" i="1"/>
  <c r="F651" i="1"/>
  <c r="F603" i="1"/>
  <c r="F556" i="1"/>
  <c r="F516" i="1"/>
  <c r="F501" i="1"/>
  <c r="F456" i="1"/>
  <c r="F431" i="1"/>
  <c r="F421" i="1"/>
  <c r="F416" i="1"/>
  <c r="F390" i="1"/>
  <c r="F270" i="1"/>
  <c r="F245" i="1"/>
  <c r="F201" i="1"/>
  <c r="F365" i="1"/>
  <c r="F94" i="1"/>
  <c r="F89" i="1"/>
  <c r="F66" i="1"/>
  <c r="F52" i="1"/>
  <c r="F45" i="1"/>
  <c r="F29" i="1"/>
  <c r="F153" i="1"/>
  <c r="F120" i="1"/>
  <c r="F831" i="1"/>
  <c r="F798" i="1"/>
  <c r="F756" i="1"/>
  <c r="F753" i="1"/>
  <c r="F722" i="1"/>
  <c r="F708" i="1"/>
  <c r="F682" i="1"/>
  <c r="F662" i="1"/>
  <c r="F616" i="1"/>
  <c r="F607" i="1"/>
  <c r="F532" i="1"/>
  <c r="F506" i="1"/>
  <c r="F496" i="1"/>
  <c r="F490" i="1"/>
  <c r="F460" i="1"/>
  <c r="F445" i="1"/>
  <c r="F420" i="1"/>
  <c r="F261" i="1"/>
  <c r="F251" i="1"/>
  <c r="F219" i="1"/>
  <c r="F370" i="1"/>
  <c r="F360" i="1"/>
  <c r="F329" i="1"/>
  <c r="F295" i="1"/>
  <c r="F284" i="1"/>
  <c r="F93" i="1"/>
  <c r="F18" i="1"/>
  <c r="F7" i="1"/>
  <c r="F101" i="1"/>
  <c r="F127" i="1"/>
  <c r="F110" i="1"/>
  <c r="F830" i="1"/>
  <c r="F803" i="1"/>
  <c r="F743" i="1"/>
  <c r="F696" i="1"/>
  <c r="F671" i="1"/>
  <c r="F644" i="1"/>
  <c r="F625" i="1"/>
  <c r="F583" i="1"/>
  <c r="F537" i="1"/>
  <c r="F495" i="1"/>
  <c r="F480" i="1"/>
  <c r="F435" i="1"/>
  <c r="F410" i="1"/>
  <c r="F401" i="1"/>
  <c r="F395" i="1"/>
  <c r="F250" i="1"/>
  <c r="F224" i="1"/>
  <c r="F359" i="1"/>
  <c r="F311" i="1"/>
  <c r="F196" i="1"/>
  <c r="F77" i="1"/>
  <c r="F71" i="1"/>
  <c r="F49" i="1"/>
  <c r="F34" i="1"/>
  <c r="F23" i="1"/>
  <c r="F6" i="1"/>
  <c r="F163" i="1"/>
  <c r="AR814" i="1"/>
  <c r="F819" i="1"/>
  <c r="F748" i="1"/>
  <c r="F727" i="1"/>
  <c r="F701" i="1"/>
  <c r="F687" i="1"/>
  <c r="F598" i="1"/>
  <c r="F552" i="1"/>
  <c r="F511" i="1"/>
  <c r="F484" i="1"/>
  <c r="F469" i="1"/>
  <c r="F425" i="1"/>
  <c r="F400" i="1"/>
  <c r="F239" i="1"/>
  <c r="F374" i="1"/>
  <c r="F321" i="1"/>
  <c r="F300" i="1"/>
  <c r="F185" i="1"/>
  <c r="F76" i="1"/>
  <c r="F180" i="1"/>
  <c r="F137" i="1"/>
  <c r="F167" i="1"/>
  <c r="AS785" i="1"/>
  <c r="F787" i="1"/>
  <c r="F712" i="1"/>
  <c r="F561" i="1"/>
  <c r="F521" i="1"/>
  <c r="F448" i="1"/>
  <c r="F265" i="1"/>
  <c r="F211" i="1"/>
  <c r="F286" i="1"/>
  <c r="F636" i="1"/>
  <c r="F39" i="1"/>
  <c r="F134" i="1"/>
  <c r="AR7" i="1"/>
  <c r="F726" i="1"/>
  <c r="F700" i="1"/>
  <c r="F692" i="1"/>
  <c r="F686" i="1"/>
  <c r="F660" i="1"/>
  <c r="F602" i="1"/>
  <c r="F510" i="1"/>
  <c r="F500" i="1"/>
  <c r="F468" i="1"/>
  <c r="F439" i="1"/>
  <c r="F430" i="1"/>
  <c r="F424" i="1"/>
  <c r="F399" i="1"/>
  <c r="F383" i="1"/>
  <c r="F244" i="1"/>
  <c r="F373" i="1"/>
  <c r="F364" i="1"/>
  <c r="F299" i="1"/>
  <c r="F200" i="1"/>
  <c r="F190" i="1"/>
  <c r="F99" i="1"/>
  <c r="F75" i="1"/>
  <c r="F60" i="1"/>
  <c r="F38" i="1"/>
  <c r="F615" i="1"/>
  <c r="F260" i="1"/>
  <c r="F17" i="1"/>
  <c r="AR668" i="1"/>
  <c r="F802" i="1"/>
  <c r="F751" i="1"/>
  <c r="F742" i="1"/>
  <c r="F706" i="1"/>
  <c r="F680" i="1"/>
  <c r="F670" i="1"/>
  <c r="F665" i="1"/>
  <c r="F654" i="1"/>
  <c r="F614" i="1"/>
  <c r="F577" i="1"/>
  <c r="F536" i="1"/>
  <c r="F488" i="1"/>
  <c r="F479" i="1"/>
  <c r="F443" i="1"/>
  <c r="F409" i="1"/>
  <c r="F404" i="1"/>
  <c r="F259" i="1"/>
  <c r="F223" i="1"/>
  <c r="F325" i="1"/>
  <c r="F310" i="1"/>
  <c r="F276" i="1"/>
  <c r="F91" i="1"/>
  <c r="F84" i="1"/>
  <c r="F80" i="1"/>
  <c r="F43" i="1"/>
  <c r="F16" i="1"/>
  <c r="F132" i="1"/>
  <c r="F818" i="1"/>
  <c r="F597" i="1"/>
  <c r="F238" i="1"/>
  <c r="F179" i="1"/>
  <c r="F125" i="1"/>
  <c r="AR204" i="1"/>
  <c r="F817" i="1"/>
  <c r="F725" i="1"/>
  <c r="F716" i="1"/>
  <c r="F685" i="1"/>
  <c r="F659" i="1"/>
  <c r="F619" i="1"/>
  <c r="F596" i="1"/>
  <c r="F551" i="1"/>
  <c r="F514" i="1"/>
  <c r="F467" i="1"/>
  <c r="F423" i="1"/>
  <c r="F398" i="1"/>
  <c r="F387" i="1"/>
  <c r="F263" i="1"/>
  <c r="F237" i="1"/>
  <c r="F379" i="1"/>
  <c r="F298" i="1"/>
  <c r="F290" i="1"/>
  <c r="F98" i="1"/>
  <c r="F74" i="1"/>
  <c r="F64" i="1"/>
  <c r="F59" i="1"/>
  <c r="F37" i="1"/>
  <c r="F21" i="1"/>
  <c r="F178" i="1"/>
  <c r="F152" i="1"/>
  <c r="F146" i="1"/>
  <c r="F121" i="1"/>
  <c r="AT7" i="1"/>
  <c r="AT798" i="1"/>
  <c r="F806" i="1"/>
  <c r="F796" i="1"/>
  <c r="F790" i="1"/>
  <c r="F758" i="1"/>
  <c r="F746" i="1"/>
  <c r="F715" i="1"/>
  <c r="F690" i="1"/>
  <c r="F664" i="1"/>
  <c r="F648" i="1"/>
  <c r="F609" i="1"/>
  <c r="F586" i="1"/>
  <c r="F570" i="1"/>
  <c r="F564" i="1"/>
  <c r="F540" i="1"/>
  <c r="F530" i="1"/>
  <c r="F524" i="1"/>
  <c r="F498" i="1"/>
  <c r="F428" i="1"/>
  <c r="F386" i="1"/>
  <c r="F253" i="1"/>
  <c r="F227" i="1"/>
  <c r="F214" i="1"/>
  <c r="F362" i="1"/>
  <c r="F318" i="1"/>
  <c r="F289" i="1"/>
  <c r="F188" i="1"/>
  <c r="F10" i="1"/>
  <c r="F151" i="1"/>
  <c r="F122" i="1"/>
  <c r="AS668" i="1"/>
  <c r="AS798" i="1"/>
  <c r="F822" i="1"/>
  <c r="F795" i="1"/>
  <c r="F653" i="1"/>
  <c r="F642" i="1"/>
  <c r="F639" i="1"/>
  <c r="F613" i="1"/>
  <c r="F569" i="1"/>
  <c r="F554" i="1"/>
  <c r="F529" i="1"/>
  <c r="F493" i="1"/>
  <c r="F442" i="1"/>
  <c r="F434" i="1"/>
  <c r="F403" i="1"/>
  <c r="F258" i="1"/>
  <c r="F242" i="1"/>
  <c r="F217" i="1"/>
  <c r="F357" i="1"/>
  <c r="F275" i="1"/>
  <c r="F79" i="1"/>
  <c r="F54" i="1"/>
  <c r="F47" i="1"/>
  <c r="F42" i="1"/>
  <c r="F15" i="1"/>
  <c r="F183" i="1"/>
  <c r="F140" i="1"/>
  <c r="F811" i="1"/>
  <c r="F784" i="1"/>
  <c r="F740" i="1"/>
  <c r="F719" i="1"/>
  <c r="F694" i="1"/>
  <c r="F669" i="1"/>
  <c r="F590" i="1"/>
  <c r="F558" i="1"/>
  <c r="F545" i="1"/>
  <c r="F518" i="1"/>
  <c r="F503" i="1"/>
  <c r="F477" i="1"/>
  <c r="F433" i="1"/>
  <c r="F407" i="1"/>
  <c r="F203" i="1"/>
  <c r="F367" i="1"/>
  <c r="F308" i="1"/>
  <c r="F292" i="1"/>
  <c r="F82" i="1"/>
  <c r="F46" i="1"/>
  <c r="F31" i="1"/>
  <c r="F172" i="1"/>
  <c r="F155" i="1"/>
  <c r="F816" i="1"/>
  <c r="F800" i="1"/>
  <c r="F730" i="1"/>
  <c r="F684" i="1"/>
  <c r="F674" i="1"/>
  <c r="F658" i="1"/>
  <c r="F635" i="1"/>
  <c r="F618" i="1"/>
  <c r="F595" i="1"/>
  <c r="F573" i="1"/>
  <c r="F550" i="1"/>
  <c r="F534" i="1"/>
  <c r="F508" i="1"/>
  <c r="F472" i="1"/>
  <c r="F422" i="1"/>
  <c r="F413" i="1"/>
  <c r="F382" i="1"/>
  <c r="F268" i="1"/>
  <c r="F236" i="1"/>
  <c r="F221" i="1"/>
  <c r="F303" i="1"/>
  <c r="F95" i="1"/>
  <c r="F58" i="1"/>
  <c r="F36" i="1"/>
  <c r="F26" i="1"/>
  <c r="F20" i="1"/>
  <c r="F177" i="1"/>
  <c r="F145" i="1"/>
  <c r="F126" i="9"/>
  <c r="F127" i="9"/>
  <c r="F4" i="9"/>
  <c r="F122" i="9"/>
  <c r="F3" i="9"/>
  <c r="G131" i="9"/>
  <c r="F2" i="9"/>
  <c r="F103" i="1"/>
  <c r="AS276" i="1"/>
  <c r="AR103" i="1"/>
  <c r="AR276" i="1"/>
  <c r="F106" i="1"/>
  <c r="F129" i="1"/>
  <c r="AT383" i="1"/>
  <c r="AS383" i="1"/>
  <c r="AR383" i="1"/>
  <c r="AR462" i="1"/>
  <c r="F105" i="1"/>
  <c r="G833" i="1"/>
  <c r="F133" i="1"/>
  <c r="AS204" i="1"/>
  <c r="AT204" i="1"/>
  <c r="AT462" i="1"/>
  <c r="AR188" i="1"/>
  <c r="F130" i="1"/>
  <c r="F111" i="1"/>
  <c r="AR798" i="1"/>
  <c r="AR765" i="1"/>
  <c r="AS814" i="1"/>
  <c r="F130" i="9" l="1"/>
  <c r="F132" i="9" s="1"/>
  <c r="F833" i="1"/>
  <c r="F1" i="1" s="1"/>
</calcChain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班长奖金调整及最佳区域&amp;最差区域评定结果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出勤率低于60%，取消当月安全质量奖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Lizheng Wang</author>
  </authors>
  <commentList>
    <comment ref="G193" authorId="0" shapeId="0">
      <text>
        <r>
          <rPr>
            <b/>
            <sz val="9"/>
            <color indexed="81"/>
            <rFont val="宋体"/>
            <family val="3"/>
            <charset val="134"/>
          </rPr>
          <t>停职培训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G195" authorId="0" shapeId="0">
      <text>
        <r>
          <rPr>
            <b/>
            <sz val="9"/>
            <color indexed="81"/>
            <rFont val="宋体"/>
            <family val="3"/>
            <charset val="134"/>
          </rPr>
          <t>停职培训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rFont val="宋体"/>
            <family val="3"/>
            <charset val="134"/>
          </rPr>
          <t xml:space="preserve">发现一条从安全质量奖中扣除, 前五条每条5元，超过5条部分每条10元. 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<sst xmlns="http://schemas.openxmlformats.org/spreadsheetml/2006/main" count="12732" uniqueCount="2152">
  <si>
    <r>
      <rPr>
        <b/>
        <sz val="11"/>
        <color theme="1"/>
        <rFont val="仿宋_GB2312"/>
        <family val="3"/>
        <charset val="134"/>
      </rPr>
      <t>车间</t>
    </r>
  </si>
  <si>
    <t>职务</t>
  </si>
  <si>
    <r>
      <rPr>
        <b/>
        <sz val="11"/>
        <color theme="1"/>
        <rFont val="仿宋_GB2312"/>
        <family val="3"/>
        <charset val="134"/>
      </rPr>
      <t>姓名</t>
    </r>
  </si>
  <si>
    <t>员工编号</t>
  </si>
  <si>
    <t>记录巡查扣款</t>
  </si>
  <si>
    <t>奖惩</t>
  </si>
  <si>
    <t>出勤率</t>
  </si>
  <si>
    <t>调整后奖金</t>
  </si>
  <si>
    <t>调整后档位</t>
  </si>
  <si>
    <t>基础挡位</t>
  </si>
  <si>
    <t>设备体积利用率</t>
  </si>
  <si>
    <t>B</t>
  </si>
  <si>
    <t>A</t>
  </si>
  <si>
    <t>工程师</t>
  </si>
  <si>
    <t>助工</t>
  </si>
  <si>
    <t>C</t>
  </si>
  <si>
    <t>D</t>
  </si>
  <si>
    <t>基础档位</t>
  </si>
  <si>
    <t>ACT844</t>
  </si>
  <si>
    <t>ALS6536</t>
  </si>
  <si>
    <t>ALS1988</t>
  </si>
  <si>
    <t>ACT2196</t>
  </si>
  <si>
    <t>ALS6830</t>
  </si>
  <si>
    <t>ACT2027</t>
  </si>
  <si>
    <t>ALS3661</t>
  </si>
  <si>
    <t>ACT2128</t>
  </si>
  <si>
    <t>ALS6046</t>
  </si>
  <si>
    <t>ALS6553</t>
  </si>
  <si>
    <t>安林波</t>
  </si>
  <si>
    <t>违规</t>
  </si>
  <si>
    <t>奖励</t>
  </si>
  <si>
    <r>
      <rPr>
        <b/>
        <sz val="11"/>
        <color theme="1"/>
        <rFont val="仿宋_GB2312"/>
        <family val="3"/>
        <charset val="134"/>
      </rPr>
      <t>积分合计</t>
    </r>
  </si>
  <si>
    <r>
      <rPr>
        <b/>
        <sz val="11"/>
        <color theme="1"/>
        <rFont val="仿宋_GB2312"/>
        <family val="3"/>
        <charset val="134"/>
      </rPr>
      <t>备注</t>
    </r>
  </si>
  <si>
    <r>
      <rPr>
        <b/>
        <sz val="14"/>
        <rFont val="仿宋_GB2312"/>
        <family val="3"/>
        <charset val="134"/>
      </rPr>
      <t>车间</t>
    </r>
  </si>
  <si>
    <r>
      <rPr>
        <b/>
        <sz val="14"/>
        <rFont val="仿宋_GB2312"/>
        <family val="3"/>
        <charset val="134"/>
      </rPr>
      <t>姓名</t>
    </r>
  </si>
  <si>
    <r>
      <rPr>
        <b/>
        <sz val="14"/>
        <rFont val="仿宋_GB2312"/>
        <family val="3"/>
        <charset val="134"/>
      </rPr>
      <t>巡查条数汇总</t>
    </r>
  </si>
  <si>
    <r>
      <rPr>
        <b/>
        <sz val="14"/>
        <rFont val="仿宋_GB2312"/>
        <family val="3"/>
        <charset val="134"/>
      </rPr>
      <t>积分</t>
    </r>
  </si>
  <si>
    <r>
      <rPr>
        <b/>
        <sz val="14"/>
        <color rgb="FFFF0000"/>
        <rFont val="仿宋_GB2312"/>
        <family val="3"/>
        <charset val="134"/>
      </rPr>
      <t>安全质量奖扣款</t>
    </r>
  </si>
  <si>
    <t>档位</t>
  </si>
  <si>
    <t>标准奖金</t>
  </si>
  <si>
    <t>人员占比</t>
  </si>
  <si>
    <t xml:space="preserve">有API项目生产时，进入API工作的人员安全质量奖额外增加200元. </t>
  </si>
  <si>
    <t>&gt;&gt; 仅限一线人员(助工).</t>
  </si>
  <si>
    <t>ALS5807</t>
  </si>
  <si>
    <r>
      <rPr>
        <b/>
        <sz val="10"/>
        <rFont val="宋体"/>
        <family val="3"/>
        <charset val="134"/>
      </rPr>
      <t>车间</t>
    </r>
  </si>
  <si>
    <r>
      <rPr>
        <b/>
        <sz val="10"/>
        <rFont val="宋体"/>
        <family val="3"/>
        <charset val="134"/>
      </rPr>
      <t>责任人</t>
    </r>
  </si>
  <si>
    <r>
      <rPr>
        <b/>
        <sz val="10"/>
        <rFont val="宋体"/>
        <family val="3"/>
        <charset val="134"/>
      </rPr>
      <t>编号</t>
    </r>
  </si>
  <si>
    <r>
      <rPr>
        <b/>
        <sz val="10"/>
        <rFont val="宋体"/>
        <family val="3"/>
        <charset val="134"/>
      </rPr>
      <t>事故描述</t>
    </r>
  </si>
  <si>
    <r>
      <rPr>
        <b/>
        <sz val="10"/>
        <rFont val="宋体"/>
        <family val="3"/>
        <charset val="134"/>
      </rPr>
      <t>奖惩结果</t>
    </r>
  </si>
  <si>
    <r>
      <rPr>
        <sz val="10"/>
        <rFont val="宋体"/>
        <family val="3"/>
        <charset val="134"/>
      </rPr>
      <t>奖金扣除</t>
    </r>
  </si>
  <si>
    <t>计件批次
（参考）</t>
    <phoneticPr fontId="9" type="noConversion"/>
  </si>
  <si>
    <t>ALS7213</t>
  </si>
  <si>
    <t>积分汇总</t>
    <phoneticPr fontId="9" type="noConversion"/>
  </si>
  <si>
    <t>来源类别</t>
    <phoneticPr fontId="9" type="noConversion"/>
  </si>
  <si>
    <t>ALS8245</t>
  </si>
  <si>
    <t>ALS8328</t>
  </si>
  <si>
    <t>副主任</t>
    <phoneticPr fontId="9" type="noConversion"/>
  </si>
  <si>
    <t>ALS7875</t>
  </si>
  <si>
    <t>ALS8494</t>
  </si>
  <si>
    <t>ALS10317</t>
  </si>
  <si>
    <t>ALS10321</t>
  </si>
  <si>
    <t>ALS10327</t>
  </si>
  <si>
    <t>ALS10328</t>
  </si>
  <si>
    <t>ALS10332</t>
  </si>
  <si>
    <t>ALS10334</t>
  </si>
  <si>
    <t>ALS10335</t>
  </si>
  <si>
    <t>ALS10155</t>
  </si>
  <si>
    <t>ALS10153</t>
  </si>
  <si>
    <t>ALS10164</t>
  </si>
  <si>
    <t>ALS10165</t>
  </si>
  <si>
    <t>ALS10146</t>
  </si>
  <si>
    <t>ALS10148</t>
  </si>
  <si>
    <t>ALS10177</t>
  </si>
  <si>
    <t>ALS11204</t>
  </si>
  <si>
    <t>ALS11215</t>
  </si>
  <si>
    <t>ALS11230</t>
  </si>
  <si>
    <t>ALS11232</t>
  </si>
  <si>
    <t>ALS11236</t>
  </si>
  <si>
    <t>ALS11237</t>
  </si>
  <si>
    <t>工艺组长</t>
  </si>
  <si>
    <t>ALS11222</t>
  </si>
  <si>
    <t>工程师</t>
    <phoneticPr fontId="9" type="noConversion"/>
  </si>
  <si>
    <t>翟书金</t>
    <phoneticPr fontId="9" type="noConversion"/>
  </si>
  <si>
    <t>ACT2667</t>
  </si>
  <si>
    <t>BDH0640</t>
  </si>
  <si>
    <t>BDH0641</t>
  </si>
  <si>
    <t>FX2679</t>
  </si>
  <si>
    <t>助工</t>
    <phoneticPr fontId="9" type="noConversion"/>
  </si>
  <si>
    <t>DCS</t>
    <phoneticPr fontId="9" type="noConversion"/>
  </si>
  <si>
    <t>ALS10150</t>
  </si>
  <si>
    <t>ALS11344</t>
  </si>
  <si>
    <t>ALS11346</t>
  </si>
  <si>
    <t>ALS11347</t>
  </si>
  <si>
    <t>ALS11786</t>
  </si>
  <si>
    <t>ALS11789</t>
  </si>
  <si>
    <t>LFX859</t>
  </si>
  <si>
    <t>ALS11791</t>
  </si>
  <si>
    <t>李晓博</t>
  </si>
  <si>
    <t>ALS11846</t>
  </si>
  <si>
    <t>ALS11847</t>
  </si>
  <si>
    <t>ALS11936</t>
  </si>
  <si>
    <t>ALS11919</t>
  </si>
  <si>
    <t>ADH5506</t>
  </si>
  <si>
    <t>ALS11984</t>
  </si>
  <si>
    <t>ALS11985</t>
  </si>
  <si>
    <t>赵凯</t>
  </si>
  <si>
    <t>张鹏飞</t>
    <phoneticPr fontId="9" type="noConversion"/>
  </si>
  <si>
    <t>王东</t>
    <phoneticPr fontId="9" type="noConversion"/>
  </si>
  <si>
    <t>赵磊</t>
    <phoneticPr fontId="9" type="noConversion"/>
  </si>
  <si>
    <t>焦海涛</t>
    <phoneticPr fontId="9" type="noConversion"/>
  </si>
  <si>
    <t>朱永祺</t>
    <phoneticPr fontId="9" type="noConversion"/>
  </si>
  <si>
    <t>ALS12311</t>
  </si>
  <si>
    <t>范锺铭</t>
  </si>
  <si>
    <t>ALS12598</t>
  </si>
  <si>
    <t>ALS12616</t>
  </si>
  <si>
    <t>田汉朋</t>
  </si>
  <si>
    <t>张睿尧</t>
  </si>
  <si>
    <t>袁文涛</t>
  </si>
  <si>
    <t>姜良衢</t>
  </si>
  <si>
    <t>刘波</t>
  </si>
  <si>
    <t>王城</t>
  </si>
  <si>
    <t>ALS12763</t>
  </si>
  <si>
    <t>ALS12745</t>
  </si>
  <si>
    <t>ALS12754</t>
  </si>
  <si>
    <t>冯东升</t>
  </si>
  <si>
    <t>ALS12806</t>
  </si>
  <si>
    <t>ALS12772</t>
  </si>
  <si>
    <t>张浩腾</t>
  </si>
  <si>
    <t>ALS12765</t>
  </si>
  <si>
    <t>操作工</t>
    <phoneticPr fontId="9" type="noConversion"/>
  </si>
  <si>
    <t>刘旺</t>
  </si>
  <si>
    <t>班长</t>
  </si>
  <si>
    <t>王家伟</t>
  </si>
  <si>
    <t>李国强</t>
  </si>
  <si>
    <t>李董明</t>
  </si>
  <si>
    <t>晏和聪</t>
  </si>
  <si>
    <t>李天宇</t>
  </si>
  <si>
    <t>王永乐</t>
  </si>
  <si>
    <t>王嘉伟</t>
  </si>
  <si>
    <t>韩德玉</t>
  </si>
  <si>
    <t>刘俊杰</t>
  </si>
  <si>
    <t>杨贺龙</t>
  </si>
  <si>
    <t>陈博文</t>
  </si>
  <si>
    <t>谢文忠</t>
  </si>
  <si>
    <t>肖王宇</t>
  </si>
  <si>
    <t>任洪发</t>
  </si>
  <si>
    <t>操作工</t>
  </si>
  <si>
    <t>ALS9146</t>
  </si>
  <si>
    <t>李孝辉</t>
  </si>
  <si>
    <t>胡强</t>
  </si>
  <si>
    <t>董磊</t>
  </si>
  <si>
    <t>高旭</t>
  </si>
  <si>
    <t>李玉岩</t>
  </si>
  <si>
    <t>窦贤巩</t>
    <phoneticPr fontId="9" type="noConversion"/>
  </si>
  <si>
    <t>班长</t>
    <phoneticPr fontId="9" type="noConversion"/>
  </si>
  <si>
    <t>刘震</t>
  </si>
  <si>
    <t>刘栋</t>
  </si>
  <si>
    <t>周玉凯</t>
  </si>
  <si>
    <t>王积云</t>
    <phoneticPr fontId="9" type="noConversion"/>
  </si>
  <si>
    <t>苏谊</t>
  </si>
  <si>
    <t>陈雍</t>
  </si>
  <si>
    <t>王腾蛟</t>
  </si>
  <si>
    <t>赵威</t>
  </si>
  <si>
    <t>张雪嵩</t>
  </si>
  <si>
    <t>褚洋洋</t>
  </si>
  <si>
    <t>李光辉</t>
  </si>
  <si>
    <t>王乙驰</t>
  </si>
  <si>
    <t>刘力琦</t>
  </si>
  <si>
    <t>周允刚</t>
  </si>
  <si>
    <t>马群</t>
  </si>
  <si>
    <t>周观军</t>
    <phoneticPr fontId="9" type="noConversion"/>
  </si>
  <si>
    <t>ALS4400</t>
  </si>
  <si>
    <t>ALS11880</t>
  </si>
  <si>
    <t>高福庆</t>
  </si>
  <si>
    <t>郭延超</t>
  </si>
  <si>
    <t>张博（ALS0034）</t>
    <phoneticPr fontId="9" type="noConversion"/>
  </si>
  <si>
    <t>ALS0034</t>
    <phoneticPr fontId="9" type="noConversion"/>
  </si>
  <si>
    <t>ALS12804</t>
    <phoneticPr fontId="9" type="noConversion"/>
  </si>
  <si>
    <t>郑昊</t>
    <phoneticPr fontId="9" type="noConversion"/>
  </si>
  <si>
    <t>ALS11785</t>
  </si>
  <si>
    <t>LFX616</t>
  </si>
  <si>
    <t>冯海超</t>
  </si>
  <si>
    <t>ALS10142</t>
  </si>
  <si>
    <t>ALS11226</t>
  </si>
  <si>
    <t>ALS11225</t>
  </si>
  <si>
    <t>工艺组长</t>
    <phoneticPr fontId="9" type="noConversion"/>
  </si>
  <si>
    <t>曹佳乐</t>
  </si>
  <si>
    <t>卫森豪</t>
  </si>
  <si>
    <t>王禹</t>
  </si>
  <si>
    <t>曹瀚文</t>
    <phoneticPr fontId="9" type="noConversion"/>
  </si>
  <si>
    <t>高兴宇</t>
    <phoneticPr fontId="9" type="noConversion"/>
  </si>
  <si>
    <t>金士新</t>
    <phoneticPr fontId="9" type="noConversion"/>
  </si>
  <si>
    <t>董浩波</t>
    <phoneticPr fontId="9" type="noConversion"/>
  </si>
  <si>
    <t>侯文超</t>
    <phoneticPr fontId="9" type="noConversion"/>
  </si>
  <si>
    <t>王涵</t>
    <phoneticPr fontId="9" type="noConversion"/>
  </si>
  <si>
    <t>贾仲豪</t>
    <phoneticPr fontId="9" type="noConversion"/>
  </si>
  <si>
    <t>朱晔</t>
  </si>
  <si>
    <t>ALS3598</t>
  </si>
  <si>
    <t>陈勇</t>
  </si>
  <si>
    <t>ACT2599</t>
  </si>
  <si>
    <t>王佳琪</t>
  </si>
  <si>
    <t>ALS11694</t>
  </si>
  <si>
    <t>FX2691</t>
  </si>
  <si>
    <t>陈玉慧</t>
  </si>
  <si>
    <t>于清凡</t>
  </si>
  <si>
    <t>ALS5619</t>
  </si>
  <si>
    <t>肖鹏</t>
  </si>
  <si>
    <t>ALS13022</t>
  </si>
  <si>
    <t>王伯昆</t>
  </si>
  <si>
    <t>ALS12614</t>
  </si>
  <si>
    <t>赵鹏帅</t>
  </si>
  <si>
    <t>ALS10175</t>
  </si>
  <si>
    <t>查超山</t>
  </si>
  <si>
    <t>ALS11201</t>
  </si>
  <si>
    <t>解宝存</t>
  </si>
  <si>
    <t>ALS12994</t>
  </si>
  <si>
    <t>张泽</t>
  </si>
  <si>
    <t>ALS13027</t>
  </si>
  <si>
    <t>边凤鹏</t>
  </si>
  <si>
    <t>ALS13028</t>
  </si>
  <si>
    <t>赵柯达</t>
  </si>
  <si>
    <t>ALS13177</t>
  </si>
  <si>
    <t>LFX672</t>
  </si>
  <si>
    <t>LFX855</t>
  </si>
  <si>
    <t>LFX853</t>
  </si>
  <si>
    <t>LFX864</t>
  </si>
  <si>
    <t>李明达</t>
  </si>
  <si>
    <t>ALS13120</t>
  </si>
  <si>
    <t>李玉刚</t>
  </si>
  <si>
    <t>ALS13121</t>
  </si>
  <si>
    <t>窦惠鹏</t>
  </si>
  <si>
    <t>ALS13117</t>
  </si>
  <si>
    <t>LFX888</t>
  </si>
  <si>
    <t>ADH5432</t>
  </si>
  <si>
    <t>熊培增</t>
  </si>
  <si>
    <t>ALS13065</t>
  </si>
  <si>
    <t>施如富</t>
  </si>
  <si>
    <t>ALS13069</t>
  </si>
  <si>
    <t>王灿</t>
  </si>
  <si>
    <t>ALS13025</t>
  </si>
  <si>
    <t>杨俊</t>
  </si>
  <si>
    <t>ALS13071</t>
  </si>
  <si>
    <t>刘晓雨</t>
  </si>
  <si>
    <t>ALS13176</t>
  </si>
  <si>
    <t>LFX167</t>
  </si>
  <si>
    <t>穆双超</t>
    <phoneticPr fontId="9" type="noConversion"/>
  </si>
  <si>
    <t>祝华权</t>
    <phoneticPr fontId="9" type="noConversion"/>
  </si>
  <si>
    <t>于洋</t>
    <phoneticPr fontId="9" type="noConversion"/>
  </si>
  <si>
    <t>迟国庆</t>
    <phoneticPr fontId="9" type="noConversion"/>
  </si>
  <si>
    <t>梁德峥</t>
    <phoneticPr fontId="9" type="noConversion"/>
  </si>
  <si>
    <t>金浩</t>
    <phoneticPr fontId="9" type="noConversion"/>
  </si>
  <si>
    <t>冯宪</t>
    <phoneticPr fontId="9" type="noConversion"/>
  </si>
  <si>
    <t>刘明明</t>
    <phoneticPr fontId="9" type="noConversion"/>
  </si>
  <si>
    <t>ALS10340</t>
    <phoneticPr fontId="9" type="noConversion"/>
  </si>
  <si>
    <t>ALS12990</t>
    <phoneticPr fontId="9" type="noConversion"/>
  </si>
  <si>
    <t>LFX779</t>
    <phoneticPr fontId="9" type="noConversion"/>
  </si>
  <si>
    <t>环保设备设施</t>
    <phoneticPr fontId="9" type="noConversion"/>
  </si>
  <si>
    <t>LFX127</t>
    <phoneticPr fontId="9" type="noConversion"/>
  </si>
  <si>
    <t>FX2675</t>
  </si>
  <si>
    <t>ADH3353</t>
  </si>
  <si>
    <t>ALS13220</t>
  </si>
  <si>
    <t>ALS13342</t>
  </si>
  <si>
    <t>陈建军</t>
  </si>
  <si>
    <t>陈添</t>
  </si>
  <si>
    <t>林宇航</t>
  </si>
  <si>
    <t>曹仲良</t>
  </si>
  <si>
    <t>时斌</t>
  </si>
  <si>
    <t>ALS11983</t>
  </si>
  <si>
    <t>ALS13396</t>
  </si>
  <si>
    <t>ALS13371</t>
  </si>
  <si>
    <t>ALS13438</t>
  </si>
  <si>
    <t>ALS13442</t>
  </si>
  <si>
    <t>ALS13367</t>
  </si>
  <si>
    <t>LFX577</t>
  </si>
  <si>
    <t>ALS13365</t>
  </si>
  <si>
    <t>ALS13372</t>
  </si>
  <si>
    <t>呼华一</t>
  </si>
  <si>
    <t>尉勇</t>
  </si>
  <si>
    <t>许泓浩</t>
  </si>
  <si>
    <t>刘鹏</t>
  </si>
  <si>
    <t>张杰</t>
  </si>
  <si>
    <t>毛子昱</t>
  </si>
  <si>
    <t>王青松</t>
  </si>
  <si>
    <t>马建康</t>
  </si>
  <si>
    <t>白春江</t>
  </si>
  <si>
    <t>郭纹建</t>
  </si>
  <si>
    <t>经理</t>
    <phoneticPr fontId="9" type="noConversion"/>
  </si>
  <si>
    <t>ALS13510</t>
  </si>
  <si>
    <t>ALS13544</t>
  </si>
  <si>
    <t>ALS13499</t>
  </si>
  <si>
    <t>ALS13514</t>
  </si>
  <si>
    <t>ALS13550</t>
  </si>
  <si>
    <t>ALS13489</t>
  </si>
  <si>
    <t>4号楼1&amp;2车间</t>
  </si>
  <si>
    <t>4号楼3&amp;4车间</t>
  </si>
  <si>
    <t>环保设备设施</t>
  </si>
  <si>
    <t>王宏宇</t>
  </si>
  <si>
    <t>田晨阳</t>
  </si>
  <si>
    <t>潘爱新</t>
  </si>
  <si>
    <t>孙翾朗</t>
  </si>
  <si>
    <t>庞通</t>
  </si>
  <si>
    <t>宋武</t>
  </si>
  <si>
    <t>ALS11094</t>
  </si>
  <si>
    <t>ALS13564</t>
  </si>
  <si>
    <t>ALS13588</t>
  </si>
  <si>
    <t>ALS13607</t>
  </si>
  <si>
    <t>ALS13570</t>
  </si>
  <si>
    <t>ALS13587</t>
  </si>
  <si>
    <t>ALS13605</t>
  </si>
  <si>
    <t>ALS13604</t>
  </si>
  <si>
    <t>ALS13665</t>
  </si>
  <si>
    <t>ALS13646</t>
  </si>
  <si>
    <t>ALS13611</t>
  </si>
  <si>
    <t>ALS13610</t>
  </si>
  <si>
    <t>ALS13603</t>
  </si>
  <si>
    <t>ALS13556</t>
  </si>
  <si>
    <t>ALS13677</t>
  </si>
  <si>
    <t>何歆宇</t>
  </si>
  <si>
    <t>付闯闯</t>
  </si>
  <si>
    <t>赵路路</t>
  </si>
  <si>
    <t>田雨</t>
  </si>
  <si>
    <t>吴秉泽</t>
  </si>
  <si>
    <t>宁海龙</t>
  </si>
  <si>
    <t>刘占占</t>
  </si>
  <si>
    <t>吴振瑞</t>
  </si>
  <si>
    <t>李增福</t>
  </si>
  <si>
    <t>张珲桓</t>
  </si>
  <si>
    <t>窦庆霖</t>
  </si>
  <si>
    <t>胥鑫</t>
  </si>
  <si>
    <t>张清楊</t>
  </si>
  <si>
    <t>温紫龙</t>
  </si>
  <si>
    <t>崔志奇</t>
  </si>
  <si>
    <t>王聪</t>
  </si>
  <si>
    <t>计算机化设备保障&amp;验证组</t>
    <phoneticPr fontId="9" type="noConversion"/>
  </si>
  <si>
    <t>ALS13694</t>
  </si>
  <si>
    <t>ALS13679</t>
  </si>
  <si>
    <t>ALS13686</t>
  </si>
  <si>
    <t>ALS13687</t>
  </si>
  <si>
    <t>ALS7380</t>
  </si>
  <si>
    <t>ALS13669</t>
  </si>
  <si>
    <t>ALS13720</t>
  </si>
  <si>
    <t>ACT2467</t>
  </si>
  <si>
    <t>ALS13708</t>
  </si>
  <si>
    <t>郭子灵</t>
  </si>
  <si>
    <t>赵晨昊</t>
  </si>
  <si>
    <t>5号楼</t>
    <phoneticPr fontId="9" type="noConversion"/>
  </si>
  <si>
    <t>杨一利</t>
  </si>
  <si>
    <t>党玉杰</t>
  </si>
  <si>
    <t>李欣欣</t>
  </si>
  <si>
    <t>李嘉兴</t>
  </si>
  <si>
    <t>王彬</t>
  </si>
  <si>
    <t>杨加奇</t>
  </si>
  <si>
    <t>穆轩</t>
    <phoneticPr fontId="9" type="noConversion"/>
  </si>
  <si>
    <t>ALS13727</t>
  </si>
  <si>
    <t>ALS13745</t>
  </si>
  <si>
    <t>ALS13772</t>
  </si>
  <si>
    <t>胡国恒</t>
  </si>
  <si>
    <t>姜天齐</t>
  </si>
  <si>
    <t>王中信</t>
  </si>
  <si>
    <t>4#楼1&amp;2车间“a、b、c”分布情况</t>
  </si>
  <si>
    <t>4#楼3&amp;4车间“a、b、c”分布情况</t>
  </si>
  <si>
    <t>FX3085</t>
  </si>
  <si>
    <t>ALS13782</t>
  </si>
  <si>
    <t>ALS13789</t>
  </si>
  <si>
    <t>ALS13794</t>
  </si>
  <si>
    <t>ALS13784</t>
  </si>
  <si>
    <t>ALS13785</t>
  </si>
  <si>
    <t>ALS13786</t>
  </si>
  <si>
    <t>荣宪超</t>
  </si>
  <si>
    <t>赵富阳</t>
  </si>
  <si>
    <t>杨瑞翔</t>
  </si>
  <si>
    <t>张昊成</t>
  </si>
  <si>
    <t>王思衡</t>
  </si>
  <si>
    <t>张秣骐</t>
  </si>
  <si>
    <t>胡昊阳</t>
  </si>
  <si>
    <t>ALS13851</t>
  </si>
  <si>
    <t>ALS13861</t>
  </si>
  <si>
    <t>ALS13853</t>
  </si>
  <si>
    <t>刘旭阳</t>
  </si>
  <si>
    <t>杜祎辉</t>
  </si>
  <si>
    <t>李祥辉</t>
  </si>
  <si>
    <t>罗林</t>
  </si>
  <si>
    <t>ADH5191</t>
  </si>
  <si>
    <t>LFX569</t>
  </si>
  <si>
    <t>ALS13931</t>
  </si>
  <si>
    <t>ALS13895</t>
  </si>
  <si>
    <t>ALS13897</t>
  </si>
  <si>
    <t>ACT833</t>
  </si>
  <si>
    <t>ACT2491</t>
  </si>
  <si>
    <t>ALS1758</t>
  </si>
  <si>
    <t>ALS13930</t>
  </si>
  <si>
    <t>ALS13892</t>
  </si>
  <si>
    <t>支庆</t>
  </si>
  <si>
    <t>梁冬清</t>
  </si>
  <si>
    <t>石俊宇</t>
  </si>
  <si>
    <t>邓超信</t>
  </si>
  <si>
    <t>谢敬磊</t>
  </si>
  <si>
    <t>宋春宏</t>
  </si>
  <si>
    <t>齐飞</t>
  </si>
  <si>
    <t>张艺博</t>
  </si>
  <si>
    <t>韩智慧</t>
  </si>
  <si>
    <t>ALS14026</t>
  </si>
  <si>
    <t>ALS12958</t>
  </si>
  <si>
    <t>ALS14021</t>
  </si>
  <si>
    <t>ALS8031</t>
  </si>
  <si>
    <t>张兴海</t>
  </si>
  <si>
    <t>吕云亮</t>
  </si>
  <si>
    <t>荣浩</t>
  </si>
  <si>
    <t>刘鸿瑞</t>
  </si>
  <si>
    <t>ALS14025</t>
  </si>
  <si>
    <t>ALS14056</t>
  </si>
  <si>
    <t>ALS14057</t>
  </si>
  <si>
    <t>ALS14058</t>
  </si>
  <si>
    <t>王伟</t>
  </si>
  <si>
    <t>巩天龙</t>
  </si>
  <si>
    <t>培训&amp;合规组</t>
    <phoneticPr fontId="9" type="noConversion"/>
  </si>
  <si>
    <t>代成旺</t>
  </si>
  <si>
    <t>丁启明</t>
  </si>
  <si>
    <t>ALS14129</t>
  </si>
  <si>
    <t>ALS14154</t>
  </si>
  <si>
    <t>ALS14130</t>
  </si>
  <si>
    <t>AMM0574</t>
  </si>
  <si>
    <t>ALS14098</t>
  </si>
  <si>
    <t>ALS14155</t>
  </si>
  <si>
    <t>魏子一</t>
  </si>
  <si>
    <t>鲁斌</t>
  </si>
  <si>
    <t>郭淼</t>
  </si>
  <si>
    <t>陈冰田</t>
  </si>
  <si>
    <t>裘子龙</t>
  </si>
  <si>
    <t>ALS14236</t>
  </si>
  <si>
    <t>ALS14237</t>
  </si>
  <si>
    <t>ALS14422</t>
  </si>
  <si>
    <t>ALS14468</t>
  </si>
  <si>
    <t>ALS14244</t>
  </si>
  <si>
    <t>ALS14328</t>
  </si>
  <si>
    <t>ALS14424</t>
  </si>
  <si>
    <t>ALS14100</t>
  </si>
  <si>
    <t>ALS14326</t>
  </si>
  <si>
    <t>ALS14235</t>
  </si>
  <si>
    <t>ALS14195</t>
  </si>
  <si>
    <t>ALS14193</t>
  </si>
  <si>
    <t>ALS12304</t>
  </si>
  <si>
    <t>ALS14317</t>
  </si>
  <si>
    <t>ADH6471</t>
  </si>
  <si>
    <t>ADH6415</t>
  </si>
  <si>
    <t>ALS14416</t>
  </si>
  <si>
    <t>ALS14319</t>
  </si>
  <si>
    <t>ADH3360</t>
  </si>
  <si>
    <t>ALS14156</t>
  </si>
  <si>
    <t>ALS14246</t>
  </si>
  <si>
    <t>ALS14323</t>
  </si>
  <si>
    <t>ALS14310</t>
  </si>
  <si>
    <t>ALS14314</t>
  </si>
  <si>
    <t>ALS14322</t>
  </si>
  <si>
    <t>ALS14214</t>
  </si>
  <si>
    <t>ALS14311</t>
  </si>
  <si>
    <t>ALS14335</t>
  </si>
  <si>
    <t>ALS14414</t>
  </si>
  <si>
    <t>ALS14334</t>
  </si>
  <si>
    <t>ALS14336</t>
  </si>
  <si>
    <t>ALS14194</t>
  </si>
  <si>
    <t>ALS13145</t>
  </si>
  <si>
    <t>ALS12471</t>
  </si>
  <si>
    <t>ALS12724</t>
  </si>
  <si>
    <t>ALS11916</t>
  </si>
  <si>
    <t>王宇亭</t>
  </si>
  <si>
    <t>刘冬旭</t>
  </si>
  <si>
    <t>赵申澳</t>
  </si>
  <si>
    <t>俞燕溪</t>
  </si>
  <si>
    <t>贾同才</t>
  </si>
  <si>
    <t>吕怡杭</t>
  </si>
  <si>
    <t>叶攀龙</t>
  </si>
  <si>
    <t>黄斌</t>
  </si>
  <si>
    <t>杨爱平</t>
  </si>
  <si>
    <t>车佳文</t>
  </si>
  <si>
    <t>孙健</t>
  </si>
  <si>
    <t>李文笑</t>
  </si>
  <si>
    <t>包靖宇</t>
  </si>
  <si>
    <t>谢曜骏</t>
  </si>
  <si>
    <t>张紫硕</t>
  </si>
  <si>
    <t>邵晓春</t>
  </si>
  <si>
    <t>孙琦</t>
  </si>
  <si>
    <t>孙宇航</t>
  </si>
  <si>
    <t>杨泰昊</t>
  </si>
  <si>
    <t>汤建华</t>
  </si>
  <si>
    <t>王继鹏</t>
  </si>
  <si>
    <t>路永祥</t>
  </si>
  <si>
    <t>屈峥</t>
  </si>
  <si>
    <t>韩廷</t>
  </si>
  <si>
    <t>张树立</t>
  </si>
  <si>
    <t>刘占峰</t>
  </si>
  <si>
    <t>吴宗璇</t>
  </si>
  <si>
    <t>程文翔</t>
  </si>
  <si>
    <t>杜怀伟</t>
  </si>
  <si>
    <t>郭嘉兴</t>
  </si>
  <si>
    <t>赵智豪</t>
  </si>
  <si>
    <t>李占玉</t>
  </si>
  <si>
    <t>李忠</t>
  </si>
  <si>
    <t>郑煜霖</t>
  </si>
  <si>
    <t>12号楼</t>
    <phoneticPr fontId="9" type="noConversion"/>
  </si>
  <si>
    <t>王国志</t>
  </si>
  <si>
    <t>鲁双波</t>
    <phoneticPr fontId="9" type="noConversion"/>
  </si>
  <si>
    <t>ALS14684</t>
  </si>
  <si>
    <t>ALS14632</t>
  </si>
  <si>
    <t>ALS14576</t>
  </si>
  <si>
    <t>ALS14573</t>
  </si>
  <si>
    <t>ALS14574</t>
  </si>
  <si>
    <t>ALS14577</t>
  </si>
  <si>
    <t>ALS14504</t>
  </si>
  <si>
    <t>ALS14683</t>
  </si>
  <si>
    <t>ALS14686</t>
  </si>
  <si>
    <t>ALS14629</t>
  </si>
  <si>
    <t>ALS14676</t>
  </si>
  <si>
    <t>ALS14673</t>
  </si>
  <si>
    <t>ADH6279</t>
  </si>
  <si>
    <t>ALS14677</t>
  </si>
  <si>
    <t>ALS14672</t>
  </si>
  <si>
    <t>ALS14569</t>
  </si>
  <si>
    <t>AMM3426</t>
  </si>
  <si>
    <t>LFX918</t>
  </si>
  <si>
    <t>ALS14568</t>
  </si>
  <si>
    <t>ALS14566</t>
  </si>
  <si>
    <t>ADH5609</t>
  </si>
  <si>
    <t>ALS14564</t>
  </si>
  <si>
    <t>ALS14671</t>
  </si>
  <si>
    <t>LFX079</t>
  </si>
  <si>
    <t>BDH0465</t>
  </si>
  <si>
    <t>BDH0550</t>
  </si>
  <si>
    <t>ALS14503</t>
  </si>
  <si>
    <t>ALS14565</t>
  </si>
  <si>
    <t>ALS14635</t>
  </si>
  <si>
    <t>ALS14636</t>
  </si>
  <si>
    <t>ALS14637</t>
  </si>
  <si>
    <t>ALS14506</t>
  </si>
  <si>
    <t>ALS14501</t>
  </si>
  <si>
    <t>孟祥鑫</t>
  </si>
  <si>
    <t>史慧轩</t>
  </si>
  <si>
    <t>黄天宇</t>
  </si>
  <si>
    <t>刘运峰</t>
  </si>
  <si>
    <t>熊俊伟</t>
  </si>
  <si>
    <t>田芸龙</t>
  </si>
  <si>
    <t>李塨榮</t>
  </si>
  <si>
    <t>刘晓宁</t>
  </si>
  <si>
    <t>魏子轩</t>
  </si>
  <si>
    <t>赵梓淇</t>
  </si>
  <si>
    <t>付张顺</t>
  </si>
  <si>
    <t>王春鑫</t>
  </si>
  <si>
    <t>秦健凯</t>
  </si>
  <si>
    <t>王智文</t>
  </si>
  <si>
    <t>宋春源</t>
  </si>
  <si>
    <t>王建宇</t>
  </si>
  <si>
    <t>张艾驰</t>
  </si>
  <si>
    <t>王相东</t>
  </si>
  <si>
    <t>辛丰波</t>
  </si>
  <si>
    <t>张中原</t>
  </si>
  <si>
    <t>杨梓铎</t>
  </si>
  <si>
    <t>周行</t>
  </si>
  <si>
    <t>史鸿华</t>
  </si>
  <si>
    <t>胡泽宝</t>
  </si>
  <si>
    <t>陈宁</t>
  </si>
  <si>
    <t>黄宣童</t>
  </si>
  <si>
    <t>姚宏昌</t>
  </si>
  <si>
    <t>姬翔</t>
  </si>
  <si>
    <t>刘鸿伟</t>
  </si>
  <si>
    <t>马勇</t>
  </si>
  <si>
    <t>常保</t>
  </si>
  <si>
    <t>尹博</t>
  </si>
  <si>
    <t>窦桂旺</t>
  </si>
  <si>
    <t>雷晓琦</t>
    <phoneticPr fontId="9" type="noConversion"/>
  </si>
  <si>
    <t>ALS14747</t>
  </si>
  <si>
    <t>ALS14685</t>
  </si>
  <si>
    <t>ALS14876</t>
  </si>
  <si>
    <t>ALS14854</t>
  </si>
  <si>
    <t>ALS14792</t>
  </si>
  <si>
    <t>LFX568</t>
  </si>
  <si>
    <t>ALS14790</t>
  </si>
  <si>
    <t>ALS14835</t>
  </si>
  <si>
    <t>ALS14744</t>
  </si>
  <si>
    <t>ALS14729</t>
  </si>
  <si>
    <t>ALS14735</t>
  </si>
  <si>
    <t>ALS14730</t>
  </si>
  <si>
    <t>AMM4392</t>
  </si>
  <si>
    <t>ALS14825</t>
  </si>
  <si>
    <t>ALS14828</t>
  </si>
  <si>
    <t>ALS14731</t>
  </si>
  <si>
    <t>ALS14787</t>
  </si>
  <si>
    <t>ALS14766</t>
  </si>
  <si>
    <t>ALS14774</t>
  </si>
  <si>
    <t>AMM2310</t>
  </si>
  <si>
    <t>AMM2965</t>
  </si>
  <si>
    <t>ALS14826</t>
  </si>
  <si>
    <t>AMM4428</t>
  </si>
  <si>
    <t>AMM2550</t>
  </si>
  <si>
    <t>AMM4084</t>
  </si>
  <si>
    <t>ALS14738</t>
  </si>
  <si>
    <t>ALS14745</t>
  </si>
  <si>
    <t>ALS14767</t>
  </si>
  <si>
    <t>ALS14830</t>
  </si>
  <si>
    <t>ALS14832</t>
  </si>
  <si>
    <t>ALS14723</t>
  </si>
  <si>
    <t>ALS14824</t>
  </si>
  <si>
    <t>AMM4231</t>
  </si>
  <si>
    <t>ALS14786</t>
  </si>
  <si>
    <t>ALS14791</t>
  </si>
  <si>
    <t>ALS14820</t>
  </si>
  <si>
    <t>ALS14822</t>
  </si>
  <si>
    <t>ALS14823</t>
  </si>
  <si>
    <t>ALS14872</t>
  </si>
  <si>
    <t>ALS14724</t>
  </si>
  <si>
    <t>徐海波</t>
  </si>
  <si>
    <t>宋鹏</t>
  </si>
  <si>
    <t>张建涛</t>
  </si>
  <si>
    <t>李士硕</t>
  </si>
  <si>
    <t>朱昊</t>
  </si>
  <si>
    <t>井雷</t>
  </si>
  <si>
    <t>李静</t>
  </si>
  <si>
    <t>杨佳华</t>
  </si>
  <si>
    <t>赵宇航</t>
  </si>
  <si>
    <t>尹春焘</t>
  </si>
  <si>
    <t>张磊</t>
  </si>
  <si>
    <t>吴德俊</t>
  </si>
  <si>
    <t>文泽勇</t>
  </si>
  <si>
    <t>马子腾</t>
  </si>
  <si>
    <t>杨文军</t>
  </si>
  <si>
    <t>倪道鑫</t>
  </si>
  <si>
    <t>余智生</t>
  </si>
  <si>
    <t>赵忠波</t>
  </si>
  <si>
    <t>马华圆</t>
  </si>
  <si>
    <t>丁方辉</t>
  </si>
  <si>
    <t>马孟春</t>
  </si>
  <si>
    <t>方子浩</t>
  </si>
  <si>
    <t>郑又川</t>
  </si>
  <si>
    <t>白德恒</t>
  </si>
  <si>
    <t>李梦骁</t>
  </si>
  <si>
    <t>杨新桐</t>
  </si>
  <si>
    <t>刘宏强</t>
  </si>
  <si>
    <t>王伟浩</t>
  </si>
  <si>
    <t>赵志远</t>
  </si>
  <si>
    <t>张子逸</t>
  </si>
  <si>
    <t>张维森</t>
  </si>
  <si>
    <t>薛文强</t>
  </si>
  <si>
    <t>赵忠泽</t>
  </si>
  <si>
    <t>陆一博</t>
  </si>
  <si>
    <t>乔承良</t>
  </si>
  <si>
    <t>甘仁伟</t>
  </si>
  <si>
    <t>李泉</t>
  </si>
  <si>
    <t>李浩鑫</t>
  </si>
  <si>
    <t>张彦彬</t>
  </si>
  <si>
    <t>刘森</t>
  </si>
  <si>
    <t>邵天祥</t>
  </si>
  <si>
    <t>ALS14930</t>
  </si>
  <si>
    <t>ALS14885</t>
  </si>
  <si>
    <t>ALS15022</t>
  </si>
  <si>
    <t>ALS14987</t>
  </si>
  <si>
    <t>ALS15021</t>
  </si>
  <si>
    <t>ALS15044</t>
  </si>
  <si>
    <t>ALS14984</t>
  </si>
  <si>
    <t>ALS14337</t>
  </si>
  <si>
    <t>ALS14338</t>
  </si>
  <si>
    <t>ALS14985</t>
  </si>
  <si>
    <t>杜新飞</t>
  </si>
  <si>
    <t>庞同庆</t>
  </si>
  <si>
    <t>王新龙</t>
  </si>
  <si>
    <t>杜新充</t>
  </si>
  <si>
    <t>李飒</t>
  </si>
  <si>
    <t>张颢曦</t>
  </si>
  <si>
    <t>杨泉斌</t>
  </si>
  <si>
    <t>李文鑫</t>
  </si>
  <si>
    <t>王小乾</t>
  </si>
  <si>
    <t>姜威</t>
  </si>
  <si>
    <t>职务</t>
    <phoneticPr fontId="9" type="noConversion"/>
  </si>
  <si>
    <t>田硕</t>
  </si>
  <si>
    <t>ALS14330</t>
  </si>
  <si>
    <t>ALS14242</t>
  </si>
  <si>
    <t>ALS14333</t>
  </si>
  <si>
    <t>ALS14426</t>
  </si>
  <si>
    <t>ALS14331</t>
  </si>
  <si>
    <t>ALS15334</t>
  </si>
  <si>
    <t>ALS15138</t>
  </si>
  <si>
    <t>ALS15254</t>
  </si>
  <si>
    <t>ALS15298</t>
  </si>
  <si>
    <t>ALS15392</t>
  </si>
  <si>
    <t>ALS14571</t>
  </si>
  <si>
    <t>ALS15250</t>
  </si>
  <si>
    <t>ALS14679</t>
  </si>
  <si>
    <t>ALS15390</t>
  </si>
  <si>
    <t>ALS14420</t>
  </si>
  <si>
    <t>ALS15386</t>
  </si>
  <si>
    <t>ALS15385</t>
  </si>
  <si>
    <t>ALS15290</t>
  </si>
  <si>
    <t>ALS15296</t>
  </si>
  <si>
    <t>ALS14248</t>
  </si>
  <si>
    <t>ALS15293</t>
  </si>
  <si>
    <t>ADH6302</t>
  </si>
  <si>
    <t>ADH6203</t>
  </si>
  <si>
    <t>ALS15221</t>
  </si>
  <si>
    <t>ALS15222</t>
  </si>
  <si>
    <t>ALS15249</t>
  </si>
  <si>
    <t>ALS15415</t>
  </si>
  <si>
    <t>ADH6967</t>
  </si>
  <si>
    <t>ADH6965</t>
  </si>
  <si>
    <t>ALS15227</t>
  </si>
  <si>
    <t>ALS15226</t>
  </si>
  <si>
    <t>ALS14312</t>
  </si>
  <si>
    <t>ALS15127</t>
  </si>
  <si>
    <t>ALS15128</t>
  </si>
  <si>
    <t>ALS15096</t>
  </si>
  <si>
    <t>BDH0403</t>
  </si>
  <si>
    <t>ALS15095</t>
  </si>
  <si>
    <t>ALS15335</t>
  </si>
  <si>
    <t>ALS15378</t>
  </si>
  <si>
    <t>ALS14507</t>
  </si>
  <si>
    <t>ALS15336</t>
  </si>
  <si>
    <t>ALS15152</t>
  </si>
  <si>
    <t>ALS15218</t>
  </si>
  <si>
    <t>ALS15129</t>
  </si>
  <si>
    <t>ALS15220</t>
  </si>
  <si>
    <t>ALS15248</t>
  </si>
  <si>
    <t>陈万义</t>
  </si>
  <si>
    <t>柯圣涛</t>
  </si>
  <si>
    <t>薛运达</t>
  </si>
  <si>
    <t>李强</t>
  </si>
  <si>
    <t>刘子旭</t>
  </si>
  <si>
    <t>陈延明</t>
  </si>
  <si>
    <t>齐彦杰</t>
  </si>
  <si>
    <t>付文浩</t>
  </si>
  <si>
    <t>马亮</t>
  </si>
  <si>
    <t>柳浩然</t>
  </si>
  <si>
    <t>艾心</t>
  </si>
  <si>
    <t>刘佳忠</t>
  </si>
  <si>
    <t>王运涛</t>
  </si>
  <si>
    <t>张文华</t>
  </si>
  <si>
    <t>杨文超</t>
  </si>
  <si>
    <t>张稳超</t>
  </si>
  <si>
    <t>周智升</t>
  </si>
  <si>
    <t>王勃</t>
  </si>
  <si>
    <t>张哲源</t>
  </si>
  <si>
    <t>孙冬瑞</t>
  </si>
  <si>
    <t>王展</t>
  </si>
  <si>
    <t>张俸瑞</t>
  </si>
  <si>
    <t>张兴杰</t>
  </si>
  <si>
    <t>罗祥祥</t>
  </si>
  <si>
    <t>陆明</t>
  </si>
  <si>
    <t>陈亚新</t>
  </si>
  <si>
    <t>张政</t>
  </si>
  <si>
    <t>刘天宇</t>
  </si>
  <si>
    <t>梁庭绪</t>
  </si>
  <si>
    <t>韩学永</t>
  </si>
  <si>
    <t>刘世杰</t>
  </si>
  <si>
    <t>常昊</t>
  </si>
  <si>
    <t>张仕新</t>
  </si>
  <si>
    <t>张乃嵩</t>
  </si>
  <si>
    <t>赵鸿运</t>
  </si>
  <si>
    <t>樊骁</t>
  </si>
  <si>
    <t>贾立磊</t>
  </si>
  <si>
    <t>邵明杰</t>
  </si>
  <si>
    <t>张玉铭</t>
  </si>
  <si>
    <t>张文杰</t>
  </si>
  <si>
    <t>窦占淼</t>
  </si>
  <si>
    <t>王学斌</t>
  </si>
  <si>
    <t>刘宇博</t>
  </si>
  <si>
    <t>AMT0020</t>
  </si>
  <si>
    <t>刘岩（ALS15296）</t>
  </si>
  <si>
    <t>刘岩（ALS1758）</t>
  </si>
  <si>
    <t>AMM4102</t>
  </si>
  <si>
    <t>AMM4573</t>
  </si>
  <si>
    <t>ALS14610</t>
  </si>
  <si>
    <t>AMM1080</t>
  </si>
  <si>
    <t>AMM4694</t>
  </si>
  <si>
    <t>ALS14708</t>
  </si>
  <si>
    <t>ALS15479</t>
  </si>
  <si>
    <t>ALS15702</t>
  </si>
  <si>
    <t>ALS15703</t>
  </si>
  <si>
    <t>AMM2053</t>
  </si>
  <si>
    <t>AMM1607</t>
  </si>
  <si>
    <t>ALS15602</t>
  </si>
  <si>
    <t>ALS15494</t>
  </si>
  <si>
    <t>ALS13928</t>
  </si>
  <si>
    <t>ALS4568</t>
  </si>
  <si>
    <t>AMM0587</t>
  </si>
  <si>
    <t>AMM3995</t>
  </si>
  <si>
    <t>ALS15438</t>
  </si>
  <si>
    <t>ALS15555</t>
  </si>
  <si>
    <t>ALS14704</t>
  </si>
  <si>
    <t>ALS14706</t>
  </si>
  <si>
    <t>ALS15554</t>
  </si>
  <si>
    <t>ALS15559</t>
  </si>
  <si>
    <t>ALS15563</t>
  </si>
  <si>
    <t>ALS15647</t>
  </si>
  <si>
    <t>ALS15696</t>
  </si>
  <si>
    <t>ALS14612</t>
  </si>
  <si>
    <t>ALS15471</t>
  </si>
  <si>
    <t>AMM3993</t>
  </si>
  <si>
    <t>ALS6119</t>
  </si>
  <si>
    <t>AMM0513</t>
  </si>
  <si>
    <t>AMM3115</t>
  </si>
  <si>
    <t>AMM2395</t>
  </si>
  <si>
    <t>ALS14700</t>
  </si>
  <si>
    <t>ALS15473</t>
  </si>
  <si>
    <t>AMM4275</t>
  </si>
  <si>
    <t>AMM4287</t>
  </si>
  <si>
    <t>ALS14609</t>
  </si>
  <si>
    <t>ALS15437</t>
  </si>
  <si>
    <t>ALS15556</t>
  </si>
  <si>
    <t>AMM3422</t>
  </si>
  <si>
    <t>ALS15551</t>
  </si>
  <si>
    <t>ALS15552</t>
  </si>
  <si>
    <t>ALS15491</t>
  </si>
  <si>
    <t>ALS15694</t>
  </si>
  <si>
    <t>ALS15470</t>
  </si>
  <si>
    <t>ALS15474</t>
  </si>
  <si>
    <t>ALS15492</t>
  </si>
  <si>
    <t>ALS15601</t>
  </si>
  <si>
    <t>AMM1476</t>
  </si>
  <si>
    <t>AMM1208</t>
  </si>
  <si>
    <t>ALS15553</t>
  </si>
  <si>
    <t>林志广</t>
  </si>
  <si>
    <t>丁智</t>
  </si>
  <si>
    <t>位赛东</t>
  </si>
  <si>
    <t>寇政阳</t>
  </si>
  <si>
    <t>马耀辉</t>
  </si>
  <si>
    <t>杨耀辉</t>
  </si>
  <si>
    <t>翟润凯</t>
  </si>
  <si>
    <t>王朝阳</t>
  </si>
  <si>
    <t>洪伟成</t>
  </si>
  <si>
    <t>康楷睿</t>
  </si>
  <si>
    <t>张文豪</t>
  </si>
  <si>
    <t>李落羽</t>
  </si>
  <si>
    <t>吴起腾</t>
  </si>
  <si>
    <t>曹子豪</t>
  </si>
  <si>
    <t>李宇琛</t>
  </si>
  <si>
    <t>王超</t>
  </si>
  <si>
    <t>权靖喆</t>
  </si>
  <si>
    <t>李恒</t>
  </si>
  <si>
    <t>霍雨寒</t>
  </si>
  <si>
    <t>向贵鑫</t>
  </si>
  <si>
    <t>张京宇</t>
  </si>
  <si>
    <t>郭亚超</t>
  </si>
  <si>
    <t>吕硕</t>
  </si>
  <si>
    <t>苏志强</t>
  </si>
  <si>
    <t>但会志</t>
  </si>
  <si>
    <t>国新宇</t>
  </si>
  <si>
    <t>胡一博</t>
  </si>
  <si>
    <t>杜少游</t>
  </si>
  <si>
    <t>陶子明</t>
  </si>
  <si>
    <t>唐广存</t>
  </si>
  <si>
    <t>赵天作</t>
  </si>
  <si>
    <t>王爱港</t>
  </si>
  <si>
    <t>王俊淋</t>
  </si>
  <si>
    <t>祁宁</t>
  </si>
  <si>
    <t>王超越</t>
  </si>
  <si>
    <t>高启帅</t>
  </si>
  <si>
    <t>韩炳辉</t>
  </si>
  <si>
    <t>常宝轩</t>
  </si>
  <si>
    <t>魏岱昌</t>
  </si>
  <si>
    <t>梁纬东</t>
  </si>
  <si>
    <t>曹金龙</t>
  </si>
  <si>
    <t>周瀚韬</t>
  </si>
  <si>
    <t>刘生宏</t>
  </si>
  <si>
    <t>蔡赫</t>
  </si>
  <si>
    <t>王顺盛</t>
  </si>
  <si>
    <t>黄荣</t>
  </si>
  <si>
    <t>郭亚彬</t>
  </si>
  <si>
    <t>代辉</t>
  </si>
  <si>
    <t>宋雨健</t>
  </si>
  <si>
    <t>ALS15586</t>
    <phoneticPr fontId="9" type="noConversion"/>
  </si>
  <si>
    <t>张昊（AMM1607）</t>
  </si>
  <si>
    <t>张昊（ALS11789）</t>
  </si>
  <si>
    <t>王鑫（ALS14706）</t>
  </si>
  <si>
    <t>ALS16005</t>
  </si>
  <si>
    <t>ALS15915</t>
  </si>
  <si>
    <t>ALS15910</t>
  </si>
  <si>
    <t>ALS15889</t>
  </si>
  <si>
    <t>ALS15912</t>
  </si>
  <si>
    <t>ALS16007</t>
  </si>
  <si>
    <t>ALS15823</t>
  </si>
  <si>
    <t>ALS8215</t>
  </si>
  <si>
    <t>ALS15966</t>
  </si>
  <si>
    <t>ALS14775</t>
  </si>
  <si>
    <t>ALS15761</t>
  </si>
  <si>
    <t>ALS15762</t>
  </si>
  <si>
    <t>ALS15824</t>
  </si>
  <si>
    <t>LFX126</t>
  </si>
  <si>
    <t>ALS15764</t>
  </si>
  <si>
    <t>ALS15866</t>
  </si>
  <si>
    <t>ALS14860</t>
  </si>
  <si>
    <t>ALS14764</t>
  </si>
  <si>
    <t>ALS14728</t>
  </si>
  <si>
    <t>ALS14613</t>
  </si>
  <si>
    <t>ALS14898</t>
  </si>
  <si>
    <t>ABT0062</t>
  </si>
  <si>
    <t>ALS15765</t>
  </si>
  <si>
    <t>ALS14601</t>
  </si>
  <si>
    <t>ALS14604</t>
  </si>
  <si>
    <t>ALS14608</t>
  </si>
  <si>
    <t>ALS14605</t>
  </si>
  <si>
    <t>ALS14709</t>
  </si>
  <si>
    <t>ALS15724</t>
  </si>
  <si>
    <t>ALS15768</t>
  </si>
  <si>
    <t>ALS15769</t>
  </si>
  <si>
    <t>ALS16004</t>
  </si>
  <si>
    <t>ALS15906</t>
  </si>
  <si>
    <t>ALS15908</t>
  </si>
  <si>
    <t>ALS15972</t>
  </si>
  <si>
    <t>ALS13034</t>
  </si>
  <si>
    <t>ALS14324</t>
  </si>
  <si>
    <t>ALS15469</t>
  </si>
  <si>
    <t>王来文</t>
  </si>
  <si>
    <t>范长欢</t>
  </si>
  <si>
    <t>刘向博</t>
  </si>
  <si>
    <t>高爱鹏</t>
  </si>
  <si>
    <t>周玉阳</t>
  </si>
  <si>
    <t>潘俊橙</t>
  </si>
  <si>
    <t>李金泽</t>
  </si>
  <si>
    <t>贾锦国</t>
  </si>
  <si>
    <t>杨城</t>
  </si>
  <si>
    <t>毕然</t>
  </si>
  <si>
    <t>王瑞沣</t>
  </si>
  <si>
    <t>侯明恺</t>
  </si>
  <si>
    <t>罗江邻</t>
  </si>
  <si>
    <t>周永乔</t>
  </si>
  <si>
    <t>杨博皓</t>
  </si>
  <si>
    <t>吴凯</t>
  </si>
  <si>
    <t>王强</t>
  </si>
  <si>
    <t>王志坤</t>
  </si>
  <si>
    <t>安红亮</t>
  </si>
  <si>
    <t>郭佳祥</t>
  </si>
  <si>
    <t>刘骏</t>
  </si>
  <si>
    <t>张旺旺</t>
  </si>
  <si>
    <t>马垠</t>
  </si>
  <si>
    <t>宋景耀</t>
  </si>
  <si>
    <t>柴鹏飞</t>
  </si>
  <si>
    <t>李旭东</t>
  </si>
  <si>
    <t>王银龙</t>
  </si>
  <si>
    <t>李林鑫</t>
  </si>
  <si>
    <t>安伟</t>
  </si>
  <si>
    <t>尹宇恒</t>
  </si>
  <si>
    <t>胡向冲</t>
  </si>
  <si>
    <t>张家园</t>
  </si>
  <si>
    <t>陈世强</t>
  </si>
  <si>
    <t>张宁轩</t>
  </si>
  <si>
    <t>王硕</t>
  </si>
  <si>
    <t>ALS14875</t>
    <phoneticPr fontId="9" type="noConversion"/>
  </si>
  <si>
    <t>张博（ALS14875）</t>
    <phoneticPr fontId="9" type="noConversion"/>
  </si>
  <si>
    <t>崔宇</t>
  </si>
  <si>
    <t>张向丰</t>
  </si>
  <si>
    <t>ALS16022</t>
  </si>
  <si>
    <t>ALS16047</t>
  </si>
  <si>
    <t>ALS15954</t>
  </si>
  <si>
    <t>ABT0617</t>
  </si>
  <si>
    <t>ABT0244</t>
  </si>
  <si>
    <t>ALS16048</t>
  </si>
  <si>
    <t>ALS12838</t>
  </si>
  <si>
    <t>ALS15894</t>
  </si>
  <si>
    <t>ALS15674</t>
  </si>
  <si>
    <t>ALS15895</t>
  </si>
  <si>
    <t>ALS15897</t>
  </si>
  <si>
    <t>ALS15055</t>
  </si>
  <si>
    <t>ALS15205</t>
  </si>
  <si>
    <t>ALS15353</t>
  </si>
  <si>
    <t>ALS15268</t>
  </si>
  <si>
    <t>ALS15270</t>
  </si>
  <si>
    <t>ALS15337</t>
  </si>
  <si>
    <t>ALS15343</t>
  </si>
  <si>
    <t>ALS15344</t>
  </si>
  <si>
    <t>ALS15346</t>
  </si>
  <si>
    <t>ALS15348</t>
  </si>
  <si>
    <t>ALS15349</t>
  </si>
  <si>
    <t>ALS15341</t>
  </si>
  <si>
    <t>ALS15345</t>
  </si>
  <si>
    <t>孙福林</t>
  </si>
  <si>
    <t>谢红彬</t>
  </si>
  <si>
    <t>杨晨</t>
  </si>
  <si>
    <t>王富星</t>
  </si>
  <si>
    <t>谭善文</t>
  </si>
  <si>
    <t>杨博硕</t>
  </si>
  <si>
    <t>白子洋</t>
  </si>
  <si>
    <t>李贺</t>
  </si>
  <si>
    <t>邢天宇</t>
  </si>
  <si>
    <t>李玉修</t>
  </si>
  <si>
    <t>戴显达</t>
  </si>
  <si>
    <t>綦寿延</t>
  </si>
  <si>
    <t>孙亚南</t>
  </si>
  <si>
    <t>刘博文</t>
  </si>
  <si>
    <t>贺强</t>
  </si>
  <si>
    <t>沙文博</t>
  </si>
  <si>
    <t>周建平</t>
  </si>
  <si>
    <t>赵修华</t>
  </si>
  <si>
    <t>焦瑞松</t>
  </si>
  <si>
    <t>倪瑞康</t>
  </si>
  <si>
    <t>尹亮</t>
  </si>
  <si>
    <t>韩文帅</t>
  </si>
  <si>
    <t>宋宝城</t>
  </si>
  <si>
    <t>孟祥云</t>
  </si>
  <si>
    <t>ALS13623</t>
    <phoneticPr fontId="9" type="noConversion"/>
  </si>
  <si>
    <t>王宁（ALS13623）</t>
    <phoneticPr fontId="9" type="noConversion"/>
  </si>
  <si>
    <t>ALS16049</t>
    <phoneticPr fontId="9" type="noConversion"/>
  </si>
  <si>
    <t>王宁（ALS16049）</t>
    <phoneticPr fontId="9" type="noConversion"/>
  </si>
  <si>
    <t>王鹏宇</t>
  </si>
  <si>
    <t>ALS15396</t>
  </si>
  <si>
    <t>袁浩</t>
  </si>
  <si>
    <t>ALS16144</t>
  </si>
  <si>
    <t>常文轩</t>
  </si>
  <si>
    <t>ALS15398</t>
  </si>
  <si>
    <t>刘梦达</t>
  </si>
  <si>
    <t>ALS16101</t>
  </si>
  <si>
    <t>马英杰</t>
  </si>
  <si>
    <t>ALS16107</t>
  </si>
  <si>
    <t>魏松林</t>
  </si>
  <si>
    <t>ALS15389</t>
  </si>
  <si>
    <t>张钊</t>
  </si>
  <si>
    <t>ALS16192</t>
  </si>
  <si>
    <t>刘玉鑫</t>
  </si>
  <si>
    <t>ACT438</t>
  </si>
  <si>
    <t>杨辉</t>
  </si>
  <si>
    <t>ALS16090</t>
  </si>
  <si>
    <t>李思法</t>
  </si>
  <si>
    <t>ALS16123</t>
  </si>
  <si>
    <t>车间</t>
  </si>
  <si>
    <t>姓名</t>
  </si>
  <si>
    <t>入职日期</t>
  </si>
  <si>
    <t>实际奖金合计</t>
  </si>
  <si>
    <t>日常巡查扣款</t>
  </si>
  <si>
    <t>定点摄影最佳区域和最差区域评比</t>
  </si>
  <si>
    <t>安全事故扣款</t>
  </si>
  <si>
    <t>5S日检奖金合计</t>
  </si>
  <si>
    <t>“a”占比</t>
  </si>
  <si>
    <t>“b”占比</t>
  </si>
  <si>
    <t>“c”占比</t>
  </si>
  <si>
    <t>4号楼1&amp;2车间</t>
    <phoneticPr fontId="9" type="noConversion"/>
  </si>
  <si>
    <t>4号楼3&amp;4车间</t>
    <phoneticPr fontId="9" type="noConversion"/>
  </si>
  <si>
    <t>“a”占比</t>
    <phoneticPr fontId="9" type="noConversion"/>
  </si>
  <si>
    <t>11号楼CNC车间</t>
    <phoneticPr fontId="9" type="noConversion"/>
  </si>
  <si>
    <t>11号楼CNC车间“a、b、c”分布情况</t>
    <phoneticPr fontId="9" type="noConversion"/>
  </si>
  <si>
    <t>11号楼D级车间</t>
    <phoneticPr fontId="9" type="noConversion"/>
  </si>
  <si>
    <t>11号楼D级车间“a、b、c”分布情况</t>
    <phoneticPr fontId="9" type="noConversion"/>
  </si>
  <si>
    <t>5号楼“a、b、c”分布情况</t>
    <phoneticPr fontId="9" type="noConversion"/>
  </si>
  <si>
    <t>“c”占比</t>
    <phoneticPr fontId="9" type="noConversion"/>
  </si>
  <si>
    <t>0901调任</t>
    <phoneticPr fontId="9" type="noConversion"/>
  </si>
  <si>
    <t>电子设备及培训“a、b、c”分布情况</t>
    <phoneticPr fontId="9" type="noConversion"/>
  </si>
  <si>
    <t>培训&amp;合规组“a、b、c”分布情况</t>
    <phoneticPr fontId="9" type="noConversion"/>
  </si>
  <si>
    <t>“b”占比</t>
    <phoneticPr fontId="9" type="noConversion"/>
  </si>
  <si>
    <t>外围/罐区/泵房</t>
    <phoneticPr fontId="9" type="noConversion"/>
  </si>
  <si>
    <t>外围/罐区/泵房“a、b、c”分布情况</t>
    <phoneticPr fontId="9" type="noConversion"/>
  </si>
  <si>
    <t>环保设备设施“a、b、c”分布情况</t>
    <phoneticPr fontId="9" type="noConversion"/>
  </si>
  <si>
    <t>清洗组</t>
  </si>
  <si>
    <t>设备清洗准备“a、b、c”分布情况</t>
    <phoneticPr fontId="9" type="noConversion"/>
  </si>
  <si>
    <t>数据提供人</t>
    <phoneticPr fontId="9" type="noConversion"/>
  </si>
  <si>
    <t>汇总说明</t>
    <phoneticPr fontId="9" type="noConversion"/>
  </si>
  <si>
    <t>4#楼1&amp;2车间：</t>
    <phoneticPr fontId="9" type="noConversion"/>
  </si>
  <si>
    <t>田志勇 </t>
    <phoneticPr fontId="9" type="noConversion"/>
  </si>
  <si>
    <t xml:space="preserve">4#楼3&amp;4车间： </t>
    <phoneticPr fontId="9" type="noConversion"/>
  </si>
  <si>
    <t>刘磊</t>
    <phoneticPr fontId="9" type="noConversion"/>
  </si>
  <si>
    <t>11#楼CNC车间：</t>
    <phoneticPr fontId="9" type="noConversion"/>
  </si>
  <si>
    <t>门学友</t>
    <phoneticPr fontId="9" type="noConversion"/>
  </si>
  <si>
    <t>11#楼D级区：</t>
    <phoneticPr fontId="9" type="noConversion"/>
  </si>
  <si>
    <t>梁光强</t>
    <phoneticPr fontId="9" type="noConversion"/>
  </si>
  <si>
    <t>5号楼：</t>
    <phoneticPr fontId="9" type="noConversion"/>
  </si>
  <si>
    <t>冯恩利</t>
    <phoneticPr fontId="9" type="noConversion"/>
  </si>
  <si>
    <t>12号楼：</t>
    <phoneticPr fontId="9" type="noConversion"/>
  </si>
  <si>
    <t>代海鑫</t>
    <phoneticPr fontId="9" type="noConversion"/>
  </si>
  <si>
    <t>验证组 / DCS / 电子设备维护 / 合规&amp;培训 ：</t>
    <phoneticPr fontId="9" type="noConversion"/>
  </si>
  <si>
    <t>环保设备设施 ：</t>
    <phoneticPr fontId="9" type="noConversion"/>
  </si>
  <si>
    <t xml:space="preserve">刘文龙 </t>
    <phoneticPr fontId="9" type="noConversion"/>
  </si>
  <si>
    <t>外围/罐区/泵房：</t>
    <phoneticPr fontId="9" type="noConversion"/>
  </si>
  <si>
    <t>赵艳春</t>
    <phoneticPr fontId="9" type="noConversion"/>
  </si>
  <si>
    <t>清洗组：</t>
    <phoneticPr fontId="9" type="noConversion"/>
  </si>
  <si>
    <t>刘亚南</t>
    <phoneticPr fontId="9" type="noConversion"/>
  </si>
  <si>
    <t>陈正兴</t>
    <phoneticPr fontId="9" type="noConversion"/>
  </si>
  <si>
    <t>刘其琛</t>
    <phoneticPr fontId="9" type="noConversion"/>
  </si>
  <si>
    <t>杜永宝</t>
    <phoneticPr fontId="9" type="noConversion"/>
  </si>
  <si>
    <t>魏鹏</t>
    <phoneticPr fontId="9" type="noConversion"/>
  </si>
  <si>
    <t>姜彬</t>
    <phoneticPr fontId="9" type="noConversion"/>
  </si>
  <si>
    <t>安全组</t>
    <phoneticPr fontId="9" type="noConversion"/>
  </si>
  <si>
    <t>李国清</t>
    <phoneticPr fontId="9" type="noConversion"/>
  </si>
  <si>
    <t>一线人员sheet</t>
    <phoneticPr fontId="9" type="noConversion"/>
  </si>
  <si>
    <t>副主任sheet</t>
    <phoneticPr fontId="9" type="noConversion"/>
  </si>
  <si>
    <t>副主任级别sheet，添加好后面的设备使用率及对应挡位，钉钉发给对应该管理人员，问挡位是否有调整</t>
    <phoneticPr fontId="9" type="noConversion"/>
  </si>
  <si>
    <t>月末或者月初整理安全质量奖，一线人员sheet和副主任sheet人员用员工编号与月底的人员明细表核对，删除离职的，补充新入职的人员；将日期修改后，内容清空，发给对应提报人，提供评价</t>
    <phoneticPr fontId="9" type="noConversion"/>
  </si>
  <si>
    <t>安全质量奖</t>
    <phoneticPr fontId="9" type="noConversion"/>
  </si>
  <si>
    <t>ALS16118</t>
  </si>
  <si>
    <t>董峰</t>
  </si>
  <si>
    <t>ALS11096</t>
  </si>
  <si>
    <t>牟江维</t>
  </si>
  <si>
    <t>周大伟</t>
  </si>
  <si>
    <t>ALS2305</t>
  </si>
  <si>
    <t>侯世蒙</t>
  </si>
  <si>
    <t>ALS12955</t>
  </si>
  <si>
    <t>卜乾鼎</t>
  </si>
  <si>
    <t>ALS16339</t>
  </si>
  <si>
    <t>韩博宇</t>
  </si>
  <si>
    <t>ALS16461</t>
  </si>
  <si>
    <t>助理工程师</t>
  </si>
  <si>
    <t>生产技术转移组（辅料&amp;毒素连接体）</t>
  </si>
  <si>
    <t>生产技术转移组（多肽）</t>
  </si>
  <si>
    <t>王凯</t>
  </si>
  <si>
    <t>LFX573</t>
  </si>
  <si>
    <t>刘太安</t>
  </si>
  <si>
    <t>FX2743</t>
  </si>
  <si>
    <r>
      <t>2026/04/14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48" type="noConversion"/>
  </si>
  <si>
    <t>张文胜</t>
  </si>
  <si>
    <t>ALS16211</t>
  </si>
  <si>
    <t>袁辰宇</t>
  </si>
  <si>
    <t>ALS16194</t>
  </si>
  <si>
    <t>王泽</t>
  </si>
  <si>
    <t>FX2809</t>
  </si>
  <si>
    <t>石教炀</t>
  </si>
  <si>
    <t>ALS15575</t>
  </si>
  <si>
    <t>李成著</t>
  </si>
  <si>
    <t>ALS16412</t>
  </si>
  <si>
    <t>姜国彪</t>
  </si>
  <si>
    <t>ALS16458</t>
  </si>
  <si>
    <t>史震</t>
  </si>
  <si>
    <t>ALS16321</t>
  </si>
  <si>
    <t>姜晓超</t>
  </si>
  <si>
    <t>ALS16463</t>
  </si>
  <si>
    <t>刘涛</t>
  </si>
  <si>
    <t>樊宇康</t>
  </si>
  <si>
    <t>ALS16300</t>
  </si>
  <si>
    <t>杜子赫</t>
  </si>
  <si>
    <t>ALS15922</t>
  </si>
  <si>
    <t>李思辰</t>
  </si>
  <si>
    <t>ALS15920</t>
  </si>
  <si>
    <t>夏宇鑫</t>
  </si>
  <si>
    <t>ALS15921</t>
  </si>
  <si>
    <t>苏登鑫</t>
  </si>
  <si>
    <t>ALS16298</t>
  </si>
  <si>
    <t>张启新</t>
  </si>
  <si>
    <t>ALS16297</t>
  </si>
  <si>
    <t>邢文涛</t>
  </si>
  <si>
    <t>ALS16293</t>
  </si>
  <si>
    <t>褚臻旺</t>
  </si>
  <si>
    <t>ALS16274</t>
  </si>
  <si>
    <t>于德喆</t>
  </si>
  <si>
    <t>ALS16271</t>
  </si>
  <si>
    <t>浦晓杰</t>
  </si>
  <si>
    <t>ALS16266</t>
  </si>
  <si>
    <t>朱润旭</t>
  </si>
  <si>
    <t>ALS16268</t>
  </si>
  <si>
    <t>张骏宝</t>
  </si>
  <si>
    <t>ALS16250</t>
  </si>
  <si>
    <t>赵佳明</t>
  </si>
  <si>
    <t>ALS16249</t>
  </si>
  <si>
    <t>易泽海</t>
  </si>
  <si>
    <t>ALS16454</t>
  </si>
  <si>
    <t>何华彬</t>
  </si>
  <si>
    <t>ALS16452</t>
  </si>
  <si>
    <t>秦绘其</t>
  </si>
  <si>
    <t>ALS16422</t>
  </si>
  <si>
    <t>陈睿泽</t>
  </si>
  <si>
    <t>ALS16396</t>
  </si>
  <si>
    <t>贲泽涛</t>
  </si>
  <si>
    <t>ALS16435</t>
  </si>
  <si>
    <t>秦晶</t>
  </si>
  <si>
    <t>ALS16419</t>
  </si>
  <si>
    <t>鲍逢瑞</t>
  </si>
  <si>
    <t>ALS16270</t>
  </si>
  <si>
    <t>胡建勋</t>
  </si>
  <si>
    <t>ALS16324</t>
  </si>
  <si>
    <t>王鑫</t>
  </si>
  <si>
    <t>ALS15608</t>
  </si>
  <si>
    <t>张屹</t>
  </si>
  <si>
    <t>ALS15726</t>
  </si>
  <si>
    <t>宋飞</t>
  </si>
  <si>
    <t>ALS15730</t>
  </si>
  <si>
    <t>张景超</t>
  </si>
  <si>
    <t>ALS15789</t>
  </si>
  <si>
    <t>牛泽林</t>
  </si>
  <si>
    <t>ALS15858</t>
  </si>
  <si>
    <t>洪宇</t>
  </si>
  <si>
    <t>ALS15861</t>
  </si>
  <si>
    <t>来义凡</t>
  </si>
  <si>
    <t>ALS15864</t>
  </si>
  <si>
    <t>王呈相</t>
  </si>
  <si>
    <t>ALS16260</t>
  </si>
  <si>
    <t>王子乾</t>
  </si>
  <si>
    <t>ALS16257</t>
  </si>
  <si>
    <t>潘恩阳</t>
  </si>
  <si>
    <t>ALS16258</t>
  </si>
  <si>
    <t>王增辉</t>
  </si>
  <si>
    <t>ALS16278</t>
  </si>
  <si>
    <t>蔡宗超</t>
  </si>
  <si>
    <t>ALS16254</t>
  </si>
  <si>
    <t>史晋玮</t>
  </si>
  <si>
    <t>ALS16294</t>
  </si>
  <si>
    <t>赵鹏</t>
  </si>
  <si>
    <t>ALS16462</t>
  </si>
  <si>
    <t>吕嘉鑫</t>
  </si>
  <si>
    <t>ALS16460</t>
  </si>
  <si>
    <t>唐啸天</t>
  </si>
  <si>
    <t>ALS16417</t>
  </si>
  <si>
    <t>李昊楠</t>
  </si>
  <si>
    <t>ALS16418</t>
  </si>
  <si>
    <t>骞国良</t>
  </si>
  <si>
    <t>ALS16424</t>
  </si>
  <si>
    <t>陈博</t>
  </si>
  <si>
    <t>ALS16403</t>
  </si>
  <si>
    <t>马铭健</t>
  </si>
  <si>
    <t>ALS16440</t>
  </si>
  <si>
    <t>戚永春</t>
  </si>
  <si>
    <t>ALS16402</t>
  </si>
  <si>
    <t>郝保伦</t>
  </si>
  <si>
    <t>ALS16430</t>
  </si>
  <si>
    <t>张家旺</t>
  </si>
  <si>
    <t>ALS16302</t>
  </si>
  <si>
    <t>李华鹏</t>
  </si>
  <si>
    <t>ALS16303</t>
  </si>
  <si>
    <r>
      <t>2026/04/01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phoneticPr fontId="48" type="noConversion"/>
  </si>
  <si>
    <r>
      <t>2026/4/8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</si>
  <si>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</si>
  <si>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t>郭帅鹏</t>
  </si>
  <si>
    <t>ALS16305</t>
  </si>
  <si>
    <t>金鹏</t>
  </si>
  <si>
    <t>ALS16445</t>
  </si>
  <si>
    <t>魏希哲</t>
  </si>
  <si>
    <t>ALS15698</t>
  </si>
  <si>
    <t>张瑞</t>
  </si>
  <si>
    <t>ALS15566</t>
  </si>
  <si>
    <t>刘仁杰</t>
  </si>
  <si>
    <t>ALS16309</t>
  </si>
  <si>
    <t>王冰</t>
  </si>
  <si>
    <t>ALS16318</t>
  </si>
  <si>
    <t>罗泽泉</t>
  </si>
  <si>
    <t>ALS16320</t>
  </si>
  <si>
    <t>苏家和</t>
  </si>
  <si>
    <t>ALS16316</t>
  </si>
  <si>
    <t>李东红</t>
  </si>
  <si>
    <t>ALS16386</t>
  </si>
  <si>
    <t>吴敬艺</t>
  </si>
  <si>
    <t>ALS16383</t>
  </si>
  <si>
    <t>滑北</t>
  </si>
  <si>
    <t>ALS16405</t>
  </si>
  <si>
    <t>仉中旭</t>
  </si>
  <si>
    <t>ALS16404</t>
  </si>
  <si>
    <t>白鹏宇</t>
  </si>
  <si>
    <t>ALS16434</t>
  </si>
  <si>
    <t>张佳佳</t>
  </si>
  <si>
    <t>ALS15926</t>
  </si>
  <si>
    <t>曾思源</t>
  </si>
  <si>
    <t>ALS16394</t>
  </si>
  <si>
    <t>梁世杨</t>
  </si>
  <si>
    <t>ALS16413</t>
  </si>
  <si>
    <t>李天亮</t>
  </si>
  <si>
    <t>ALS16323</t>
  </si>
  <si>
    <t>王铮</t>
  </si>
  <si>
    <t>ALS16267</t>
  </si>
  <si>
    <t>刘瑞峰</t>
  </si>
  <si>
    <t>ALS16325</t>
  </si>
  <si>
    <t>吴海啸</t>
  </si>
  <si>
    <t>ALS16279</t>
  </si>
  <si>
    <t>李梦洋</t>
  </si>
  <si>
    <t>ALS16277</t>
  </si>
  <si>
    <t>郗申腾</t>
  </si>
  <si>
    <t>ALS16427</t>
  </si>
  <si>
    <t>田校瑜</t>
  </si>
  <si>
    <t>ALS16251</t>
  </si>
  <si>
    <t>杨佳瑄</t>
  </si>
  <si>
    <t>ALS16310</t>
  </si>
  <si>
    <t>倪以鹏</t>
  </si>
  <si>
    <t>ALS16441</t>
  </si>
  <si>
    <t>李名浩</t>
  </si>
  <si>
    <t>ALS16450</t>
  </si>
  <si>
    <t>林煌</t>
  </si>
  <si>
    <t>ALS16428</t>
  </si>
  <si>
    <t>李文学</t>
  </si>
  <si>
    <t>ALS16348</t>
  </si>
  <si>
    <t>张智楠</t>
  </si>
  <si>
    <t>AMT0122</t>
  </si>
  <si>
    <t>调生产设备部的不用管，调实验室的备注，调TJ1的加到TJ1核算表中</t>
    <phoneticPr fontId="9" type="noConversion"/>
  </si>
  <si>
    <t>核对2</t>
    <phoneticPr fontId="9" type="noConversion"/>
  </si>
  <si>
    <t>核对1</t>
    <phoneticPr fontId="9" type="noConversion"/>
  </si>
  <si>
    <t>4#楼1&amp;2车间：田志勇 </t>
  </si>
  <si>
    <t>4#楼3&amp;4车间： 刘磊</t>
  </si>
  <si>
    <t>11#楼CNC车间：门学友</t>
  </si>
  <si>
    <t>5号楼：冯恩利</t>
  </si>
  <si>
    <t>12号楼：代海鑫</t>
  </si>
  <si>
    <t>验证组 / DCS / 电子设备维护 / 合规&amp;培训 ： 刘亚南</t>
  </si>
  <si>
    <t xml:space="preserve">环保设备设施 ：刘文龙 </t>
  </si>
  <si>
    <t>清洗组： 陈正兴</t>
  </si>
  <si>
    <r>
      <t>11#楼D级区：梁光强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rgb="FFFF0000"/>
        <rFont val="宋体"/>
        <family val="3"/>
        <charset val="134"/>
        <scheme val="minor"/>
      </rPr>
      <t>李晓刚</t>
    </r>
    <phoneticPr fontId="49" type="noConversion"/>
  </si>
  <si>
    <t>王荣齐</t>
    <phoneticPr fontId="9" type="noConversion"/>
  </si>
  <si>
    <t>刘其琛</t>
    <phoneticPr fontId="49" type="noConversion"/>
  </si>
  <si>
    <t>杜永宝</t>
    <phoneticPr fontId="49" type="noConversion"/>
  </si>
  <si>
    <t>魏鹏</t>
    <phoneticPr fontId="49" type="noConversion"/>
  </si>
  <si>
    <t>刘亚南</t>
    <phoneticPr fontId="49" type="noConversion"/>
  </si>
  <si>
    <t>安全组</t>
    <phoneticPr fontId="49" type="noConversion"/>
  </si>
  <si>
    <t>李国清</t>
    <phoneticPr fontId="49" type="noConversion"/>
  </si>
  <si>
    <t>刘文龙</t>
    <phoneticPr fontId="49" type="noConversion"/>
  </si>
  <si>
    <t>蔡森</t>
    <phoneticPr fontId="49" type="noConversion"/>
  </si>
  <si>
    <t>顾庆洋</t>
  </si>
  <si>
    <t>ALS16550</t>
  </si>
  <si>
    <t>ALS16503</t>
  </si>
  <si>
    <t>林永盛</t>
  </si>
  <si>
    <t>ALS16532</t>
  </si>
  <si>
    <t>杨乾圣</t>
  </si>
  <si>
    <t>ALS16555</t>
  </si>
  <si>
    <t>夏佳辉</t>
  </si>
  <si>
    <t>武庆</t>
  </si>
  <si>
    <t>ALS16506</t>
  </si>
  <si>
    <t>陶成成</t>
  </si>
  <si>
    <t>ALS16598</t>
  </si>
  <si>
    <t>王明双</t>
  </si>
  <si>
    <t>ALS16548</t>
  </si>
  <si>
    <t>杨方鑫</t>
  </si>
  <si>
    <t>ALS16504</t>
  </si>
  <si>
    <t>李俊杰</t>
  </si>
  <si>
    <t>ALS16538</t>
  </si>
  <si>
    <t>王学政</t>
  </si>
  <si>
    <t>ALS16505</t>
  </si>
  <si>
    <t>王晨雨</t>
  </si>
  <si>
    <t>ALS16536</t>
  </si>
  <si>
    <t>韩宇航</t>
  </si>
  <si>
    <t>ALS16515</t>
  </si>
  <si>
    <t>张富荣</t>
  </si>
  <si>
    <t>ALS16510</t>
  </si>
  <si>
    <t>张陈重</t>
  </si>
  <si>
    <t>ALS16508</t>
  </si>
  <si>
    <t>谢龙凯</t>
  </si>
  <si>
    <t>ALS16480</t>
  </si>
  <si>
    <t>张攀</t>
  </si>
  <si>
    <t>ALS16501</t>
  </si>
  <si>
    <t>王林峰</t>
  </si>
  <si>
    <t>ALS16509</t>
  </si>
  <si>
    <t>董梓铭</t>
  </si>
  <si>
    <t>ALS16511</t>
  </si>
  <si>
    <t>李坤</t>
  </si>
  <si>
    <t>ALS16497</t>
  </si>
  <si>
    <t>杨文浩</t>
  </si>
  <si>
    <t>ALS16513</t>
  </si>
  <si>
    <t>王卓睿</t>
  </si>
  <si>
    <t>ALS16514</t>
  </si>
  <si>
    <t>张子豪</t>
  </si>
  <si>
    <t>ALS16631</t>
  </si>
  <si>
    <t>刘伟东</t>
  </si>
  <si>
    <t>ALS16611</t>
  </si>
  <si>
    <t>徐文凯</t>
  </si>
  <si>
    <t>ALS16612</t>
  </si>
  <si>
    <t>倪敬松</t>
  </si>
  <si>
    <t>ALS16842</t>
  </si>
  <si>
    <t>林康硕</t>
  </si>
  <si>
    <t>ALS16516</t>
  </si>
  <si>
    <t>吴有坤</t>
  </si>
  <si>
    <t>ALS16560</t>
  </si>
  <si>
    <t>宋晶宁</t>
  </si>
  <si>
    <t>ALS16596</t>
  </si>
  <si>
    <t>孙嘉明</t>
  </si>
  <si>
    <t>ALS16597</t>
  </si>
  <si>
    <t>戴子舜</t>
  </si>
  <si>
    <t>ALS16564</t>
  </si>
  <si>
    <t>宿紫博</t>
  </si>
  <si>
    <t>ALS16622</t>
  </si>
  <si>
    <t>马云翔</t>
  </si>
  <si>
    <t>ALS16619</t>
  </si>
  <si>
    <t>蔡冀辉</t>
  </si>
  <si>
    <t>ALS16621</t>
  </si>
  <si>
    <t>孙炜迦</t>
  </si>
  <si>
    <t>ALS16768</t>
  </si>
  <si>
    <t>冯业</t>
  </si>
  <si>
    <t>ALS16819</t>
  </si>
  <si>
    <t>桑世杰</t>
  </si>
  <si>
    <t>ALS16853</t>
  </si>
  <si>
    <t>何源超</t>
  </si>
  <si>
    <t>ALS16858</t>
  </si>
  <si>
    <t>谢开元</t>
  </si>
  <si>
    <t>ALS16849</t>
  </si>
  <si>
    <t>薛蕴伟</t>
  </si>
  <si>
    <t>ALS16836</t>
  </si>
  <si>
    <t>李瑞轩</t>
  </si>
  <si>
    <t>ALS16854</t>
  </si>
  <si>
    <t>张存</t>
  </si>
  <si>
    <t>ALS16845</t>
  </si>
  <si>
    <t>张安</t>
  </si>
  <si>
    <t>ALS16848</t>
  </si>
  <si>
    <t>陈懿</t>
  </si>
  <si>
    <t>ALS16528</t>
  </si>
  <si>
    <t>金腾飞</t>
  </si>
  <si>
    <t>ALS16653</t>
  </si>
  <si>
    <t>车间副主任</t>
  </si>
  <si>
    <t>王富东</t>
  </si>
  <si>
    <t>ALS16738</t>
  </si>
  <si>
    <t>备注</t>
    <phoneticPr fontId="9" type="noConversion"/>
  </si>
  <si>
    <t>ALS16563</t>
    <phoneticPr fontId="48" type="noConversion"/>
  </si>
  <si>
    <t>王奕轩</t>
  </si>
  <si>
    <t>ALS16590</t>
  </si>
  <si>
    <t>韩年</t>
  </si>
  <si>
    <t>ALS16592</t>
  </si>
  <si>
    <t>兰应斌</t>
  </si>
  <si>
    <t>ALS16823</t>
  </si>
  <si>
    <t>王圣德</t>
  </si>
  <si>
    <t>ALS16623</t>
  </si>
  <si>
    <t>梁证</t>
  </si>
  <si>
    <t>ALS16628</t>
  </si>
  <si>
    <t>安新豪</t>
  </si>
  <si>
    <t>ALS16604</t>
  </si>
  <si>
    <t>牛浩</t>
  </si>
  <si>
    <t>ALS16606</t>
  </si>
  <si>
    <t>郭军豪</t>
  </si>
  <si>
    <t>ALS16609</t>
  </si>
  <si>
    <t>ALS16601</t>
  </si>
  <si>
    <t>朱正阳</t>
  </si>
  <si>
    <t>ALS16617</t>
  </si>
  <si>
    <t>邵英强</t>
  </si>
  <si>
    <t>ALS16808</t>
  </si>
  <si>
    <t>ALS16846</t>
  </si>
  <si>
    <t>薛紫阳</t>
  </si>
  <si>
    <t>ALS16777</t>
  </si>
  <si>
    <t>宋艾崇</t>
  </si>
  <si>
    <t>ALS16813</t>
  </si>
  <si>
    <t>陈泽鹏</t>
  </si>
  <si>
    <t>ALS16468</t>
  </si>
  <si>
    <t>谢云凡</t>
  </si>
  <si>
    <t>ALS16740</t>
  </si>
  <si>
    <t>高英博</t>
  </si>
  <si>
    <t>ALS16769</t>
  </si>
  <si>
    <t>周文彬</t>
  </si>
  <si>
    <t>ALS16850</t>
  </si>
  <si>
    <t>朱治洋</t>
  </si>
  <si>
    <t>ALS16625</t>
  </si>
  <si>
    <t>ALS16491</t>
  </si>
  <si>
    <t>ALS16547</t>
    <phoneticPr fontId="48" type="noConversion"/>
  </si>
  <si>
    <t>ALS16552</t>
    <phoneticPr fontId="48" type="noConversion"/>
  </si>
  <si>
    <t>2025/10/27调实验室学习制备</t>
    <phoneticPr fontId="9" type="noConversion"/>
  </si>
  <si>
    <r>
      <t>外围/罐区/泵房：赵艳春/</t>
    </r>
    <r>
      <rPr>
        <sz val="11"/>
        <color rgb="FFFF0000"/>
        <rFont val="宋体"/>
        <family val="3"/>
        <charset val="134"/>
        <scheme val="minor"/>
      </rPr>
      <t>吴宗璇</t>
    </r>
    <phoneticPr fontId="49" type="noConversion"/>
  </si>
  <si>
    <t>邱海涛</t>
  </si>
  <si>
    <t>ALS16517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</si>
  <si>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梁光强；</t>
    </r>
    <r>
      <rPr>
        <b/>
        <sz val="9"/>
        <color rgb="FFFF0000"/>
        <rFont val="微软雅黑"/>
        <family val="2"/>
        <charset val="134"/>
      </rPr>
      <t>校招实习生</t>
    </r>
    <phoneticPr fontId="48" type="noConversion"/>
  </si>
  <si>
    <t>张重阳</t>
  </si>
  <si>
    <t>ALS17057</t>
  </si>
  <si>
    <t>周一玎</t>
  </si>
  <si>
    <t>ALS17073</t>
  </si>
  <si>
    <t>袁达标</t>
  </si>
  <si>
    <t>ALS17159</t>
  </si>
  <si>
    <t>高舰</t>
  </si>
  <si>
    <t>ALS17160</t>
  </si>
  <si>
    <r>
      <t>2026/04/01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</si>
  <si>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t>马健豪</t>
  </si>
  <si>
    <t>ALS16999</t>
  </si>
  <si>
    <t>熊子成</t>
  </si>
  <si>
    <t>ALS16976</t>
  </si>
  <si>
    <t>方尊昌</t>
  </si>
  <si>
    <t>ALS17313</t>
  </si>
  <si>
    <t>朱佳琦</t>
  </si>
  <si>
    <t>ALS17005</t>
  </si>
  <si>
    <t>崔涛</t>
  </si>
  <si>
    <t>ALS16861</t>
  </si>
  <si>
    <t>张浩锋</t>
  </si>
  <si>
    <t>ALS13003</t>
  </si>
  <si>
    <t>毕帅博</t>
  </si>
  <si>
    <t>ALS16016</t>
  </si>
  <si>
    <t>李子信</t>
  </si>
  <si>
    <t>ALS16015</t>
  </si>
  <si>
    <t>杨周杰</t>
  </si>
  <si>
    <t>ALS17310</t>
  </si>
  <si>
    <t>张黄睿俣</t>
  </si>
  <si>
    <t>ALS17307</t>
  </si>
  <si>
    <t>张晗旭</t>
  </si>
  <si>
    <t>ALS17311</t>
  </si>
  <si>
    <t>TJ3委培结束，2026/06/05返回TJ4</t>
  </si>
  <si>
    <t>齐宇航</t>
  </si>
  <si>
    <t>ALS16987</t>
  </si>
  <si>
    <t>焦文刚</t>
  </si>
  <si>
    <t>ALS16988</t>
  </si>
  <si>
    <t>唐晨皓</t>
  </si>
  <si>
    <t>ALS16983</t>
  </si>
  <si>
    <t>姜博</t>
  </si>
  <si>
    <t>ALS16018</t>
  </si>
  <si>
    <t>董建平</t>
  </si>
  <si>
    <t>ALS16347</t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</si>
  <si>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phoneticPr fontId="48" type="noConversion"/>
  </si>
  <si>
    <t>李明宇</t>
  </si>
  <si>
    <t>ALS16013</t>
  </si>
  <si>
    <t>刘润泽</t>
  </si>
  <si>
    <t>ALS16074</t>
  </si>
  <si>
    <t>蒲忠孝</t>
  </si>
  <si>
    <t>ALS16014</t>
  </si>
  <si>
    <t>付童童</t>
  </si>
  <si>
    <t>ALS16859</t>
  </si>
  <si>
    <t>王景威</t>
  </si>
  <si>
    <t>ALS17164</t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</si>
  <si>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号楼委培）</t>
    </r>
    <phoneticPr fontId="48" type="noConversion"/>
  </si>
  <si>
    <t>孟霖峰</t>
  </si>
  <si>
    <t>ALS17125</t>
  </si>
  <si>
    <t>龙偕</t>
  </si>
  <si>
    <t>ALS17025</t>
  </si>
  <si>
    <t>柏文科</t>
  </si>
  <si>
    <t>ALS17115</t>
  </si>
  <si>
    <t>安照林</t>
  </si>
  <si>
    <t>ALS17016</t>
  </si>
  <si>
    <t>刘简</t>
  </si>
  <si>
    <t>ALS17018</t>
  </si>
  <si>
    <t>马军</t>
  </si>
  <si>
    <t>ALS17074</t>
  </si>
  <si>
    <t>宋京硕</t>
  </si>
  <si>
    <t>ALS17114</t>
  </si>
  <si>
    <t>李智伟</t>
  </si>
  <si>
    <t>ALS16974</t>
  </si>
  <si>
    <t>樊世超</t>
  </si>
  <si>
    <t>ALS16978</t>
  </si>
  <si>
    <t>徐艳鹏</t>
  </si>
  <si>
    <t>ALS16973</t>
  </si>
  <si>
    <t>刘振</t>
  </si>
  <si>
    <t>ALS16970</t>
  </si>
  <si>
    <t>阴策</t>
  </si>
  <si>
    <t>ALS16847</t>
  </si>
  <si>
    <t>陈维</t>
  </si>
  <si>
    <t>ALS15571</t>
  </si>
  <si>
    <r>
      <t>2026/02/26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</si>
  <si>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t>田申</t>
  </si>
  <si>
    <t>ALS14192</t>
  </si>
  <si>
    <t>赵坤</t>
  </si>
  <si>
    <t>ALS15996</t>
  </si>
  <si>
    <t>陆欢</t>
  </si>
  <si>
    <t>ALS16772</t>
  </si>
  <si>
    <t>蒋志涵</t>
  </si>
  <si>
    <t>ALS16932</t>
  </si>
  <si>
    <t>韩春笋</t>
  </si>
  <si>
    <t>ALS15084</t>
  </si>
  <si>
    <t>韩少斌</t>
  </si>
  <si>
    <t>ALS15204</t>
  </si>
  <si>
    <t>杨天鸿</t>
  </si>
  <si>
    <t>ALS15352</t>
  </si>
  <si>
    <t>张浩喆</t>
  </si>
  <si>
    <t>ALS17072</t>
  </si>
  <si>
    <t>王正宇</t>
  </si>
  <si>
    <t>LFX570</t>
  </si>
  <si>
    <t>王逸繁</t>
  </si>
  <si>
    <t>ALS15572</t>
  </si>
  <si>
    <t>冯之杰</t>
  </si>
  <si>
    <t>ALS15027</t>
  </si>
  <si>
    <t>李昊霖</t>
  </si>
  <si>
    <t>ALS17071</t>
  </si>
  <si>
    <t>刘青松</t>
  </si>
  <si>
    <t>ALS15028</t>
  </si>
  <si>
    <t>张旭浩</t>
  </si>
  <si>
    <t>ALS16867</t>
  </si>
  <si>
    <t>梁利乾</t>
  </si>
  <si>
    <t>ALS15097</t>
  </si>
  <si>
    <r>
      <t>2026/06/13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48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</si>
  <si>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</si>
  <si>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</si>
  <si>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r>
      <t>2024/07/31</t>
    </r>
    <r>
      <rPr>
        <sz val="9"/>
        <color theme="1"/>
        <rFont val="微软雅黑"/>
        <family val="2"/>
        <charset val="134"/>
      </rPr>
      <t>去罐区</t>
    </r>
    <r>
      <rPr>
        <sz val="9"/>
        <color theme="1"/>
        <rFont val="Times New Roman"/>
        <family val="1"/>
      </rPr>
      <t>;2024/09/04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;2025/05/23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48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</si>
  <si>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</si>
  <si>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48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</si>
  <si>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唐广勇；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，已返回</t>
    </r>
    <phoneticPr fontId="48" type="noConversion"/>
  </si>
  <si>
    <t>储龙涵</t>
  </si>
  <si>
    <t>ALS16969</t>
  </si>
  <si>
    <t>周铎</t>
  </si>
  <si>
    <t>ALS17058</t>
  </si>
  <si>
    <t>刘百威</t>
  </si>
  <si>
    <t>ALS17140</t>
  </si>
  <si>
    <t>李硕</t>
  </si>
  <si>
    <t>ALS17098</t>
  </si>
  <si>
    <t>李庆峙</t>
  </si>
  <si>
    <t>ALS16990</t>
  </si>
  <si>
    <t>祁鑫</t>
  </si>
  <si>
    <t>ALS16979</t>
  </si>
  <si>
    <t>庞昭</t>
  </si>
  <si>
    <t>ALS17113</t>
  </si>
  <si>
    <t>13号楼（11号楼委培）</t>
  </si>
  <si>
    <t>13号楼（12号楼委培）</t>
  </si>
  <si>
    <t>ALS12705</t>
  </si>
  <si>
    <t>黄杨洋</t>
    <phoneticPr fontId="9" type="noConversion"/>
  </si>
  <si>
    <t>ALS16855</t>
    <phoneticPr fontId="9" type="noConversion"/>
  </si>
  <si>
    <t>4号楼制备组：皮轶杰</t>
    <phoneticPr fontId="49" type="noConversion"/>
  </si>
  <si>
    <t>13号楼</t>
    <phoneticPr fontId="49" type="noConversion"/>
  </si>
  <si>
    <t>李子凯</t>
    <phoneticPr fontId="49" type="noConversion"/>
  </si>
  <si>
    <t>4号楼制备组“a、b、c”分布情况</t>
    <phoneticPr fontId="9" type="noConversion"/>
  </si>
  <si>
    <t>4号楼制备组</t>
    <phoneticPr fontId="9" type="noConversion"/>
  </si>
  <si>
    <t>ALS13898</t>
    <phoneticPr fontId="48" type="noConversion"/>
  </si>
  <si>
    <t>蔡斯宇</t>
  </si>
  <si>
    <t>ALS17602</t>
  </si>
  <si>
    <t>李文权</t>
  </si>
  <si>
    <t>ALS17605</t>
  </si>
  <si>
    <t>王定静</t>
  </si>
  <si>
    <t>ALS17473</t>
  </si>
  <si>
    <t>李勇</t>
  </si>
  <si>
    <t>ALS17761</t>
  </si>
  <si>
    <t>刘金煌</t>
  </si>
  <si>
    <t>ALS17766</t>
  </si>
  <si>
    <t>ALS17329</t>
    <phoneticPr fontId="48" type="noConversion"/>
  </si>
  <si>
    <t>曹帆</t>
  </si>
  <si>
    <t>ALS17618</t>
  </si>
  <si>
    <t>唐瑞聪</t>
  </si>
  <si>
    <t>ALS17606</t>
  </si>
  <si>
    <t>曹健</t>
  </si>
  <si>
    <t>ALS17758</t>
  </si>
  <si>
    <t>张博</t>
  </si>
  <si>
    <t>ALS17754</t>
  </si>
  <si>
    <t>孟令航</t>
  </si>
  <si>
    <t>ALS17753</t>
  </si>
  <si>
    <t>王朋</t>
  </si>
  <si>
    <t>ALS17411</t>
  </si>
  <si>
    <t>周斌</t>
  </si>
  <si>
    <t>ALS17366</t>
  </si>
  <si>
    <t>柳云昊</t>
  </si>
  <si>
    <t>ALS17368</t>
  </si>
  <si>
    <t>张剑</t>
  </si>
  <si>
    <t>ALS17336</t>
  </si>
  <si>
    <t>王淼</t>
  </si>
  <si>
    <t>ALS17335</t>
  </si>
  <si>
    <t>赵智博</t>
  </si>
  <si>
    <t>ALS17337</t>
  </si>
  <si>
    <t>宋懂林</t>
    <phoneticPr fontId="9" type="noConversion"/>
  </si>
  <si>
    <t>侯佳伟</t>
  </si>
  <si>
    <t>ALS17394</t>
  </si>
  <si>
    <t>段康平</t>
  </si>
  <si>
    <t>ALS17389</t>
  </si>
  <si>
    <t>韩佳宏</t>
  </si>
  <si>
    <t>ALS17393</t>
  </si>
  <si>
    <t>蔡旭泰</t>
  </si>
  <si>
    <t>ALS17387</t>
  </si>
  <si>
    <t>丁成洋</t>
  </si>
  <si>
    <t>ALS17388</t>
  </si>
  <si>
    <t>段苗洁</t>
  </si>
  <si>
    <t>ALS17390</t>
  </si>
  <si>
    <t>付燚豪</t>
  </si>
  <si>
    <t>ALS17392</t>
  </si>
  <si>
    <t>姜喜博</t>
  </si>
  <si>
    <t>ALS17395</t>
  </si>
  <si>
    <t>李成波</t>
  </si>
  <si>
    <t>ALS17357</t>
  </si>
  <si>
    <t>郭嘉豪</t>
  </si>
  <si>
    <t>ALS17474</t>
  </si>
  <si>
    <t>李富先</t>
  </si>
  <si>
    <t>ALS17399</t>
  </si>
  <si>
    <t>王越</t>
  </si>
  <si>
    <t>ALS17333</t>
  </si>
  <si>
    <t>王大朋</t>
  </si>
  <si>
    <t>ALS17930</t>
  </si>
  <si>
    <t>吴跃跃</t>
  </si>
  <si>
    <t>ALS17340</t>
  </si>
  <si>
    <t>高瑞</t>
  </si>
  <si>
    <t>ALS17362</t>
  </si>
  <si>
    <t>王凯璇</t>
  </si>
  <si>
    <t>ALS17585</t>
  </si>
  <si>
    <t>闫振旺</t>
  </si>
  <si>
    <t>ALS17586</t>
  </si>
  <si>
    <t>王仁君</t>
  </si>
  <si>
    <t>ALS17929</t>
  </si>
  <si>
    <t>刘闫硕</t>
  </si>
  <si>
    <t>ALS17772</t>
  </si>
  <si>
    <t>曹博轩</t>
  </si>
  <si>
    <t>ALS17770</t>
  </si>
  <si>
    <t>马靖博</t>
  </si>
  <si>
    <t>ALS17576</t>
  </si>
  <si>
    <t>梁兵</t>
  </si>
  <si>
    <t>ALS17575</t>
  </si>
  <si>
    <t>吴哲</t>
  </si>
  <si>
    <t>ALS17739</t>
  </si>
  <si>
    <t>2026/07/15暂调设备部纯水验证</t>
  </si>
  <si>
    <t>李乐乐</t>
  </si>
  <si>
    <t>ALS17400</t>
  </si>
  <si>
    <t>刘炜堋</t>
  </si>
  <si>
    <t>ALS17403</t>
  </si>
  <si>
    <t>冉洋</t>
  </si>
  <si>
    <t>ALS17382</t>
  </si>
  <si>
    <t>张星宇</t>
  </si>
  <si>
    <t>ALS17448</t>
  </si>
  <si>
    <t>袁浩杰</t>
  </si>
  <si>
    <t>ALS17444</t>
  </si>
  <si>
    <t>杨贺天</t>
  </si>
  <si>
    <t>ALS17441</t>
  </si>
  <si>
    <t>冯帅帅</t>
  </si>
  <si>
    <t>ALS17356</t>
  </si>
  <si>
    <t>张泰</t>
  </si>
  <si>
    <t>ALS17445</t>
  </si>
  <si>
    <t>郭硕</t>
    <phoneticPr fontId="48" type="noConversion"/>
  </si>
  <si>
    <t>师傅 杨欢；2026/05/06调实验室学习制备</t>
    <phoneticPr fontId="48" type="noConversion"/>
  </si>
  <si>
    <t>屈文强</t>
    <phoneticPr fontId="48" type="noConversion"/>
  </si>
  <si>
    <t>师傅 吴秉泽；2026/05/06调实验室学习制备</t>
    <phoneticPr fontId="48" type="noConversion"/>
  </si>
  <si>
    <t>助理工程师</t>
    <phoneticPr fontId="48" type="noConversion"/>
  </si>
  <si>
    <t>刘恩铄</t>
    <phoneticPr fontId="48" type="noConversion"/>
  </si>
  <si>
    <t>师傅 代海鑫；2026/05/06调实验室学习制备</t>
    <phoneticPr fontId="48" type="noConversion"/>
  </si>
  <si>
    <t>操作工</t>
    <phoneticPr fontId="48" type="noConversion"/>
  </si>
  <si>
    <t>孙飞岐</t>
    <phoneticPr fontId="48" type="noConversion"/>
  </si>
  <si>
    <t>暂调生产设备部，支援纯水取样</t>
    <phoneticPr fontId="48" type="noConversion"/>
  </si>
  <si>
    <t>产能利用率</t>
  </si>
  <si>
    <t>安全质量奖基础档位</t>
  </si>
  <si>
    <t>各档位人群部分</t>
  </si>
  <si>
    <t>车间设备使用率低于30%，取消安全质量奖。</t>
  </si>
  <si>
    <t>程帅</t>
  </si>
  <si>
    <t>ALS17522</t>
  </si>
  <si>
    <t>王兴</t>
  </si>
  <si>
    <t>ALS17895</t>
  </si>
  <si>
    <t>李腾博</t>
  </si>
  <si>
    <t>ALS17928</t>
  </si>
  <si>
    <t>毕嘉琪</t>
  </si>
  <si>
    <t>ALS17589</t>
  </si>
  <si>
    <t>徐涛</t>
  </si>
  <si>
    <t>ALS17584</t>
  </si>
  <si>
    <t>邵世文</t>
  </si>
  <si>
    <t>ALS17580</t>
  </si>
  <si>
    <t>孟富鲜</t>
  </si>
  <si>
    <t>ALS17553</t>
  </si>
  <si>
    <t>高鹏</t>
  </si>
  <si>
    <t>ALS17367</t>
  </si>
  <si>
    <t>单滢冉</t>
  </si>
  <si>
    <t>ALS17376</t>
  </si>
  <si>
    <t>伍丞文</t>
  </si>
  <si>
    <t>ALS17581</t>
  </si>
  <si>
    <t>李新颖</t>
  </si>
  <si>
    <t>ALS17379</t>
  </si>
  <si>
    <t>何歆昊</t>
  </si>
  <si>
    <t>ALS17378</t>
  </si>
  <si>
    <t>许广进</t>
  </si>
  <si>
    <t>ALS17413</t>
  </si>
  <si>
    <t>李春龙</t>
  </si>
  <si>
    <t>ALS17677</t>
  </si>
  <si>
    <t>张凯铭</t>
  </si>
  <si>
    <t>ALS17414</t>
  </si>
  <si>
    <t>王林康</t>
  </si>
  <si>
    <t>ALS17410</t>
  </si>
  <si>
    <t>文贵峰</t>
  </si>
  <si>
    <t>ALS17561</t>
  </si>
  <si>
    <t>杨曾铭</t>
  </si>
  <si>
    <t>ALS17741</t>
  </si>
  <si>
    <t>李雨轩</t>
  </si>
  <si>
    <t>ALS17762</t>
  </si>
  <si>
    <t>郭书辉</t>
  </si>
  <si>
    <t>ALS17377</t>
  </si>
  <si>
    <t>吕志超</t>
  </si>
  <si>
    <t>ALS17447</t>
  </si>
  <si>
    <t>龚劲</t>
  </si>
  <si>
    <t>ALS17363</t>
  </si>
  <si>
    <t>冉东宇</t>
  </si>
  <si>
    <t>ALS17626</t>
  </si>
  <si>
    <t>余永生</t>
  </si>
  <si>
    <t>ALS17790</t>
  </si>
  <si>
    <t>曹珈硕</t>
  </si>
  <si>
    <t>ALS17631</t>
  </si>
  <si>
    <t>王新鹏</t>
  </si>
  <si>
    <t>ALS17760</t>
  </si>
  <si>
    <t>韩馥宇</t>
  </si>
  <si>
    <t>ALS17429</t>
  </si>
  <si>
    <t>刘承梁</t>
  </si>
  <si>
    <t>ALS17432</t>
  </si>
  <si>
    <t>ALS17369</t>
  </si>
  <si>
    <t>王树伟</t>
  </si>
  <si>
    <t>ALS17374</t>
  </si>
  <si>
    <t>汤文坚</t>
  </si>
  <si>
    <t>ALS17373</t>
  </si>
  <si>
    <t>陈硕</t>
  </si>
  <si>
    <t>ALS14670</t>
  </si>
  <si>
    <t>李子珑</t>
  </si>
  <si>
    <t>ALS17600</t>
  </si>
  <si>
    <t>苗亚杰</t>
  </si>
  <si>
    <t>ALS17599</t>
  </si>
  <si>
    <t>ALS17391</t>
  </si>
  <si>
    <t>周之来</t>
  </si>
  <si>
    <t>ALS17418</t>
  </si>
  <si>
    <t>唐云朋</t>
  </si>
  <si>
    <t>ALS17623</t>
  </si>
  <si>
    <t>丁洋</t>
  </si>
  <si>
    <t>ALS17428</t>
  </si>
  <si>
    <t>杨生宝</t>
  </si>
  <si>
    <t>ALS17620</t>
  </si>
  <si>
    <t>李铭轩</t>
  </si>
  <si>
    <t>ALS17431</t>
  </si>
  <si>
    <t>田亮</t>
  </si>
  <si>
    <t>ALS17619</t>
  </si>
  <si>
    <t>徐永威</t>
  </si>
  <si>
    <t>ALS17375</t>
  </si>
  <si>
    <t>马锡杰</t>
  </si>
  <si>
    <t>ALS17372</t>
  </si>
  <si>
    <t>唐厚祥</t>
  </si>
  <si>
    <t>ALS17568</t>
  </si>
  <si>
    <t>夏培毅</t>
  </si>
  <si>
    <t>ALS17439</t>
  </si>
  <si>
    <t>李军宝</t>
  </si>
  <si>
    <t>ALS17425</t>
  </si>
  <si>
    <t>田博</t>
  </si>
  <si>
    <t>ALS17385</t>
  </si>
  <si>
    <t>闫津铭</t>
  </si>
  <si>
    <t>ALS17438</t>
  </si>
  <si>
    <t>徐浩楠</t>
  </si>
  <si>
    <t>ALS17437</t>
  </si>
  <si>
    <t>朱义龙</t>
  </si>
  <si>
    <t>ALS17421</t>
  </si>
  <si>
    <t>陈志鸿</t>
  </si>
  <si>
    <t>ALS17422</t>
  </si>
  <si>
    <t>陶嘉俊</t>
  </si>
  <si>
    <t>ALS17423</t>
  </si>
  <si>
    <t>王云龙</t>
  </si>
  <si>
    <t>ALS17435</t>
  </si>
  <si>
    <t>赵骆赫</t>
  </si>
  <si>
    <t>ALS17355</t>
  </si>
  <si>
    <t>税文卓</t>
  </si>
  <si>
    <t>ALS17715</t>
  </si>
  <si>
    <t>李丰江</t>
  </si>
  <si>
    <t>ALS17513</t>
  </si>
  <si>
    <t>陈饶</t>
  </si>
  <si>
    <t>ALS17345</t>
  </si>
  <si>
    <t>罗金宇</t>
  </si>
  <si>
    <t>ALS17750</t>
  </si>
  <si>
    <t>崔恒亮</t>
  </si>
  <si>
    <t>ALS17752</t>
  </si>
  <si>
    <t>杨浩铎</t>
  </si>
  <si>
    <t>ALS17738</t>
  </si>
  <si>
    <t>周天宇</t>
  </si>
  <si>
    <t>ALS17748</t>
  </si>
  <si>
    <t>李连杰</t>
  </si>
  <si>
    <t>ALS17697</t>
  </si>
  <si>
    <t>陈相彤</t>
  </si>
  <si>
    <t>ALS17592</t>
  </si>
  <si>
    <t>张银</t>
  </si>
  <si>
    <t>ALS17778</t>
  </si>
  <si>
    <t>黄强</t>
  </si>
  <si>
    <t>ALS17510</t>
  </si>
  <si>
    <t>孙海亮</t>
  </si>
  <si>
    <t>ALS17339</t>
  </si>
  <si>
    <t>朱童</t>
  </si>
  <si>
    <t>ALS17344</t>
  </si>
  <si>
    <t>徐周</t>
  </si>
  <si>
    <t>ALS17341</t>
  </si>
  <si>
    <t>张零一</t>
  </si>
  <si>
    <t>ALS17342</t>
  </si>
  <si>
    <t>林浪</t>
  </si>
  <si>
    <t>ALS17515</t>
  </si>
  <si>
    <t>李晓硕</t>
  </si>
  <si>
    <t>ALS17794</t>
  </si>
  <si>
    <t>张轩硕</t>
  </si>
  <si>
    <t>ALS17788</t>
  </si>
  <si>
    <t>丁佳伟</t>
  </si>
  <si>
    <t>ALS17617</t>
  </si>
  <si>
    <t>胥赛亚</t>
  </si>
  <si>
    <t>ALS17784</t>
  </si>
  <si>
    <t>张杨涛</t>
  </si>
  <si>
    <t>ALS17791</t>
  </si>
  <si>
    <t>张金祥</t>
  </si>
  <si>
    <t>ALS17785</t>
  </si>
  <si>
    <t>高康博</t>
  </si>
  <si>
    <t>ALS17776</t>
  </si>
  <si>
    <t>黄彬铭</t>
  </si>
  <si>
    <t>ALS17781</t>
  </si>
  <si>
    <t>杨文博</t>
  </si>
  <si>
    <t>ALS17789</t>
  </si>
  <si>
    <t>李宇航</t>
  </si>
  <si>
    <t>ALS17783</t>
  </si>
  <si>
    <t>鲁黎</t>
  </si>
  <si>
    <t>ALS17407</t>
  </si>
  <si>
    <t>张园浩</t>
  </si>
  <si>
    <t>ALS17416</t>
  </si>
  <si>
    <t>陈湖贵</t>
  </si>
  <si>
    <t>ALS17616</t>
  </si>
  <si>
    <t>陈相</t>
  </si>
  <si>
    <t>ALS17787</t>
  </si>
  <si>
    <t>胡李浩</t>
  </si>
  <si>
    <t>ALS17795</t>
  </si>
  <si>
    <t>刘昊东</t>
  </si>
  <si>
    <t>ALS17612</t>
  </si>
  <si>
    <t>侯喜旺</t>
  </si>
  <si>
    <t>ALS17472</t>
  </si>
  <si>
    <t>洛桑次仁</t>
  </si>
  <si>
    <t>ALS17406</t>
  </si>
  <si>
    <t>马金硕</t>
  </si>
  <si>
    <t>ALS17380</t>
  </si>
  <si>
    <t>刘金仓</t>
  </si>
  <si>
    <t>ALS17402</t>
  </si>
  <si>
    <t>荆乐</t>
  </si>
  <si>
    <t>ALS17396</t>
  </si>
  <si>
    <t>任建权</t>
  </si>
  <si>
    <t>ALS17383</t>
  </si>
  <si>
    <t>刘佳兴</t>
  </si>
  <si>
    <t>ALS17401</t>
  </si>
  <si>
    <t>刘泽雨</t>
  </si>
  <si>
    <t>ALS17404</t>
  </si>
  <si>
    <t>宋正阳</t>
  </si>
  <si>
    <t>ALS17384</t>
  </si>
  <si>
    <t>张越</t>
  </si>
  <si>
    <t>ALS17349</t>
  </si>
  <si>
    <t>ALS17350</t>
  </si>
  <si>
    <t>杨锦盛</t>
  </si>
  <si>
    <t>ALS17351</t>
  </si>
  <si>
    <t>张浩宇</t>
  </si>
  <si>
    <t>ALS17352</t>
  </si>
  <si>
    <t>张亚朋</t>
  </si>
  <si>
    <t>ALS17354</t>
  </si>
  <si>
    <t>张书铭</t>
  </si>
  <si>
    <t>ALS17607</t>
  </si>
  <si>
    <t>王创新</t>
  </si>
  <si>
    <t>ALS17755</t>
  </si>
  <si>
    <t>清洗工</t>
  </si>
  <si>
    <t>毛腾</t>
  </si>
  <si>
    <t>ALS17347</t>
  </si>
  <si>
    <t>卜朋军</t>
  </si>
  <si>
    <t>ALS17332</t>
  </si>
  <si>
    <t>卜淇宣</t>
  </si>
  <si>
    <t>ALS17334</t>
  </si>
  <si>
    <t>苏建澳</t>
  </si>
  <si>
    <t>ALS17338</t>
  </si>
  <si>
    <t>华金建</t>
  </si>
  <si>
    <t>ALS17690</t>
  </si>
  <si>
    <t>邵祥升</t>
  </si>
  <si>
    <t>ALS17449</t>
  </si>
  <si>
    <t>赵杭</t>
  </si>
  <si>
    <t>ALS17343</t>
  </si>
  <si>
    <t>石雁妃</t>
  </si>
  <si>
    <t>ALS17615</t>
  </si>
  <si>
    <t>马明星</t>
  </si>
  <si>
    <t>ALS17371</t>
  </si>
  <si>
    <t>李祥杰</t>
  </si>
  <si>
    <t>ALS17331</t>
  </si>
  <si>
    <t>杨震宇</t>
  </si>
  <si>
    <t>ALS17443</t>
  </si>
  <si>
    <t>姜保谞</t>
  </si>
  <si>
    <t>ALS17420</t>
  </si>
  <si>
    <t>王斌</t>
  </si>
  <si>
    <t>ALS17469</t>
  </si>
  <si>
    <t>刘占彪</t>
  </si>
  <si>
    <t>ALS17596</t>
  </si>
  <si>
    <t>徐湘育</t>
  </si>
  <si>
    <t>ALS17621</t>
  </si>
  <si>
    <t>王哲</t>
  </si>
  <si>
    <t>ALS16276</t>
  </si>
  <si>
    <t>刘春航</t>
  </si>
  <si>
    <t>ALS17763</t>
  </si>
  <si>
    <t>尹亚龙</t>
  </si>
  <si>
    <t>ALS17769</t>
  </si>
  <si>
    <t>王鑫</t>
    <phoneticPr fontId="48" type="noConversion"/>
  </si>
  <si>
    <t>杨欢</t>
    <phoneticPr fontId="48" type="noConversion"/>
  </si>
  <si>
    <t>曹睿晟</t>
    <phoneticPr fontId="9" type="noConversion"/>
  </si>
  <si>
    <t>备注</t>
    <phoneticPr fontId="9" type="noConversion"/>
  </si>
  <si>
    <t>保全工</t>
  </si>
  <si>
    <t>副主任</t>
  </si>
  <si>
    <t>张华</t>
  </si>
  <si>
    <t>ALS18404</t>
  </si>
  <si>
    <t>侯长恺</t>
  </si>
  <si>
    <t>ALS18335</t>
  </si>
  <si>
    <t>李程</t>
  </si>
  <si>
    <t>ALS18264</t>
  </si>
  <si>
    <t>黄蕴昭</t>
  </si>
  <si>
    <t>ALS18268</t>
  </si>
  <si>
    <t>高峰</t>
  </si>
  <si>
    <t>ALS18194</t>
  </si>
  <si>
    <t>ALS12615</t>
  </si>
  <si>
    <t>许华明</t>
  </si>
  <si>
    <t>ALS18422</t>
  </si>
  <si>
    <t>5号楼</t>
  </si>
  <si>
    <t>宰德振</t>
  </si>
  <si>
    <t>ALS18269</t>
  </si>
  <si>
    <t>12号楼</t>
  </si>
  <si>
    <t>王杨</t>
  </si>
  <si>
    <t>杨志刚</t>
  </si>
  <si>
    <t>ALS18316</t>
  </si>
  <si>
    <t>卫李恒</t>
  </si>
  <si>
    <t>ALS17981</t>
  </si>
  <si>
    <t>王静</t>
  </si>
  <si>
    <t>ALS18206</t>
  </si>
  <si>
    <t>王涛</t>
  </si>
  <si>
    <t>ALS18322</t>
  </si>
  <si>
    <t>陈庆民</t>
  </si>
  <si>
    <t>ALS18420</t>
  </si>
  <si>
    <t>刘宁</t>
  </si>
  <si>
    <t>ALS18297</t>
  </si>
  <si>
    <t>李志鹏</t>
  </si>
  <si>
    <t>ALS17943</t>
  </si>
  <si>
    <t>张伟超</t>
  </si>
  <si>
    <t>ALS18013</t>
  </si>
  <si>
    <t>赵禹强</t>
  </si>
  <si>
    <t>ALS18153</t>
  </si>
  <si>
    <t>乔春汀</t>
  </si>
  <si>
    <t>ALS18421</t>
  </si>
  <si>
    <t>高雄</t>
  </si>
  <si>
    <t>ALS18129</t>
  </si>
  <si>
    <t>景涛</t>
  </si>
  <si>
    <t>ALS18234</t>
  </si>
  <si>
    <t>李宝强</t>
  </si>
  <si>
    <t>ALS17397</t>
  </si>
  <si>
    <t>李志杰</t>
  </si>
  <si>
    <t>ALS18197</t>
  </si>
  <si>
    <t>颜庭鑫</t>
  </si>
  <si>
    <t>ALS18152</t>
  </si>
  <si>
    <t>梁刚</t>
  </si>
  <si>
    <t>ALS18060</t>
  </si>
  <si>
    <t>杨星淼</t>
  </si>
  <si>
    <t>ALS17993</t>
  </si>
  <si>
    <t>刘富章</t>
  </si>
  <si>
    <t>ALS17992</t>
  </si>
  <si>
    <t>史灿龙</t>
  </si>
  <si>
    <t>ALS17991</t>
  </si>
  <si>
    <t>李军正</t>
  </si>
  <si>
    <t>ALS17990</t>
  </si>
  <si>
    <t>ALS18065</t>
  </si>
  <si>
    <t>陈志为</t>
  </si>
  <si>
    <t>ALS18324</t>
  </si>
  <si>
    <t>杨志奇</t>
  </si>
  <si>
    <t>ALS18049</t>
  </si>
  <si>
    <t>蔡洪烨</t>
  </si>
  <si>
    <t>ALS18047</t>
  </si>
  <si>
    <t>王玉博</t>
  </si>
  <si>
    <t>ALS18070</t>
  </si>
  <si>
    <t>韩国璋</t>
  </si>
  <si>
    <t>ALS18054</t>
  </si>
  <si>
    <t>王志慧</t>
  </si>
  <si>
    <t>ALS18275</t>
  </si>
  <si>
    <t>刘泽宇</t>
  </si>
  <si>
    <t>ALS18336</t>
  </si>
  <si>
    <t>吴繁凯</t>
  </si>
  <si>
    <t>ALS18012</t>
  </si>
  <si>
    <t>李亚鹏</t>
  </si>
  <si>
    <t>ALS18064</t>
  </si>
  <si>
    <t>贾世航</t>
  </si>
  <si>
    <t>ALS18193</t>
  </si>
  <si>
    <t>陆文钰</t>
  </si>
  <si>
    <t>ALS18029</t>
  </si>
  <si>
    <t>刘鹏江</t>
  </si>
  <si>
    <t>ALS18063</t>
  </si>
  <si>
    <t>吕松伟</t>
  </si>
  <si>
    <t>ALS18069</t>
  </si>
  <si>
    <t>周印凯</t>
  </si>
  <si>
    <t>ALS18066</t>
  </si>
  <si>
    <t>张凯亮</t>
  </si>
  <si>
    <t>ALS18154</t>
  </si>
  <si>
    <t>赵佐歆</t>
  </si>
  <si>
    <t>ALS18182</t>
  </si>
  <si>
    <t>陈非</t>
  </si>
  <si>
    <t>ALS18166</t>
  </si>
  <si>
    <t>袁奕</t>
  </si>
  <si>
    <t>ALS18011</t>
  </si>
  <si>
    <t>高金榜</t>
  </si>
  <si>
    <t>ABT0628</t>
  </si>
  <si>
    <t>张朝伟</t>
  </si>
  <si>
    <t>ALS18233</t>
  </si>
  <si>
    <t>王科栋</t>
  </si>
  <si>
    <t>ALS18338</t>
  </si>
  <si>
    <t>刘赤赫</t>
  </si>
  <si>
    <t>ALS17999</t>
  </si>
  <si>
    <t>李丕荣</t>
  </si>
  <si>
    <t>ALS18079</t>
  </si>
  <si>
    <t>臧云飞</t>
  </si>
  <si>
    <t>ALS18042</t>
  </si>
  <si>
    <t>韩家宽</t>
  </si>
  <si>
    <t>ALS18085</t>
  </si>
  <si>
    <t>马成云</t>
  </si>
  <si>
    <t>ALS18087</t>
  </si>
  <si>
    <t>李泽鹏</t>
  </si>
  <si>
    <t>AMM1677</t>
  </si>
  <si>
    <t>杨军</t>
  </si>
  <si>
    <t>AMM4344</t>
  </si>
  <si>
    <t>梁骁宇</t>
  </si>
  <si>
    <t>AMM4321</t>
  </si>
  <si>
    <t>牛鑫</t>
  </si>
  <si>
    <t>AMM0732</t>
  </si>
  <si>
    <t>陈广明</t>
  </si>
  <si>
    <t>AMM0730</t>
  </si>
  <si>
    <t>党明超</t>
  </si>
  <si>
    <t>ALS18046</t>
  </si>
  <si>
    <t>周圣玮</t>
  </si>
  <si>
    <t>ALS18092</t>
  </si>
  <si>
    <t>奚陈钢</t>
  </si>
  <si>
    <t>ALS18043</t>
  </si>
  <si>
    <t>路大淋</t>
  </si>
  <si>
    <t>ALS18038</t>
  </si>
  <si>
    <t>邢赫</t>
  </si>
  <si>
    <t>ALS18036</t>
  </si>
  <si>
    <t>尹政豪</t>
  </si>
  <si>
    <t>ALS18035</t>
  </si>
  <si>
    <t>姜东勇</t>
  </si>
  <si>
    <t>AMM0967</t>
  </si>
  <si>
    <t>李欣彦</t>
  </si>
  <si>
    <t>AMM4723</t>
  </si>
  <si>
    <t>王昊然</t>
  </si>
  <si>
    <t>AMM3741</t>
  </si>
  <si>
    <t>田泽虎</t>
  </si>
  <si>
    <t>AMM0744</t>
  </si>
  <si>
    <t>黄显波</t>
  </si>
  <si>
    <t>AMM4243</t>
  </si>
  <si>
    <t>张亚鹏</t>
  </si>
  <si>
    <t>ALS18037</t>
  </si>
  <si>
    <t>霍高斌</t>
  </si>
  <si>
    <t>ALS18045</t>
  </si>
  <si>
    <t>宋泽华</t>
  </si>
  <si>
    <t>ALS18172</t>
  </si>
  <si>
    <t>经理</t>
  </si>
  <si>
    <t>范启辉</t>
  </si>
  <si>
    <t>ALS18048</t>
  </si>
  <si>
    <t>随云仙</t>
  </si>
  <si>
    <t>ALS18015</t>
  </si>
  <si>
    <t>王天宇</t>
  </si>
  <si>
    <t>ABT0067</t>
  </si>
  <si>
    <t>武科杨</t>
  </si>
  <si>
    <t>ALS18032</t>
  </si>
  <si>
    <t>石飒</t>
  </si>
  <si>
    <t>ALS18033</t>
  </si>
  <si>
    <t>马晓飞</t>
  </si>
  <si>
    <t>ALS18034</t>
  </si>
  <si>
    <t>刘惠源</t>
  </si>
  <si>
    <t>ALS18027</t>
  </si>
  <si>
    <t>王俊坤</t>
  </si>
  <si>
    <t>ALS18023</t>
  </si>
  <si>
    <t>王庆</t>
  </si>
  <si>
    <t>ALS18024</t>
  </si>
  <si>
    <t>张志强</t>
    <phoneticPr fontId="9" type="noConversion"/>
  </si>
  <si>
    <t>王涛</t>
    <phoneticPr fontId="9" type="noConversion"/>
  </si>
  <si>
    <t>万耀蓬</t>
  </si>
  <si>
    <t>ALS17646</t>
  </si>
  <si>
    <t>兰林岳</t>
  </si>
  <si>
    <t>ALS17360</t>
  </si>
  <si>
    <t>徐文博</t>
  </si>
  <si>
    <t>ALS16557</t>
  </si>
  <si>
    <t>13号楼（12号楼CNC区域委培）</t>
  </si>
  <si>
    <t>杨欢</t>
    <phoneticPr fontId="9" type="noConversion"/>
  </si>
  <si>
    <r>
      <rPr>
        <sz val="9"/>
        <color theme="1"/>
        <rFont val="微软雅黑"/>
        <family val="2"/>
        <charset val="134"/>
      </rPr>
      <t>暂调生产设备部，支援纯水取样</t>
    </r>
    <phoneticPr fontId="48" type="noConversion"/>
  </si>
  <si>
    <t>李延龙</t>
    <phoneticPr fontId="49" type="noConversion"/>
  </si>
  <si>
    <t>验证组</t>
  </si>
  <si>
    <t>工程师</t>
    <phoneticPr fontId="48" type="noConversion"/>
  </si>
  <si>
    <t>B</t>
    <phoneticPr fontId="48" type="noConversion"/>
  </si>
  <si>
    <t>09月</t>
    <phoneticPr fontId="9" type="noConversion"/>
  </si>
  <si>
    <t>寡核苷酸厂房1D级区域</t>
  </si>
  <si>
    <t>寡核苷酸厂房1CNC区域</t>
  </si>
  <si>
    <t>寡核苷酸厂房1</t>
  </si>
  <si>
    <t>多肽厂房1CNC区域</t>
  </si>
  <si>
    <t>多肽厂房1D级区域</t>
  </si>
  <si>
    <t>多肽厂房1</t>
  </si>
  <si>
    <t>培训&amp;合规&amp;审计组</t>
  </si>
  <si>
    <t>多肽厂房2CNC区域</t>
  </si>
  <si>
    <t>HP厂房1</t>
  </si>
  <si>
    <t>多肽厂房2D级区域</t>
  </si>
  <si>
    <t>多肽厂房2中试</t>
  </si>
  <si>
    <t>多肽厂房3</t>
  </si>
  <si>
    <t>自控组</t>
  </si>
  <si>
    <t>DCS&amp;仪表组</t>
  </si>
  <si>
    <t>计算机化设备保障组（寡核苷酸厂房1&amp;HP厂房1）</t>
  </si>
  <si>
    <t>计算机化设备保障组（多肽厂房1&amp;多肽厂房2）</t>
  </si>
  <si>
    <t>外围/罐区组</t>
  </si>
  <si>
    <t>环保设备设施组</t>
  </si>
  <si>
    <t>寡核苷酸厂房1（清洗组）</t>
  </si>
  <si>
    <t>多肽厂房1（清洗组）</t>
  </si>
  <si>
    <t>多肽厂房2（清洗组）</t>
  </si>
  <si>
    <t>HP厂房1（清洗组）</t>
  </si>
  <si>
    <t>多肽厂房3（清洗组）</t>
  </si>
  <si>
    <t>4号楼制备组</t>
  </si>
  <si>
    <t>11号楼CNC车间</t>
  </si>
  <si>
    <t>11号楼D级车间</t>
  </si>
  <si>
    <t>DCS</t>
  </si>
  <si>
    <t>计算机化设备保障&amp;验证组</t>
  </si>
  <si>
    <t>培训&amp;合规组</t>
  </si>
  <si>
    <t>外围/罐区/泵房</t>
  </si>
  <si>
    <t>寡核苷酸厂房1制备组</t>
    <phoneticPr fontId="9" type="noConversion"/>
  </si>
  <si>
    <t>多肽厂房1项目组（5104）</t>
    <phoneticPr fontId="9" type="noConversion"/>
  </si>
  <si>
    <t>刘贵祥</t>
    <phoneticPr fontId="48" type="noConversion"/>
  </si>
  <si>
    <t>寡核苷酸厂房1D级区域</t>
    <phoneticPr fontId="9" type="noConversion"/>
  </si>
  <si>
    <t>寡核苷酸厂房1D级区域“a、b、c”分布情况</t>
    <phoneticPr fontId="9" type="noConversion"/>
  </si>
  <si>
    <t>寡核苷酸厂房1CNC区域</t>
    <phoneticPr fontId="9" type="noConversion"/>
  </si>
  <si>
    <t>寡核苷酸厂房1CNC区域“a、b、c”分布情况</t>
    <phoneticPr fontId="9" type="noConversion"/>
  </si>
  <si>
    <t>生产设备部</t>
  </si>
  <si>
    <t>多肽厂房1（安全组）</t>
  </si>
  <si>
    <t>HP厂房1（安全组）</t>
  </si>
  <si>
    <t>多肽厂房2（安全组）</t>
  </si>
  <si>
    <t>多肽厂房3（安全组）</t>
  </si>
  <si>
    <t>多肽厂房1项目组（5104）</t>
  </si>
  <si>
    <t>车间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</si>
</sst>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 * #,##0.00_ ;_ * \-#,##0.00_ ;_ * &quot;-&quot;??_ ;_ @_ "/>
    <numFmt numFmtId="176" formatCode="0%\~"/>
    <numFmt numFmtId="177" formatCode="0.0%"/>
    <numFmt numFmtId="178" formatCode="d"/>
    <numFmt numFmtId="179" formatCode="#,##0.00_ "/>
    <numFmt numFmtId="180" formatCode="&quot;￥&quot;#,##0_);[Red]\(&quot;￥&quot;#,##0\)"/>
    <numFmt numFmtId="181" formatCode="0_);[Red]\(0\)"/>
    <numFmt numFmtId="182" formatCode="&quot;￥&quot;#,##0;&quot;￥&quot;\-#,##0"/>
    <numFmt numFmtId="183" formatCode="yyyy&quot;年&quot;m&quot;月&quot;;@"/>
    <numFmt numFmtId="184" formatCode="0.00_);[Red]\(0.00\)"/>
    <numFmt numFmtId="185" formatCode="[$-804]aaaa;@"/>
    <numFmt numFmtId="186" formatCode="&quot;¥&quot;#,##0_);[Red]\(&quot;¥&quot;#,##0\)"/>
    <numFmt numFmtId="187" formatCode="yyyy/mm/dd"/>
  </numFmts>
  <fonts count="62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仿宋_GB2312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0.5"/>
      <color rgb="FF0000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1"/>
      <color theme="1"/>
      <name val="Arial"/>
      <family val="2"/>
    </font>
    <font>
      <b/>
      <sz val="14"/>
      <name val="Arial"/>
      <family val="2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Times New Roman"/>
      <family val="1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_GB2312"/>
      <family val="3"/>
      <charset val="134"/>
    </font>
    <font>
      <b/>
      <sz val="14"/>
      <name val="仿宋_GB2312"/>
      <family val="3"/>
      <charset val="134"/>
    </font>
    <font>
      <b/>
      <sz val="14"/>
      <color rgb="FFFF0000"/>
      <name val="仿宋_GB2312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仿宋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仿宋"/>
      <family val="3"/>
      <charset val="134"/>
    </font>
    <font>
      <sz val="11"/>
      <color theme="1"/>
      <name val="宋体"/>
      <family val="2"/>
      <scheme val="minor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9"/>
      <color rgb="FF00B0F0"/>
      <name val="微软雅黑"/>
      <family val="2"/>
      <charset val="134"/>
    </font>
    <font>
      <b/>
      <sz val="10"/>
      <color rgb="FFFF00FF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84">
    <xf numFmtId="185" fontId="0" fillId="0" borderId="0"/>
    <xf numFmtId="185" fontId="24" fillId="0" borderId="0">
      <alignment vertical="center"/>
    </xf>
    <xf numFmtId="185" fontId="25" fillId="0" borderId="0"/>
    <xf numFmtId="185" fontId="25" fillId="0" borderId="0"/>
    <xf numFmtId="185" fontId="24" fillId="0" borderId="0">
      <alignment vertical="center"/>
    </xf>
    <xf numFmtId="185" fontId="24" fillId="0" borderId="0"/>
    <xf numFmtId="185" fontId="25" fillId="0" borderId="0">
      <alignment vertical="center"/>
    </xf>
    <xf numFmtId="185" fontId="25" fillId="10" borderId="0" applyNumberFormat="0" applyBorder="0" applyAlignment="0" applyProtection="0">
      <alignment vertical="center"/>
    </xf>
    <xf numFmtId="185" fontId="30" fillId="0" borderId="0"/>
    <xf numFmtId="185" fontId="25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185" fontId="39" fillId="0" borderId="0"/>
    <xf numFmtId="185" fontId="25" fillId="0" borderId="0">
      <alignment vertical="center"/>
    </xf>
    <xf numFmtId="185" fontId="25" fillId="0" borderId="0">
      <alignment vertical="center"/>
    </xf>
    <xf numFmtId="185" fontId="39" fillId="0" borderId="0"/>
    <xf numFmtId="185" fontId="25" fillId="0" borderId="0"/>
    <xf numFmtId="185" fontId="29" fillId="0" borderId="0">
      <alignment vertical="center"/>
    </xf>
    <xf numFmtId="185" fontId="25" fillId="0" borderId="0">
      <alignment vertical="center"/>
    </xf>
    <xf numFmtId="185" fontId="24" fillId="0" borderId="0"/>
    <xf numFmtId="185" fontId="29" fillId="0" borderId="0">
      <alignment vertical="center"/>
    </xf>
    <xf numFmtId="185" fontId="24" fillId="0" borderId="0">
      <alignment vertical="center"/>
    </xf>
    <xf numFmtId="185" fontId="29" fillId="0" borderId="0">
      <alignment vertical="center"/>
    </xf>
    <xf numFmtId="185" fontId="24" fillId="0" borderId="0">
      <alignment vertical="top"/>
    </xf>
    <xf numFmtId="185" fontId="39" fillId="0" borderId="0"/>
    <xf numFmtId="9" fontId="25" fillId="0" borderId="0" applyFont="0" applyFill="0" applyBorder="0" applyAlignment="0" applyProtection="0">
      <alignment vertical="center"/>
    </xf>
    <xf numFmtId="185" fontId="25" fillId="0" borderId="0">
      <alignment vertical="center"/>
    </xf>
    <xf numFmtId="185" fontId="25" fillId="0" borderId="0"/>
    <xf numFmtId="185" fontId="25" fillId="0" borderId="0">
      <alignment vertical="center"/>
    </xf>
    <xf numFmtId="185" fontId="25" fillId="0" borderId="0"/>
    <xf numFmtId="185" fontId="25" fillId="0" borderId="0">
      <alignment vertical="center"/>
    </xf>
    <xf numFmtId="185" fontId="25" fillId="0" borderId="0">
      <alignment vertical="center"/>
    </xf>
    <xf numFmtId="185" fontId="25" fillId="0" borderId="0">
      <alignment vertical="center"/>
    </xf>
    <xf numFmtId="185" fontId="24" fillId="0" borderId="0">
      <alignment vertical="center"/>
    </xf>
    <xf numFmtId="185" fontId="25" fillId="0" borderId="0"/>
    <xf numFmtId="185" fontId="39" fillId="0" borderId="0"/>
    <xf numFmtId="185" fontId="25" fillId="0" borderId="0">
      <alignment vertical="center"/>
    </xf>
    <xf numFmtId="185" fontId="25" fillId="0" borderId="0">
      <alignment vertical="center"/>
    </xf>
    <xf numFmtId="185" fontId="25" fillId="0" borderId="0">
      <alignment vertical="center"/>
    </xf>
    <xf numFmtId="185" fontId="25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43" fontId="39" fillId="0" borderId="0" applyFont="0" applyFill="0" applyBorder="0" applyAlignment="0" applyProtection="0">
      <alignment vertical="center"/>
    </xf>
    <xf numFmtId="185" fontId="24" fillId="0" borderId="0">
      <alignment vertical="center"/>
    </xf>
    <xf numFmtId="185" fontId="25" fillId="0" borderId="0"/>
    <xf numFmtId="185" fontId="25" fillId="0" borderId="0">
      <alignment vertical="center"/>
    </xf>
    <xf numFmtId="185" fontId="25" fillId="0" borderId="0"/>
    <xf numFmtId="185" fontId="25" fillId="0" borderId="0"/>
    <xf numFmtId="185" fontId="25" fillId="0" borderId="0">
      <alignment vertical="center"/>
    </xf>
    <xf numFmtId="185" fontId="25" fillId="0" borderId="0"/>
    <xf numFmtId="185" fontId="39" fillId="0" borderId="0"/>
    <xf numFmtId="185" fontId="25" fillId="0" borderId="0"/>
    <xf numFmtId="185" fontId="24" fillId="0" borderId="0">
      <alignment vertical="center"/>
    </xf>
    <xf numFmtId="185" fontId="29" fillId="0" borderId="0">
      <alignment vertical="center"/>
    </xf>
    <xf numFmtId="185" fontId="39" fillId="0" borderId="0"/>
    <xf numFmtId="185" fontId="39" fillId="0" borderId="0"/>
    <xf numFmtId="185" fontId="29" fillId="0" borderId="0">
      <alignment vertical="center"/>
    </xf>
    <xf numFmtId="185" fontId="39" fillId="0" borderId="0"/>
    <xf numFmtId="185" fontId="24" fillId="0" borderId="0"/>
    <xf numFmtId="185" fontId="25" fillId="0" borderId="0"/>
    <xf numFmtId="185" fontId="25" fillId="0" borderId="0"/>
    <xf numFmtId="185" fontId="39" fillId="0" borderId="0"/>
    <xf numFmtId="185" fontId="39" fillId="0" borderId="0"/>
    <xf numFmtId="185" fontId="25" fillId="0" borderId="0">
      <alignment vertical="center"/>
    </xf>
    <xf numFmtId="185" fontId="25" fillId="0" borderId="0">
      <alignment vertical="center"/>
    </xf>
    <xf numFmtId="185" fontId="39" fillId="0" borderId="0"/>
    <xf numFmtId="185" fontId="39" fillId="0" borderId="0"/>
    <xf numFmtId="185" fontId="39" fillId="0" borderId="0"/>
    <xf numFmtId="185" fontId="39" fillId="0" borderId="0"/>
    <xf numFmtId="185" fontId="25" fillId="0" borderId="0"/>
    <xf numFmtId="185" fontId="24" fillId="0" borderId="0">
      <alignment vertical="top"/>
    </xf>
    <xf numFmtId="185" fontId="24" fillId="0" borderId="0">
      <alignment vertical="center"/>
    </xf>
    <xf numFmtId="185" fontId="39" fillId="0" borderId="0"/>
    <xf numFmtId="185" fontId="25" fillId="0" borderId="0"/>
    <xf numFmtId="185" fontId="25" fillId="0" borderId="0">
      <alignment vertical="center"/>
    </xf>
    <xf numFmtId="185" fontId="39" fillId="0" borderId="0"/>
    <xf numFmtId="185" fontId="25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0" borderId="0">
      <alignment vertical="center"/>
    </xf>
    <xf numFmtId="185" fontId="25" fillId="0" borderId="0">
      <alignment vertical="center"/>
    </xf>
    <xf numFmtId="185" fontId="25" fillId="0" borderId="0">
      <alignment vertical="center"/>
    </xf>
    <xf numFmtId="185" fontId="25" fillId="0" borderId="0">
      <alignment vertical="center"/>
    </xf>
    <xf numFmtId="185" fontId="25" fillId="0" borderId="0">
      <alignment vertical="center"/>
    </xf>
    <xf numFmtId="185" fontId="25" fillId="0" borderId="0"/>
    <xf numFmtId="185" fontId="25" fillId="0" borderId="0">
      <alignment vertical="center"/>
    </xf>
    <xf numFmtId="185" fontId="25" fillId="0" borderId="0"/>
    <xf numFmtId="185" fontId="39" fillId="0" borderId="0"/>
    <xf numFmtId="185" fontId="24" fillId="0" borderId="0"/>
    <xf numFmtId="185" fontId="25" fillId="0" borderId="0">
      <alignment vertical="center"/>
    </xf>
    <xf numFmtId="185" fontId="29" fillId="0" borderId="0">
      <alignment vertical="center"/>
    </xf>
    <xf numFmtId="185" fontId="25" fillId="0" borderId="0"/>
    <xf numFmtId="185" fontId="39" fillId="0" borderId="0"/>
    <xf numFmtId="185" fontId="25" fillId="0" borderId="0">
      <alignment vertical="center"/>
    </xf>
    <xf numFmtId="185" fontId="25" fillId="0" borderId="0">
      <alignment vertical="center"/>
    </xf>
    <xf numFmtId="185" fontId="39" fillId="0" borderId="0"/>
    <xf numFmtId="185" fontId="39" fillId="0" borderId="0"/>
    <xf numFmtId="185" fontId="39" fillId="0" borderId="0"/>
    <xf numFmtId="185" fontId="25" fillId="0" borderId="0">
      <alignment vertical="center"/>
    </xf>
    <xf numFmtId="185" fontId="25" fillId="10" borderId="0" applyNumberFormat="0" applyBorder="0" applyAlignment="0" applyProtection="0">
      <alignment vertical="center"/>
    </xf>
    <xf numFmtId="185" fontId="25" fillId="0" borderId="0">
      <alignment vertical="center"/>
    </xf>
    <xf numFmtId="185" fontId="24" fillId="0" borderId="0">
      <alignment vertical="center"/>
    </xf>
    <xf numFmtId="185" fontId="25" fillId="0" borderId="0"/>
    <xf numFmtId="185" fontId="25" fillId="0" borderId="0"/>
    <xf numFmtId="185" fontId="25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</cellStyleXfs>
  <cellXfs count="297">
    <xf numFmtId="185" fontId="0" fillId="0" borderId="0" xfId="0"/>
    <xf numFmtId="185" fontId="3" fillId="2" borderId="1" xfId="0" applyFont="1" applyFill="1" applyBorder="1" applyAlignment="1">
      <alignment horizontal="center" vertical="center"/>
    </xf>
    <xf numFmtId="185" fontId="4" fillId="5" borderId="1" xfId="0" applyFont="1" applyFill="1" applyBorder="1" applyAlignment="1">
      <alignment horizontal="center" vertical="center"/>
    </xf>
    <xf numFmtId="185" fontId="5" fillId="0" borderId="1" xfId="0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85" fontId="7" fillId="0" borderId="0" xfId="0" applyFont="1" applyAlignment="1">
      <alignment horizontal="left" vertical="center"/>
    </xf>
    <xf numFmtId="185" fontId="8" fillId="0" borderId="0" xfId="0" applyFont="1" applyAlignment="1">
      <alignment horizontal="left" vertical="center"/>
    </xf>
    <xf numFmtId="185" fontId="11" fillId="0" borderId="0" xfId="0" applyFont="1" applyAlignment="1">
      <alignment horizontal="center"/>
    </xf>
    <xf numFmtId="185" fontId="11" fillId="0" borderId="0" xfId="0" applyFont="1"/>
    <xf numFmtId="181" fontId="11" fillId="0" borderId="0" xfId="0" applyNumberFormat="1" applyFont="1"/>
    <xf numFmtId="185" fontId="12" fillId="2" borderId="1" xfId="0" applyFont="1" applyFill="1" applyBorder="1" applyAlignment="1">
      <alignment horizontal="center" vertical="center"/>
    </xf>
    <xf numFmtId="181" fontId="12" fillId="2" borderId="1" xfId="0" applyNumberFormat="1" applyFont="1" applyFill="1" applyBorder="1" applyAlignment="1">
      <alignment horizontal="center" vertical="center"/>
    </xf>
    <xf numFmtId="185" fontId="13" fillId="0" borderId="1" xfId="0" applyFont="1" applyBorder="1" applyAlignment="1">
      <alignment horizontal="center" vertical="center"/>
    </xf>
    <xf numFmtId="185" fontId="14" fillId="0" borderId="1" xfId="0" applyFont="1" applyBorder="1" applyAlignment="1">
      <alignment horizontal="center" vertical="center"/>
    </xf>
    <xf numFmtId="185" fontId="15" fillId="0" borderId="1" xfId="0" applyFont="1" applyFill="1" applyBorder="1" applyAlignment="1">
      <alignment horizontal="center" vertical="center"/>
    </xf>
    <xf numFmtId="185" fontId="15" fillId="0" borderId="1" xfId="0" applyFont="1" applyBorder="1" applyAlignment="1">
      <alignment horizontal="center" vertical="center"/>
    </xf>
    <xf numFmtId="185" fontId="16" fillId="7" borderId="1" xfId="0" applyFont="1" applyFill="1" applyBorder="1" applyAlignment="1">
      <alignment horizontal="center" vertical="center" wrapText="1"/>
    </xf>
    <xf numFmtId="185" fontId="11" fillId="0" borderId="1" xfId="0" applyFont="1" applyBorder="1"/>
    <xf numFmtId="181" fontId="11" fillId="0" borderId="1" xfId="0" applyNumberFormat="1" applyFont="1" applyBorder="1"/>
    <xf numFmtId="185" fontId="17" fillId="3" borderId="1" xfId="0" applyFont="1" applyFill="1" applyBorder="1" applyAlignment="1">
      <alignment horizontal="center" vertical="center" wrapText="1"/>
    </xf>
    <xf numFmtId="185" fontId="18" fillId="2" borderId="15" xfId="0" applyFont="1" applyFill="1" applyBorder="1" applyAlignment="1">
      <alignment vertical="center"/>
    </xf>
    <xf numFmtId="185" fontId="19" fillId="2" borderId="1" xfId="0" applyFont="1" applyFill="1" applyBorder="1" applyAlignment="1">
      <alignment horizontal="center" vertical="center"/>
    </xf>
    <xf numFmtId="185" fontId="20" fillId="0" borderId="1" xfId="0" applyFont="1" applyBorder="1" applyAlignment="1">
      <alignment horizontal="center" vertical="center"/>
    </xf>
    <xf numFmtId="185" fontId="18" fillId="2" borderId="16" xfId="0" applyFont="1" applyFill="1" applyBorder="1" applyAlignment="1">
      <alignment vertical="center"/>
    </xf>
    <xf numFmtId="185" fontId="35" fillId="0" borderId="0" xfId="0" applyFont="1"/>
    <xf numFmtId="185" fontId="35" fillId="0" borderId="0" xfId="0" applyFont="1" applyAlignment="1">
      <alignment vertical="center"/>
    </xf>
    <xf numFmtId="185" fontId="21" fillId="0" borderId="1" xfId="0" applyFont="1" applyFill="1" applyBorder="1" applyAlignment="1">
      <alignment horizontal="center" vertical="center"/>
    </xf>
    <xf numFmtId="185" fontId="36" fillId="0" borderId="0" xfId="0" applyFont="1" applyAlignment="1">
      <alignment horizontal="center" vertical="center"/>
    </xf>
    <xf numFmtId="185" fontId="34" fillId="0" borderId="16" xfId="0" applyFont="1" applyBorder="1" applyAlignment="1">
      <alignment horizontal="center" vertical="center"/>
    </xf>
    <xf numFmtId="185" fontId="35" fillId="0" borderId="16" xfId="0" applyFont="1" applyBorder="1" applyAlignment="1">
      <alignment horizontal="center" vertical="center"/>
    </xf>
    <xf numFmtId="185" fontId="26" fillId="2" borderId="4" xfId="0" applyFont="1" applyFill="1" applyBorder="1" applyAlignment="1">
      <alignment vertical="center"/>
    </xf>
    <xf numFmtId="185" fontId="0" fillId="0" borderId="0" xfId="0" applyAlignment="1">
      <alignment horizontal="left"/>
    </xf>
    <xf numFmtId="185" fontId="0" fillId="0" borderId="0" xfId="0" applyNumberFormat="1"/>
    <xf numFmtId="185" fontId="32" fillId="6" borderId="2" xfId="0" applyFont="1" applyFill="1" applyBorder="1" applyAlignment="1">
      <alignment horizontal="center" vertical="center" wrapText="1"/>
    </xf>
    <xf numFmtId="185" fontId="33" fillId="6" borderId="2" xfId="0" applyFont="1" applyFill="1" applyBorder="1" applyAlignment="1">
      <alignment horizontal="center" vertical="center" wrapText="1"/>
    </xf>
    <xf numFmtId="185" fontId="14" fillId="0" borderId="1" xfId="0" applyFont="1" applyFill="1" applyBorder="1" applyAlignment="1">
      <alignment horizontal="center" vertical="center"/>
    </xf>
    <xf numFmtId="185" fontId="38" fillId="0" borderId="1" xfId="0" applyFont="1" applyFill="1" applyBorder="1" applyAlignment="1">
      <alignment horizontal="center" vertical="center" wrapText="1"/>
    </xf>
    <xf numFmtId="185" fontId="25" fillId="0" borderId="0" xfId="0" applyFont="1" applyAlignment="1">
      <alignment horizontal="left"/>
    </xf>
    <xf numFmtId="185" fontId="38" fillId="0" borderId="1" xfId="0" applyFont="1" applyFill="1" applyBorder="1" applyAlignment="1">
      <alignment horizontal="center" vertical="center"/>
    </xf>
    <xf numFmtId="185" fontId="31" fillId="0" borderId="1" xfId="0" applyFont="1" applyFill="1" applyBorder="1" applyAlignment="1">
      <alignment vertical="center" wrapText="1"/>
    </xf>
    <xf numFmtId="185" fontId="42" fillId="0" borderId="0" xfId="0" applyFont="1"/>
    <xf numFmtId="178" fontId="41" fillId="0" borderId="1" xfId="1" applyNumberFormat="1" applyFont="1" applyFill="1" applyBorder="1" applyAlignment="1">
      <alignment horizontal="center" vertical="center" wrapText="1"/>
    </xf>
    <xf numFmtId="185" fontId="42" fillId="0" borderId="16" xfId="0" applyFont="1" applyFill="1" applyBorder="1" applyAlignment="1">
      <alignment horizontal="center"/>
    </xf>
    <xf numFmtId="185" fontId="42" fillId="0" borderId="1" xfId="0" applyFont="1" applyFill="1" applyBorder="1" applyAlignment="1">
      <alignment horizontal="center"/>
    </xf>
    <xf numFmtId="185" fontId="43" fillId="0" borderId="1" xfId="0" applyFont="1" applyFill="1" applyBorder="1" applyAlignment="1">
      <alignment horizontal="center" vertical="center" wrapText="1"/>
    </xf>
    <xf numFmtId="14" fontId="43" fillId="0" borderId="1" xfId="0" applyNumberFormat="1" applyFont="1" applyFill="1" applyBorder="1" applyAlignment="1">
      <alignment horizontal="center" vertical="center" wrapText="1"/>
    </xf>
    <xf numFmtId="185" fontId="43" fillId="0" borderId="1" xfId="0" applyFont="1" applyFill="1" applyBorder="1" applyAlignment="1">
      <alignment horizontal="center" vertical="center"/>
    </xf>
    <xf numFmtId="14" fontId="43" fillId="0" borderId="1" xfId="0" applyNumberFormat="1" applyFont="1" applyFill="1" applyBorder="1" applyAlignment="1">
      <alignment horizontal="center" vertical="center"/>
    </xf>
    <xf numFmtId="180" fontId="41" fillId="0" borderId="1" xfId="0" applyNumberFormat="1" applyFont="1" applyFill="1" applyBorder="1" applyAlignment="1">
      <alignment horizontal="center" vertical="center"/>
    </xf>
    <xf numFmtId="9" fontId="42" fillId="0" borderId="16" xfId="0" applyNumberFormat="1" applyFont="1" applyFill="1" applyBorder="1" applyAlignment="1">
      <alignment horizontal="center" vertical="center"/>
    </xf>
    <xf numFmtId="185" fontId="42" fillId="0" borderId="0" xfId="0" applyFont="1" applyFill="1"/>
    <xf numFmtId="183" fontId="43" fillId="0" borderId="1" xfId="0" applyNumberFormat="1" applyFont="1" applyFill="1" applyBorder="1" applyAlignment="1">
      <alignment horizontal="center" vertical="center"/>
    </xf>
    <xf numFmtId="185" fontId="42" fillId="0" borderId="0" xfId="0" applyFont="1" applyFill="1" applyAlignment="1">
      <alignment horizontal="center" vertical="center"/>
    </xf>
    <xf numFmtId="14" fontId="43" fillId="12" borderId="1" xfId="0" applyNumberFormat="1" applyFont="1" applyFill="1" applyBorder="1" applyAlignment="1">
      <alignment horizontal="center" vertical="center" wrapText="1"/>
    </xf>
    <xf numFmtId="185" fontId="45" fillId="0" borderId="1" xfId="0" applyNumberFormat="1" applyFont="1" applyFill="1" applyBorder="1" applyAlignment="1" applyProtection="1">
      <alignment horizontal="center" vertical="center"/>
    </xf>
    <xf numFmtId="185" fontId="45" fillId="0" borderId="32" xfId="0" applyNumberFormat="1" applyFont="1" applyFill="1" applyBorder="1" applyAlignment="1" applyProtection="1">
      <alignment horizontal="center" vertical="center"/>
    </xf>
    <xf numFmtId="185" fontId="42" fillId="0" borderId="1" xfId="0" applyFont="1" applyFill="1" applyBorder="1" applyAlignment="1">
      <alignment horizontal="center" vertical="center"/>
    </xf>
    <xf numFmtId="185" fontId="45" fillId="0" borderId="16" xfId="0" applyNumberFormat="1" applyFont="1" applyFill="1" applyBorder="1" applyAlignment="1" applyProtection="1">
      <alignment horizontal="center" vertical="center"/>
    </xf>
    <xf numFmtId="185" fontId="42" fillId="0" borderId="16" xfId="0" applyFont="1" applyFill="1" applyBorder="1" applyAlignment="1">
      <alignment horizontal="center" vertical="center"/>
    </xf>
    <xf numFmtId="9" fontId="42" fillId="0" borderId="1" xfId="0" applyNumberFormat="1" applyFont="1" applyFill="1" applyBorder="1" applyAlignment="1">
      <alignment horizontal="center" vertical="center"/>
    </xf>
    <xf numFmtId="181" fontId="43" fillId="0" borderId="1" xfId="0" applyNumberFormat="1" applyFont="1" applyFill="1" applyBorder="1" applyAlignment="1">
      <alignment horizontal="center" vertical="center" wrapText="1"/>
    </xf>
    <xf numFmtId="185" fontId="43" fillId="0" borderId="0" xfId="0" applyFont="1"/>
    <xf numFmtId="185" fontId="43" fillId="0" borderId="0" xfId="0" applyFont="1" applyFill="1"/>
    <xf numFmtId="181" fontId="42" fillId="0" borderId="16" xfId="0" applyNumberFormat="1" applyFont="1" applyFill="1" applyBorder="1" applyAlignment="1">
      <alignment horizontal="center"/>
    </xf>
    <xf numFmtId="181" fontId="42" fillId="0" borderId="16" xfId="0" applyNumberFormat="1" applyFont="1" applyFill="1" applyBorder="1" applyAlignment="1">
      <alignment horizontal="center" vertical="center"/>
    </xf>
    <xf numFmtId="185" fontId="46" fillId="0" borderId="1" xfId="0" applyFont="1" applyBorder="1" applyAlignment="1">
      <alignment horizontal="center" vertical="center"/>
    </xf>
    <xf numFmtId="185" fontId="47" fillId="0" borderId="0" xfId="0" applyFont="1"/>
    <xf numFmtId="185" fontId="47" fillId="0" borderId="1" xfId="0" applyFont="1" applyBorder="1" applyAlignment="1">
      <alignment horizontal="center" vertical="center"/>
    </xf>
    <xf numFmtId="9" fontId="47" fillId="0" borderId="1" xfId="24" applyFont="1" applyBorder="1" applyAlignment="1">
      <alignment horizontal="center" vertical="center"/>
    </xf>
    <xf numFmtId="181" fontId="47" fillId="0" borderId="0" xfId="0" applyNumberFormat="1" applyFont="1"/>
    <xf numFmtId="185" fontId="47" fillId="3" borderId="1" xfId="0" applyFont="1" applyFill="1" applyBorder="1" applyAlignment="1">
      <alignment horizontal="center" vertical="center"/>
    </xf>
    <xf numFmtId="182" fontId="41" fillId="0" borderId="1" xfId="0" applyNumberFormat="1" applyFont="1" applyFill="1" applyBorder="1" applyAlignment="1">
      <alignment horizontal="center" vertical="center"/>
    </xf>
    <xf numFmtId="185" fontId="43" fillId="13" borderId="1" xfId="0" applyFont="1" applyFill="1" applyBorder="1" applyAlignment="1">
      <alignment horizontal="center" vertical="center"/>
    </xf>
    <xf numFmtId="183" fontId="43" fillId="13" borderId="1" xfId="0" applyNumberFormat="1" applyFont="1" applyFill="1" applyBorder="1" applyAlignment="1">
      <alignment horizontal="center" vertical="center"/>
    </xf>
    <xf numFmtId="14" fontId="43" fillId="13" borderId="1" xfId="0" applyNumberFormat="1" applyFont="1" applyFill="1" applyBorder="1" applyAlignment="1">
      <alignment horizontal="center" vertical="center" wrapText="1"/>
    </xf>
    <xf numFmtId="185" fontId="42" fillId="14" borderId="0" xfId="0" applyFont="1" applyFill="1"/>
    <xf numFmtId="182" fontId="41" fillId="14" borderId="1" xfId="0" applyNumberFormat="1" applyFont="1" applyFill="1" applyBorder="1" applyAlignment="1">
      <alignment horizontal="center" vertical="center"/>
    </xf>
    <xf numFmtId="14" fontId="43" fillId="13" borderId="1" xfId="0" applyNumberFormat="1" applyFont="1" applyFill="1" applyBorder="1" applyAlignment="1">
      <alignment horizontal="center" vertical="center"/>
    </xf>
    <xf numFmtId="185" fontId="0" fillId="0" borderId="1" xfId="0" applyBorder="1"/>
    <xf numFmtId="185" fontId="25" fillId="0" borderId="1" xfId="0" applyFont="1" applyBorder="1"/>
    <xf numFmtId="185" fontId="0" fillId="0" borderId="1" xfId="0" applyFont="1" applyFill="1" applyBorder="1"/>
    <xf numFmtId="185" fontId="43" fillId="0" borderId="16" xfId="0" applyFont="1" applyFill="1" applyBorder="1" applyAlignment="1">
      <alignment horizontal="center"/>
    </xf>
    <xf numFmtId="185" fontId="43" fillId="0" borderId="1" xfId="0" applyFont="1" applyFill="1" applyBorder="1" applyAlignment="1">
      <alignment horizontal="center"/>
    </xf>
    <xf numFmtId="185" fontId="25" fillId="0" borderId="1" xfId="0" applyFont="1" applyFill="1" applyBorder="1"/>
    <xf numFmtId="14" fontId="22" fillId="0" borderId="1" xfId="0" applyNumberFormat="1" applyFont="1" applyFill="1" applyBorder="1" applyAlignment="1">
      <alignment horizontal="center" vertical="center"/>
    </xf>
    <xf numFmtId="185" fontId="22" fillId="0" borderId="1" xfId="0" applyFont="1" applyFill="1" applyBorder="1" applyAlignment="1">
      <alignment horizontal="center" vertical="center"/>
    </xf>
    <xf numFmtId="185" fontId="43" fillId="0" borderId="0" xfId="0" applyFont="1" applyFill="1" applyAlignment="1">
      <alignment horizontal="left" vertical="center"/>
    </xf>
    <xf numFmtId="185" fontId="42" fillId="13" borderId="0" xfId="0" applyFont="1" applyFill="1" applyAlignment="1">
      <alignment horizontal="left"/>
    </xf>
    <xf numFmtId="185" fontId="43" fillId="0" borderId="32" xfId="0" applyFont="1" applyFill="1" applyBorder="1" applyAlignment="1" applyProtection="1">
      <alignment horizontal="center" vertical="center"/>
    </xf>
    <xf numFmtId="185" fontId="43" fillId="0" borderId="1" xfId="0" applyFont="1" applyFill="1" applyBorder="1" applyAlignment="1" applyProtection="1">
      <alignment horizontal="center" vertical="center"/>
    </xf>
    <xf numFmtId="185" fontId="43" fillId="0" borderId="34" xfId="0" applyFont="1" applyFill="1" applyBorder="1" applyAlignment="1" applyProtection="1">
      <alignment horizontal="center" vertical="center"/>
    </xf>
    <xf numFmtId="185" fontId="43" fillId="0" borderId="35" xfId="0" applyFont="1" applyFill="1" applyBorder="1" applyAlignment="1" applyProtection="1">
      <alignment horizontal="center" vertical="center"/>
    </xf>
    <xf numFmtId="185" fontId="45" fillId="0" borderId="33" xfId="0" applyNumberFormat="1" applyFont="1" applyFill="1" applyBorder="1" applyAlignment="1" applyProtection="1">
      <alignment horizontal="center" vertical="center"/>
    </xf>
    <xf numFmtId="180" fontId="45" fillId="0" borderId="0" xfId="0" applyNumberFormat="1" applyFont="1" applyFill="1" applyAlignment="1">
      <alignment horizontal="center" vertical="center"/>
    </xf>
    <xf numFmtId="180" fontId="43" fillId="14" borderId="0" xfId="0" applyNumberFormat="1" applyFont="1" applyFill="1" applyAlignment="1">
      <alignment horizontal="center" vertical="center"/>
    </xf>
    <xf numFmtId="185" fontId="43" fillId="14" borderId="0" xfId="0" applyFont="1" applyFill="1" applyAlignment="1">
      <alignment horizontal="center" vertical="center"/>
    </xf>
    <xf numFmtId="185" fontId="43" fillId="0" borderId="0" xfId="0" applyFont="1" applyFill="1" applyAlignment="1">
      <alignment horizontal="center" vertical="center"/>
    </xf>
    <xf numFmtId="185" fontId="44" fillId="0" borderId="1" xfId="0" applyFont="1" applyFill="1" applyBorder="1" applyAlignment="1">
      <alignment horizontal="center" vertical="center"/>
    </xf>
    <xf numFmtId="185" fontId="0" fillId="0" borderId="1" xfId="0" applyFill="1" applyBorder="1"/>
    <xf numFmtId="185" fontId="42" fillId="0" borderId="1" xfId="0" applyFont="1" applyFill="1" applyBorder="1" applyAlignment="1">
      <alignment horizontal="center" vertical="center"/>
    </xf>
    <xf numFmtId="185" fontId="42" fillId="0" borderId="16" xfId="0" applyFont="1" applyFill="1" applyBorder="1" applyAlignment="1">
      <alignment horizontal="center"/>
    </xf>
    <xf numFmtId="185" fontId="42" fillId="0" borderId="1" xfId="0" applyFont="1" applyFill="1" applyBorder="1" applyAlignment="1">
      <alignment horizontal="center"/>
    </xf>
    <xf numFmtId="185" fontId="45" fillId="0" borderId="32" xfId="0" applyNumberFormat="1" applyFont="1" applyFill="1" applyBorder="1" applyAlignment="1" applyProtection="1">
      <alignment horizontal="left" vertical="center"/>
    </xf>
    <xf numFmtId="14" fontId="43" fillId="3" borderId="1" xfId="0" applyNumberFormat="1" applyFont="1" applyFill="1" applyBorder="1" applyAlignment="1">
      <alignment horizontal="center" vertical="center"/>
    </xf>
    <xf numFmtId="185" fontId="44" fillId="0" borderId="0" xfId="0" applyFont="1"/>
    <xf numFmtId="185" fontId="52" fillId="5" borderId="1" xfId="0" applyFont="1" applyFill="1" applyBorder="1" applyAlignment="1">
      <alignment horizontal="center" vertical="center"/>
    </xf>
    <xf numFmtId="185" fontId="53" fillId="5" borderId="1" xfId="0" applyFont="1" applyFill="1" applyBorder="1" applyAlignment="1">
      <alignment horizontal="center" vertical="center"/>
    </xf>
    <xf numFmtId="184" fontId="52" fillId="4" borderId="1" xfId="0" applyNumberFormat="1" applyFont="1" applyFill="1" applyBorder="1" applyAlignment="1">
      <alignment horizontal="center" vertical="center" wrapText="1"/>
    </xf>
    <xf numFmtId="185" fontId="52" fillId="5" borderId="1" xfId="0" applyFont="1" applyFill="1" applyBorder="1" applyAlignment="1">
      <alignment horizontal="center" vertical="center" wrapText="1"/>
    </xf>
    <xf numFmtId="186" fontId="52" fillId="5" borderId="1" xfId="0" applyNumberFormat="1" applyFont="1" applyFill="1" applyBorder="1" applyAlignment="1">
      <alignment horizontal="center" vertical="center" wrapText="1"/>
    </xf>
    <xf numFmtId="185" fontId="52" fillId="3" borderId="1" xfId="0" applyFont="1" applyFill="1" applyBorder="1" applyAlignment="1">
      <alignment horizontal="center" vertical="center" wrapText="1"/>
    </xf>
    <xf numFmtId="185" fontId="53" fillId="3" borderId="1" xfId="0" applyFont="1" applyFill="1" applyBorder="1" applyAlignment="1">
      <alignment horizontal="center" vertical="center" wrapText="1"/>
    </xf>
    <xf numFmtId="184" fontId="41" fillId="4" borderId="1" xfId="0" applyNumberFormat="1" applyFont="1" applyFill="1" applyBorder="1" applyAlignment="1">
      <alignment horizontal="center" vertical="center" wrapText="1"/>
    </xf>
    <xf numFmtId="182" fontId="54" fillId="0" borderId="1" xfId="0" applyNumberFormat="1" applyFont="1" applyFill="1" applyBorder="1" applyAlignment="1">
      <alignment horizontal="center" vertical="center"/>
    </xf>
    <xf numFmtId="182" fontId="44" fillId="0" borderId="1" xfId="0" applyNumberFormat="1" applyFont="1" applyFill="1" applyBorder="1" applyAlignment="1">
      <alignment horizontal="center" vertical="center"/>
    </xf>
    <xf numFmtId="9" fontId="43" fillId="0" borderId="1" xfId="0" applyNumberFormat="1" applyFont="1" applyFill="1" applyBorder="1" applyAlignment="1">
      <alignment horizontal="center" vertical="center" wrapText="1"/>
    </xf>
    <xf numFmtId="186" fontId="55" fillId="0" borderId="1" xfId="0" applyNumberFormat="1" applyFont="1" applyFill="1" applyBorder="1" applyAlignment="1">
      <alignment horizontal="center" vertical="center"/>
    </xf>
    <xf numFmtId="185" fontId="56" fillId="3" borderId="1" xfId="0" applyFont="1" applyFill="1" applyBorder="1" applyAlignment="1">
      <alignment horizontal="center" vertical="center"/>
    </xf>
    <xf numFmtId="185" fontId="47" fillId="0" borderId="1" xfId="0" applyFont="1" applyBorder="1" applyAlignment="1">
      <alignment horizontal="left"/>
    </xf>
    <xf numFmtId="177" fontId="47" fillId="0" borderId="0" xfId="10" applyNumberFormat="1" applyFont="1" applyAlignment="1"/>
    <xf numFmtId="185" fontId="42" fillId="0" borderId="1" xfId="0" applyFont="1" applyFill="1" applyBorder="1" applyAlignment="1">
      <alignment horizontal="left" vertical="center"/>
    </xf>
    <xf numFmtId="185" fontId="43" fillId="7" borderId="1" xfId="0" applyFont="1" applyFill="1" applyBorder="1" applyAlignment="1">
      <alignment horizontal="center" vertical="center"/>
    </xf>
    <xf numFmtId="185" fontId="42" fillId="13" borderId="1" xfId="0" applyFont="1" applyFill="1" applyBorder="1" applyAlignment="1">
      <alignment horizontal="left" vertical="center"/>
    </xf>
    <xf numFmtId="14" fontId="43" fillId="7" borderId="1" xfId="0" applyNumberFormat="1" applyFont="1" applyFill="1" applyBorder="1" applyAlignment="1">
      <alignment horizontal="center" vertical="center"/>
    </xf>
    <xf numFmtId="10" fontId="42" fillId="0" borderId="5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10" fontId="42" fillId="0" borderId="1" xfId="0" applyNumberFormat="1" applyFont="1" applyFill="1" applyBorder="1" applyAlignment="1">
      <alignment horizontal="center" vertical="center" wrapText="1"/>
    </xf>
    <xf numFmtId="184" fontId="42" fillId="0" borderId="1" xfId="0" applyNumberFormat="1" applyFont="1" applyFill="1" applyBorder="1" applyAlignment="1">
      <alignment horizontal="center" vertical="center" wrapText="1"/>
    </xf>
    <xf numFmtId="177" fontId="42" fillId="0" borderId="1" xfId="0" applyNumberFormat="1" applyFont="1" applyFill="1" applyBorder="1" applyAlignment="1">
      <alignment horizontal="center" vertical="center"/>
    </xf>
    <xf numFmtId="184" fontId="42" fillId="0" borderId="1" xfId="0" applyNumberFormat="1" applyFont="1" applyFill="1" applyBorder="1" applyAlignment="1">
      <alignment horizontal="center" vertical="center"/>
    </xf>
    <xf numFmtId="182" fontId="42" fillId="0" borderId="1" xfId="0" applyNumberFormat="1" applyFont="1" applyFill="1" applyBorder="1" applyAlignment="1">
      <alignment horizontal="center" vertical="center"/>
    </xf>
    <xf numFmtId="185" fontId="57" fillId="0" borderId="0" xfId="0" applyFont="1"/>
    <xf numFmtId="185" fontId="57" fillId="3" borderId="0" xfId="0" applyFont="1" applyFill="1" applyAlignment="1">
      <alignment horizontal="center"/>
    </xf>
    <xf numFmtId="184" fontId="47" fillId="3" borderId="0" xfId="0" applyNumberFormat="1" applyFont="1" applyFill="1" applyAlignment="1">
      <alignment horizontal="center" vertical="center"/>
    </xf>
    <xf numFmtId="182" fontId="47" fillId="3" borderId="0" xfId="0" applyNumberFormat="1" applyFont="1" applyFill="1" applyAlignment="1">
      <alignment horizontal="center" vertical="center"/>
    </xf>
    <xf numFmtId="186" fontId="47" fillId="3" borderId="0" xfId="0" applyNumberFormat="1" applyFont="1" applyFill="1" applyAlignment="1">
      <alignment horizontal="center" vertical="center"/>
    </xf>
    <xf numFmtId="182" fontId="57" fillId="3" borderId="0" xfId="0" applyNumberFormat="1" applyFont="1" applyFill="1" applyAlignment="1">
      <alignment horizontal="center" vertical="center"/>
    </xf>
    <xf numFmtId="179" fontId="47" fillId="3" borderId="0" xfId="0" applyNumberFormat="1" applyFont="1" applyFill="1" applyAlignment="1">
      <alignment horizontal="center" vertical="center"/>
    </xf>
    <xf numFmtId="9" fontId="47" fillId="3" borderId="0" xfId="10" applyNumberFormat="1" applyFont="1" applyFill="1" applyAlignment="1">
      <alignment horizontal="center" vertical="center"/>
    </xf>
    <xf numFmtId="185" fontId="47" fillId="0" borderId="0" xfId="0" applyFont="1" applyAlignment="1">
      <alignment horizontal="left"/>
    </xf>
    <xf numFmtId="184" fontId="47" fillId="0" borderId="0" xfId="0" applyNumberFormat="1" applyFont="1" applyAlignment="1">
      <alignment horizontal="center" vertical="center"/>
    </xf>
    <xf numFmtId="182" fontId="47" fillId="0" borderId="0" xfId="0" applyNumberFormat="1" applyFont="1" applyAlignment="1">
      <alignment horizontal="center" vertical="center"/>
    </xf>
    <xf numFmtId="185" fontId="47" fillId="0" borderId="0" xfId="0" applyFont="1" applyAlignment="1">
      <alignment horizontal="center" vertical="center"/>
    </xf>
    <xf numFmtId="186" fontId="47" fillId="0" borderId="0" xfId="0" applyNumberFormat="1" applyFont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9" fontId="47" fillId="0" borderId="0" xfId="10" applyFont="1" applyAlignment="1">
      <alignment horizontal="center" vertical="center"/>
    </xf>
    <xf numFmtId="185" fontId="42" fillId="9" borderId="24" xfId="0" applyFont="1" applyFill="1" applyBorder="1" applyAlignment="1">
      <alignment horizontal="center" vertical="center"/>
    </xf>
    <xf numFmtId="185" fontId="43" fillId="9" borderId="25" xfId="0" applyFont="1" applyFill="1" applyBorder="1" applyAlignment="1">
      <alignment horizontal="center" vertical="center"/>
    </xf>
    <xf numFmtId="185" fontId="45" fillId="9" borderId="17" xfId="0" applyFont="1" applyFill="1" applyBorder="1" applyAlignment="1">
      <alignment horizontal="center" vertical="center"/>
    </xf>
    <xf numFmtId="176" fontId="42" fillId="0" borderId="18" xfId="0" applyNumberFormat="1" applyFont="1" applyFill="1" applyBorder="1" applyAlignment="1">
      <alignment horizontal="right" vertical="center"/>
    </xf>
    <xf numFmtId="9" fontId="43" fillId="0" borderId="16" xfId="0" applyNumberFormat="1" applyFont="1" applyFill="1" applyBorder="1" applyAlignment="1">
      <alignment horizontal="left" vertical="center"/>
    </xf>
    <xf numFmtId="185" fontId="43" fillId="0" borderId="19" xfId="0" applyFont="1" applyBorder="1" applyAlignment="1">
      <alignment horizontal="center" vertical="center"/>
    </xf>
    <xf numFmtId="186" fontId="47" fillId="0" borderId="0" xfId="0" applyNumberFormat="1" applyFont="1"/>
    <xf numFmtId="185" fontId="43" fillId="0" borderId="20" xfId="0" applyFont="1" applyBorder="1" applyAlignment="1">
      <alignment horizontal="center" vertical="center"/>
    </xf>
    <xf numFmtId="176" fontId="42" fillId="0" borderId="21" xfId="0" applyNumberFormat="1" applyFont="1" applyFill="1" applyBorder="1" applyAlignment="1">
      <alignment horizontal="right" vertical="center"/>
    </xf>
    <xf numFmtId="9" fontId="43" fillId="0" borderId="22" xfId="0" applyNumberFormat="1" applyFont="1" applyFill="1" applyBorder="1" applyAlignment="1">
      <alignment horizontal="left" vertical="center"/>
    </xf>
    <xf numFmtId="185" fontId="43" fillId="0" borderId="23" xfId="0" applyFont="1" applyBorder="1" applyAlignment="1">
      <alignment horizontal="center" vertical="center"/>
    </xf>
    <xf numFmtId="185" fontId="42" fillId="0" borderId="24" xfId="0" applyFont="1" applyBorder="1" applyAlignment="1">
      <alignment horizontal="center" vertical="center"/>
    </xf>
    <xf numFmtId="185" fontId="43" fillId="0" borderId="25" xfId="0" applyFont="1" applyBorder="1" applyAlignment="1">
      <alignment horizontal="center" vertical="center"/>
    </xf>
    <xf numFmtId="185" fontId="43" fillId="0" borderId="26" xfId="0" applyFont="1" applyBorder="1" applyAlignment="1">
      <alignment horizontal="center" vertical="center"/>
    </xf>
    <xf numFmtId="184" fontId="42" fillId="0" borderId="25" xfId="0" applyNumberFormat="1" applyFont="1" applyBorder="1" applyAlignment="1">
      <alignment horizontal="center" vertical="center"/>
    </xf>
    <xf numFmtId="184" fontId="42" fillId="0" borderId="21" xfId="0" applyNumberFormat="1" applyFont="1" applyBorder="1" applyAlignment="1">
      <alignment horizontal="center" vertical="center"/>
    </xf>
    <xf numFmtId="184" fontId="43" fillId="0" borderId="22" xfId="0" applyNumberFormat="1" applyFont="1" applyBorder="1" applyAlignment="1">
      <alignment horizontal="center" vertical="center"/>
    </xf>
    <xf numFmtId="184" fontId="43" fillId="0" borderId="27" xfId="0" applyNumberFormat="1" applyFont="1" applyBorder="1" applyAlignment="1">
      <alignment horizontal="center" vertical="center"/>
    </xf>
    <xf numFmtId="184" fontId="42" fillId="0" borderId="22" xfId="0" applyNumberFormat="1" applyFont="1" applyBorder="1" applyAlignment="1">
      <alignment horizontal="center" vertical="center"/>
    </xf>
    <xf numFmtId="185" fontId="42" fillId="0" borderId="6" xfId="0" applyFont="1" applyFill="1" applyBorder="1" applyAlignment="1">
      <alignment vertical="center" wrapText="1"/>
    </xf>
    <xf numFmtId="185" fontId="41" fillId="0" borderId="7" xfId="0" applyFont="1" applyFill="1" applyBorder="1" applyAlignment="1">
      <alignment horizontal="center" vertical="center"/>
    </xf>
    <xf numFmtId="185" fontId="42" fillId="0" borderId="5" xfId="0" applyFont="1" applyFill="1" applyBorder="1" applyAlignment="1">
      <alignment vertical="center" wrapText="1"/>
    </xf>
    <xf numFmtId="185" fontId="41" fillId="0" borderId="8" xfId="0" applyFont="1" applyFill="1" applyBorder="1" applyAlignment="1">
      <alignment horizontal="center" vertical="center"/>
    </xf>
    <xf numFmtId="185" fontId="41" fillId="0" borderId="9" xfId="0" applyFont="1" applyFill="1" applyBorder="1" applyAlignment="1">
      <alignment horizontal="center" vertical="center"/>
    </xf>
    <xf numFmtId="185" fontId="41" fillId="0" borderId="13" xfId="0" applyFont="1" applyFill="1" applyBorder="1" applyAlignment="1">
      <alignment horizontal="center" vertical="center"/>
    </xf>
    <xf numFmtId="9" fontId="43" fillId="0" borderId="8" xfId="0" applyNumberFormat="1" applyFont="1" applyFill="1" applyBorder="1" applyAlignment="1">
      <alignment horizontal="center" vertical="center"/>
    </xf>
    <xf numFmtId="9" fontId="43" fillId="0" borderId="9" xfId="0" applyNumberFormat="1" applyFont="1" applyFill="1" applyBorder="1" applyAlignment="1">
      <alignment horizontal="center" vertical="center"/>
    </xf>
    <xf numFmtId="9" fontId="43" fillId="0" borderId="13" xfId="0" applyNumberFormat="1" applyFont="1" applyFill="1" applyBorder="1" applyAlignment="1">
      <alignment horizontal="center" vertical="center"/>
    </xf>
    <xf numFmtId="185" fontId="42" fillId="0" borderId="10" xfId="0" applyFont="1" applyFill="1" applyBorder="1" applyAlignment="1">
      <alignment horizontal="center" vertical="center"/>
    </xf>
    <xf numFmtId="9" fontId="43" fillId="0" borderId="11" xfId="0" applyNumberFormat="1" applyFont="1" applyFill="1" applyBorder="1" applyAlignment="1">
      <alignment horizontal="center" vertical="center"/>
    </xf>
    <xf numFmtId="9" fontId="43" fillId="0" borderId="12" xfId="0" applyNumberFormat="1" applyFont="1" applyFill="1" applyBorder="1" applyAlignment="1">
      <alignment horizontal="center" vertical="center"/>
    </xf>
    <xf numFmtId="9" fontId="43" fillId="0" borderId="14" xfId="0" applyNumberFormat="1" applyFont="1" applyFill="1" applyBorder="1" applyAlignment="1">
      <alignment horizontal="center" vertical="center"/>
    </xf>
    <xf numFmtId="184" fontId="47" fillId="0" borderId="0" xfId="0" applyNumberFormat="1" applyFont="1"/>
    <xf numFmtId="185" fontId="57" fillId="0" borderId="0" xfId="0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185" fontId="44" fillId="0" borderId="0" xfId="0" applyFont="1" applyFill="1"/>
    <xf numFmtId="9" fontId="42" fillId="0" borderId="0" xfId="0" applyNumberFormat="1" applyFont="1" applyFill="1" applyBorder="1" applyAlignment="1">
      <alignment horizontal="center" vertical="center"/>
    </xf>
    <xf numFmtId="185" fontId="0" fillId="3" borderId="1" xfId="0" applyFill="1" applyBorder="1"/>
    <xf numFmtId="185" fontId="50" fillId="3" borderId="1" xfId="0" applyFont="1" applyFill="1" applyBorder="1"/>
    <xf numFmtId="185" fontId="25" fillId="3" borderId="1" xfId="0" applyFont="1" applyFill="1" applyBorder="1"/>
    <xf numFmtId="185" fontId="42" fillId="0" borderId="16" xfId="0" applyFont="1" applyFill="1" applyBorder="1" applyAlignment="1">
      <alignment horizontal="center" vertical="center"/>
    </xf>
    <xf numFmtId="185" fontId="43" fillId="0" borderId="36" xfId="0" applyFont="1" applyFill="1" applyBorder="1" applyAlignment="1" applyProtection="1">
      <alignment horizontal="center" vertical="center"/>
    </xf>
    <xf numFmtId="185" fontId="45" fillId="0" borderId="36" xfId="0" applyNumberFormat="1" applyFont="1" applyFill="1" applyBorder="1" applyAlignment="1" applyProtection="1">
      <alignment horizontal="center" vertical="center"/>
    </xf>
    <xf numFmtId="185" fontId="45" fillId="0" borderId="4" xfId="0" applyNumberFormat="1" applyFont="1" applyFill="1" applyBorder="1" applyAlignment="1" applyProtection="1">
      <alignment horizontal="center" vertical="center"/>
    </xf>
    <xf numFmtId="185" fontId="43" fillId="0" borderId="4" xfId="0" applyFont="1" applyFill="1" applyBorder="1" applyAlignment="1">
      <alignment horizontal="center" vertical="center"/>
    </xf>
    <xf numFmtId="185" fontId="43" fillId="0" borderId="4" xfId="0" applyFont="1" applyFill="1" applyBorder="1" applyAlignment="1" applyProtection="1">
      <alignment horizontal="center" vertical="center"/>
    </xf>
    <xf numFmtId="185" fontId="2" fillId="0" borderId="16" xfId="0" applyFont="1" applyFill="1" applyBorder="1" applyAlignment="1">
      <alignment horizontal="left" vertical="center"/>
    </xf>
    <xf numFmtId="185" fontId="2" fillId="0" borderId="16" xfId="0" quotePrefix="1" applyFont="1" applyFill="1" applyBorder="1" applyAlignment="1">
      <alignment horizontal="left" vertical="center"/>
    </xf>
    <xf numFmtId="185" fontId="2" fillId="0" borderId="16" xfId="0" applyFont="1" applyFill="1" applyBorder="1" applyAlignment="1">
      <alignment horizontal="center" vertical="center"/>
    </xf>
    <xf numFmtId="187" fontId="22" fillId="0" borderId="16" xfId="0" applyNumberFormat="1" applyFont="1" applyFill="1" applyBorder="1" applyAlignment="1">
      <alignment horizontal="left" vertical="center"/>
    </xf>
    <xf numFmtId="185" fontId="2" fillId="0" borderId="16" xfId="0" quotePrefix="1" applyFont="1" applyFill="1" applyBorder="1" applyAlignment="1">
      <alignment horizontal="center" vertical="center"/>
    </xf>
    <xf numFmtId="187" fontId="22" fillId="0" borderId="16" xfId="0" applyNumberFormat="1" applyFont="1" applyFill="1" applyBorder="1" applyAlignment="1">
      <alignment horizontal="center" vertical="center"/>
    </xf>
    <xf numFmtId="10" fontId="42" fillId="0" borderId="5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185" fontId="60" fillId="0" borderId="1" xfId="0" applyFont="1" applyFill="1" applyBorder="1" applyAlignment="1">
      <alignment horizontal="center" vertical="center"/>
    </xf>
    <xf numFmtId="14" fontId="60" fillId="0" borderId="1" xfId="0" applyNumberFormat="1" applyFont="1" applyFill="1" applyBorder="1" applyAlignment="1">
      <alignment horizontal="center" vertical="center" wrapText="1"/>
    </xf>
    <xf numFmtId="14" fontId="60" fillId="0" borderId="1" xfId="0" applyNumberFormat="1" applyFont="1" applyFill="1" applyBorder="1" applyAlignment="1">
      <alignment horizontal="center" vertical="center"/>
    </xf>
    <xf numFmtId="185" fontId="60" fillId="0" borderId="1" xfId="0" applyFont="1" applyFill="1" applyBorder="1" applyAlignment="1">
      <alignment horizontal="center" vertical="center" wrapText="1"/>
    </xf>
    <xf numFmtId="183" fontId="60" fillId="0" borderId="1" xfId="0" applyNumberFormat="1" applyFont="1" applyFill="1" applyBorder="1" applyAlignment="1">
      <alignment horizontal="center" vertical="center"/>
    </xf>
    <xf numFmtId="14" fontId="60" fillId="12" borderId="1" xfId="0" applyNumberFormat="1" applyFont="1" applyFill="1" applyBorder="1" applyAlignment="1">
      <alignment horizontal="center" vertical="center" wrapText="1"/>
    </xf>
    <xf numFmtId="185" fontId="60" fillId="13" borderId="1" xfId="0" applyFont="1" applyFill="1" applyBorder="1" applyAlignment="1">
      <alignment horizontal="center" vertical="center"/>
    </xf>
    <xf numFmtId="14" fontId="60" fillId="13" borderId="1" xfId="0" applyNumberFormat="1" applyFont="1" applyFill="1" applyBorder="1" applyAlignment="1">
      <alignment horizontal="center" vertical="center" wrapText="1"/>
    </xf>
    <xf numFmtId="14" fontId="60" fillId="13" borderId="1" xfId="0" applyNumberFormat="1" applyFont="1" applyFill="1" applyBorder="1" applyAlignment="1">
      <alignment horizontal="center" vertical="center"/>
    </xf>
    <xf numFmtId="9" fontId="44" fillId="0" borderId="1" xfId="0" applyNumberFormat="1" applyFont="1" applyFill="1" applyBorder="1" applyAlignment="1">
      <alignment horizontal="center" vertical="center" wrapText="1"/>
    </xf>
    <xf numFmtId="185" fontId="44" fillId="0" borderId="1" xfId="0" applyFont="1" applyFill="1" applyBorder="1" applyAlignment="1">
      <alignment horizontal="center" vertical="center" wrapText="1"/>
    </xf>
    <xf numFmtId="185" fontId="2" fillId="13" borderId="1" xfId="0" applyFont="1" applyFill="1" applyBorder="1" applyAlignment="1">
      <alignment horizontal="center" vertical="center"/>
    </xf>
    <xf numFmtId="185" fontId="0" fillId="0" borderId="1" xfId="0" applyBorder="1" applyAlignment="1">
      <alignment horizontal="center" vertical="center"/>
    </xf>
    <xf numFmtId="185" fontId="21" fillId="0" borderId="1" xfId="0" applyFont="1" applyFill="1" applyBorder="1" applyAlignment="1">
      <alignment horizontal="left" vertical="center"/>
    </xf>
    <xf numFmtId="185" fontId="0" fillId="14" borderId="1" xfId="0" applyFill="1" applyBorder="1"/>
    <xf numFmtId="185" fontId="42" fillId="0" borderId="1" xfId="0" applyFont="1" applyFill="1" applyBorder="1" applyAlignment="1">
      <alignment horizontal="center" vertical="center"/>
    </xf>
    <xf numFmtId="185" fontId="42" fillId="15" borderId="1" xfId="0" applyFont="1" applyFill="1" applyBorder="1" applyAlignment="1">
      <alignment horizontal="center" vertical="center"/>
    </xf>
    <xf numFmtId="9" fontId="43" fillId="15" borderId="8" xfId="0" applyNumberFormat="1" applyFont="1" applyFill="1" applyBorder="1" applyAlignment="1">
      <alignment horizontal="center" vertical="center"/>
    </xf>
    <xf numFmtId="9" fontId="43" fillId="15" borderId="9" xfId="0" applyNumberFormat="1" applyFont="1" applyFill="1" applyBorder="1" applyAlignment="1">
      <alignment horizontal="center" vertical="center"/>
    </xf>
    <xf numFmtId="9" fontId="43" fillId="15" borderId="13" xfId="0" applyNumberFormat="1" applyFont="1" applyFill="1" applyBorder="1" applyAlignment="1">
      <alignment horizontal="center" vertical="center"/>
    </xf>
    <xf numFmtId="185" fontId="61" fillId="3" borderId="1" xfId="0" applyFont="1" applyFill="1" applyBorder="1" applyAlignment="1">
      <alignment horizontal="center" vertical="center"/>
    </xf>
    <xf numFmtId="184" fontId="43" fillId="0" borderId="0" xfId="0" applyNumberFormat="1" applyFont="1" applyFill="1" applyAlignment="1">
      <alignment horizontal="center" vertical="center"/>
    </xf>
    <xf numFmtId="185" fontId="42" fillId="0" borderId="16" xfId="0" applyFont="1" applyFill="1" applyBorder="1" applyAlignment="1">
      <alignment horizontal="center" vertical="center"/>
    </xf>
    <xf numFmtId="185" fontId="42" fillId="0" borderId="1" xfId="0" applyFont="1" applyFill="1" applyBorder="1" applyAlignment="1">
      <alignment horizontal="center" vertical="center"/>
    </xf>
    <xf numFmtId="185" fontId="42" fillId="0" borderId="16" xfId="0" applyFont="1" applyFill="1" applyBorder="1" applyAlignment="1">
      <alignment horizontal="center"/>
    </xf>
    <xf numFmtId="185" fontId="42" fillId="0" borderId="1" xfId="0" applyFont="1" applyFill="1" applyBorder="1" applyAlignment="1">
      <alignment horizontal="center"/>
    </xf>
    <xf numFmtId="185" fontId="41" fillId="0" borderId="1" xfId="0" applyFont="1" applyFill="1" applyBorder="1" applyAlignment="1">
      <alignment horizontal="center" vertical="center" wrapText="1"/>
    </xf>
    <xf numFmtId="185" fontId="40" fillId="5" borderId="1" xfId="0" applyFont="1" applyFill="1" applyBorder="1" applyAlignment="1">
      <alignment horizontal="center" vertical="center"/>
    </xf>
    <xf numFmtId="185" fontId="40" fillId="0" borderId="1" xfId="0" applyFont="1" applyFill="1" applyBorder="1" applyAlignment="1">
      <alignment horizontal="center" vertical="center" wrapText="1"/>
    </xf>
    <xf numFmtId="185" fontId="40" fillId="11" borderId="1" xfId="0" applyFont="1" applyFill="1" applyBorder="1" applyAlignment="1">
      <alignment horizontal="center" vertical="center" wrapText="1"/>
    </xf>
    <xf numFmtId="10" fontId="42" fillId="0" borderId="5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185" fontId="40" fillId="5" borderId="1" xfId="0" applyFont="1" applyFill="1" applyBorder="1" applyAlignment="1">
      <alignment vertical="center"/>
    </xf>
    <xf numFmtId="185" fontId="40" fillId="0" borderId="1" xfId="0" applyFont="1" applyFill="1" applyBorder="1" applyAlignment="1">
      <alignment vertical="center" wrapText="1"/>
    </xf>
    <xf numFmtId="185" fontId="40" fillId="11" borderId="1" xfId="0" applyFont="1" applyFill="1" applyBorder="1" applyAlignment="1">
      <alignment vertical="center" wrapText="1"/>
    </xf>
    <xf numFmtId="185" fontId="40" fillId="11" borderId="2" xfId="0" applyFont="1" applyFill="1" applyBorder="1" applyAlignment="1">
      <alignment vertical="center" wrapText="1"/>
    </xf>
    <xf numFmtId="185" fontId="40" fillId="11" borderId="3" xfId="0" applyFont="1" applyFill="1" applyBorder="1" applyAlignment="1">
      <alignment vertical="center" wrapText="1"/>
    </xf>
    <xf numFmtId="185" fontId="40" fillId="11" borderId="5" xfId="0" applyFont="1" applyFill="1" applyBorder="1" applyAlignment="1">
      <alignment vertical="center" wrapText="1"/>
    </xf>
    <xf numFmtId="185" fontId="40" fillId="0" borderId="3" xfId="0" applyFont="1" applyFill="1" applyBorder="1" applyAlignment="1">
      <alignment vertical="center" wrapText="1"/>
    </xf>
    <xf numFmtId="185" fontId="40" fillId="0" borderId="5" xfId="0" applyFont="1" applyFill="1" applyBorder="1" applyAlignment="1">
      <alignment vertical="center" wrapText="1"/>
    </xf>
    <xf numFmtId="185" fontId="40" fillId="0" borderId="2" xfId="0" applyFont="1" applyFill="1" applyBorder="1" applyAlignment="1">
      <alignment vertical="center" wrapText="1"/>
    </xf>
    <xf numFmtId="185" fontId="40" fillId="16" borderId="1" xfId="0" applyFont="1" applyFill="1" applyBorder="1" applyAlignment="1">
      <alignment horizontal="center" vertical="center" wrapText="1"/>
    </xf>
    <xf numFmtId="185" fontId="43" fillId="16" borderId="1" xfId="0" applyFont="1" applyFill="1" applyBorder="1" applyAlignment="1">
      <alignment horizontal="center" vertical="center" wrapText="1"/>
    </xf>
    <xf numFmtId="14" fontId="43" fillId="16" borderId="1" xfId="0" applyNumberFormat="1" applyFont="1" applyFill="1" applyBorder="1" applyAlignment="1">
      <alignment horizontal="center" vertical="center" wrapText="1"/>
    </xf>
    <xf numFmtId="185" fontId="43" fillId="16" borderId="1" xfId="0" applyFont="1" applyFill="1" applyBorder="1" applyAlignment="1">
      <alignment horizontal="center" vertical="center"/>
    </xf>
    <xf numFmtId="14" fontId="43" fillId="16" borderId="1" xfId="0" applyNumberFormat="1" applyFont="1" applyFill="1" applyBorder="1" applyAlignment="1">
      <alignment horizontal="center" vertical="center"/>
    </xf>
    <xf numFmtId="185" fontId="22" fillId="16" borderId="1" xfId="0" applyFont="1" applyFill="1" applyBorder="1" applyAlignment="1">
      <alignment horizontal="center" vertical="center"/>
    </xf>
    <xf numFmtId="14" fontId="22" fillId="16" borderId="1" xfId="0" applyNumberFormat="1" applyFont="1" applyFill="1" applyBorder="1" applyAlignment="1">
      <alignment horizontal="center" vertical="center"/>
    </xf>
    <xf numFmtId="183" fontId="43" fillId="16" borderId="1" xfId="0" applyNumberFormat="1" applyFont="1" applyFill="1" applyBorder="1" applyAlignment="1">
      <alignment horizontal="center" vertical="center"/>
    </xf>
    <xf numFmtId="185" fontId="60" fillId="16" borderId="1" xfId="0" applyFont="1" applyFill="1" applyBorder="1" applyAlignment="1">
      <alignment horizontal="center" vertical="center" wrapText="1"/>
    </xf>
    <xf numFmtId="14" fontId="60" fillId="16" borderId="1" xfId="0" applyNumberFormat="1" applyFont="1" applyFill="1" applyBorder="1" applyAlignment="1">
      <alignment horizontal="center" vertical="center" wrapText="1"/>
    </xf>
    <xf numFmtId="185" fontId="60" fillId="16" borderId="1" xfId="0" applyFont="1" applyFill="1" applyBorder="1" applyAlignment="1">
      <alignment horizontal="center" vertical="center"/>
    </xf>
    <xf numFmtId="14" fontId="60" fillId="16" borderId="1" xfId="0" applyNumberFormat="1" applyFont="1" applyFill="1" applyBorder="1" applyAlignment="1">
      <alignment horizontal="center" vertical="center"/>
    </xf>
    <xf numFmtId="183" fontId="60" fillId="16" borderId="1" xfId="0" applyNumberFormat="1" applyFont="1" applyFill="1" applyBorder="1" applyAlignment="1">
      <alignment horizontal="center" vertical="center"/>
    </xf>
    <xf numFmtId="185" fontId="44" fillId="16" borderId="1" xfId="0" applyFont="1" applyFill="1" applyBorder="1" applyAlignment="1">
      <alignment horizontal="center" vertical="center" wrapText="1"/>
    </xf>
    <xf numFmtId="185" fontId="43" fillId="11" borderId="1" xfId="0" applyFont="1" applyFill="1" applyBorder="1" applyAlignment="1">
      <alignment horizontal="center" vertical="center" wrapText="1"/>
    </xf>
    <xf numFmtId="14" fontId="43" fillId="11" borderId="1" xfId="0" applyNumberFormat="1" applyFont="1" applyFill="1" applyBorder="1" applyAlignment="1">
      <alignment horizontal="center" vertical="center" wrapText="1"/>
    </xf>
    <xf numFmtId="183" fontId="43" fillId="11" borderId="1" xfId="0" applyNumberFormat="1" applyFont="1" applyFill="1" applyBorder="1" applyAlignment="1">
      <alignment horizontal="center" vertical="center"/>
    </xf>
    <xf numFmtId="185" fontId="43" fillId="11" borderId="1" xfId="0" applyFont="1" applyFill="1" applyBorder="1" applyAlignment="1">
      <alignment horizontal="center" vertical="center"/>
    </xf>
    <xf numFmtId="14" fontId="43" fillId="11" borderId="1" xfId="0" applyNumberFormat="1" applyFont="1" applyFill="1" applyBorder="1" applyAlignment="1">
      <alignment horizontal="center" vertical="center"/>
    </xf>
    <xf numFmtId="185" fontId="60" fillId="11" borderId="1" xfId="0" applyFont="1" applyFill="1" applyBorder="1" applyAlignment="1">
      <alignment horizontal="center" vertical="center" wrapText="1"/>
    </xf>
    <xf numFmtId="14" fontId="60" fillId="11" borderId="1" xfId="0" applyNumberFormat="1" applyFont="1" applyFill="1" applyBorder="1" applyAlignment="1">
      <alignment horizontal="center" vertical="center" wrapText="1"/>
    </xf>
    <xf numFmtId="185" fontId="60" fillId="11" borderId="1" xfId="0" applyFont="1" applyFill="1" applyBorder="1" applyAlignment="1">
      <alignment horizontal="center" vertical="center"/>
    </xf>
    <xf numFmtId="14" fontId="60" fillId="11" borderId="1" xfId="0" applyNumberFormat="1" applyFont="1" applyFill="1" applyBorder="1" applyAlignment="1">
      <alignment horizontal="center" vertical="center"/>
    </xf>
    <xf numFmtId="181" fontId="43" fillId="16" borderId="1" xfId="0" applyNumberFormat="1" applyFont="1" applyFill="1" applyBorder="1" applyAlignment="1">
      <alignment horizontal="center" vertical="center" wrapText="1"/>
    </xf>
    <xf numFmtId="185" fontId="21" fillId="16" borderId="1" xfId="0" applyFont="1" applyFill="1" applyBorder="1" applyAlignment="1">
      <alignment horizontal="center" vertical="center"/>
    </xf>
    <xf numFmtId="185" fontId="41" fillId="11" borderId="1" xfId="0" applyFont="1" applyFill="1" applyBorder="1" applyAlignment="1">
      <alignment horizontal="center" vertical="center" wrapText="1"/>
    </xf>
    <xf numFmtId="10" fontId="42" fillId="0" borderId="2" xfId="0" applyNumberFormat="1" applyFont="1" applyFill="1" applyBorder="1" applyAlignment="1">
      <alignment horizontal="center" vertical="center" wrapText="1"/>
    </xf>
    <xf numFmtId="10" fontId="42" fillId="0" borderId="3" xfId="0" applyNumberFormat="1" applyFont="1" applyFill="1" applyBorder="1" applyAlignment="1">
      <alignment horizontal="center" vertical="center" wrapText="1"/>
    </xf>
    <xf numFmtId="185" fontId="42" fillId="0" borderId="30" xfId="0" applyFont="1" applyBorder="1" applyAlignment="1">
      <alignment horizontal="center" vertical="center"/>
    </xf>
    <xf numFmtId="185" fontId="42" fillId="0" borderId="31" xfId="0" applyFont="1" applyBorder="1" applyAlignment="1">
      <alignment horizontal="center" vertical="center"/>
    </xf>
    <xf numFmtId="2" fontId="42" fillId="0" borderId="2" xfId="0" applyNumberFormat="1" applyFont="1" applyFill="1" applyBorder="1" applyAlignment="1">
      <alignment horizontal="center" vertical="center" wrapText="1"/>
    </xf>
    <xf numFmtId="2" fontId="42" fillId="0" borderId="3" xfId="0" applyNumberFormat="1" applyFont="1" applyFill="1" applyBorder="1" applyAlignment="1">
      <alignment horizontal="center" vertical="center" wrapText="1"/>
    </xf>
    <xf numFmtId="185" fontId="42" fillId="0" borderId="28" xfId="0" applyFont="1" applyBorder="1" applyAlignment="1">
      <alignment horizontal="center" vertical="center"/>
    </xf>
    <xf numFmtId="185" fontId="42" fillId="0" borderId="29" xfId="0" applyFont="1" applyBorder="1" applyAlignment="1">
      <alignment horizontal="center" vertical="center"/>
    </xf>
    <xf numFmtId="184" fontId="42" fillId="0" borderId="2" xfId="0" applyNumberFormat="1" applyFont="1" applyFill="1" applyBorder="1" applyAlignment="1">
      <alignment horizontal="center" vertical="center" wrapText="1"/>
    </xf>
    <xf numFmtId="184" fontId="42" fillId="0" borderId="3" xfId="0" applyNumberFormat="1" applyFont="1" applyFill="1" applyBorder="1" applyAlignment="1">
      <alignment horizontal="center" vertical="center" wrapText="1"/>
    </xf>
    <xf numFmtId="10" fontId="42" fillId="0" borderId="5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185" fontId="42" fillId="0" borderId="15" xfId="0" applyFont="1" applyFill="1" applyBorder="1" applyAlignment="1">
      <alignment horizontal="center" vertical="center"/>
    </xf>
    <xf numFmtId="185" fontId="42" fillId="0" borderId="16" xfId="0" applyFont="1" applyFill="1" applyBorder="1" applyAlignment="1">
      <alignment horizontal="center" vertical="center"/>
    </xf>
    <xf numFmtId="185" fontId="42" fillId="0" borderId="1" xfId="0" applyFont="1" applyFill="1" applyBorder="1" applyAlignment="1">
      <alignment horizontal="center" vertical="center"/>
    </xf>
    <xf numFmtId="185" fontId="42" fillId="0" borderId="16" xfId="0" applyFont="1" applyFill="1" applyBorder="1" applyAlignment="1">
      <alignment horizontal="center"/>
    </xf>
    <xf numFmtId="185" fontId="42" fillId="0" borderId="1" xfId="0" applyFont="1" applyFill="1" applyBorder="1" applyAlignment="1">
      <alignment horizontal="center"/>
    </xf>
    <xf numFmtId="185" fontId="42" fillId="0" borderId="15" xfId="0" applyFont="1" applyFill="1" applyBorder="1" applyAlignment="1">
      <alignment horizontal="center"/>
    </xf>
    <xf numFmtId="185" fontId="41" fillId="14" borderId="1" xfId="0" applyFont="1" applyFill="1" applyBorder="1" applyAlignment="1">
      <alignment horizontal="center" vertical="center" wrapText="1"/>
    </xf>
    <xf numFmtId="185" fontId="41" fillId="0" borderId="1" xfId="0" applyFont="1" applyFill="1" applyBorder="1" applyAlignment="1">
      <alignment horizontal="center" vertical="center" wrapText="1"/>
    </xf>
    <xf numFmtId="185" fontId="41" fillId="5" borderId="2" xfId="0" applyFont="1" applyFill="1" applyBorder="1" applyAlignment="1">
      <alignment horizontal="center" vertical="center"/>
    </xf>
    <xf numFmtId="185" fontId="41" fillId="5" borderId="5" xfId="0" applyFont="1" applyFill="1" applyBorder="1" applyAlignment="1">
      <alignment horizontal="center" vertical="center"/>
    </xf>
    <xf numFmtId="185" fontId="41" fillId="0" borderId="1" xfId="0" applyFont="1" applyFill="1" applyBorder="1" applyAlignment="1">
      <alignment horizontal="center" vertical="center"/>
    </xf>
    <xf numFmtId="185" fontId="41" fillId="8" borderId="1" xfId="0" applyFont="1" applyFill="1" applyBorder="1" applyAlignment="1">
      <alignment horizontal="center" vertical="center" wrapText="1"/>
    </xf>
    <xf numFmtId="185" fontId="25" fillId="0" borderId="1" xfId="0" applyFont="1" applyBorder="1" applyAlignment="1">
      <alignment horizontal="left" vertical="center"/>
    </xf>
    <xf numFmtId="185" fontId="0" fillId="0" borderId="1" xfId="0" applyBorder="1" applyAlignment="1">
      <alignment horizontal="left" vertical="center"/>
    </xf>
    <xf numFmtId="185" fontId="47" fillId="0" borderId="1" xfId="0" applyFont="1" applyBorder="1" applyAlignment="1">
      <alignment horizontal="center" vertical="center"/>
    </xf>
    <xf numFmtId="14" fontId="44" fillId="0" borderId="1" xfId="0" applyNumberFormat="1" applyFont="1" applyFill="1" applyBorder="1" applyAlignment="1">
      <alignment horizontal="center" vertical="center"/>
    </xf>
    <xf numFmtId="185" fontId="43" fillId="3" borderId="1" xfId="0" applyFont="1" applyFill="1" applyBorder="1" applyAlignment="1">
      <alignment horizontal="center" vertical="center"/>
    </xf>
  </cellXfs>
  <cellStyles count="184">
    <cellStyle name="20% - 强调文字颜色 1 2 2 2 2 2" xfId="7"/>
    <cellStyle name="20% - 强调文字颜色 1 2 2 2 2 2 2" xfId="125"/>
    <cellStyle name="百分比" xfId="10" builtinId="5"/>
    <cellStyle name="百分比 2" xfId="24"/>
    <cellStyle name="常规" xfId="0" builtinId="0"/>
    <cellStyle name="常规 10" xfId="15"/>
    <cellStyle name="常规 10 2" xfId="117"/>
    <cellStyle name="常规 10 3" xfId="38"/>
    <cellStyle name="常规 10 3 2" xfId="92"/>
    <cellStyle name="常规 109" xfId="16"/>
    <cellStyle name="常规 109 2" xfId="116"/>
    <cellStyle name="常规 11" xfId="41"/>
    <cellStyle name="常规 11 2" xfId="123"/>
    <cellStyle name="常规 11 2 2" xfId="183"/>
    <cellStyle name="常规 11 3" xfId="137"/>
    <cellStyle name="常规 12" xfId="36"/>
    <cellStyle name="常规 12 2" xfId="83"/>
    <cellStyle name="常规 13" xfId="39"/>
    <cellStyle name="常规 13 2" xfId="94"/>
    <cellStyle name="常规 13 2 2" xfId="169"/>
    <cellStyle name="常规 13 3" xfId="135"/>
    <cellStyle name="常规 14" xfId="21"/>
    <cellStyle name="常规 14 2" xfId="62"/>
    <cellStyle name="常规 14 2 2" xfId="127"/>
    <cellStyle name="常规 14 3" xfId="72"/>
    <cellStyle name="常规 15" xfId="19"/>
    <cellStyle name="常规 15 2" xfId="75"/>
    <cellStyle name="常规 16" xfId="40"/>
    <cellStyle name="常规 16 2" xfId="73"/>
    <cellStyle name="常规 16 2 2" xfId="159"/>
    <cellStyle name="常规 16 3" xfId="136"/>
    <cellStyle name="常规 17" xfId="42"/>
    <cellStyle name="常规 17 2" xfId="34"/>
    <cellStyle name="常规 17 2 2" xfId="99"/>
    <cellStyle name="常规 17 2 2 2" xfId="173"/>
    <cellStyle name="常规 17 2 3" xfId="134"/>
    <cellStyle name="常规 17 3" xfId="85"/>
    <cellStyle name="常规 17 3 2" xfId="165"/>
    <cellStyle name="常规 17 4" xfId="138"/>
    <cellStyle name="常规 18" xfId="29"/>
    <cellStyle name="常规 18 2" xfId="108"/>
    <cellStyle name="常规 19" xfId="35"/>
    <cellStyle name="常规 19 2" xfId="82"/>
    <cellStyle name="常规 2" xfId="6"/>
    <cellStyle name="常规 2 2" xfId="20"/>
    <cellStyle name="常规 2 2 2" xfId="63"/>
    <cellStyle name="常规 2 2 2 2" xfId="128"/>
    <cellStyle name="常规 2 2 2 2 2 2 2" xfId="5"/>
    <cellStyle name="常规 2 2 2 2 2 2 2 2" xfId="77"/>
    <cellStyle name="常规 2 2 3" xfId="90"/>
    <cellStyle name="常规 2 2 5" xfId="32"/>
    <cellStyle name="常规 2 2 5 2" xfId="105"/>
    <cellStyle name="常规 2 3" xfId="30"/>
    <cellStyle name="常规 2 3 2" xfId="107"/>
    <cellStyle name="常规 2 3 5" xfId="31"/>
    <cellStyle name="常规 2 3 5 2" xfId="109"/>
    <cellStyle name="常规 2 4" xfId="18"/>
    <cellStyle name="常规 2 4 2" xfId="114"/>
    <cellStyle name="常规 2 5" xfId="17"/>
    <cellStyle name="常规 2 5 2" xfId="115"/>
    <cellStyle name="常规 2 6" xfId="37"/>
    <cellStyle name="常规 2 6 2" xfId="93"/>
    <cellStyle name="常规 2 7" xfId="12"/>
    <cellStyle name="常规 2 7 2" xfId="120"/>
    <cellStyle name="常规 2 8" xfId="126"/>
    <cellStyle name="常规 20" xfId="43"/>
    <cellStyle name="常规 20 2" xfId="74"/>
    <cellStyle name="常规 20 2 2" xfId="160"/>
    <cellStyle name="常规 20 3" xfId="139"/>
    <cellStyle name="常规 21" xfId="47"/>
    <cellStyle name="常规 21 2" xfId="104"/>
    <cellStyle name="常规 21 2 2" xfId="178"/>
    <cellStyle name="常规 21 3" xfId="143"/>
    <cellStyle name="常规 22" xfId="45"/>
    <cellStyle name="常规 22 2" xfId="91"/>
    <cellStyle name="常规 22 2 2" xfId="168"/>
    <cellStyle name="常规 22 3" xfId="141"/>
    <cellStyle name="常规 23" xfId="46"/>
    <cellStyle name="常规 23 2" xfId="96"/>
    <cellStyle name="常规 23 2 2" xfId="170"/>
    <cellStyle name="常规 23 3" xfId="142"/>
    <cellStyle name="常规 24" xfId="48"/>
    <cellStyle name="常规 24 2" xfId="102"/>
    <cellStyle name="常规 24 2 2" xfId="176"/>
    <cellStyle name="常规 24 3" xfId="144"/>
    <cellStyle name="常规 25" xfId="49"/>
    <cellStyle name="常规 25 2" xfId="84"/>
    <cellStyle name="常规 25 2 2" xfId="164"/>
    <cellStyle name="常规 25 3" xfId="145"/>
    <cellStyle name="常规 26" xfId="51"/>
    <cellStyle name="常规 26 2" xfId="86"/>
    <cellStyle name="常规 26 2 2" xfId="166"/>
    <cellStyle name="常规 26 3" xfId="147"/>
    <cellStyle name="常规 27" xfId="44"/>
    <cellStyle name="常规 27 2" xfId="97"/>
    <cellStyle name="常规 27 2 2" xfId="171"/>
    <cellStyle name="常规 27 3" xfId="140"/>
    <cellStyle name="常规 28" xfId="50"/>
    <cellStyle name="常规 28 2" xfId="122"/>
    <cellStyle name="常规 28 2 2" xfId="182"/>
    <cellStyle name="常规 28 3" xfId="146"/>
    <cellStyle name="常规 29" xfId="52"/>
    <cellStyle name="常规 29 2" xfId="101"/>
    <cellStyle name="常规 29 2 2" xfId="175"/>
    <cellStyle name="常规 29 3" xfId="148"/>
    <cellStyle name="常规 3" xfId="27"/>
    <cellStyle name="常规 3 2" xfId="4"/>
    <cellStyle name="常规 3 2 2" xfId="71"/>
    <cellStyle name="常规 3 3" xfId="28"/>
    <cellStyle name="常规 3 3 2" xfId="110"/>
    <cellStyle name="常规 3 4" xfId="9"/>
    <cellStyle name="常规 3 4 2" xfId="124"/>
    <cellStyle name="常规 3 5" xfId="111"/>
    <cellStyle name="常规 30" xfId="53"/>
    <cellStyle name="常规 30 2" xfId="98"/>
    <cellStyle name="常规 30 2 2" xfId="172"/>
    <cellStyle name="常规 30 3" xfId="149"/>
    <cellStyle name="常规 31" xfId="54"/>
    <cellStyle name="常规 31 2" xfId="103"/>
    <cellStyle name="常规 31 2 2" xfId="177"/>
    <cellStyle name="常规 31 3" xfId="150"/>
    <cellStyle name="常规 32" xfId="55"/>
    <cellStyle name="常规 32 2" xfId="81"/>
    <cellStyle name="常规 32 2 2" xfId="163"/>
    <cellStyle name="常规 32 3" xfId="151"/>
    <cellStyle name="常规 33" xfId="56"/>
    <cellStyle name="常规 33 2" xfId="100"/>
    <cellStyle name="常规 33 2 2" xfId="174"/>
    <cellStyle name="常规 33 3" xfId="152"/>
    <cellStyle name="常规 34" xfId="57"/>
    <cellStyle name="常规 34 2" xfId="80"/>
    <cellStyle name="常规 34 2 2" xfId="162"/>
    <cellStyle name="常规 34 3" xfId="153"/>
    <cellStyle name="常规 35" xfId="58"/>
    <cellStyle name="常规 35 2" xfId="69"/>
    <cellStyle name="常规 35 2 2" xfId="158"/>
    <cellStyle name="常规 35 3" xfId="154"/>
    <cellStyle name="常规 36" xfId="59"/>
    <cellStyle name="常规 36 2" xfId="87"/>
    <cellStyle name="常规 36 2 2" xfId="167"/>
    <cellStyle name="常规 36 3" xfId="155"/>
    <cellStyle name="常规 37" xfId="60"/>
    <cellStyle name="常规 37 2" xfId="76"/>
    <cellStyle name="常规 37 2 2" xfId="161"/>
    <cellStyle name="常规 37 3" xfId="156"/>
    <cellStyle name="常规 38" xfId="64"/>
    <cellStyle name="常规 39" xfId="65"/>
    <cellStyle name="常规 39 2" xfId="129"/>
    <cellStyle name="常规 4" xfId="25"/>
    <cellStyle name="常规 4 2" xfId="106"/>
    <cellStyle name="常规 40" xfId="66"/>
    <cellStyle name="常规 40 2" xfId="130"/>
    <cellStyle name="常规 41" xfId="67"/>
    <cellStyle name="常规 42" xfId="11"/>
    <cellStyle name="常规 42 2" xfId="121"/>
    <cellStyle name="常规 42 2 2" xfId="181"/>
    <cellStyle name="常规 42 3" xfId="131"/>
    <cellStyle name="常规 43" xfId="95"/>
    <cellStyle name="常规 5" xfId="3"/>
    <cellStyle name="常规 5 2" xfId="14"/>
    <cellStyle name="常规 5 2 2" xfId="118"/>
    <cellStyle name="常规 5 2 2 2" xfId="180"/>
    <cellStyle name="常规 5 2 3" xfId="132"/>
    <cellStyle name="常规 5 3" xfId="79"/>
    <cellStyle name="常规 6" xfId="2"/>
    <cellStyle name="常规 6 2" xfId="22"/>
    <cellStyle name="常规 6 2 2" xfId="89"/>
    <cellStyle name="常规 6 2 4" xfId="33"/>
    <cellStyle name="常规 6 2 4 2" xfId="78"/>
    <cellStyle name="常规 6 3" xfId="70"/>
    <cellStyle name="常规 7" xfId="23"/>
    <cellStyle name="常规 7 2" xfId="113"/>
    <cellStyle name="常规 7 2 2" xfId="179"/>
    <cellStyle name="常规 7 3" xfId="133"/>
    <cellStyle name="常规 8" xfId="8"/>
    <cellStyle name="常规 8 2" xfId="26"/>
    <cellStyle name="常规 8 2 2" xfId="112"/>
    <cellStyle name="常规 8 3" xfId="68"/>
    <cellStyle name="常规 8 4" xfId="88"/>
    <cellStyle name="常规 9" xfId="13"/>
    <cellStyle name="常规 9 2" xfId="119"/>
    <cellStyle name="常规_实验室人员项目名单" xfId="1"/>
    <cellStyle name="千位分隔 2" xfId="61"/>
    <cellStyle name="千位分隔 2 2" xfId="157"/>
  </cellStyles>
  <dxfs count="468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b val="0"/>
        <i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J4&#29983;&#20135;&#37096;&amp;&#29983;&#20135;&#35774;&#22791;&#37096;&#20154;&#21592;&#28165;&#21333;&#65292;08-28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J4&#29983;&#20135;&#37096;&amp;&#29983;&#20135;&#35774;&#22791;&#37096;&#20154;&#21592;&#28165;&#21333;&#65292;09-1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产部"/>
      <sheetName val="生产部编制汇总"/>
      <sheetName val="生产设备部"/>
      <sheetName val="离职人员&amp;调出人员"/>
      <sheetName val="人员变动说明"/>
      <sheetName val="Sheet1"/>
    </sheetNames>
    <sheetDataSet>
      <sheetData sheetId="0" refreshError="1">
        <row r="1">
          <cell r="C1" t="str">
            <v xml:space="preserve">员工编号 </v>
          </cell>
          <cell r="D1" t="str">
            <v>公司
编制</v>
          </cell>
          <cell r="E1" t="str">
            <v>入职时间</v>
          </cell>
          <cell r="F1" t="str">
            <v>岗位</v>
          </cell>
          <cell r="G1" t="str">
            <v>职位</v>
          </cell>
          <cell r="H1" t="str">
            <v>目前分组</v>
          </cell>
          <cell r="I1" t="str">
            <v>班次</v>
          </cell>
        </row>
        <row r="2">
          <cell r="C2" t="str">
            <v>AMM0098</v>
          </cell>
          <cell r="D2" t="str">
            <v>TJ2</v>
          </cell>
          <cell r="E2">
            <v>38943</v>
          </cell>
          <cell r="F2" t="str">
            <v>厂长</v>
          </cell>
          <cell r="G2" t="str">
            <v>厂长</v>
          </cell>
          <cell r="H2" t="str">
            <v>生产部</v>
          </cell>
          <cell r="I2" t="str">
            <v>常白</v>
          </cell>
        </row>
        <row r="3">
          <cell r="C3" t="str">
            <v>ALS0702</v>
          </cell>
          <cell r="D3" t="str">
            <v>TJ2</v>
          </cell>
          <cell r="E3">
            <v>37459</v>
          </cell>
          <cell r="F3" t="str">
            <v>副厂长</v>
          </cell>
          <cell r="G3" t="str">
            <v>副厂长</v>
          </cell>
          <cell r="H3" t="str">
            <v>生产部</v>
          </cell>
          <cell r="I3" t="str">
            <v>常白</v>
          </cell>
        </row>
        <row r="4">
          <cell r="C4" t="str">
            <v>AMM0015</v>
          </cell>
          <cell r="D4" t="str">
            <v>TJ3</v>
          </cell>
          <cell r="E4">
            <v>37459</v>
          </cell>
          <cell r="F4" t="str">
            <v>副厂长</v>
          </cell>
          <cell r="G4" t="str">
            <v>副厂长</v>
          </cell>
          <cell r="H4" t="str">
            <v>生产部</v>
          </cell>
          <cell r="I4" t="str">
            <v>常白</v>
          </cell>
        </row>
        <row r="5">
          <cell r="C5" t="str">
            <v>ACT1907</v>
          </cell>
          <cell r="D5" t="str">
            <v>TJ2</v>
          </cell>
          <cell r="E5">
            <v>41127</v>
          </cell>
          <cell r="F5" t="str">
            <v>副厂长</v>
          </cell>
          <cell r="G5" t="str">
            <v>副厂长</v>
          </cell>
          <cell r="H5" t="str">
            <v>5号楼</v>
          </cell>
          <cell r="I5" t="str">
            <v>常白</v>
          </cell>
        </row>
        <row r="6">
          <cell r="C6" t="str">
            <v>ACT2490</v>
          </cell>
          <cell r="D6" t="str">
            <v>TJ2</v>
          </cell>
          <cell r="E6">
            <v>40406</v>
          </cell>
          <cell r="F6" t="str">
            <v>副厂长</v>
          </cell>
          <cell r="G6" t="str">
            <v>副厂长</v>
          </cell>
          <cell r="H6" t="str">
            <v>11号楼</v>
          </cell>
          <cell r="I6" t="str">
            <v>常白</v>
          </cell>
        </row>
        <row r="7">
          <cell r="C7" t="str">
            <v>ABT0013</v>
          </cell>
          <cell r="D7" t="str">
            <v>CSBT</v>
          </cell>
          <cell r="E7">
            <v>41646</v>
          </cell>
          <cell r="F7" t="str">
            <v>副厂长</v>
          </cell>
          <cell r="G7" t="str">
            <v>副厂长</v>
          </cell>
          <cell r="H7" t="str">
            <v>12号楼</v>
          </cell>
          <cell r="I7" t="str">
            <v>常白</v>
          </cell>
        </row>
        <row r="8">
          <cell r="C8" t="str">
            <v>ALS0808</v>
          </cell>
          <cell r="D8" t="str">
            <v>TJ2</v>
          </cell>
          <cell r="E8">
            <v>40406</v>
          </cell>
          <cell r="F8" t="str">
            <v>副总工程师</v>
          </cell>
          <cell r="G8" t="str">
            <v>副总工程师</v>
          </cell>
          <cell r="H8" t="str">
            <v>4号楼</v>
          </cell>
          <cell r="I8" t="str">
            <v>常白</v>
          </cell>
        </row>
        <row r="9">
          <cell r="C9" t="str">
            <v>ALS0733</v>
          </cell>
          <cell r="D9" t="str">
            <v>TJ2</v>
          </cell>
          <cell r="E9">
            <v>40035</v>
          </cell>
          <cell r="F9" t="str">
            <v>副总工程师</v>
          </cell>
          <cell r="G9" t="str">
            <v>副总工程师</v>
          </cell>
          <cell r="H9" t="str">
            <v>11号楼</v>
          </cell>
          <cell r="I9" t="str">
            <v>常白</v>
          </cell>
        </row>
        <row r="10">
          <cell r="C10" t="str">
            <v>AMM0907</v>
          </cell>
          <cell r="D10" t="str">
            <v>TJ3</v>
          </cell>
          <cell r="E10">
            <v>40238</v>
          </cell>
          <cell r="F10" t="str">
            <v>副总工程师</v>
          </cell>
          <cell r="G10" t="str">
            <v>副总工程师</v>
          </cell>
          <cell r="H10" t="str">
            <v>11号楼</v>
          </cell>
          <cell r="I10" t="str">
            <v>常白</v>
          </cell>
        </row>
        <row r="11">
          <cell r="C11" t="str">
            <v>ALS4192</v>
          </cell>
          <cell r="D11" t="str">
            <v>TJ2</v>
          </cell>
          <cell r="E11">
            <v>43160</v>
          </cell>
          <cell r="F11" t="str">
            <v>高级主管</v>
          </cell>
          <cell r="G11" t="str">
            <v>高级主管</v>
          </cell>
          <cell r="H11" t="str">
            <v>4号楼</v>
          </cell>
          <cell r="I11" t="str">
            <v>常白</v>
          </cell>
        </row>
        <row r="12">
          <cell r="C12" t="str">
            <v>ALS6044</v>
          </cell>
          <cell r="D12" t="str">
            <v>TJ2</v>
          </cell>
          <cell r="E12">
            <v>43935</v>
          </cell>
          <cell r="F12" t="str">
            <v>车间主任</v>
          </cell>
          <cell r="G12" t="str">
            <v>车间主任</v>
          </cell>
          <cell r="H12" t="str">
            <v>4号楼制备组</v>
          </cell>
          <cell r="I12" t="str">
            <v>制备组</v>
          </cell>
        </row>
        <row r="13">
          <cell r="C13" t="str">
            <v>ALS12990</v>
          </cell>
          <cell r="D13" t="str">
            <v>TJ2</v>
          </cell>
          <cell r="E13">
            <v>45462</v>
          </cell>
          <cell r="F13" t="str">
            <v>工程师</v>
          </cell>
          <cell r="G13" t="str">
            <v>工程师</v>
          </cell>
          <cell r="H13" t="str">
            <v>4号楼制备组</v>
          </cell>
          <cell r="I13" t="str">
            <v>制备组</v>
          </cell>
        </row>
        <row r="14">
          <cell r="C14" t="str">
            <v>ALS16005</v>
          </cell>
          <cell r="D14" t="str">
            <v>TJ2</v>
          </cell>
          <cell r="E14">
            <v>46043</v>
          </cell>
          <cell r="F14" t="str">
            <v>工程师</v>
          </cell>
          <cell r="G14" t="str">
            <v>工程师</v>
          </cell>
          <cell r="H14" t="str">
            <v>4号楼制备组</v>
          </cell>
          <cell r="I14" t="str">
            <v>制备组</v>
          </cell>
        </row>
        <row r="15">
          <cell r="C15" t="str">
            <v>ALS15926</v>
          </cell>
          <cell r="D15" t="str">
            <v>TJ2</v>
          </cell>
          <cell r="E15">
            <v>46106</v>
          </cell>
          <cell r="F15" t="str">
            <v>工程师</v>
          </cell>
          <cell r="G15" t="str">
            <v>工程师</v>
          </cell>
          <cell r="H15" t="str">
            <v>4号楼制备组</v>
          </cell>
          <cell r="I15" t="str">
            <v>制备组</v>
          </cell>
        </row>
        <row r="16">
          <cell r="C16" t="str">
            <v>ALS11919</v>
          </cell>
          <cell r="D16" t="str">
            <v>TJ2</v>
          </cell>
          <cell r="E16">
            <v>45042</v>
          </cell>
          <cell r="F16" t="str">
            <v>助理工程师</v>
          </cell>
          <cell r="G16" t="str">
            <v>助理工程师</v>
          </cell>
          <cell r="H16" t="str">
            <v>4号楼制备组</v>
          </cell>
          <cell r="I16" t="str">
            <v>制备组</v>
          </cell>
        </row>
        <row r="17">
          <cell r="C17" t="str">
            <v>ALS15895</v>
          </cell>
          <cell r="D17" t="str">
            <v>TJ2</v>
          </cell>
          <cell r="E17">
            <v>46027</v>
          </cell>
          <cell r="F17" t="str">
            <v>助理工程师</v>
          </cell>
          <cell r="G17" t="str">
            <v>助理工程师</v>
          </cell>
          <cell r="H17" t="str">
            <v>4号楼制备组</v>
          </cell>
          <cell r="I17" t="str">
            <v>制备组</v>
          </cell>
        </row>
        <row r="18">
          <cell r="C18" t="str">
            <v>ALS15897</v>
          </cell>
          <cell r="D18" t="str">
            <v>TJ2</v>
          </cell>
          <cell r="E18">
            <v>46027</v>
          </cell>
          <cell r="F18" t="str">
            <v>助理工程师</v>
          </cell>
          <cell r="G18" t="str">
            <v>助理工程师</v>
          </cell>
          <cell r="H18" t="str">
            <v>4号楼制备组</v>
          </cell>
          <cell r="I18" t="str">
            <v>制备组</v>
          </cell>
        </row>
        <row r="19">
          <cell r="C19" t="str">
            <v>ALS15910</v>
          </cell>
          <cell r="D19" t="str">
            <v>TJ2</v>
          </cell>
          <cell r="E19">
            <v>46029</v>
          </cell>
          <cell r="F19" t="str">
            <v>助理工程师</v>
          </cell>
          <cell r="G19" t="str">
            <v>助理工程师</v>
          </cell>
          <cell r="H19" t="str">
            <v>4号楼制备组</v>
          </cell>
          <cell r="I19" t="str">
            <v>制备组</v>
          </cell>
        </row>
        <row r="20">
          <cell r="C20" t="str">
            <v>ALS15912</v>
          </cell>
          <cell r="D20" t="str">
            <v>TJ2</v>
          </cell>
          <cell r="E20">
            <v>46029</v>
          </cell>
          <cell r="F20" t="str">
            <v>助理工程师</v>
          </cell>
          <cell r="G20" t="str">
            <v>助理工程师</v>
          </cell>
          <cell r="H20" t="str">
            <v>4号楼制备组</v>
          </cell>
          <cell r="I20" t="str">
            <v>制备组</v>
          </cell>
        </row>
        <row r="21">
          <cell r="C21" t="str">
            <v>ALS16007</v>
          </cell>
          <cell r="D21" t="str">
            <v>TJ2</v>
          </cell>
          <cell r="E21">
            <v>46043</v>
          </cell>
          <cell r="F21" t="str">
            <v>助理工程师</v>
          </cell>
          <cell r="G21" t="str">
            <v>助理工程师</v>
          </cell>
          <cell r="H21" t="str">
            <v>4号楼制备组</v>
          </cell>
          <cell r="I21" t="str">
            <v>制备组</v>
          </cell>
        </row>
        <row r="22">
          <cell r="C22" t="str">
            <v>ALS17016</v>
          </cell>
          <cell r="D22" t="str">
            <v>TJ2</v>
          </cell>
          <cell r="E22">
            <v>46174</v>
          </cell>
          <cell r="F22" t="str">
            <v>助理工程师</v>
          </cell>
          <cell r="G22" t="str">
            <v>助理工程师</v>
          </cell>
          <cell r="H22" t="str">
            <v>4号楼制备组</v>
          </cell>
          <cell r="I22" t="str">
            <v>制备组</v>
          </cell>
        </row>
        <row r="23">
          <cell r="C23" t="str">
            <v>ALS17018</v>
          </cell>
          <cell r="D23" t="str">
            <v>TJ2</v>
          </cell>
          <cell r="E23">
            <v>46176</v>
          </cell>
          <cell r="F23" t="str">
            <v>助理工程师</v>
          </cell>
          <cell r="G23" t="str">
            <v>助理工程师</v>
          </cell>
          <cell r="H23" t="str">
            <v>4号楼制备组</v>
          </cell>
          <cell r="I23" t="str">
            <v>制备组</v>
          </cell>
        </row>
        <row r="24">
          <cell r="C24" t="str">
            <v>ALS17074</v>
          </cell>
          <cell r="D24" t="str">
            <v>TJ2</v>
          </cell>
          <cell r="E24">
            <v>46176</v>
          </cell>
          <cell r="F24" t="str">
            <v>助理工程师</v>
          </cell>
          <cell r="G24" t="str">
            <v>助理工程师</v>
          </cell>
          <cell r="H24" t="str">
            <v>4号楼制备组</v>
          </cell>
          <cell r="I24" t="str">
            <v>制备组</v>
          </cell>
        </row>
        <row r="25">
          <cell r="C25" t="str">
            <v>ALS17114</v>
          </cell>
          <cell r="D25" t="str">
            <v>TJ2</v>
          </cell>
          <cell r="E25">
            <v>46183</v>
          </cell>
          <cell r="F25" t="str">
            <v>助理工程师</v>
          </cell>
          <cell r="G25" t="str">
            <v>助理工程师</v>
          </cell>
          <cell r="H25" t="str">
            <v>4号楼制备组</v>
          </cell>
          <cell r="I25" t="str">
            <v>制备组</v>
          </cell>
        </row>
        <row r="26">
          <cell r="C26" t="str">
            <v>ALS17993</v>
          </cell>
          <cell r="D26" t="str">
            <v>TJ2</v>
          </cell>
          <cell r="E26">
            <v>46225</v>
          </cell>
          <cell r="F26" t="str">
            <v>助理工程师</v>
          </cell>
          <cell r="G26" t="str">
            <v>助理工程师</v>
          </cell>
          <cell r="H26" t="str">
            <v>4号楼制备组</v>
          </cell>
          <cell r="I26" t="str">
            <v>制备组</v>
          </cell>
        </row>
        <row r="27">
          <cell r="C27" t="str">
            <v>ALS14195</v>
          </cell>
          <cell r="D27" t="str">
            <v>TJ2</v>
          </cell>
          <cell r="E27">
            <v>45833</v>
          </cell>
          <cell r="F27" t="str">
            <v>操作工</v>
          </cell>
          <cell r="G27" t="str">
            <v>操作工</v>
          </cell>
          <cell r="H27" t="str">
            <v>4号楼制备组</v>
          </cell>
          <cell r="I27" t="str">
            <v>制备组</v>
          </cell>
        </row>
        <row r="28">
          <cell r="C28" t="str">
            <v>ALS15823</v>
          </cell>
          <cell r="D28" t="str">
            <v>TJ2</v>
          </cell>
          <cell r="E28">
            <v>46029</v>
          </cell>
          <cell r="F28" t="str">
            <v>操作工</v>
          </cell>
          <cell r="G28" t="str">
            <v>操作工</v>
          </cell>
          <cell r="H28" t="str">
            <v>4号楼制备组</v>
          </cell>
          <cell r="I28" t="str">
            <v>制备组</v>
          </cell>
        </row>
        <row r="29">
          <cell r="C29" t="str">
            <v>ALS17595</v>
          </cell>
          <cell r="D29" t="str">
            <v>TJ2</v>
          </cell>
          <cell r="E29">
            <v>46197</v>
          </cell>
          <cell r="F29" t="str">
            <v>操作工</v>
          </cell>
          <cell r="G29" t="str">
            <v>操作工</v>
          </cell>
          <cell r="H29" t="str">
            <v>4号楼制备组</v>
          </cell>
          <cell r="I29" t="str">
            <v>制备组</v>
          </cell>
        </row>
        <row r="30">
          <cell r="C30" t="str">
            <v>ALS3510</v>
          </cell>
          <cell r="D30" t="str">
            <v>TJ2</v>
          </cell>
          <cell r="E30">
            <v>42926</v>
          </cell>
          <cell r="F30" t="str">
            <v>车间主任</v>
          </cell>
          <cell r="G30" t="str">
            <v>车间主任</v>
          </cell>
          <cell r="H30" t="str">
            <v>4号楼3&amp;4车间</v>
          </cell>
          <cell r="I30" t="str">
            <v>常白</v>
          </cell>
        </row>
        <row r="31">
          <cell r="C31" t="str">
            <v>ALS14115</v>
          </cell>
          <cell r="D31" t="str">
            <v>TJ2</v>
          </cell>
          <cell r="E31">
            <v>45819</v>
          </cell>
          <cell r="F31" t="str">
            <v>车间主任</v>
          </cell>
          <cell r="G31" t="str">
            <v>车间主任</v>
          </cell>
          <cell r="H31" t="str">
            <v>4号楼3&amp;4车间</v>
          </cell>
          <cell r="I31" t="str">
            <v>常白</v>
          </cell>
        </row>
        <row r="32">
          <cell r="C32" t="str">
            <v>ACT2027</v>
          </cell>
          <cell r="D32" t="str">
            <v>TJ2</v>
          </cell>
          <cell r="E32">
            <v>41345</v>
          </cell>
          <cell r="F32" t="str">
            <v>车间副主任</v>
          </cell>
          <cell r="G32" t="str">
            <v>车间副主任</v>
          </cell>
          <cell r="H32" t="str">
            <v>4号楼3&amp;4车间</v>
          </cell>
          <cell r="I32" t="str">
            <v>常白</v>
          </cell>
        </row>
        <row r="33">
          <cell r="C33" t="str">
            <v>ALS6830</v>
          </cell>
          <cell r="D33" t="str">
            <v>TJ2</v>
          </cell>
          <cell r="E33">
            <v>44139</v>
          </cell>
          <cell r="F33" t="str">
            <v>车间副主任</v>
          </cell>
          <cell r="G33" t="str">
            <v>车间副主任</v>
          </cell>
          <cell r="H33" t="str">
            <v>4号楼3&amp;4车间</v>
          </cell>
          <cell r="I33" t="str">
            <v>常白</v>
          </cell>
        </row>
        <row r="34">
          <cell r="C34" t="str">
            <v>ALS7213</v>
          </cell>
          <cell r="D34" t="str">
            <v>TJ2</v>
          </cell>
          <cell r="E34">
            <v>44272</v>
          </cell>
          <cell r="F34" t="str">
            <v>车间副主任</v>
          </cell>
          <cell r="G34" t="str">
            <v>车间副主任</v>
          </cell>
          <cell r="H34" t="str">
            <v>4号楼3&amp;4车间</v>
          </cell>
          <cell r="I34" t="str">
            <v>倒班</v>
          </cell>
        </row>
        <row r="35">
          <cell r="C35" t="str">
            <v>ALS0377</v>
          </cell>
          <cell r="D35" t="str">
            <v>TJ2</v>
          </cell>
          <cell r="E35">
            <v>39699</v>
          </cell>
          <cell r="F35" t="str">
            <v>工艺高级主管</v>
          </cell>
          <cell r="G35" t="str">
            <v>工艺高级主管</v>
          </cell>
          <cell r="H35" t="str">
            <v>4号楼3&amp;4车间</v>
          </cell>
          <cell r="I35" t="str">
            <v>项目组</v>
          </cell>
        </row>
        <row r="36">
          <cell r="C36" t="str">
            <v>ALS4011</v>
          </cell>
          <cell r="D36" t="str">
            <v>TJ2</v>
          </cell>
          <cell r="E36">
            <v>43040</v>
          </cell>
          <cell r="F36" t="str">
            <v>工艺高级主管</v>
          </cell>
          <cell r="G36" t="str">
            <v>工艺高级主管</v>
          </cell>
          <cell r="H36" t="str">
            <v>4号楼3&amp;4车间</v>
          </cell>
          <cell r="I36" t="str">
            <v>项目组</v>
          </cell>
        </row>
        <row r="37">
          <cell r="C37" t="str">
            <v>ALS3597</v>
          </cell>
          <cell r="D37" t="str">
            <v>TJ2</v>
          </cell>
          <cell r="E37">
            <v>42926</v>
          </cell>
          <cell r="F37" t="str">
            <v>工艺副主管</v>
          </cell>
          <cell r="G37" t="str">
            <v>工艺副主管</v>
          </cell>
          <cell r="H37" t="str">
            <v>4号楼3&amp;4车间</v>
          </cell>
          <cell r="I37" t="str">
            <v>项目组</v>
          </cell>
        </row>
        <row r="38">
          <cell r="C38" t="str">
            <v>ALS4128</v>
          </cell>
          <cell r="D38" t="str">
            <v>TJ2</v>
          </cell>
          <cell r="E38">
            <v>43096</v>
          </cell>
          <cell r="F38" t="str">
            <v>工艺副主管</v>
          </cell>
          <cell r="G38" t="str">
            <v>工艺副主管</v>
          </cell>
          <cell r="H38" t="str">
            <v>4号楼3&amp;4车间</v>
          </cell>
          <cell r="I38" t="str">
            <v>项目组</v>
          </cell>
        </row>
        <row r="39">
          <cell r="C39" t="str">
            <v>FX3039</v>
          </cell>
          <cell r="D39" t="str">
            <v>TJ2</v>
          </cell>
          <cell r="E39">
            <v>43914</v>
          </cell>
          <cell r="F39" t="str">
            <v>工艺副主管</v>
          </cell>
          <cell r="G39" t="str">
            <v>工艺副主管</v>
          </cell>
          <cell r="H39" t="str">
            <v>4号楼3&amp;4车间</v>
          </cell>
          <cell r="I39" t="str">
            <v>项目组</v>
          </cell>
        </row>
        <row r="40">
          <cell r="C40" t="str">
            <v>ALS3598</v>
          </cell>
          <cell r="D40" t="str">
            <v>TJ2</v>
          </cell>
          <cell r="E40">
            <v>42926</v>
          </cell>
          <cell r="F40" t="str">
            <v>工艺组长</v>
          </cell>
          <cell r="G40" t="str">
            <v>工艺组长</v>
          </cell>
          <cell r="H40" t="str">
            <v>4号楼3&amp;4车间</v>
          </cell>
          <cell r="I40" t="str">
            <v>项目组</v>
          </cell>
        </row>
        <row r="41">
          <cell r="C41" t="str">
            <v>ALS10142</v>
          </cell>
          <cell r="D41" t="str">
            <v>TJ2</v>
          </cell>
          <cell r="E41">
            <v>44755</v>
          </cell>
          <cell r="F41" t="str">
            <v>工艺组长</v>
          </cell>
          <cell r="G41" t="str">
            <v>工艺组长</v>
          </cell>
          <cell r="H41" t="str">
            <v>4号楼3&amp;4车间</v>
          </cell>
          <cell r="I41" t="str">
            <v>项目组</v>
          </cell>
        </row>
        <row r="42">
          <cell r="C42" t="str">
            <v>ALS10155</v>
          </cell>
          <cell r="D42" t="str">
            <v>TJ2</v>
          </cell>
          <cell r="E42">
            <v>44755</v>
          </cell>
          <cell r="F42" t="str">
            <v>工艺组长</v>
          </cell>
          <cell r="G42" t="str">
            <v>工艺组长</v>
          </cell>
          <cell r="H42" t="str">
            <v>4号楼3&amp;4车间</v>
          </cell>
          <cell r="I42" t="str">
            <v>项目组</v>
          </cell>
        </row>
        <row r="43">
          <cell r="C43" t="str">
            <v>ALS10332</v>
          </cell>
          <cell r="D43" t="str">
            <v>TJ2</v>
          </cell>
          <cell r="E43">
            <v>44734</v>
          </cell>
          <cell r="F43" t="str">
            <v>工艺组长</v>
          </cell>
          <cell r="G43" t="str">
            <v>工艺组长</v>
          </cell>
          <cell r="H43" t="str">
            <v>4号楼3&amp;4车间</v>
          </cell>
          <cell r="I43" t="str">
            <v>项目组</v>
          </cell>
        </row>
        <row r="44">
          <cell r="C44" t="str">
            <v>ALS8245</v>
          </cell>
          <cell r="D44" t="str">
            <v>TJ2</v>
          </cell>
          <cell r="E44">
            <v>44433</v>
          </cell>
          <cell r="F44" t="str">
            <v>工艺组长</v>
          </cell>
          <cell r="G44" t="str">
            <v>工艺组长</v>
          </cell>
          <cell r="H44" t="str">
            <v>4号楼3&amp;4车间</v>
          </cell>
          <cell r="I44" t="str">
            <v>项目组</v>
          </cell>
        </row>
        <row r="45">
          <cell r="C45" t="str">
            <v>ALS10153</v>
          </cell>
          <cell r="D45" t="str">
            <v>TJ2</v>
          </cell>
          <cell r="E45">
            <v>44755</v>
          </cell>
          <cell r="F45" t="str">
            <v>工艺组长</v>
          </cell>
          <cell r="G45" t="str">
            <v>工艺组长</v>
          </cell>
          <cell r="H45" t="str">
            <v>4号楼3&amp;4车间</v>
          </cell>
          <cell r="I45" t="str">
            <v>项目组</v>
          </cell>
        </row>
        <row r="46">
          <cell r="C46" t="str">
            <v>ALS16022</v>
          </cell>
          <cell r="D46" t="str">
            <v>TJ2</v>
          </cell>
          <cell r="E46">
            <v>46050</v>
          </cell>
          <cell r="F46" t="str">
            <v>工艺组长</v>
          </cell>
          <cell r="G46" t="str">
            <v>工艺组长</v>
          </cell>
          <cell r="H46" t="str">
            <v>4号楼3&amp;4车间</v>
          </cell>
          <cell r="I46" t="str">
            <v>项目组</v>
          </cell>
        </row>
        <row r="47">
          <cell r="C47" t="str">
            <v>LFX569</v>
          </cell>
          <cell r="D47" t="str">
            <v>TJ2</v>
          </cell>
          <cell r="E47">
            <v>44389</v>
          </cell>
          <cell r="F47" t="str">
            <v>工程师</v>
          </cell>
          <cell r="G47" t="str">
            <v>工程师</v>
          </cell>
          <cell r="H47" t="str">
            <v>4号楼3&amp;4车间</v>
          </cell>
          <cell r="I47" t="str">
            <v>项目组</v>
          </cell>
        </row>
        <row r="48">
          <cell r="C48" t="str">
            <v>ADH5432</v>
          </cell>
          <cell r="D48" t="str">
            <v>TJ2</v>
          </cell>
          <cell r="E48">
            <v>44752</v>
          </cell>
          <cell r="F48" t="str">
            <v>工程师</v>
          </cell>
          <cell r="G48" t="str">
            <v>工程师</v>
          </cell>
          <cell r="H48" t="str">
            <v>4号楼3&amp;4车间</v>
          </cell>
          <cell r="I48" t="str">
            <v>项目组</v>
          </cell>
        </row>
        <row r="49">
          <cell r="C49" t="str">
            <v>ALS14328</v>
          </cell>
          <cell r="D49" t="str">
            <v>TJ2</v>
          </cell>
          <cell r="E49">
            <v>45847</v>
          </cell>
          <cell r="F49" t="str">
            <v>工程师</v>
          </cell>
          <cell r="G49" t="str">
            <v>工程师</v>
          </cell>
          <cell r="H49" t="str">
            <v>4号楼3&amp;4车间</v>
          </cell>
          <cell r="I49" t="str">
            <v>项目组</v>
          </cell>
        </row>
        <row r="50">
          <cell r="C50" t="str">
            <v>ALS16970</v>
          </cell>
          <cell r="D50" t="str">
            <v>TJ2</v>
          </cell>
          <cell r="E50">
            <v>46169</v>
          </cell>
          <cell r="F50" t="str">
            <v>工程师</v>
          </cell>
          <cell r="G50" t="str">
            <v>工程师</v>
          </cell>
          <cell r="H50" t="str">
            <v>4号楼3&amp;4车间</v>
          </cell>
          <cell r="I50" t="str">
            <v>项目组</v>
          </cell>
        </row>
        <row r="51">
          <cell r="C51" t="str">
            <v>LFX573</v>
          </cell>
          <cell r="D51" t="str">
            <v>TJ2</v>
          </cell>
          <cell r="E51">
            <v>44389</v>
          </cell>
          <cell r="F51" t="str">
            <v>助理工程师</v>
          </cell>
          <cell r="G51" t="str">
            <v>助理工程师</v>
          </cell>
          <cell r="H51" t="str">
            <v>4号楼3&amp;4车间</v>
          </cell>
          <cell r="I51" t="str">
            <v>项目组</v>
          </cell>
        </row>
        <row r="52">
          <cell r="C52" t="str">
            <v>ALS10340</v>
          </cell>
          <cell r="D52" t="str">
            <v>TJ2</v>
          </cell>
          <cell r="E52">
            <v>44734</v>
          </cell>
          <cell r="F52" t="str">
            <v>助理工程师</v>
          </cell>
          <cell r="G52" t="str">
            <v>助理工程师</v>
          </cell>
          <cell r="H52" t="str">
            <v>4号楼3&amp;4车间</v>
          </cell>
          <cell r="I52" t="str">
            <v>项目组</v>
          </cell>
        </row>
        <row r="53">
          <cell r="C53" t="str">
            <v>LFX859</v>
          </cell>
          <cell r="D53" t="str">
            <v>TJ2</v>
          </cell>
          <cell r="E53">
            <v>44753</v>
          </cell>
          <cell r="F53" t="str">
            <v>助理工程师</v>
          </cell>
          <cell r="G53" t="str">
            <v>助理工程师</v>
          </cell>
          <cell r="H53" t="str">
            <v>4号楼3&amp;4车间</v>
          </cell>
          <cell r="I53" t="str">
            <v>项目组</v>
          </cell>
        </row>
        <row r="54">
          <cell r="C54" t="str">
            <v>ALS11236</v>
          </cell>
          <cell r="D54" t="str">
            <v>TJ2</v>
          </cell>
          <cell r="E54">
            <v>44774</v>
          </cell>
          <cell r="F54" t="str">
            <v>助理工程师</v>
          </cell>
          <cell r="G54" t="str">
            <v>助理工程师</v>
          </cell>
          <cell r="H54" t="str">
            <v>4号楼3&amp;4车间</v>
          </cell>
          <cell r="I54" t="str">
            <v>项目组</v>
          </cell>
        </row>
        <row r="55">
          <cell r="C55" t="str">
            <v>ALS11225</v>
          </cell>
          <cell r="D55" t="str">
            <v>TJ2</v>
          </cell>
          <cell r="E55">
            <v>44774</v>
          </cell>
          <cell r="F55" t="str">
            <v>助理工程师</v>
          </cell>
          <cell r="G55" t="str">
            <v>助理工程师</v>
          </cell>
          <cell r="H55" t="str">
            <v>4号楼3&amp;4车间</v>
          </cell>
          <cell r="I55" t="str">
            <v>项目组</v>
          </cell>
        </row>
        <row r="56">
          <cell r="C56" t="str">
            <v>ALS12616</v>
          </cell>
          <cell r="D56" t="str">
            <v>TJ2</v>
          </cell>
          <cell r="E56">
            <v>45194</v>
          </cell>
          <cell r="F56" t="str">
            <v>助理工程师</v>
          </cell>
          <cell r="G56" t="str">
            <v>助理工程师</v>
          </cell>
          <cell r="H56" t="str">
            <v>4号楼3&amp;4车间</v>
          </cell>
          <cell r="I56" t="str">
            <v>项目组</v>
          </cell>
        </row>
        <row r="57">
          <cell r="C57" t="str">
            <v>ALS13499</v>
          </cell>
          <cell r="D57" t="str">
            <v>TJ2</v>
          </cell>
          <cell r="E57">
            <v>45574</v>
          </cell>
          <cell r="F57" t="str">
            <v>助理工程师</v>
          </cell>
          <cell r="G57" t="str">
            <v>助理工程师</v>
          </cell>
          <cell r="H57" t="str">
            <v>4号楼3&amp;4车间</v>
          </cell>
          <cell r="I57" t="str">
            <v>项目组</v>
          </cell>
        </row>
        <row r="58">
          <cell r="C58" t="str">
            <v>ALS16847</v>
          </cell>
          <cell r="D58" t="str">
            <v>TJ2</v>
          </cell>
          <cell r="E58">
            <v>46160</v>
          </cell>
          <cell r="F58" t="str">
            <v>助理工程师</v>
          </cell>
          <cell r="G58" t="str">
            <v>助理工程师</v>
          </cell>
          <cell r="H58" t="str">
            <v>4号楼3&amp;4车间</v>
          </cell>
          <cell r="I58" t="str">
            <v>项目组</v>
          </cell>
        </row>
        <row r="59">
          <cell r="C59" t="str">
            <v>ALS18234</v>
          </cell>
          <cell r="D59" t="str">
            <v>TJ2</v>
          </cell>
          <cell r="E59">
            <v>46239</v>
          </cell>
          <cell r="F59" t="str">
            <v>助理工程师</v>
          </cell>
          <cell r="G59" t="str">
            <v>助理工程师</v>
          </cell>
          <cell r="H59" t="str">
            <v>4号楼3&amp;4车间</v>
          </cell>
          <cell r="I59" t="str">
            <v>项目组</v>
          </cell>
        </row>
        <row r="60">
          <cell r="C60" t="str">
            <v>AMM4573</v>
          </cell>
          <cell r="D60" t="str">
            <v>TJ3</v>
          </cell>
          <cell r="E60">
            <v>45575</v>
          </cell>
          <cell r="F60" t="str">
            <v>操作工</v>
          </cell>
          <cell r="G60" t="str">
            <v>操作工</v>
          </cell>
          <cell r="H60" t="str">
            <v>4号楼3&amp;4车间</v>
          </cell>
          <cell r="I60" t="str">
            <v>项目组</v>
          </cell>
        </row>
        <row r="61">
          <cell r="C61" t="str">
            <v>FX2691</v>
          </cell>
          <cell r="D61" t="str">
            <v>TJ2</v>
          </cell>
          <cell r="E61">
            <v>42972</v>
          </cell>
          <cell r="F61" t="str">
            <v>工艺组长</v>
          </cell>
          <cell r="G61" t="str">
            <v>工艺组长</v>
          </cell>
          <cell r="H61" t="str">
            <v>4号楼3&amp;4车间</v>
          </cell>
          <cell r="I61" t="str">
            <v>项目组倒班</v>
          </cell>
        </row>
        <row r="62">
          <cell r="C62" t="str">
            <v>ALS14684</v>
          </cell>
          <cell r="D62" t="str">
            <v>TJ2</v>
          </cell>
          <cell r="E62">
            <v>45889</v>
          </cell>
          <cell r="F62" t="str">
            <v>工艺组长</v>
          </cell>
          <cell r="G62" t="str">
            <v>工艺组长</v>
          </cell>
          <cell r="H62" t="str">
            <v>4号楼3&amp;4车间</v>
          </cell>
          <cell r="I62" t="str">
            <v>项目组倒班</v>
          </cell>
        </row>
        <row r="63">
          <cell r="C63" t="str">
            <v>ALS11226</v>
          </cell>
          <cell r="D63" t="str">
            <v>TJ2</v>
          </cell>
          <cell r="E63">
            <v>44774</v>
          </cell>
          <cell r="F63" t="str">
            <v>助理工程师</v>
          </cell>
          <cell r="G63" t="str">
            <v>助理工程师</v>
          </cell>
          <cell r="H63" t="str">
            <v>4号楼3&amp;4车间</v>
          </cell>
          <cell r="I63" t="str">
            <v>项目组倒班</v>
          </cell>
        </row>
        <row r="64">
          <cell r="C64" t="str">
            <v>ALS10165</v>
          </cell>
          <cell r="D64" t="str">
            <v>TJ2</v>
          </cell>
          <cell r="E64">
            <v>44755</v>
          </cell>
          <cell r="F64" t="str">
            <v>班长</v>
          </cell>
          <cell r="G64" t="str">
            <v>班长</v>
          </cell>
          <cell r="H64" t="str">
            <v>4号楼3&amp;4车间</v>
          </cell>
          <cell r="I64" t="str">
            <v>倒班</v>
          </cell>
        </row>
        <row r="65">
          <cell r="C65" t="str">
            <v>ALS5807</v>
          </cell>
          <cell r="D65" t="str">
            <v>TJ2</v>
          </cell>
          <cell r="E65">
            <v>43817</v>
          </cell>
          <cell r="F65" t="str">
            <v>班长</v>
          </cell>
          <cell r="G65" t="str">
            <v>班长</v>
          </cell>
          <cell r="H65" t="str">
            <v>4号楼3&amp;4车间</v>
          </cell>
          <cell r="I65" t="str">
            <v>常白</v>
          </cell>
        </row>
        <row r="66">
          <cell r="C66" t="str">
            <v>FX3085</v>
          </cell>
          <cell r="D66" t="str">
            <v>TJ2</v>
          </cell>
          <cell r="E66">
            <v>43977</v>
          </cell>
          <cell r="F66" t="str">
            <v>工程师</v>
          </cell>
          <cell r="G66" t="str">
            <v>工程师</v>
          </cell>
          <cell r="H66" t="str">
            <v>4号楼3&amp;4车间</v>
          </cell>
          <cell r="I66" t="str">
            <v>常白</v>
          </cell>
        </row>
        <row r="67">
          <cell r="C67" t="str">
            <v>ALS13342</v>
          </cell>
          <cell r="D67" t="str">
            <v>TJ2</v>
          </cell>
          <cell r="E67">
            <v>45525</v>
          </cell>
          <cell r="F67" t="str">
            <v>助理工程师</v>
          </cell>
          <cell r="G67" t="str">
            <v>助理工程师</v>
          </cell>
          <cell r="H67" t="str">
            <v>4号楼3&amp;4车间</v>
          </cell>
          <cell r="I67" t="str">
            <v>常白</v>
          </cell>
        </row>
        <row r="68">
          <cell r="C68" t="str">
            <v>ALS13604</v>
          </cell>
          <cell r="D68" t="str">
            <v>TJ2</v>
          </cell>
          <cell r="E68">
            <v>45602</v>
          </cell>
          <cell r="F68" t="str">
            <v>助理工程师</v>
          </cell>
          <cell r="G68" t="str">
            <v>助理工程师</v>
          </cell>
          <cell r="H68" t="str">
            <v>4号楼3&amp;4车间</v>
          </cell>
          <cell r="I68" t="str">
            <v>常白</v>
          </cell>
        </row>
        <row r="69">
          <cell r="C69" t="str">
            <v>ALS13787</v>
          </cell>
          <cell r="D69" t="str">
            <v>TJ2</v>
          </cell>
          <cell r="E69">
            <v>45707</v>
          </cell>
          <cell r="F69" t="str">
            <v>助理工程师</v>
          </cell>
          <cell r="G69" t="str">
            <v>助理工程师</v>
          </cell>
          <cell r="H69" t="str">
            <v>4号楼3&amp;4车间</v>
          </cell>
          <cell r="I69" t="str">
            <v>常白</v>
          </cell>
        </row>
        <row r="70">
          <cell r="C70" t="str">
            <v>ALS14573</v>
          </cell>
          <cell r="D70" t="str">
            <v>TJ2</v>
          </cell>
          <cell r="E70">
            <v>45875</v>
          </cell>
          <cell r="F70" t="str">
            <v>助理工程师</v>
          </cell>
          <cell r="G70" t="str">
            <v>助理工程师</v>
          </cell>
          <cell r="H70" t="str">
            <v>4号楼3&amp;4车间</v>
          </cell>
          <cell r="I70" t="str">
            <v>常白</v>
          </cell>
        </row>
        <row r="71">
          <cell r="C71" t="str">
            <v>ALS15138</v>
          </cell>
          <cell r="D71" t="str">
            <v>TJ2</v>
          </cell>
          <cell r="E71">
            <v>45959</v>
          </cell>
          <cell r="F71" t="str">
            <v>助理工程师</v>
          </cell>
          <cell r="G71" t="str">
            <v>助理工程师</v>
          </cell>
          <cell r="H71" t="str">
            <v>4号楼3&amp;4车间</v>
          </cell>
          <cell r="I71" t="str">
            <v>常白</v>
          </cell>
        </row>
        <row r="72">
          <cell r="C72" t="str">
            <v>ALS15345</v>
          </cell>
          <cell r="D72" t="str">
            <v>TJ2</v>
          </cell>
          <cell r="E72">
            <v>45987</v>
          </cell>
          <cell r="F72" t="str">
            <v>助理工程师</v>
          </cell>
          <cell r="G72" t="str">
            <v>助理工程师</v>
          </cell>
          <cell r="H72" t="str">
            <v>4号楼3&amp;4车间</v>
          </cell>
          <cell r="I72" t="str">
            <v>常白</v>
          </cell>
        </row>
        <row r="73">
          <cell r="C73" t="str">
            <v>ALS15915</v>
          </cell>
          <cell r="D73" t="str">
            <v>TJ2</v>
          </cell>
          <cell r="E73">
            <v>46029</v>
          </cell>
          <cell r="F73" t="str">
            <v>助理工程师</v>
          </cell>
          <cell r="G73" t="str">
            <v>助理工程师</v>
          </cell>
          <cell r="H73" t="str">
            <v>4号楼3&amp;4车间</v>
          </cell>
          <cell r="I73" t="str">
            <v>常白</v>
          </cell>
        </row>
        <row r="74">
          <cell r="C74" t="str">
            <v>ALS17474</v>
          </cell>
          <cell r="D74" t="str">
            <v>TJ2</v>
          </cell>
          <cell r="E74">
            <v>46215</v>
          </cell>
          <cell r="F74" t="str">
            <v>助理工程师</v>
          </cell>
          <cell r="G74" t="str">
            <v>助理工程师</v>
          </cell>
          <cell r="H74" t="str">
            <v>4号楼3&amp;4车间</v>
          </cell>
          <cell r="I74" t="str">
            <v>常白</v>
          </cell>
        </row>
        <row r="75">
          <cell r="C75" t="str">
            <v>ALS17399</v>
          </cell>
          <cell r="D75" t="str">
            <v>TJ2</v>
          </cell>
          <cell r="E75">
            <v>46215</v>
          </cell>
          <cell r="F75" t="str">
            <v>助理工程师</v>
          </cell>
          <cell r="G75" t="str">
            <v>助理工程师</v>
          </cell>
          <cell r="H75" t="str">
            <v>4号楼3&amp;4车间</v>
          </cell>
          <cell r="I75" t="str">
            <v>常白</v>
          </cell>
        </row>
        <row r="76">
          <cell r="C76" t="str">
            <v>ALS17357</v>
          </cell>
          <cell r="D76" t="str">
            <v>TJ2</v>
          </cell>
          <cell r="E76">
            <v>46215</v>
          </cell>
          <cell r="F76" t="str">
            <v>助理工程师</v>
          </cell>
          <cell r="G76" t="str">
            <v>助理工程师</v>
          </cell>
          <cell r="H76" t="str">
            <v>4号楼3&amp;4车间</v>
          </cell>
          <cell r="I76" t="str">
            <v>常白</v>
          </cell>
        </row>
        <row r="77">
          <cell r="C77" t="str">
            <v>ALS18197</v>
          </cell>
          <cell r="D77" t="str">
            <v>TJ2</v>
          </cell>
          <cell r="E77">
            <v>46232</v>
          </cell>
          <cell r="F77" t="str">
            <v>助理工程师</v>
          </cell>
          <cell r="G77" t="str">
            <v>助理工程师</v>
          </cell>
          <cell r="H77" t="str">
            <v>4号楼3&amp;4车间</v>
          </cell>
          <cell r="I77" t="str">
            <v>常白</v>
          </cell>
        </row>
        <row r="78">
          <cell r="C78" t="str">
            <v>ALS17397</v>
          </cell>
          <cell r="D78" t="str">
            <v>TJ2</v>
          </cell>
          <cell r="E78">
            <v>46232</v>
          </cell>
          <cell r="F78" t="str">
            <v>助理工程师</v>
          </cell>
          <cell r="G78" t="str">
            <v>助理工程师</v>
          </cell>
          <cell r="H78" t="str">
            <v>4号楼3&amp;4车间</v>
          </cell>
          <cell r="I78" t="str">
            <v>常白</v>
          </cell>
        </row>
        <row r="79">
          <cell r="C79" t="str">
            <v>ALS18196</v>
          </cell>
          <cell r="D79" t="str">
            <v>TJ2</v>
          </cell>
          <cell r="E79">
            <v>46232</v>
          </cell>
          <cell r="F79" t="str">
            <v>助理工程师</v>
          </cell>
          <cell r="G79" t="str">
            <v>助理工程师</v>
          </cell>
          <cell r="H79" t="str">
            <v>4号楼3&amp;4车间</v>
          </cell>
          <cell r="I79" t="str">
            <v>常白</v>
          </cell>
        </row>
        <row r="80">
          <cell r="C80" t="str">
            <v>ALS18152</v>
          </cell>
          <cell r="D80" t="str">
            <v>TJ2</v>
          </cell>
          <cell r="E80">
            <v>46232</v>
          </cell>
          <cell r="F80" t="str">
            <v>助理工程师</v>
          </cell>
          <cell r="G80" t="str">
            <v>助理工程师</v>
          </cell>
          <cell r="H80" t="str">
            <v>4号楼3&amp;4车间</v>
          </cell>
          <cell r="I80" t="str">
            <v>常白</v>
          </cell>
        </row>
        <row r="81">
          <cell r="C81" t="str">
            <v>ALS13065</v>
          </cell>
          <cell r="D81" t="str">
            <v>TJ2</v>
          </cell>
          <cell r="E81">
            <v>45476</v>
          </cell>
          <cell r="F81" t="str">
            <v>操作工</v>
          </cell>
          <cell r="G81" t="str">
            <v>操作工</v>
          </cell>
          <cell r="H81" t="str">
            <v>4号楼3&amp;4车间</v>
          </cell>
          <cell r="I81" t="str">
            <v>常白</v>
          </cell>
        </row>
        <row r="82">
          <cell r="C82" t="str">
            <v>ALS14747</v>
          </cell>
          <cell r="D82" t="str">
            <v>TJ2</v>
          </cell>
          <cell r="E82">
            <v>45896</v>
          </cell>
          <cell r="F82" t="str">
            <v>操作工</v>
          </cell>
          <cell r="G82" t="str">
            <v>操作工</v>
          </cell>
          <cell r="H82" t="str">
            <v>4号楼3&amp;4车间</v>
          </cell>
          <cell r="I82" t="str">
            <v>常白</v>
          </cell>
        </row>
        <row r="83">
          <cell r="C83" t="str">
            <v>ALS14576</v>
          </cell>
          <cell r="D83" t="str">
            <v>TJ2</v>
          </cell>
          <cell r="E83">
            <v>45875</v>
          </cell>
          <cell r="F83" t="str">
            <v>操作工</v>
          </cell>
          <cell r="G83" t="str">
            <v>操作工</v>
          </cell>
          <cell r="H83" t="str">
            <v>4号楼3&amp;4车间</v>
          </cell>
          <cell r="I83" t="str">
            <v>常白</v>
          </cell>
        </row>
        <row r="84">
          <cell r="C84" t="str">
            <v>ALS16413</v>
          </cell>
          <cell r="D84" t="str">
            <v>TJ2</v>
          </cell>
          <cell r="E84">
            <v>46127</v>
          </cell>
          <cell r="F84" t="str">
            <v>操作工</v>
          </cell>
          <cell r="G84" t="str">
            <v>操作工</v>
          </cell>
          <cell r="H84" t="str">
            <v>4号楼3&amp;4车间</v>
          </cell>
          <cell r="I84" t="str">
            <v>常白</v>
          </cell>
        </row>
        <row r="85">
          <cell r="C85" t="str">
            <v>ALS18060</v>
          </cell>
          <cell r="D85" t="str">
            <v>TJ2</v>
          </cell>
          <cell r="E85">
            <v>46225</v>
          </cell>
          <cell r="F85" t="str">
            <v>操作工</v>
          </cell>
          <cell r="G85" t="str">
            <v>操作工</v>
          </cell>
          <cell r="H85" t="str">
            <v>4号楼3&amp;4车间</v>
          </cell>
          <cell r="I85" t="str">
            <v>常白</v>
          </cell>
        </row>
        <row r="86">
          <cell r="C86" t="str">
            <v>ALS16988</v>
          </cell>
          <cell r="D86" t="str">
            <v>TJ2</v>
          </cell>
          <cell r="E86">
            <v>46169</v>
          </cell>
          <cell r="F86" t="str">
            <v>助理工程师</v>
          </cell>
          <cell r="G86" t="str">
            <v>助理工程师</v>
          </cell>
          <cell r="H86" t="str">
            <v>12号楼（4号楼委培）</v>
          </cell>
          <cell r="I86" t="str">
            <v>常白</v>
          </cell>
        </row>
        <row r="87">
          <cell r="C87" t="str">
            <v>ALS17425</v>
          </cell>
          <cell r="D87" t="str">
            <v>TJ2</v>
          </cell>
          <cell r="E87">
            <v>46215</v>
          </cell>
          <cell r="F87" t="str">
            <v>助理工程师</v>
          </cell>
          <cell r="G87" t="str">
            <v>助理工程师</v>
          </cell>
          <cell r="H87" t="str">
            <v>12号楼（4号楼委培）</v>
          </cell>
          <cell r="I87" t="str">
            <v>常白</v>
          </cell>
        </row>
        <row r="88">
          <cell r="C88" t="str">
            <v>ALS17421</v>
          </cell>
          <cell r="D88" t="str">
            <v>TJ2</v>
          </cell>
          <cell r="E88">
            <v>46215</v>
          </cell>
          <cell r="F88" t="str">
            <v>助理工程师</v>
          </cell>
          <cell r="G88" t="str">
            <v>助理工程师</v>
          </cell>
          <cell r="H88" t="str">
            <v>12号楼（4号楼委培）</v>
          </cell>
          <cell r="I88" t="str">
            <v>常白</v>
          </cell>
        </row>
        <row r="89">
          <cell r="C89" t="str">
            <v>ALS17422</v>
          </cell>
          <cell r="D89" t="str">
            <v>TJ2</v>
          </cell>
          <cell r="E89">
            <v>46232</v>
          </cell>
          <cell r="F89" t="str">
            <v>助理工程师</v>
          </cell>
          <cell r="G89" t="str">
            <v>助理工程师</v>
          </cell>
          <cell r="H89" t="str">
            <v>12号楼（4号楼委培）</v>
          </cell>
          <cell r="I89" t="str">
            <v>常白</v>
          </cell>
        </row>
        <row r="90">
          <cell r="C90" t="str">
            <v>ALS17438</v>
          </cell>
          <cell r="D90" t="str">
            <v>TJ2</v>
          </cell>
          <cell r="E90">
            <v>46215</v>
          </cell>
          <cell r="F90" t="str">
            <v>助理工程师</v>
          </cell>
          <cell r="G90" t="str">
            <v>助理工程师</v>
          </cell>
          <cell r="H90" t="str">
            <v>12号楼（4号楼委培）</v>
          </cell>
          <cell r="I90" t="str">
            <v>常白</v>
          </cell>
        </row>
        <row r="91">
          <cell r="C91" t="str">
            <v>ALS17435</v>
          </cell>
          <cell r="D91" t="str">
            <v>TJ2</v>
          </cell>
          <cell r="E91">
            <v>46215</v>
          </cell>
          <cell r="F91" t="str">
            <v>助理工程师</v>
          </cell>
          <cell r="G91" t="str">
            <v>助理工程师</v>
          </cell>
          <cell r="H91" t="str">
            <v>12号楼（4号楼委培）</v>
          </cell>
          <cell r="I91" t="str">
            <v>常白</v>
          </cell>
        </row>
        <row r="92">
          <cell r="C92" t="str">
            <v>ALS18093</v>
          </cell>
          <cell r="D92" t="str">
            <v>TJ2</v>
          </cell>
          <cell r="E92">
            <v>46225</v>
          </cell>
          <cell r="F92" t="str">
            <v>操作工</v>
          </cell>
          <cell r="G92" t="str">
            <v>实习生</v>
          </cell>
          <cell r="H92" t="str">
            <v>13号楼（4号楼委培）</v>
          </cell>
          <cell r="I92" t="str">
            <v>常白</v>
          </cell>
        </row>
        <row r="93">
          <cell r="C93" t="str">
            <v>ALS18095</v>
          </cell>
          <cell r="D93" t="str">
            <v>TJ2</v>
          </cell>
          <cell r="E93">
            <v>46225</v>
          </cell>
          <cell r="F93" t="str">
            <v>操作工</v>
          </cell>
          <cell r="G93" t="str">
            <v>实习生</v>
          </cell>
          <cell r="H93" t="str">
            <v>13号楼（4号楼委培）</v>
          </cell>
          <cell r="I93" t="str">
            <v>常白</v>
          </cell>
        </row>
        <row r="94">
          <cell r="C94" t="str">
            <v>ALS10335</v>
          </cell>
          <cell r="D94" t="str">
            <v>TJ2</v>
          </cell>
          <cell r="E94">
            <v>44734</v>
          </cell>
          <cell r="F94" t="str">
            <v>助理工程师</v>
          </cell>
          <cell r="G94" t="str">
            <v>班长</v>
          </cell>
          <cell r="H94" t="str">
            <v>4号楼3&amp;4车间</v>
          </cell>
          <cell r="I94" t="str">
            <v>班组</v>
          </cell>
        </row>
        <row r="95">
          <cell r="C95" t="str">
            <v>ALS12614</v>
          </cell>
          <cell r="D95" t="str">
            <v>TJ2</v>
          </cell>
          <cell r="E95">
            <v>45194</v>
          </cell>
          <cell r="F95" t="str">
            <v>助理工程师</v>
          </cell>
          <cell r="G95" t="str">
            <v>助理工程师</v>
          </cell>
          <cell r="H95" t="str">
            <v>4号楼3&amp;4车间</v>
          </cell>
          <cell r="I95" t="str">
            <v>班组</v>
          </cell>
        </row>
        <row r="96">
          <cell r="C96" t="str">
            <v>ALS13611</v>
          </cell>
          <cell r="D96" t="str">
            <v>TJ2</v>
          </cell>
          <cell r="E96">
            <v>45607</v>
          </cell>
          <cell r="F96" t="str">
            <v>助理工程师</v>
          </cell>
          <cell r="G96" t="str">
            <v>助理工程师</v>
          </cell>
          <cell r="H96" t="str">
            <v>4号楼3&amp;4车间</v>
          </cell>
          <cell r="I96" t="str">
            <v>班组</v>
          </cell>
        </row>
        <row r="97">
          <cell r="C97" t="str">
            <v>ALS13665</v>
          </cell>
          <cell r="D97" t="str">
            <v>TJ2</v>
          </cell>
          <cell r="E97">
            <v>45623</v>
          </cell>
          <cell r="F97" t="str">
            <v>助理工程师</v>
          </cell>
          <cell r="G97" t="str">
            <v>助理工程师</v>
          </cell>
          <cell r="H97" t="str">
            <v>4号楼3&amp;4车间</v>
          </cell>
          <cell r="I97" t="str">
            <v>班组</v>
          </cell>
        </row>
        <row r="98">
          <cell r="C98" t="str">
            <v>ALS13669</v>
          </cell>
          <cell r="D98" t="str">
            <v>TJ2</v>
          </cell>
          <cell r="E98">
            <v>45628</v>
          </cell>
          <cell r="F98" t="str">
            <v>助理工程师</v>
          </cell>
          <cell r="G98" t="str">
            <v>助理工程师</v>
          </cell>
          <cell r="H98" t="str">
            <v>4号楼3&amp;4车间</v>
          </cell>
          <cell r="I98" t="str">
            <v>班组</v>
          </cell>
        </row>
        <row r="99">
          <cell r="C99" t="str">
            <v>ALS14026</v>
          </cell>
          <cell r="D99" t="str">
            <v>TJ2</v>
          </cell>
          <cell r="E99">
            <v>45791</v>
          </cell>
          <cell r="F99" t="str">
            <v>助理工程师</v>
          </cell>
          <cell r="G99" t="str">
            <v>助理工程师</v>
          </cell>
          <cell r="H99" t="str">
            <v>4号楼3&amp;4车间</v>
          </cell>
          <cell r="I99" t="str">
            <v>班组</v>
          </cell>
        </row>
        <row r="100">
          <cell r="C100" t="str">
            <v>ALS14610</v>
          </cell>
          <cell r="D100" t="str">
            <v>TJ2</v>
          </cell>
          <cell r="E100">
            <v>45889</v>
          </cell>
          <cell r="F100" t="str">
            <v>助理工程师</v>
          </cell>
          <cell r="G100" t="str">
            <v>助理工程师</v>
          </cell>
          <cell r="H100" t="str">
            <v>4号楼3&amp;4车间</v>
          </cell>
          <cell r="I100" t="str">
            <v>班组</v>
          </cell>
        </row>
        <row r="101">
          <cell r="C101" t="str">
            <v>ALS15889</v>
          </cell>
          <cell r="D101" t="str">
            <v>TJ2</v>
          </cell>
          <cell r="E101">
            <v>46029</v>
          </cell>
          <cell r="F101" t="str">
            <v>助理工程师</v>
          </cell>
          <cell r="G101" t="str">
            <v>助理工程师</v>
          </cell>
          <cell r="H101" t="str">
            <v>4号楼3&amp;4车间</v>
          </cell>
          <cell r="I101" t="str">
            <v>班组</v>
          </cell>
        </row>
        <row r="102">
          <cell r="C102" t="str">
            <v>ALS17605</v>
          </cell>
          <cell r="D102" t="str">
            <v>TJ2</v>
          </cell>
          <cell r="E102">
            <v>46197</v>
          </cell>
          <cell r="F102" t="str">
            <v>助理工程师</v>
          </cell>
          <cell r="G102" t="str">
            <v>助理工程师</v>
          </cell>
          <cell r="H102" t="str">
            <v>4号楼3&amp;4车间</v>
          </cell>
          <cell r="I102" t="str">
            <v>班组</v>
          </cell>
        </row>
        <row r="103">
          <cell r="C103" t="str">
            <v>ALS9146</v>
          </cell>
          <cell r="D103" t="str">
            <v>TJ2</v>
          </cell>
          <cell r="E103">
            <v>44620</v>
          </cell>
          <cell r="F103" t="str">
            <v>操作工</v>
          </cell>
          <cell r="G103" t="str">
            <v>操作工</v>
          </cell>
          <cell r="H103" t="str">
            <v>4号楼3&amp;4车间</v>
          </cell>
          <cell r="I103" t="str">
            <v>班组</v>
          </cell>
        </row>
        <row r="104">
          <cell r="C104" t="str">
            <v>ALS13686</v>
          </cell>
          <cell r="D104" t="str">
            <v>TJ2</v>
          </cell>
          <cell r="E104">
            <v>45630</v>
          </cell>
          <cell r="F104" t="str">
            <v>操作工</v>
          </cell>
          <cell r="G104" t="str">
            <v>操作工</v>
          </cell>
          <cell r="H104" t="str">
            <v>4号楼3&amp;4车间</v>
          </cell>
          <cell r="I104" t="str">
            <v>班组</v>
          </cell>
        </row>
        <row r="105">
          <cell r="C105" t="str">
            <v>ALS13794</v>
          </cell>
          <cell r="D105" t="str">
            <v>TJ2</v>
          </cell>
          <cell r="E105">
            <v>45700</v>
          </cell>
          <cell r="F105" t="str">
            <v>操作工</v>
          </cell>
          <cell r="G105" t="str">
            <v>操作工</v>
          </cell>
          <cell r="H105" t="str">
            <v>4号楼3&amp;4车间</v>
          </cell>
          <cell r="I105" t="str">
            <v>班组</v>
          </cell>
        </row>
        <row r="106">
          <cell r="C106" t="str">
            <v>ALS15268</v>
          </cell>
          <cell r="D106" t="str">
            <v>TJ2</v>
          </cell>
          <cell r="E106">
            <v>45973</v>
          </cell>
          <cell r="F106" t="str">
            <v>操作工</v>
          </cell>
          <cell r="G106" t="str">
            <v>操作工</v>
          </cell>
          <cell r="H106" t="str">
            <v>4号楼3&amp;4车间</v>
          </cell>
          <cell r="I106" t="str">
            <v>班组</v>
          </cell>
        </row>
        <row r="107">
          <cell r="C107" t="str">
            <v>ALS16434</v>
          </cell>
          <cell r="D107" t="str">
            <v>TJ2</v>
          </cell>
          <cell r="E107">
            <v>46127</v>
          </cell>
          <cell r="F107" t="str">
            <v>操作工</v>
          </cell>
          <cell r="G107" t="str">
            <v>操作工</v>
          </cell>
          <cell r="H107" t="str">
            <v>4号楼3&amp;4车间</v>
          </cell>
          <cell r="I107" t="str">
            <v>班组</v>
          </cell>
        </row>
        <row r="108">
          <cell r="C108" t="str">
            <v>ALS10175</v>
          </cell>
          <cell r="D108" t="str">
            <v>TJ2</v>
          </cell>
          <cell r="E108">
            <v>44755</v>
          </cell>
          <cell r="F108" t="str">
            <v>班长</v>
          </cell>
          <cell r="G108" t="str">
            <v>班长</v>
          </cell>
          <cell r="H108" t="str">
            <v>4号楼3&amp;4车间</v>
          </cell>
          <cell r="I108" t="str">
            <v>班组</v>
          </cell>
        </row>
        <row r="109">
          <cell r="C109" t="str">
            <v>ALS11791</v>
          </cell>
          <cell r="D109" t="str">
            <v>TJ2</v>
          </cell>
          <cell r="E109">
            <v>45000</v>
          </cell>
          <cell r="F109" t="str">
            <v>助理工程师</v>
          </cell>
          <cell r="G109" t="str">
            <v>助理工程师</v>
          </cell>
          <cell r="H109" t="str">
            <v>4号楼3&amp;4车间</v>
          </cell>
          <cell r="I109" t="str">
            <v>班组</v>
          </cell>
        </row>
        <row r="110">
          <cell r="C110" t="str">
            <v>ALS10317</v>
          </cell>
          <cell r="D110" t="str">
            <v>TJ2</v>
          </cell>
          <cell r="E110">
            <v>44734</v>
          </cell>
          <cell r="F110" t="str">
            <v>助理工程师</v>
          </cell>
          <cell r="G110" t="str">
            <v>助理工程师</v>
          </cell>
          <cell r="H110" t="str">
            <v>4号楼3&amp;4车间</v>
          </cell>
          <cell r="I110" t="str">
            <v>班组</v>
          </cell>
        </row>
        <row r="111">
          <cell r="C111" t="str">
            <v>ALS13605</v>
          </cell>
          <cell r="D111" t="str">
            <v>TJ2</v>
          </cell>
          <cell r="E111">
            <v>45602</v>
          </cell>
          <cell r="F111" t="str">
            <v>助理工程师</v>
          </cell>
          <cell r="G111" t="str">
            <v>助理工程师</v>
          </cell>
          <cell r="H111" t="str">
            <v>4号楼3&amp;4车间</v>
          </cell>
          <cell r="I111" t="str">
            <v>班组</v>
          </cell>
        </row>
        <row r="112">
          <cell r="C112" t="str">
            <v>ALS14129</v>
          </cell>
          <cell r="D112" t="str">
            <v>TJ2</v>
          </cell>
          <cell r="E112">
            <v>45819</v>
          </cell>
          <cell r="F112" t="str">
            <v>助理工程师</v>
          </cell>
          <cell r="G112" t="str">
            <v>助理工程师</v>
          </cell>
          <cell r="H112" t="str">
            <v>4号楼3&amp;4车间</v>
          </cell>
          <cell r="I112" t="str">
            <v>班组</v>
          </cell>
        </row>
        <row r="113">
          <cell r="C113" t="str">
            <v>ALS13784</v>
          </cell>
          <cell r="D113" t="str">
            <v>TJ2</v>
          </cell>
          <cell r="E113">
            <v>45700</v>
          </cell>
          <cell r="F113" t="str">
            <v>助理工程师</v>
          </cell>
          <cell r="G113" t="str">
            <v>助理工程师</v>
          </cell>
          <cell r="H113" t="str">
            <v>4号楼3&amp;4车间</v>
          </cell>
          <cell r="I113" t="str">
            <v>班组</v>
          </cell>
        </row>
        <row r="114">
          <cell r="C114" t="str">
            <v>ALS14236</v>
          </cell>
          <cell r="D114" t="str">
            <v>TJ2</v>
          </cell>
          <cell r="E114">
            <v>45840</v>
          </cell>
          <cell r="F114" t="str">
            <v>助理工程师</v>
          </cell>
          <cell r="G114" t="str">
            <v>助理工程师</v>
          </cell>
          <cell r="H114" t="str">
            <v>4号楼3&amp;4车间</v>
          </cell>
          <cell r="I114" t="str">
            <v>班组</v>
          </cell>
        </row>
        <row r="115">
          <cell r="C115" t="str">
            <v>ALS14574</v>
          </cell>
          <cell r="D115" t="str">
            <v>TJ2</v>
          </cell>
          <cell r="E115">
            <v>45875</v>
          </cell>
          <cell r="F115" t="str">
            <v>助理工程师</v>
          </cell>
          <cell r="G115" t="str">
            <v>助理工程师</v>
          </cell>
          <cell r="H115" t="str">
            <v>4号楼3&amp;4车间</v>
          </cell>
          <cell r="I115" t="str">
            <v>班组</v>
          </cell>
        </row>
        <row r="116">
          <cell r="C116" t="str">
            <v>ALS13442</v>
          </cell>
          <cell r="D116" t="str">
            <v>TJ2</v>
          </cell>
          <cell r="E116">
            <v>45546</v>
          </cell>
          <cell r="F116" t="str">
            <v>助理工程师</v>
          </cell>
          <cell r="G116" t="str">
            <v>助理工程师</v>
          </cell>
          <cell r="H116" t="str">
            <v>4号楼3&amp;4车间</v>
          </cell>
          <cell r="I116" t="str">
            <v>班组</v>
          </cell>
        </row>
        <row r="117">
          <cell r="C117" t="str">
            <v>ALS17602</v>
          </cell>
          <cell r="D117" t="str">
            <v>TJ2</v>
          </cell>
          <cell r="E117">
            <v>46197</v>
          </cell>
          <cell r="F117" t="str">
            <v>助理工程师</v>
          </cell>
          <cell r="G117" t="str">
            <v>助理工程师</v>
          </cell>
          <cell r="H117" t="str">
            <v>4号楼3&amp;4车间</v>
          </cell>
          <cell r="I117" t="str">
            <v>班组</v>
          </cell>
        </row>
        <row r="118">
          <cell r="C118" t="str">
            <v>ALS13514</v>
          </cell>
          <cell r="D118" t="str">
            <v>TJ2</v>
          </cell>
          <cell r="E118">
            <v>45574</v>
          </cell>
          <cell r="F118" t="str">
            <v>操作工</v>
          </cell>
          <cell r="G118" t="str">
            <v>操作工</v>
          </cell>
          <cell r="H118" t="str">
            <v>4号楼3&amp;4车间</v>
          </cell>
          <cell r="I118" t="str">
            <v>班组</v>
          </cell>
        </row>
        <row r="119">
          <cell r="C119" t="str">
            <v>ALS13851</v>
          </cell>
          <cell r="D119" t="str">
            <v>TJ2</v>
          </cell>
          <cell r="E119">
            <v>45735</v>
          </cell>
          <cell r="F119" t="str">
            <v>操作工</v>
          </cell>
          <cell r="G119" t="str">
            <v>操作工</v>
          </cell>
          <cell r="H119" t="str">
            <v>4号楼3&amp;4车间</v>
          </cell>
          <cell r="I119" t="str">
            <v>班组</v>
          </cell>
        </row>
        <row r="120">
          <cell r="C120" t="str">
            <v>ALS14333</v>
          </cell>
          <cell r="D120" t="str">
            <v>TJ2</v>
          </cell>
          <cell r="E120">
            <v>45847</v>
          </cell>
          <cell r="F120" t="str">
            <v>操作工</v>
          </cell>
          <cell r="G120" t="str">
            <v>操作工</v>
          </cell>
          <cell r="H120" t="str">
            <v>4号楼3&amp;4车间</v>
          </cell>
          <cell r="I120" t="str">
            <v>班组</v>
          </cell>
        </row>
        <row r="121">
          <cell r="C121" t="str">
            <v>ALS14470</v>
          </cell>
          <cell r="D121" t="str">
            <v>TJ2</v>
          </cell>
          <cell r="E121">
            <v>45861</v>
          </cell>
          <cell r="F121" t="str">
            <v>操作工</v>
          </cell>
          <cell r="G121" t="str">
            <v>操作工</v>
          </cell>
          <cell r="H121" t="str">
            <v>4号楼3&amp;4车间</v>
          </cell>
          <cell r="I121" t="str">
            <v>班组</v>
          </cell>
        </row>
        <row r="122">
          <cell r="C122" t="str">
            <v>ALS15396</v>
          </cell>
          <cell r="D122" t="str">
            <v>TJ2</v>
          </cell>
          <cell r="E122">
            <v>45980</v>
          </cell>
          <cell r="F122" t="str">
            <v>操作工</v>
          </cell>
          <cell r="G122" t="str">
            <v>操作工</v>
          </cell>
          <cell r="H122" t="str">
            <v>4号楼3&amp;4车间</v>
          </cell>
          <cell r="I122" t="str">
            <v>班组</v>
          </cell>
        </row>
        <row r="123">
          <cell r="C123" t="str">
            <v>ALS10327</v>
          </cell>
          <cell r="D123" t="str">
            <v>TJ2</v>
          </cell>
          <cell r="E123">
            <v>44734</v>
          </cell>
          <cell r="F123" t="str">
            <v>班长</v>
          </cell>
          <cell r="G123" t="str">
            <v>班长</v>
          </cell>
          <cell r="H123" t="str">
            <v>4号楼3&amp;4车间</v>
          </cell>
          <cell r="I123" t="str">
            <v>班组</v>
          </cell>
        </row>
        <row r="124">
          <cell r="C124" t="str">
            <v>ALS8328</v>
          </cell>
          <cell r="D124" t="str">
            <v>TJ2</v>
          </cell>
          <cell r="E124">
            <v>44454</v>
          </cell>
          <cell r="F124" t="str">
            <v>班长</v>
          </cell>
          <cell r="G124" t="str">
            <v>班长</v>
          </cell>
          <cell r="H124" t="str">
            <v>4号楼3&amp;4车间</v>
          </cell>
          <cell r="I124" t="str">
            <v>班组</v>
          </cell>
        </row>
        <row r="125">
          <cell r="C125" t="str">
            <v>ALS5619</v>
          </cell>
          <cell r="D125" t="str">
            <v>TJ2</v>
          </cell>
          <cell r="E125">
            <v>43677</v>
          </cell>
          <cell r="F125" t="str">
            <v>工程师</v>
          </cell>
          <cell r="G125" t="str">
            <v>工程师</v>
          </cell>
          <cell r="H125" t="str">
            <v>4号楼3&amp;4车间</v>
          </cell>
          <cell r="I125" t="str">
            <v>班组</v>
          </cell>
        </row>
        <row r="126">
          <cell r="C126" t="str">
            <v>ALS13022</v>
          </cell>
          <cell r="D126" t="str">
            <v>TJ2</v>
          </cell>
          <cell r="E126">
            <v>45469</v>
          </cell>
          <cell r="F126" t="str">
            <v>助理工程师</v>
          </cell>
          <cell r="G126" t="str">
            <v>助理工程师</v>
          </cell>
          <cell r="H126" t="str">
            <v>4号楼3&amp;4车间</v>
          </cell>
          <cell r="I126" t="str">
            <v>班组</v>
          </cell>
        </row>
        <row r="127">
          <cell r="C127" t="str">
            <v>ALS10328</v>
          </cell>
          <cell r="D127" t="str">
            <v>TJ2</v>
          </cell>
          <cell r="E127">
            <v>44734</v>
          </cell>
          <cell r="F127" t="str">
            <v>助理工程师</v>
          </cell>
          <cell r="G127" t="str">
            <v>助理工程师</v>
          </cell>
          <cell r="H127" t="str">
            <v>4号楼3&amp;4车间</v>
          </cell>
          <cell r="I127" t="str">
            <v>班组</v>
          </cell>
        </row>
        <row r="128">
          <cell r="C128" t="str">
            <v>AMM4102</v>
          </cell>
          <cell r="D128" t="str">
            <v>TJ3</v>
          </cell>
          <cell r="E128">
            <v>45392</v>
          </cell>
          <cell r="F128" t="str">
            <v>助理工程师</v>
          </cell>
          <cell r="G128" t="str">
            <v>助理工程师</v>
          </cell>
          <cell r="H128" t="str">
            <v>4号楼3&amp;4车间</v>
          </cell>
          <cell r="I128" t="str">
            <v>班组</v>
          </cell>
        </row>
        <row r="129">
          <cell r="C129" t="str">
            <v>ALS13727</v>
          </cell>
          <cell r="D129" t="str">
            <v>TJ2</v>
          </cell>
          <cell r="E129">
            <v>45649</v>
          </cell>
          <cell r="F129" t="str">
            <v>助理工程师</v>
          </cell>
          <cell r="G129" t="str">
            <v>助理工程师</v>
          </cell>
          <cell r="H129" t="str">
            <v>4号楼3&amp;4车间</v>
          </cell>
          <cell r="I129" t="str">
            <v>班组</v>
          </cell>
        </row>
        <row r="130">
          <cell r="C130" t="str">
            <v>ALS13789</v>
          </cell>
          <cell r="D130" t="str">
            <v>TJ2</v>
          </cell>
          <cell r="E130">
            <v>45700</v>
          </cell>
          <cell r="F130" t="str">
            <v>助理工程师</v>
          </cell>
          <cell r="G130" t="str">
            <v>助理工程师</v>
          </cell>
          <cell r="H130" t="str">
            <v>4号楼3&amp;4车间</v>
          </cell>
          <cell r="I130" t="str">
            <v>班组</v>
          </cell>
        </row>
        <row r="131">
          <cell r="C131" t="str">
            <v>ALS13786</v>
          </cell>
          <cell r="D131" t="str">
            <v>TJ2</v>
          </cell>
          <cell r="E131">
            <v>45700</v>
          </cell>
          <cell r="F131" t="str">
            <v>助理工程师</v>
          </cell>
          <cell r="G131" t="str">
            <v>助理工程师</v>
          </cell>
          <cell r="H131" t="str">
            <v>4号楼3&amp;4车间</v>
          </cell>
          <cell r="I131" t="str">
            <v>班组</v>
          </cell>
        </row>
        <row r="132">
          <cell r="C132" t="str">
            <v>ALS14154</v>
          </cell>
          <cell r="D132" t="str">
            <v>TJ2</v>
          </cell>
          <cell r="E132">
            <v>45826</v>
          </cell>
          <cell r="F132" t="str">
            <v>助理工程师</v>
          </cell>
          <cell r="G132" t="str">
            <v>助理工程师</v>
          </cell>
          <cell r="H132" t="str">
            <v>4号楼3&amp;4车间</v>
          </cell>
          <cell r="I132" t="str">
            <v>班组</v>
          </cell>
        </row>
        <row r="133">
          <cell r="C133" t="str">
            <v>ALS14632</v>
          </cell>
          <cell r="D133" t="str">
            <v>TJ2</v>
          </cell>
          <cell r="E133">
            <v>45882</v>
          </cell>
          <cell r="F133" t="str">
            <v>助理工程师</v>
          </cell>
          <cell r="G133" t="str">
            <v>助理工程师</v>
          </cell>
          <cell r="H133" t="str">
            <v>4号楼3&amp;4车间</v>
          </cell>
          <cell r="I133" t="str">
            <v>班组</v>
          </cell>
        </row>
        <row r="134">
          <cell r="C134" t="str">
            <v>AMM4694</v>
          </cell>
          <cell r="D134" t="str">
            <v>TJ3</v>
          </cell>
          <cell r="E134">
            <v>45763</v>
          </cell>
          <cell r="F134" t="str">
            <v>操作工</v>
          </cell>
          <cell r="G134" t="str">
            <v>操作工</v>
          </cell>
          <cell r="H134" t="str">
            <v>4号楼3&amp;4车间</v>
          </cell>
          <cell r="I134" t="str">
            <v>班组</v>
          </cell>
        </row>
        <row r="135">
          <cell r="C135" t="str">
            <v>ALS14426</v>
          </cell>
          <cell r="D135" t="str">
            <v>TJ2</v>
          </cell>
          <cell r="E135">
            <v>45854</v>
          </cell>
          <cell r="F135" t="str">
            <v>操作工</v>
          </cell>
          <cell r="G135" t="str">
            <v>操作工</v>
          </cell>
          <cell r="H135" t="str">
            <v>4号楼3&amp;4车间</v>
          </cell>
          <cell r="I135" t="str">
            <v>班组</v>
          </cell>
        </row>
        <row r="136">
          <cell r="C136" t="str">
            <v>ALS17527</v>
          </cell>
          <cell r="D136" t="str">
            <v>TJ2</v>
          </cell>
          <cell r="E136">
            <v>46195</v>
          </cell>
          <cell r="F136" t="str">
            <v>操作工</v>
          </cell>
          <cell r="G136" t="str">
            <v>实习生</v>
          </cell>
          <cell r="H136" t="str">
            <v>4号楼3&amp;4车间</v>
          </cell>
          <cell r="I136" t="str">
            <v>班组</v>
          </cell>
        </row>
        <row r="137">
          <cell r="C137" t="str">
            <v>ALS11936</v>
          </cell>
          <cell r="D137" t="str">
            <v>TJ2</v>
          </cell>
          <cell r="E137">
            <v>45056</v>
          </cell>
          <cell r="F137" t="str">
            <v>班长</v>
          </cell>
          <cell r="G137" t="str">
            <v>班长</v>
          </cell>
          <cell r="H137" t="str">
            <v>4号楼3&amp;4车间</v>
          </cell>
          <cell r="I137" t="str">
            <v>班组</v>
          </cell>
        </row>
        <row r="138">
          <cell r="C138" t="str">
            <v>ALS12754</v>
          </cell>
          <cell r="D138" t="str">
            <v>TJ2</v>
          </cell>
          <cell r="E138">
            <v>45231</v>
          </cell>
          <cell r="F138" t="str">
            <v>助理工程师</v>
          </cell>
          <cell r="G138" t="str">
            <v>助理工程师</v>
          </cell>
          <cell r="H138" t="str">
            <v>4号楼3&amp;4车间</v>
          </cell>
          <cell r="I138" t="str">
            <v>班组</v>
          </cell>
        </row>
        <row r="139">
          <cell r="C139" t="str">
            <v>ALS12598</v>
          </cell>
          <cell r="D139" t="str">
            <v>TJ2</v>
          </cell>
          <cell r="E139">
            <v>45194</v>
          </cell>
          <cell r="F139" t="str">
            <v>助理工程师</v>
          </cell>
          <cell r="G139" t="str">
            <v>助理工程师</v>
          </cell>
          <cell r="H139" t="str">
            <v>4号楼3&amp;4车间</v>
          </cell>
          <cell r="I139" t="str">
            <v>班组</v>
          </cell>
        </row>
        <row r="140">
          <cell r="C140" t="str">
            <v>LFX577</v>
          </cell>
          <cell r="D140" t="str">
            <v>TJ2</v>
          </cell>
          <cell r="E140">
            <v>44389</v>
          </cell>
          <cell r="F140" t="str">
            <v>助理工程师</v>
          </cell>
          <cell r="G140" t="str">
            <v>助理工程师</v>
          </cell>
          <cell r="H140" t="str">
            <v>4号楼3&amp;4车间</v>
          </cell>
          <cell r="I140" t="str">
            <v>班组</v>
          </cell>
        </row>
        <row r="141">
          <cell r="C141" t="str">
            <v>ALS13610</v>
          </cell>
          <cell r="D141" t="str">
            <v>TJ2</v>
          </cell>
          <cell r="E141">
            <v>45607</v>
          </cell>
          <cell r="F141" t="str">
            <v>助理工程师</v>
          </cell>
          <cell r="G141" t="str">
            <v>助理工程师</v>
          </cell>
          <cell r="H141" t="str">
            <v>4号楼3&amp;4车间</v>
          </cell>
          <cell r="I141" t="str">
            <v>班组</v>
          </cell>
        </row>
        <row r="142">
          <cell r="C142" t="str">
            <v>ALS13931</v>
          </cell>
          <cell r="D142" t="str">
            <v>TJ2</v>
          </cell>
          <cell r="E142">
            <v>45770</v>
          </cell>
          <cell r="F142" t="str">
            <v>助理工程师</v>
          </cell>
          <cell r="G142" t="str">
            <v>助理工程师</v>
          </cell>
          <cell r="H142" t="str">
            <v>4号楼3&amp;4车间</v>
          </cell>
          <cell r="I142" t="str">
            <v>班组</v>
          </cell>
        </row>
        <row r="143">
          <cell r="C143" t="str">
            <v>ALS13785</v>
          </cell>
          <cell r="D143" t="str">
            <v>TJ2</v>
          </cell>
          <cell r="E143">
            <v>45700</v>
          </cell>
          <cell r="F143" t="str">
            <v>助理工程师</v>
          </cell>
          <cell r="G143" t="str">
            <v>助理工程师</v>
          </cell>
          <cell r="H143" t="str">
            <v>4号楼3&amp;4车间</v>
          </cell>
          <cell r="I143" t="str">
            <v>班组</v>
          </cell>
        </row>
        <row r="144">
          <cell r="C144" t="str">
            <v>ALS15270</v>
          </cell>
          <cell r="D144" t="str">
            <v>TJ2</v>
          </cell>
          <cell r="E144">
            <v>45973</v>
          </cell>
          <cell r="F144" t="str">
            <v>助理工程师</v>
          </cell>
          <cell r="G144" t="str">
            <v>助理工程师</v>
          </cell>
          <cell r="H144" t="str">
            <v>4号楼3&amp;4车间</v>
          </cell>
          <cell r="I144" t="str">
            <v>班组</v>
          </cell>
        </row>
        <row r="145">
          <cell r="C145" t="str">
            <v>ALS15341</v>
          </cell>
          <cell r="D145" t="str">
            <v>TJ2</v>
          </cell>
          <cell r="E145">
            <v>45987</v>
          </cell>
          <cell r="F145" t="str">
            <v>助理工程师</v>
          </cell>
          <cell r="G145" t="str">
            <v>助理工程师</v>
          </cell>
          <cell r="H145" t="str">
            <v>4号楼3&amp;4车间</v>
          </cell>
          <cell r="I145" t="str">
            <v>班组</v>
          </cell>
        </row>
        <row r="146">
          <cell r="C146" t="str">
            <v>ALS17473</v>
          </cell>
          <cell r="D146" t="str">
            <v>TJ2</v>
          </cell>
          <cell r="E146">
            <v>46195</v>
          </cell>
          <cell r="F146" t="str">
            <v>助理工程师</v>
          </cell>
          <cell r="G146" t="str">
            <v>助理工程师</v>
          </cell>
          <cell r="H146" t="str">
            <v>4号楼3&amp;4车间</v>
          </cell>
          <cell r="I146" t="str">
            <v>班组</v>
          </cell>
        </row>
        <row r="147">
          <cell r="C147" t="str">
            <v>ALS13646</v>
          </cell>
          <cell r="D147" t="str">
            <v>TJ2</v>
          </cell>
          <cell r="E147">
            <v>45616</v>
          </cell>
          <cell r="F147" t="str">
            <v>操作工</v>
          </cell>
          <cell r="G147" t="str">
            <v>操作工</v>
          </cell>
          <cell r="H147" t="str">
            <v>4号楼3&amp;4车间</v>
          </cell>
          <cell r="I147" t="str">
            <v>班组</v>
          </cell>
        </row>
        <row r="148">
          <cell r="C148" t="str">
            <v>ALS14100</v>
          </cell>
          <cell r="D148" t="str">
            <v>TJ2</v>
          </cell>
          <cell r="E148">
            <v>45812</v>
          </cell>
          <cell r="F148" t="str">
            <v>操作工</v>
          </cell>
          <cell r="G148" t="str">
            <v>操作工</v>
          </cell>
          <cell r="H148" t="str">
            <v>4号楼3&amp;4车间</v>
          </cell>
          <cell r="I148" t="str">
            <v>班组</v>
          </cell>
        </row>
        <row r="149">
          <cell r="C149" t="str">
            <v>ALS14577</v>
          </cell>
          <cell r="D149" t="str">
            <v>TJ2</v>
          </cell>
          <cell r="E149">
            <v>45875</v>
          </cell>
          <cell r="F149" t="str">
            <v>操作工</v>
          </cell>
          <cell r="G149" t="str">
            <v>操作工</v>
          </cell>
          <cell r="H149" t="str">
            <v>4号楼3&amp;4车间</v>
          </cell>
          <cell r="I149" t="str">
            <v>班组</v>
          </cell>
        </row>
        <row r="150">
          <cell r="C150" t="str">
            <v>ALS14708</v>
          </cell>
          <cell r="D150" t="str">
            <v>TJ2</v>
          </cell>
          <cell r="E150">
            <v>45896</v>
          </cell>
          <cell r="F150" t="str">
            <v>操作工</v>
          </cell>
          <cell r="G150" t="str">
            <v>操作工</v>
          </cell>
          <cell r="H150" t="str">
            <v>4号楼3&amp;4车间</v>
          </cell>
          <cell r="I150" t="str">
            <v>班组</v>
          </cell>
        </row>
        <row r="151">
          <cell r="C151" t="str">
            <v>ALS14331</v>
          </cell>
          <cell r="D151" t="str">
            <v>TJ2</v>
          </cell>
          <cell r="E151">
            <v>45847</v>
          </cell>
          <cell r="F151" t="str">
            <v>操作工</v>
          </cell>
          <cell r="G151" t="str">
            <v>操作工</v>
          </cell>
          <cell r="H151" t="str">
            <v>4号楼3&amp;4车间</v>
          </cell>
          <cell r="I151" t="str">
            <v>班组</v>
          </cell>
        </row>
        <row r="152">
          <cell r="C152" t="str">
            <v>ALS17500</v>
          </cell>
          <cell r="D152" t="str">
            <v>TJ2</v>
          </cell>
          <cell r="E152">
            <v>46195</v>
          </cell>
          <cell r="F152" t="str">
            <v>高级主管</v>
          </cell>
          <cell r="G152" t="str">
            <v>高级主管</v>
          </cell>
          <cell r="H152" t="str">
            <v>4号楼1&amp;2车间</v>
          </cell>
          <cell r="I152" t="str">
            <v>常白</v>
          </cell>
        </row>
        <row r="153">
          <cell r="C153" t="str">
            <v>ALS16561</v>
          </cell>
          <cell r="D153" t="str">
            <v>TJ2</v>
          </cell>
          <cell r="E153">
            <v>46134</v>
          </cell>
          <cell r="F153" t="str">
            <v>主管</v>
          </cell>
          <cell r="G153" t="str">
            <v>主管</v>
          </cell>
          <cell r="H153" t="str">
            <v>4号楼1&amp;2车间</v>
          </cell>
          <cell r="I153" t="str">
            <v>常白</v>
          </cell>
        </row>
        <row r="154">
          <cell r="C154" t="str">
            <v>ALS6563</v>
          </cell>
          <cell r="D154" t="str">
            <v>TJ2</v>
          </cell>
          <cell r="E154">
            <v>44025</v>
          </cell>
          <cell r="F154" t="str">
            <v>车间主任</v>
          </cell>
          <cell r="G154" t="str">
            <v>车间主任</v>
          </cell>
          <cell r="H154" t="str">
            <v>4号楼1&amp;2车间</v>
          </cell>
          <cell r="I154" t="str">
            <v>常白</v>
          </cell>
        </row>
        <row r="155">
          <cell r="C155" t="str">
            <v>ALS8215</v>
          </cell>
          <cell r="D155" t="str">
            <v>TJ2</v>
          </cell>
          <cell r="E155">
            <v>44431</v>
          </cell>
          <cell r="F155" t="str">
            <v>车间副主任</v>
          </cell>
          <cell r="G155" t="str">
            <v>车间副主任</v>
          </cell>
          <cell r="H155" t="str">
            <v>4号楼1&amp;2车间</v>
          </cell>
          <cell r="I155" t="str">
            <v>常白</v>
          </cell>
        </row>
        <row r="156">
          <cell r="C156" t="str">
            <v>ALS1988</v>
          </cell>
          <cell r="D156" t="str">
            <v>TJ2</v>
          </cell>
          <cell r="E156">
            <v>42073</v>
          </cell>
          <cell r="F156" t="str">
            <v>车间副主任</v>
          </cell>
          <cell r="G156" t="str">
            <v>车间副主任</v>
          </cell>
          <cell r="H156" t="str">
            <v>4号楼1&amp;2车间</v>
          </cell>
          <cell r="I156" t="str">
            <v>常白</v>
          </cell>
        </row>
        <row r="157">
          <cell r="C157" t="str">
            <v>ALS10148</v>
          </cell>
          <cell r="D157" t="str">
            <v>TJ2</v>
          </cell>
          <cell r="E157">
            <v>44755</v>
          </cell>
          <cell r="F157" t="str">
            <v>车间副主任</v>
          </cell>
          <cell r="G157" t="str">
            <v>车间副主任</v>
          </cell>
          <cell r="H157" t="str">
            <v>4号楼1&amp;2车间</v>
          </cell>
          <cell r="I157" t="str">
            <v>倒班</v>
          </cell>
        </row>
        <row r="158">
          <cell r="C158" t="str">
            <v>ALS2668</v>
          </cell>
          <cell r="D158" t="str">
            <v>TJ2</v>
          </cell>
          <cell r="E158">
            <v>42445</v>
          </cell>
          <cell r="F158" t="str">
            <v>工艺主管</v>
          </cell>
          <cell r="G158" t="str">
            <v>工艺主管</v>
          </cell>
          <cell r="H158" t="str">
            <v>4号楼1&amp;2车间</v>
          </cell>
          <cell r="I158" t="str">
            <v>项目组</v>
          </cell>
        </row>
        <row r="159">
          <cell r="C159" t="str">
            <v>ALS8325</v>
          </cell>
          <cell r="D159" t="str">
            <v>TJ2</v>
          </cell>
          <cell r="E159">
            <v>44447</v>
          </cell>
          <cell r="F159" t="str">
            <v>工艺副主管</v>
          </cell>
          <cell r="G159" t="str">
            <v>工艺副主管</v>
          </cell>
          <cell r="H159" t="str">
            <v>4号楼1&amp;2车间</v>
          </cell>
          <cell r="I159" t="str">
            <v>项目组</v>
          </cell>
        </row>
        <row r="160">
          <cell r="C160" t="str">
            <v>FX2679</v>
          </cell>
          <cell r="D160" t="str">
            <v>TJ2</v>
          </cell>
          <cell r="E160">
            <v>42933</v>
          </cell>
          <cell r="F160" t="str">
            <v>工艺组长</v>
          </cell>
          <cell r="G160" t="str">
            <v>工艺组长</v>
          </cell>
          <cell r="H160" t="str">
            <v>4号楼1&amp;2车间</v>
          </cell>
          <cell r="I160" t="str">
            <v>项目组</v>
          </cell>
        </row>
        <row r="161">
          <cell r="C161" t="str">
            <v>ALS7875</v>
          </cell>
          <cell r="D161" t="str">
            <v>TJ2</v>
          </cell>
          <cell r="E161">
            <v>44389</v>
          </cell>
          <cell r="F161" t="str">
            <v>工艺组长</v>
          </cell>
          <cell r="G161" t="str">
            <v>工艺组长</v>
          </cell>
          <cell r="H161" t="str">
            <v>4号楼1&amp;2车间</v>
          </cell>
          <cell r="I161" t="str">
            <v>项目组</v>
          </cell>
        </row>
        <row r="162">
          <cell r="C162" t="str">
            <v>ADH5191</v>
          </cell>
          <cell r="D162" t="str">
            <v>TJ2</v>
          </cell>
          <cell r="E162">
            <v>44677</v>
          </cell>
          <cell r="F162" t="str">
            <v>工艺组长</v>
          </cell>
          <cell r="G162" t="str">
            <v>工艺组长</v>
          </cell>
          <cell r="H162" t="str">
            <v>4号楼1&amp;2车间</v>
          </cell>
          <cell r="I162" t="str">
            <v>项目组</v>
          </cell>
        </row>
        <row r="163">
          <cell r="C163" t="str">
            <v>ALS10146</v>
          </cell>
          <cell r="D163" t="str">
            <v>TJ2</v>
          </cell>
          <cell r="E163">
            <v>44755</v>
          </cell>
          <cell r="F163" t="str">
            <v>工艺组长</v>
          </cell>
          <cell r="G163" t="str">
            <v>工艺组长</v>
          </cell>
          <cell r="H163" t="str">
            <v>4号楼1&amp;2车间</v>
          </cell>
          <cell r="I163" t="str">
            <v>项目组</v>
          </cell>
        </row>
        <row r="164">
          <cell r="C164" t="str">
            <v>ALS16047</v>
          </cell>
          <cell r="D164" t="str">
            <v>TJ2</v>
          </cell>
          <cell r="E164">
            <v>46057</v>
          </cell>
          <cell r="F164" t="str">
            <v>工艺组长</v>
          </cell>
          <cell r="G164" t="str">
            <v>工艺组长</v>
          </cell>
          <cell r="H164" t="str">
            <v>4号楼1&amp;2车间</v>
          </cell>
          <cell r="I164" t="str">
            <v>项目组</v>
          </cell>
        </row>
        <row r="165">
          <cell r="C165" t="str">
            <v>FX2743</v>
          </cell>
          <cell r="D165" t="str">
            <v>TJ2</v>
          </cell>
          <cell r="E165">
            <v>43237</v>
          </cell>
          <cell r="F165" t="str">
            <v>工程师</v>
          </cell>
          <cell r="G165" t="str">
            <v>工程师</v>
          </cell>
          <cell r="H165" t="str">
            <v>4号楼1&amp;2车间</v>
          </cell>
          <cell r="I165" t="str">
            <v>项目组</v>
          </cell>
        </row>
        <row r="166">
          <cell r="C166" t="str">
            <v>ALS11847</v>
          </cell>
          <cell r="D166" t="str">
            <v>TJ2</v>
          </cell>
          <cell r="E166">
            <v>45019</v>
          </cell>
          <cell r="F166" t="str">
            <v>工程师</v>
          </cell>
          <cell r="G166" t="str">
            <v>工程师</v>
          </cell>
          <cell r="H166" t="str">
            <v>4号楼1&amp;2车间</v>
          </cell>
          <cell r="I166" t="str">
            <v>项目组</v>
          </cell>
        </row>
        <row r="167">
          <cell r="C167" t="str">
            <v>ALS15334</v>
          </cell>
          <cell r="D167" t="str">
            <v>TJ2</v>
          </cell>
          <cell r="E167">
            <v>45980</v>
          </cell>
          <cell r="F167" t="str">
            <v>工程师</v>
          </cell>
          <cell r="G167" t="str">
            <v>工程师</v>
          </cell>
          <cell r="H167" t="str">
            <v>4号楼1&amp;2车间</v>
          </cell>
          <cell r="I167" t="str">
            <v>项目组</v>
          </cell>
        </row>
        <row r="168">
          <cell r="C168" t="str">
            <v>ALS16808</v>
          </cell>
          <cell r="D168" t="str">
            <v>TJ2</v>
          </cell>
          <cell r="E168">
            <v>46153</v>
          </cell>
          <cell r="F168" t="str">
            <v>工程师</v>
          </cell>
          <cell r="G168" t="str">
            <v>工程师</v>
          </cell>
          <cell r="H168" t="str">
            <v>4号楼1&amp;2车间</v>
          </cell>
          <cell r="I168" t="str">
            <v>项目组</v>
          </cell>
        </row>
        <row r="169">
          <cell r="C169" t="str">
            <v>ACT2599</v>
          </cell>
          <cell r="D169" t="str">
            <v>TJ2</v>
          </cell>
          <cell r="E169">
            <v>44396</v>
          </cell>
          <cell r="F169" t="str">
            <v>助理工程师</v>
          </cell>
          <cell r="G169" t="str">
            <v>助理工程师</v>
          </cell>
          <cell r="H169" t="str">
            <v>4号楼1&amp;2车间</v>
          </cell>
          <cell r="I169" t="str">
            <v>项目组</v>
          </cell>
        </row>
        <row r="170">
          <cell r="C170" t="str">
            <v>ALS13176</v>
          </cell>
          <cell r="D170" t="str">
            <v>TJ2</v>
          </cell>
          <cell r="E170">
            <v>45490</v>
          </cell>
          <cell r="F170" t="str">
            <v>助理工程师</v>
          </cell>
          <cell r="G170" t="str">
            <v>助理工程师</v>
          </cell>
          <cell r="H170" t="str">
            <v>4号楼1&amp;2车间</v>
          </cell>
          <cell r="I170" t="str">
            <v>项目组</v>
          </cell>
        </row>
        <row r="171">
          <cell r="C171" t="str">
            <v>LFX616</v>
          </cell>
          <cell r="D171" t="str">
            <v>TJ2</v>
          </cell>
          <cell r="E171">
            <v>44397</v>
          </cell>
          <cell r="F171" t="str">
            <v>助理工程师</v>
          </cell>
          <cell r="G171" t="str">
            <v>助理工程师</v>
          </cell>
          <cell r="H171" t="str">
            <v>4号楼1&amp;2车间</v>
          </cell>
          <cell r="I171" t="str">
            <v>项目组倒班</v>
          </cell>
        </row>
        <row r="172">
          <cell r="C172" t="str">
            <v>ALS11215</v>
          </cell>
          <cell r="D172" t="str">
            <v>TJ2</v>
          </cell>
          <cell r="E172">
            <v>44774</v>
          </cell>
          <cell r="F172" t="str">
            <v>助理工程师</v>
          </cell>
          <cell r="G172" t="str">
            <v>助理工程师</v>
          </cell>
          <cell r="H172" t="str">
            <v>4号楼1&amp;2车间</v>
          </cell>
          <cell r="I172" t="str">
            <v>项目组倒班</v>
          </cell>
        </row>
        <row r="173">
          <cell r="C173" t="str">
            <v>ALS11789</v>
          </cell>
          <cell r="D173" t="str">
            <v>TJ2</v>
          </cell>
          <cell r="E173">
            <v>45000</v>
          </cell>
          <cell r="F173" t="str">
            <v>助理工程师</v>
          </cell>
          <cell r="G173" t="str">
            <v>助理工程师</v>
          </cell>
          <cell r="H173" t="str">
            <v>4号楼1&amp;2车间</v>
          </cell>
          <cell r="I173" t="str">
            <v>项目组倒班</v>
          </cell>
        </row>
        <row r="174">
          <cell r="C174" t="str">
            <v>BDH0641</v>
          </cell>
          <cell r="D174" t="str">
            <v>TJ2</v>
          </cell>
          <cell r="E174">
            <v>44732</v>
          </cell>
          <cell r="F174" t="str">
            <v>工艺组长</v>
          </cell>
          <cell r="G174" t="str">
            <v>工艺组长</v>
          </cell>
          <cell r="H174" t="str">
            <v>4号楼1&amp;2车间</v>
          </cell>
          <cell r="I174" t="str">
            <v>包装</v>
          </cell>
        </row>
        <row r="175">
          <cell r="C175" t="str">
            <v>ALS13069</v>
          </cell>
          <cell r="D175" t="str">
            <v>TJ2</v>
          </cell>
          <cell r="E175">
            <v>45476</v>
          </cell>
          <cell r="F175" t="str">
            <v>助理工程师</v>
          </cell>
          <cell r="G175" t="str">
            <v>助理工程师</v>
          </cell>
          <cell r="H175" t="str">
            <v>4号楼1&amp;2车间</v>
          </cell>
          <cell r="I175" t="str">
            <v>包装</v>
          </cell>
        </row>
        <row r="176">
          <cell r="C176" t="str">
            <v>ALS13861</v>
          </cell>
          <cell r="D176" t="str">
            <v>TJ2</v>
          </cell>
          <cell r="E176">
            <v>45742</v>
          </cell>
          <cell r="F176" t="str">
            <v>操作工</v>
          </cell>
          <cell r="G176" t="str">
            <v>操作工</v>
          </cell>
          <cell r="H176" t="str">
            <v>4号楼1&amp;2车间</v>
          </cell>
          <cell r="I176" t="str">
            <v>包装</v>
          </cell>
        </row>
        <row r="177">
          <cell r="C177" t="str">
            <v>ALS15894</v>
          </cell>
          <cell r="D177" t="str">
            <v>TJ2</v>
          </cell>
          <cell r="E177">
            <v>46027</v>
          </cell>
          <cell r="F177" t="str">
            <v>助理工程师</v>
          </cell>
          <cell r="G177" t="str">
            <v>助理工程师</v>
          </cell>
          <cell r="H177" t="str">
            <v>4号楼1&amp;2车间</v>
          </cell>
          <cell r="I177" t="str">
            <v>退库</v>
          </cell>
        </row>
        <row r="178">
          <cell r="C178" t="str">
            <v>ALS14242</v>
          </cell>
          <cell r="D178" t="str">
            <v>TJ2</v>
          </cell>
          <cell r="E178">
            <v>45840</v>
          </cell>
          <cell r="F178" t="str">
            <v>操作工</v>
          </cell>
          <cell r="G178" t="str">
            <v>操作工</v>
          </cell>
          <cell r="H178" t="str">
            <v>4号楼1&amp;2车间</v>
          </cell>
          <cell r="I178" t="str">
            <v>退库</v>
          </cell>
        </row>
        <row r="179">
          <cell r="C179" t="str">
            <v>ALS15575</v>
          </cell>
          <cell r="D179" t="str">
            <v>TJ2</v>
          </cell>
          <cell r="E179">
            <v>45994</v>
          </cell>
          <cell r="F179" t="str">
            <v>操作工</v>
          </cell>
          <cell r="G179" t="str">
            <v>操作工</v>
          </cell>
          <cell r="H179" t="str">
            <v>4号楼1&amp;2车间</v>
          </cell>
          <cell r="I179" t="str">
            <v>退库</v>
          </cell>
        </row>
        <row r="180">
          <cell r="C180" t="str">
            <v>ALS15954</v>
          </cell>
          <cell r="D180" t="str">
            <v>TJ2</v>
          </cell>
          <cell r="E180">
            <v>46050</v>
          </cell>
          <cell r="F180" t="str">
            <v>工程师</v>
          </cell>
          <cell r="G180" t="str">
            <v>工程师</v>
          </cell>
          <cell r="H180" t="str">
            <v>4号楼1&amp;2车间</v>
          </cell>
          <cell r="I180" t="str">
            <v>常白</v>
          </cell>
        </row>
        <row r="181">
          <cell r="C181" t="str">
            <v>ALS17336</v>
          </cell>
          <cell r="D181" t="str">
            <v>TJ2</v>
          </cell>
          <cell r="E181">
            <v>46215</v>
          </cell>
          <cell r="F181" t="str">
            <v>工程师</v>
          </cell>
          <cell r="G181" t="str">
            <v>工程师</v>
          </cell>
          <cell r="H181" t="str">
            <v>4号楼1&amp;2车间</v>
          </cell>
          <cell r="I181" t="str">
            <v>常白</v>
          </cell>
        </row>
        <row r="182">
          <cell r="C182" t="str">
            <v>ALS17335</v>
          </cell>
          <cell r="D182" t="str">
            <v>TJ2</v>
          </cell>
          <cell r="E182">
            <v>46215</v>
          </cell>
          <cell r="F182" t="str">
            <v>工程师</v>
          </cell>
          <cell r="G182" t="str">
            <v>工程师</v>
          </cell>
          <cell r="H182" t="str">
            <v>4号楼1&amp;2车间</v>
          </cell>
          <cell r="I182" t="str">
            <v>常白</v>
          </cell>
        </row>
        <row r="183">
          <cell r="C183" t="str">
            <v>ALS11786</v>
          </cell>
          <cell r="D183" t="str">
            <v>TJ2</v>
          </cell>
          <cell r="E183">
            <v>45000</v>
          </cell>
          <cell r="F183" t="str">
            <v>助理工程师</v>
          </cell>
          <cell r="G183" t="str">
            <v>助理工程师</v>
          </cell>
          <cell r="H183" t="str">
            <v>4号楼1&amp;2车间</v>
          </cell>
          <cell r="I183" t="str">
            <v>常白</v>
          </cell>
        </row>
        <row r="184">
          <cell r="C184" t="str">
            <v>ALS11846</v>
          </cell>
          <cell r="D184" t="str">
            <v>TJ2</v>
          </cell>
          <cell r="E184">
            <v>45019</v>
          </cell>
          <cell r="F184" t="str">
            <v>助理工程师</v>
          </cell>
          <cell r="G184" t="str">
            <v>助理工程师</v>
          </cell>
          <cell r="H184" t="str">
            <v>4号楼1&amp;2车间</v>
          </cell>
          <cell r="I184" t="str">
            <v>常白</v>
          </cell>
        </row>
        <row r="185">
          <cell r="C185" t="str">
            <v>ALS15254</v>
          </cell>
          <cell r="D185" t="str">
            <v>TJ2</v>
          </cell>
          <cell r="E185">
            <v>45971</v>
          </cell>
          <cell r="F185" t="str">
            <v>助理工程师</v>
          </cell>
          <cell r="G185" t="str">
            <v>助理工程师</v>
          </cell>
          <cell r="H185" t="str">
            <v>4号楼1&amp;2车间</v>
          </cell>
          <cell r="I185" t="str">
            <v>常白</v>
          </cell>
        </row>
        <row r="186">
          <cell r="C186" t="str">
            <v>ALS16309</v>
          </cell>
          <cell r="D186" t="str">
            <v>TJ2</v>
          </cell>
          <cell r="E186">
            <v>46120</v>
          </cell>
          <cell r="F186" t="str">
            <v>助理工程师</v>
          </cell>
          <cell r="G186" t="str">
            <v>助理工程师</v>
          </cell>
          <cell r="H186" t="str">
            <v>4号楼1&amp;2车间</v>
          </cell>
          <cell r="I186" t="str">
            <v>常白</v>
          </cell>
        </row>
        <row r="187">
          <cell r="C187" t="str">
            <v>ALS16316</v>
          </cell>
          <cell r="D187" t="str">
            <v>TJ2</v>
          </cell>
          <cell r="E187">
            <v>46120</v>
          </cell>
          <cell r="F187" t="str">
            <v>助理工程师</v>
          </cell>
          <cell r="G187" t="str">
            <v>助理工程师</v>
          </cell>
          <cell r="H187" t="str">
            <v>4号楼1&amp;2车间</v>
          </cell>
          <cell r="I187" t="str">
            <v>常白</v>
          </cell>
        </row>
        <row r="188">
          <cell r="C188" t="str">
            <v>ALS16383</v>
          </cell>
          <cell r="D188" t="str">
            <v>TJ2</v>
          </cell>
          <cell r="E188">
            <v>46125</v>
          </cell>
          <cell r="F188" t="str">
            <v>助理工程师</v>
          </cell>
          <cell r="G188" t="str">
            <v>助理工程师</v>
          </cell>
          <cell r="H188" t="str">
            <v>4号楼1&amp;2车间</v>
          </cell>
          <cell r="I188" t="str">
            <v>常白</v>
          </cell>
        </row>
        <row r="189">
          <cell r="C189" t="str">
            <v>ALS17394</v>
          </cell>
          <cell r="D189" t="str">
            <v>TJ2</v>
          </cell>
          <cell r="E189">
            <v>46215</v>
          </cell>
          <cell r="F189" t="str">
            <v>助理工程师</v>
          </cell>
          <cell r="G189" t="str">
            <v>助理工程师</v>
          </cell>
          <cell r="H189" t="str">
            <v>4号楼1&amp;2车间</v>
          </cell>
          <cell r="I189" t="str">
            <v>常白</v>
          </cell>
        </row>
        <row r="190">
          <cell r="C190" t="str">
            <v>ALS17389</v>
          </cell>
          <cell r="D190" t="str">
            <v>TJ2</v>
          </cell>
          <cell r="E190">
            <v>46215</v>
          </cell>
          <cell r="F190" t="str">
            <v>助理工程师</v>
          </cell>
          <cell r="G190" t="str">
            <v>助理工程师</v>
          </cell>
          <cell r="H190" t="str">
            <v>4号楼1&amp;2车间</v>
          </cell>
          <cell r="I190" t="str">
            <v>常白</v>
          </cell>
        </row>
        <row r="191">
          <cell r="C191" t="str">
            <v>ALS17387</v>
          </cell>
          <cell r="D191" t="str">
            <v>TJ2</v>
          </cell>
          <cell r="E191">
            <v>46215</v>
          </cell>
          <cell r="F191" t="str">
            <v>助理工程师</v>
          </cell>
          <cell r="G191" t="str">
            <v>助理工程师</v>
          </cell>
          <cell r="H191" t="str">
            <v>4号楼1&amp;2车间</v>
          </cell>
          <cell r="I191" t="str">
            <v>常白</v>
          </cell>
        </row>
        <row r="192">
          <cell r="C192" t="str">
            <v>ALS17392</v>
          </cell>
          <cell r="D192" t="str">
            <v>TJ2</v>
          </cell>
          <cell r="E192">
            <v>46215</v>
          </cell>
          <cell r="F192" t="str">
            <v>助理工程师</v>
          </cell>
          <cell r="G192" t="str">
            <v>助理工程师</v>
          </cell>
          <cell r="H192" t="str">
            <v>4号楼1&amp;2车间</v>
          </cell>
          <cell r="I192" t="str">
            <v>常白</v>
          </cell>
        </row>
        <row r="193">
          <cell r="C193" t="str">
            <v>ALS17395</v>
          </cell>
          <cell r="D193" t="str">
            <v>TJ2</v>
          </cell>
          <cell r="E193">
            <v>46215</v>
          </cell>
          <cell r="F193" t="str">
            <v>助理工程师</v>
          </cell>
          <cell r="G193" t="str">
            <v>助理工程师</v>
          </cell>
          <cell r="H193" t="str">
            <v>4号楼1&amp;2车间</v>
          </cell>
          <cell r="I193" t="str">
            <v>常白</v>
          </cell>
        </row>
        <row r="194">
          <cell r="C194" t="str">
            <v>ALS15298</v>
          </cell>
          <cell r="D194" t="str">
            <v>TJ2</v>
          </cell>
          <cell r="E194">
            <v>45973</v>
          </cell>
          <cell r="F194" t="str">
            <v>操作工</v>
          </cell>
          <cell r="G194" t="str">
            <v>操作工</v>
          </cell>
          <cell r="H194" t="str">
            <v>4号楼1&amp;2车间</v>
          </cell>
          <cell r="I194" t="str">
            <v>常白</v>
          </cell>
        </row>
        <row r="195">
          <cell r="C195" t="str">
            <v>ALS16049</v>
          </cell>
          <cell r="D195" t="str">
            <v>TJ2</v>
          </cell>
          <cell r="E195">
            <v>46057</v>
          </cell>
          <cell r="F195" t="str">
            <v>操作工</v>
          </cell>
          <cell r="G195" t="str">
            <v>操作工</v>
          </cell>
          <cell r="H195" t="str">
            <v>4号楼1&amp;2车间</v>
          </cell>
          <cell r="I195" t="str">
            <v>常白</v>
          </cell>
        </row>
        <row r="196">
          <cell r="C196" t="str">
            <v>ALS4957</v>
          </cell>
          <cell r="D196" t="str">
            <v>TJ2</v>
          </cell>
          <cell r="E196">
            <v>43459</v>
          </cell>
          <cell r="F196" t="str">
            <v>保洁</v>
          </cell>
          <cell r="G196" t="str">
            <v>保洁员</v>
          </cell>
          <cell r="H196" t="str">
            <v>4号楼1&amp;2车间</v>
          </cell>
          <cell r="I196" t="str">
            <v>常白</v>
          </cell>
        </row>
        <row r="197">
          <cell r="C197" t="str">
            <v>ALS13025</v>
          </cell>
          <cell r="D197" t="str">
            <v>TJ2</v>
          </cell>
          <cell r="E197">
            <v>45497</v>
          </cell>
          <cell r="F197" t="str">
            <v>班长</v>
          </cell>
          <cell r="G197" t="str">
            <v>班长</v>
          </cell>
          <cell r="H197" t="str">
            <v>4号楼1&amp;2车间</v>
          </cell>
          <cell r="I197" t="str">
            <v>班组</v>
          </cell>
        </row>
        <row r="198">
          <cell r="C198" t="str">
            <v>ALS12958</v>
          </cell>
          <cell r="D198" t="str">
            <v>TJ2</v>
          </cell>
          <cell r="E198">
            <v>45448</v>
          </cell>
          <cell r="F198" t="str">
            <v>工程师</v>
          </cell>
          <cell r="G198" t="str">
            <v>工程师</v>
          </cell>
          <cell r="H198" t="str">
            <v>4号楼1&amp;2车间</v>
          </cell>
          <cell r="I198" t="str">
            <v>班组</v>
          </cell>
        </row>
        <row r="199">
          <cell r="C199" t="str">
            <v>ALS13603</v>
          </cell>
          <cell r="D199" t="str">
            <v>TJ2</v>
          </cell>
          <cell r="E199">
            <v>45602</v>
          </cell>
          <cell r="F199" t="str">
            <v>助理工程师</v>
          </cell>
          <cell r="G199" t="str">
            <v>助理工程师</v>
          </cell>
          <cell r="H199" t="str">
            <v>4号楼1&amp;2车间</v>
          </cell>
          <cell r="I199" t="str">
            <v>班组</v>
          </cell>
        </row>
        <row r="200">
          <cell r="C200" t="str">
            <v>ALS14854</v>
          </cell>
          <cell r="D200" t="str">
            <v>TJ2</v>
          </cell>
          <cell r="E200">
            <v>45917</v>
          </cell>
          <cell r="F200" t="str">
            <v>助理工程师</v>
          </cell>
          <cell r="G200" t="str">
            <v>助理工程师</v>
          </cell>
          <cell r="H200" t="str">
            <v>4号楼1&amp;2车间</v>
          </cell>
          <cell r="I200" t="str">
            <v>班组</v>
          </cell>
        </row>
        <row r="201">
          <cell r="C201" t="str">
            <v>ALS15337</v>
          </cell>
          <cell r="D201" t="str">
            <v>TJ2</v>
          </cell>
          <cell r="E201">
            <v>45980</v>
          </cell>
          <cell r="F201" t="str">
            <v>助理工程师</v>
          </cell>
          <cell r="G201" t="str">
            <v>助理工程师</v>
          </cell>
          <cell r="H201" t="str">
            <v>4号楼1&amp;2车间</v>
          </cell>
          <cell r="I201" t="str">
            <v>班组</v>
          </cell>
        </row>
        <row r="202">
          <cell r="C202" t="str">
            <v>ALS16404</v>
          </cell>
          <cell r="D202" t="str">
            <v>TJ2</v>
          </cell>
          <cell r="E202">
            <v>46127</v>
          </cell>
          <cell r="F202" t="str">
            <v>助理工程师</v>
          </cell>
          <cell r="G202" t="str">
            <v>助理工程师</v>
          </cell>
          <cell r="H202" t="str">
            <v>4号楼1&amp;2车间</v>
          </cell>
          <cell r="I202" t="str">
            <v>班组</v>
          </cell>
        </row>
        <row r="203">
          <cell r="C203" t="str">
            <v>ALS16974</v>
          </cell>
          <cell r="D203" t="str">
            <v>TJ2</v>
          </cell>
          <cell r="E203">
            <v>46169</v>
          </cell>
          <cell r="F203" t="str">
            <v>助理工程师</v>
          </cell>
          <cell r="G203" t="str">
            <v>助理工程师</v>
          </cell>
          <cell r="H203" t="str">
            <v>4号楼1&amp;2车间</v>
          </cell>
          <cell r="I203" t="str">
            <v>常白</v>
          </cell>
        </row>
        <row r="204">
          <cell r="C204" t="str">
            <v>ALS17758</v>
          </cell>
          <cell r="D204" t="str">
            <v>TJ2</v>
          </cell>
          <cell r="E204">
            <v>46204</v>
          </cell>
          <cell r="F204" t="str">
            <v>助理工程师</v>
          </cell>
          <cell r="G204" t="str">
            <v>助理工程师</v>
          </cell>
          <cell r="H204" t="str">
            <v>4号楼1&amp;2车间</v>
          </cell>
          <cell r="I204" t="str">
            <v>常白</v>
          </cell>
        </row>
        <row r="205">
          <cell r="C205" t="str">
            <v>ALS17411</v>
          </cell>
          <cell r="D205" t="str">
            <v>TJ2</v>
          </cell>
          <cell r="E205">
            <v>46208</v>
          </cell>
          <cell r="F205" t="str">
            <v>助理工程师</v>
          </cell>
          <cell r="G205" t="str">
            <v>助理工程师</v>
          </cell>
          <cell r="H205" t="str">
            <v>4号楼1&amp;2车间</v>
          </cell>
          <cell r="I205" t="str">
            <v>常白</v>
          </cell>
        </row>
        <row r="206">
          <cell r="C206" t="str">
            <v>ALS13897</v>
          </cell>
          <cell r="D206" t="str">
            <v>TJ2</v>
          </cell>
          <cell r="E206">
            <v>45756</v>
          </cell>
          <cell r="F206" t="str">
            <v>操作工</v>
          </cell>
          <cell r="G206" t="str">
            <v>操作工</v>
          </cell>
          <cell r="H206" t="str">
            <v>4号楼1&amp;2车间</v>
          </cell>
          <cell r="I206" t="str">
            <v>班组</v>
          </cell>
        </row>
        <row r="207">
          <cell r="C207" t="str">
            <v>ALS14629</v>
          </cell>
          <cell r="D207" t="str">
            <v>TJ2</v>
          </cell>
          <cell r="E207">
            <v>45882</v>
          </cell>
          <cell r="F207" t="str">
            <v>操作工</v>
          </cell>
          <cell r="G207" t="str">
            <v>操作工</v>
          </cell>
          <cell r="H207" t="str">
            <v>4号楼1&amp;2车间</v>
          </cell>
          <cell r="I207" t="str">
            <v>班组</v>
          </cell>
        </row>
        <row r="208">
          <cell r="C208" t="str">
            <v>ALS15348</v>
          </cell>
          <cell r="D208" t="str">
            <v>TJ2</v>
          </cell>
          <cell r="E208">
            <v>45980</v>
          </cell>
          <cell r="F208" t="str">
            <v>操作工</v>
          </cell>
          <cell r="G208" t="str">
            <v>操作工</v>
          </cell>
          <cell r="H208" t="str">
            <v>4号楼1&amp;2车间</v>
          </cell>
          <cell r="I208" t="str">
            <v>班组</v>
          </cell>
        </row>
        <row r="209">
          <cell r="C209" t="str">
            <v>ALS15398</v>
          </cell>
          <cell r="D209" t="str">
            <v>TJ2</v>
          </cell>
          <cell r="E209">
            <v>45980</v>
          </cell>
          <cell r="F209" t="str">
            <v>操作工</v>
          </cell>
          <cell r="G209" t="str">
            <v>操作工</v>
          </cell>
          <cell r="H209" t="str">
            <v>4号楼1&amp;2车间</v>
          </cell>
          <cell r="I209" t="str">
            <v>班组</v>
          </cell>
        </row>
        <row r="210">
          <cell r="C210" t="str">
            <v>BDH0640</v>
          </cell>
          <cell r="D210" t="str">
            <v>TJ2</v>
          </cell>
          <cell r="E210">
            <v>44732</v>
          </cell>
          <cell r="F210" t="str">
            <v>班长</v>
          </cell>
          <cell r="G210" t="str">
            <v>班长</v>
          </cell>
          <cell r="H210" t="str">
            <v>4号楼1&amp;2车间</v>
          </cell>
          <cell r="I210" t="str">
            <v>班组</v>
          </cell>
        </row>
        <row r="211">
          <cell r="C211" t="str">
            <v>ALS17337</v>
          </cell>
          <cell r="D211" t="str">
            <v>TJ2</v>
          </cell>
          <cell r="E211">
            <v>46215</v>
          </cell>
          <cell r="F211" t="str">
            <v>工程师</v>
          </cell>
          <cell r="G211" t="str">
            <v>工程师</v>
          </cell>
          <cell r="H211" t="str">
            <v>4号楼1&amp;2车间</v>
          </cell>
          <cell r="I211" t="str">
            <v>常白</v>
          </cell>
        </row>
        <row r="212">
          <cell r="C212" t="str">
            <v>ALS13895</v>
          </cell>
          <cell r="D212" t="str">
            <v>TJ2</v>
          </cell>
          <cell r="E212">
            <v>45756</v>
          </cell>
          <cell r="F212" t="str">
            <v>助理工程师</v>
          </cell>
          <cell r="G212" t="str">
            <v>助理工程师</v>
          </cell>
          <cell r="H212" t="str">
            <v>4号楼1&amp;2车间</v>
          </cell>
          <cell r="I212" t="str">
            <v>班组</v>
          </cell>
        </row>
        <row r="213">
          <cell r="C213" t="str">
            <v>ALS15299</v>
          </cell>
          <cell r="D213" t="str">
            <v>TJ2</v>
          </cell>
          <cell r="E213">
            <v>45973</v>
          </cell>
          <cell r="F213" t="str">
            <v>助理工程师</v>
          </cell>
          <cell r="G213" t="str">
            <v>助理工程师</v>
          </cell>
          <cell r="H213" t="str">
            <v>4号楼1&amp;2车间</v>
          </cell>
          <cell r="I213" t="str">
            <v>班组</v>
          </cell>
        </row>
        <row r="214">
          <cell r="C214" t="str">
            <v>ALS15343</v>
          </cell>
          <cell r="D214" t="str">
            <v>TJ2</v>
          </cell>
          <cell r="E214">
            <v>45980</v>
          </cell>
          <cell r="F214" t="str">
            <v>助理工程师</v>
          </cell>
          <cell r="G214" t="str">
            <v>助理工程师</v>
          </cell>
          <cell r="H214" t="str">
            <v>4号楼1&amp;2车间</v>
          </cell>
          <cell r="I214" t="str">
            <v>班组</v>
          </cell>
        </row>
        <row r="215">
          <cell r="C215" t="str">
            <v>ALS15966</v>
          </cell>
          <cell r="D215" t="str">
            <v>TJ2</v>
          </cell>
          <cell r="E215">
            <v>46036</v>
          </cell>
          <cell r="F215" t="str">
            <v>助理工程师</v>
          </cell>
          <cell r="G215" t="str">
            <v>助理工程师</v>
          </cell>
          <cell r="H215" t="str">
            <v>4号楼1&amp;2车间</v>
          </cell>
          <cell r="I215" t="str">
            <v>班组</v>
          </cell>
        </row>
        <row r="216">
          <cell r="C216" t="str">
            <v>ALS16386</v>
          </cell>
          <cell r="D216" t="str">
            <v>TJ2</v>
          </cell>
          <cell r="E216">
            <v>46125</v>
          </cell>
          <cell r="F216" t="str">
            <v>助理工程师</v>
          </cell>
          <cell r="G216" t="str">
            <v>助理工程师</v>
          </cell>
          <cell r="H216" t="str">
            <v>4号楼1&amp;2车间</v>
          </cell>
          <cell r="I216" t="str">
            <v>班组</v>
          </cell>
        </row>
        <row r="217">
          <cell r="C217" t="str">
            <v>ALS17753</v>
          </cell>
          <cell r="D217" t="str">
            <v>TJ2</v>
          </cell>
          <cell r="E217">
            <v>46204</v>
          </cell>
          <cell r="F217" t="str">
            <v>助理工程师</v>
          </cell>
          <cell r="G217" t="str">
            <v>助理工程师</v>
          </cell>
          <cell r="H217" t="str">
            <v>4号楼1&amp;2车间</v>
          </cell>
          <cell r="I217" t="str">
            <v>常白</v>
          </cell>
        </row>
        <row r="218">
          <cell r="C218" t="str">
            <v>ALS17366</v>
          </cell>
          <cell r="D218" t="str">
            <v>TJ2</v>
          </cell>
          <cell r="E218">
            <v>46208</v>
          </cell>
          <cell r="F218" t="str">
            <v>助理工程师</v>
          </cell>
          <cell r="G218" t="str">
            <v>助理工程师</v>
          </cell>
          <cell r="H218" t="str">
            <v>4号楼1&amp;2车间</v>
          </cell>
          <cell r="I218" t="str">
            <v>常白</v>
          </cell>
        </row>
        <row r="219">
          <cell r="C219" t="str">
            <v>ALS11694</v>
          </cell>
          <cell r="D219" t="str">
            <v>TJ2</v>
          </cell>
          <cell r="E219">
            <v>44979</v>
          </cell>
          <cell r="F219" t="str">
            <v>操作工</v>
          </cell>
          <cell r="G219" t="str">
            <v>操作工</v>
          </cell>
          <cell r="H219" t="str">
            <v>4号楼1&amp;2车间</v>
          </cell>
          <cell r="I219" t="str">
            <v>班组</v>
          </cell>
        </row>
        <row r="220">
          <cell r="C220" t="str">
            <v>ALS14326</v>
          </cell>
          <cell r="D220" t="str">
            <v>TJ2</v>
          </cell>
          <cell r="E220">
            <v>45854</v>
          </cell>
          <cell r="F220" t="str">
            <v>操作工</v>
          </cell>
          <cell r="G220" t="str">
            <v>操作工</v>
          </cell>
          <cell r="H220" t="str">
            <v>4号楼1&amp;2车间</v>
          </cell>
          <cell r="I220" t="str">
            <v>班组</v>
          </cell>
        </row>
        <row r="221">
          <cell r="C221" t="str">
            <v>ALS14686</v>
          </cell>
          <cell r="D221" t="str">
            <v>TJ2</v>
          </cell>
          <cell r="E221">
            <v>45889</v>
          </cell>
          <cell r="F221" t="str">
            <v>操作工</v>
          </cell>
          <cell r="G221" t="str">
            <v>操作工</v>
          </cell>
          <cell r="H221" t="str">
            <v>4号楼1&amp;2车间</v>
          </cell>
          <cell r="I221" t="str">
            <v>班组</v>
          </cell>
        </row>
        <row r="222">
          <cell r="C222" t="str">
            <v>ALS14792</v>
          </cell>
          <cell r="D222" t="str">
            <v>TJ2</v>
          </cell>
          <cell r="E222">
            <v>45910</v>
          </cell>
          <cell r="F222" t="str">
            <v>操作工</v>
          </cell>
          <cell r="G222" t="str">
            <v>操作工</v>
          </cell>
          <cell r="H222" t="str">
            <v>4号楼1&amp;2车间</v>
          </cell>
          <cell r="I222" t="str">
            <v>班组</v>
          </cell>
        </row>
        <row r="223">
          <cell r="C223" t="str">
            <v>ALS15349</v>
          </cell>
          <cell r="D223" t="str">
            <v>TJ2</v>
          </cell>
          <cell r="E223">
            <v>45987</v>
          </cell>
          <cell r="F223" t="str">
            <v>操作工</v>
          </cell>
          <cell r="G223" t="str">
            <v>操作工</v>
          </cell>
          <cell r="H223" t="str">
            <v>4号楼1&amp;2车间</v>
          </cell>
          <cell r="I223" t="str">
            <v>班组</v>
          </cell>
        </row>
        <row r="224">
          <cell r="C224" t="str">
            <v>ALS17312</v>
          </cell>
          <cell r="D224" t="str">
            <v>TJ2</v>
          </cell>
          <cell r="E224">
            <v>46188</v>
          </cell>
          <cell r="F224" t="str">
            <v>操作工</v>
          </cell>
          <cell r="G224" t="str">
            <v>实习生</v>
          </cell>
          <cell r="H224" t="str">
            <v>4号楼1&amp;2车间</v>
          </cell>
          <cell r="I224" t="str">
            <v>常白</v>
          </cell>
        </row>
        <row r="225">
          <cell r="C225" t="str">
            <v>ALS12745</v>
          </cell>
          <cell r="D225" t="str">
            <v>TJ2</v>
          </cell>
          <cell r="E225">
            <v>45231</v>
          </cell>
          <cell r="F225" t="str">
            <v>班长</v>
          </cell>
          <cell r="G225" t="str">
            <v>班长</v>
          </cell>
          <cell r="H225" t="str">
            <v>4号楼1&amp;2车间</v>
          </cell>
          <cell r="I225" t="str">
            <v>班组</v>
          </cell>
        </row>
        <row r="226">
          <cell r="C226" t="str">
            <v>ALS14235</v>
          </cell>
          <cell r="D226" t="str">
            <v>TJ2</v>
          </cell>
          <cell r="E226">
            <v>45840</v>
          </cell>
          <cell r="F226" t="str">
            <v>工程师</v>
          </cell>
          <cell r="G226" t="str">
            <v>工程师</v>
          </cell>
          <cell r="H226" t="str">
            <v>4号楼1&amp;2车间</v>
          </cell>
          <cell r="I226" t="str">
            <v>班组</v>
          </cell>
        </row>
        <row r="227">
          <cell r="C227" t="str">
            <v>ALS13071</v>
          </cell>
          <cell r="D227" t="str">
            <v>TJ2</v>
          </cell>
          <cell r="E227">
            <v>45476</v>
          </cell>
          <cell r="F227" t="str">
            <v>助理工程师</v>
          </cell>
          <cell r="G227" t="str">
            <v>助理工程师</v>
          </cell>
          <cell r="H227" t="str">
            <v>4号楼1&amp;2车间</v>
          </cell>
          <cell r="I227" t="str">
            <v>班组</v>
          </cell>
        </row>
        <row r="228">
          <cell r="C228" t="str">
            <v>ABT0617</v>
          </cell>
          <cell r="D228" t="str">
            <v>TJ2</v>
          </cell>
          <cell r="E228">
            <v>45728</v>
          </cell>
          <cell r="F228" t="str">
            <v>助理工程师</v>
          </cell>
          <cell r="G228" t="str">
            <v>助理工程师</v>
          </cell>
          <cell r="H228" t="str">
            <v>4号楼1&amp;2车间</v>
          </cell>
          <cell r="I228" t="str">
            <v>班组</v>
          </cell>
        </row>
        <row r="229">
          <cell r="C229" t="str">
            <v>ALS14683</v>
          </cell>
          <cell r="D229" t="str">
            <v>TJ2</v>
          </cell>
          <cell r="E229">
            <v>45889</v>
          </cell>
          <cell r="F229" t="str">
            <v>助理工程师</v>
          </cell>
          <cell r="G229" t="str">
            <v>助理工程师</v>
          </cell>
          <cell r="H229" t="str">
            <v>4号楼1&amp;2车间</v>
          </cell>
          <cell r="I229" t="str">
            <v>班组</v>
          </cell>
        </row>
        <row r="230">
          <cell r="C230" t="str">
            <v>ALS14876</v>
          </cell>
          <cell r="D230" t="str">
            <v>TJ2</v>
          </cell>
          <cell r="E230">
            <v>45917</v>
          </cell>
          <cell r="F230" t="str">
            <v>助理工程师</v>
          </cell>
          <cell r="G230" t="str">
            <v>助理工程师</v>
          </cell>
          <cell r="H230" t="str">
            <v>4号楼1&amp;2车间</v>
          </cell>
          <cell r="I230" t="str">
            <v>班组</v>
          </cell>
        </row>
        <row r="231">
          <cell r="C231" t="str">
            <v>ALS15344</v>
          </cell>
          <cell r="D231" t="str">
            <v>TJ2</v>
          </cell>
          <cell r="E231">
            <v>45980</v>
          </cell>
          <cell r="F231" t="str">
            <v>助理工程师</v>
          </cell>
          <cell r="G231" t="str">
            <v>助理工程师</v>
          </cell>
          <cell r="H231" t="str">
            <v>4号楼1&amp;2车间</v>
          </cell>
          <cell r="I231" t="str">
            <v>班组</v>
          </cell>
        </row>
        <row r="232">
          <cell r="C232" t="str">
            <v>ALS16144</v>
          </cell>
          <cell r="D232" t="str">
            <v>TJ2</v>
          </cell>
          <cell r="E232">
            <v>46097</v>
          </cell>
          <cell r="F232" t="str">
            <v>助理工程师</v>
          </cell>
          <cell r="G232" t="str">
            <v>助理工程师</v>
          </cell>
          <cell r="H232" t="str">
            <v>4号楼1&amp;2车间</v>
          </cell>
          <cell r="I232" t="str">
            <v>班组</v>
          </cell>
        </row>
        <row r="233">
          <cell r="C233" t="str">
            <v>ALS16320</v>
          </cell>
          <cell r="D233" t="str">
            <v>TJ2</v>
          </cell>
          <cell r="E233">
            <v>46120</v>
          </cell>
          <cell r="F233" t="str">
            <v>助理工程师</v>
          </cell>
          <cell r="G233" t="str">
            <v>助理工程师</v>
          </cell>
          <cell r="H233" t="str">
            <v>4号楼1&amp;2车间</v>
          </cell>
          <cell r="I233" t="str">
            <v>班组</v>
          </cell>
        </row>
        <row r="234">
          <cell r="C234" t="str">
            <v>ALS16405</v>
          </cell>
          <cell r="D234" t="str">
            <v>TJ2</v>
          </cell>
          <cell r="E234">
            <v>46127</v>
          </cell>
          <cell r="F234" t="str">
            <v>助理工程师</v>
          </cell>
          <cell r="G234" t="str">
            <v>助理工程师</v>
          </cell>
          <cell r="H234" t="str">
            <v>4号楼1&amp;2车间</v>
          </cell>
          <cell r="I234" t="str">
            <v>班组</v>
          </cell>
        </row>
        <row r="235">
          <cell r="C235" t="str">
            <v>ALS16973</v>
          </cell>
          <cell r="D235" t="str">
            <v>TJ2</v>
          </cell>
          <cell r="E235">
            <v>46169</v>
          </cell>
          <cell r="F235" t="str">
            <v>助理工程师</v>
          </cell>
          <cell r="G235" t="str">
            <v>助理工程师</v>
          </cell>
          <cell r="H235" t="str">
            <v>4号楼1&amp;2车间</v>
          </cell>
          <cell r="I235" t="str">
            <v>常白</v>
          </cell>
        </row>
        <row r="236">
          <cell r="C236" t="str">
            <v>ALS17618</v>
          </cell>
          <cell r="D236" t="str">
            <v>TJ2</v>
          </cell>
          <cell r="E236">
            <v>46197</v>
          </cell>
          <cell r="F236" t="str">
            <v>助理工程师</v>
          </cell>
          <cell r="G236" t="str">
            <v>助理工程师</v>
          </cell>
          <cell r="H236" t="str">
            <v>4号楼1&amp;2车间</v>
          </cell>
          <cell r="I236" t="str">
            <v>常白</v>
          </cell>
        </row>
        <row r="237">
          <cell r="C237" t="str">
            <v>ALS17754</v>
          </cell>
          <cell r="D237" t="str">
            <v>TJ2</v>
          </cell>
          <cell r="E237">
            <v>46204</v>
          </cell>
          <cell r="F237" t="str">
            <v>助理工程师</v>
          </cell>
          <cell r="G237" t="str">
            <v>助理工程师</v>
          </cell>
          <cell r="H237" t="str">
            <v>4号楼1&amp;2车间</v>
          </cell>
          <cell r="I237" t="str">
            <v>常白</v>
          </cell>
        </row>
        <row r="238">
          <cell r="C238" t="str">
            <v>ALS14058</v>
          </cell>
          <cell r="D238" t="str">
            <v>TJ2</v>
          </cell>
          <cell r="E238">
            <v>45798</v>
          </cell>
          <cell r="F238" t="str">
            <v>操作工</v>
          </cell>
          <cell r="G238" t="str">
            <v>操作工</v>
          </cell>
          <cell r="H238" t="str">
            <v>4号楼1&amp;2车间</v>
          </cell>
          <cell r="I238" t="str">
            <v>班组</v>
          </cell>
        </row>
        <row r="239">
          <cell r="C239" t="str">
            <v>ALS14330</v>
          </cell>
          <cell r="D239" t="str">
            <v>TJ2</v>
          </cell>
          <cell r="E239">
            <v>45854</v>
          </cell>
          <cell r="F239" t="str">
            <v>操作工</v>
          </cell>
          <cell r="G239" t="str">
            <v>操作工</v>
          </cell>
          <cell r="H239" t="str">
            <v>4号楼1&amp;2车间</v>
          </cell>
          <cell r="I239" t="str">
            <v>班组</v>
          </cell>
        </row>
        <row r="240">
          <cell r="C240" t="str">
            <v>ALS11232</v>
          </cell>
          <cell r="D240" t="str">
            <v>TJ2</v>
          </cell>
          <cell r="E240">
            <v>44774</v>
          </cell>
          <cell r="F240" t="str">
            <v>班长</v>
          </cell>
          <cell r="G240" t="str">
            <v>班长</v>
          </cell>
          <cell r="H240" t="str">
            <v>4号楼1&amp;2车间</v>
          </cell>
          <cell r="I240" t="str">
            <v>班组</v>
          </cell>
        </row>
        <row r="241">
          <cell r="C241" t="str">
            <v>ALS17329</v>
          </cell>
          <cell r="D241" t="str">
            <v>TJ2</v>
          </cell>
          <cell r="E241">
            <v>46208</v>
          </cell>
          <cell r="F241" t="str">
            <v>工程师</v>
          </cell>
          <cell r="G241" t="str">
            <v>工程师</v>
          </cell>
          <cell r="H241" t="str">
            <v>4号楼1&amp;2车间</v>
          </cell>
          <cell r="I241" t="str">
            <v>常白</v>
          </cell>
        </row>
        <row r="242">
          <cell r="C242" t="str">
            <v>ABT0244</v>
          </cell>
          <cell r="D242" t="str">
            <v>TJ2</v>
          </cell>
          <cell r="E242">
            <v>41828</v>
          </cell>
          <cell r="F242" t="str">
            <v>助理工程师</v>
          </cell>
          <cell r="G242" t="str">
            <v>助理工程师</v>
          </cell>
          <cell r="H242" t="str">
            <v>4号楼1&amp;2车间</v>
          </cell>
          <cell r="I242" t="str">
            <v>班组</v>
          </cell>
        </row>
        <row r="243">
          <cell r="C243" t="str">
            <v>ALS12311</v>
          </cell>
          <cell r="D243" t="str">
            <v>TJ2</v>
          </cell>
          <cell r="E243">
            <v>45138</v>
          </cell>
          <cell r="F243" t="str">
            <v>助理工程师</v>
          </cell>
          <cell r="G243" t="str">
            <v>助理工程师</v>
          </cell>
          <cell r="H243" t="str">
            <v>4号楼1&amp;2车间</v>
          </cell>
          <cell r="I243" t="str">
            <v>班组</v>
          </cell>
        </row>
        <row r="244">
          <cell r="C244" t="str">
            <v>ALS14057</v>
          </cell>
          <cell r="D244" t="str">
            <v>TJ2</v>
          </cell>
          <cell r="E244">
            <v>45798</v>
          </cell>
          <cell r="F244" t="str">
            <v>助理工程师</v>
          </cell>
          <cell r="G244" t="str">
            <v>助理工程师</v>
          </cell>
          <cell r="H244" t="str">
            <v>4号楼1&amp;2车间</v>
          </cell>
          <cell r="I244" t="str">
            <v>班组</v>
          </cell>
        </row>
        <row r="245">
          <cell r="C245" t="str">
            <v>ALS14130</v>
          </cell>
          <cell r="D245" t="str">
            <v>TJ2</v>
          </cell>
          <cell r="E245">
            <v>45826</v>
          </cell>
          <cell r="F245" t="str">
            <v>助理工程师</v>
          </cell>
          <cell r="G245" t="str">
            <v>助理工程师</v>
          </cell>
          <cell r="H245" t="str">
            <v>4号楼1&amp;2车间</v>
          </cell>
          <cell r="I245" t="str">
            <v>班组</v>
          </cell>
        </row>
        <row r="246">
          <cell r="C246" t="str">
            <v>ALS14685</v>
          </cell>
          <cell r="D246" t="str">
            <v>TJ2</v>
          </cell>
          <cell r="E246">
            <v>45896</v>
          </cell>
          <cell r="F246" t="str">
            <v>助理工程师</v>
          </cell>
          <cell r="G246" t="str">
            <v>助理工程师</v>
          </cell>
          <cell r="H246" t="str">
            <v>4号楼1&amp;2车间</v>
          </cell>
          <cell r="I246" t="str">
            <v>班组</v>
          </cell>
        </row>
        <row r="247">
          <cell r="C247" t="str">
            <v>ALS15674</v>
          </cell>
          <cell r="D247" t="str">
            <v>TJ2</v>
          </cell>
          <cell r="E247">
            <v>46006</v>
          </cell>
          <cell r="F247" t="str">
            <v>助理工程师</v>
          </cell>
          <cell r="G247" t="str">
            <v>助理工程师</v>
          </cell>
          <cell r="H247" t="str">
            <v>4号楼1&amp;2车间</v>
          </cell>
          <cell r="I247" t="str">
            <v>班组</v>
          </cell>
        </row>
        <row r="248">
          <cell r="C248" t="str">
            <v>ALS16318</v>
          </cell>
          <cell r="D248" t="str">
            <v>TJ2</v>
          </cell>
          <cell r="E248">
            <v>46120</v>
          </cell>
          <cell r="F248" t="str">
            <v>助理工程师</v>
          </cell>
          <cell r="G248" t="str">
            <v>助理工程师</v>
          </cell>
          <cell r="H248" t="str">
            <v>4号楼1&amp;2车间</v>
          </cell>
          <cell r="I248" t="str">
            <v>班组</v>
          </cell>
        </row>
        <row r="249">
          <cell r="C249" t="str">
            <v>ALS16978</v>
          </cell>
          <cell r="D249" t="str">
            <v>TJ2</v>
          </cell>
          <cell r="E249">
            <v>46169</v>
          </cell>
          <cell r="F249" t="str">
            <v>助理工程师</v>
          </cell>
          <cell r="G249" t="str">
            <v>助理工程师</v>
          </cell>
          <cell r="H249" t="str">
            <v>4号楼1&amp;2车间</v>
          </cell>
          <cell r="I249" t="str">
            <v>常白</v>
          </cell>
        </row>
        <row r="250">
          <cell r="C250" t="str">
            <v>ALS17449</v>
          </cell>
          <cell r="D250" t="str">
            <v>TJ2</v>
          </cell>
          <cell r="E250">
            <v>46208</v>
          </cell>
          <cell r="F250" t="str">
            <v>助理工程师</v>
          </cell>
          <cell r="G250" t="str">
            <v>助理工程师</v>
          </cell>
          <cell r="H250" t="str">
            <v>4号楼1&amp;2车间</v>
          </cell>
          <cell r="I250" t="str">
            <v>项目组</v>
          </cell>
        </row>
        <row r="251">
          <cell r="C251" t="str">
            <v>ALS13623</v>
          </cell>
          <cell r="D251" t="str">
            <v>TJ2</v>
          </cell>
          <cell r="E251">
            <v>45609</v>
          </cell>
          <cell r="F251" t="str">
            <v>操作工</v>
          </cell>
          <cell r="G251" t="str">
            <v>操作工</v>
          </cell>
          <cell r="H251" t="str">
            <v>4号楼1&amp;2车间</v>
          </cell>
          <cell r="I251" t="str">
            <v>班组</v>
          </cell>
        </row>
        <row r="252">
          <cell r="C252" t="str">
            <v>ALS15346</v>
          </cell>
          <cell r="D252" t="str">
            <v>TJ2</v>
          </cell>
          <cell r="E252">
            <v>45980</v>
          </cell>
          <cell r="F252" t="str">
            <v>操作工</v>
          </cell>
          <cell r="G252" t="str">
            <v>操作工</v>
          </cell>
          <cell r="H252" t="str">
            <v>4号楼1&amp;2车间</v>
          </cell>
          <cell r="I252" t="str">
            <v>班组</v>
          </cell>
        </row>
        <row r="253">
          <cell r="C253" t="str">
            <v>ACT2446</v>
          </cell>
          <cell r="D253" t="str">
            <v>TJ2</v>
          </cell>
          <cell r="E253">
            <v>42212</v>
          </cell>
          <cell r="F253" t="str">
            <v>高级主管</v>
          </cell>
          <cell r="G253" t="str">
            <v>高级主管</v>
          </cell>
          <cell r="H253" t="str">
            <v>5号楼</v>
          </cell>
          <cell r="I253" t="str">
            <v>常白</v>
          </cell>
        </row>
        <row r="254">
          <cell r="C254" t="str">
            <v>AMM4002</v>
          </cell>
          <cell r="D254" t="str">
            <v>TJ2</v>
          </cell>
          <cell r="E254">
            <v>42562</v>
          </cell>
          <cell r="F254" t="str">
            <v>主管</v>
          </cell>
          <cell r="G254" t="str">
            <v>主管</v>
          </cell>
          <cell r="H254" t="str">
            <v>5号楼</v>
          </cell>
          <cell r="I254" t="str">
            <v>常白</v>
          </cell>
        </row>
        <row r="255">
          <cell r="C255" t="str">
            <v>ACT2571</v>
          </cell>
          <cell r="D255" t="str">
            <v>TJ2</v>
          </cell>
          <cell r="E255">
            <v>42788</v>
          </cell>
          <cell r="F255" t="str">
            <v>车间主任</v>
          </cell>
          <cell r="G255" t="str">
            <v>车间主任</v>
          </cell>
          <cell r="H255" t="str">
            <v>5号楼</v>
          </cell>
          <cell r="I255" t="str">
            <v>常白</v>
          </cell>
        </row>
        <row r="256">
          <cell r="C256" t="str">
            <v>ALS16176</v>
          </cell>
          <cell r="D256" t="str">
            <v>TJ2</v>
          </cell>
          <cell r="E256">
            <v>46106</v>
          </cell>
          <cell r="F256" t="str">
            <v>车间主任</v>
          </cell>
          <cell r="G256" t="str">
            <v>车间主任</v>
          </cell>
          <cell r="H256" t="str">
            <v>5号楼</v>
          </cell>
          <cell r="I256" t="str">
            <v>常白</v>
          </cell>
        </row>
        <row r="257">
          <cell r="C257" t="str">
            <v>ALS15392</v>
          </cell>
          <cell r="D257" t="str">
            <v>TJ2</v>
          </cell>
          <cell r="E257">
            <v>45980</v>
          </cell>
          <cell r="F257" t="str">
            <v>车间副主任</v>
          </cell>
          <cell r="G257" t="str">
            <v>车间副主任</v>
          </cell>
          <cell r="H257" t="str">
            <v>5号楼</v>
          </cell>
          <cell r="I257" t="str">
            <v>常白</v>
          </cell>
        </row>
        <row r="258">
          <cell r="C258" t="str">
            <v>AMM0574</v>
          </cell>
          <cell r="D258" t="str">
            <v>TJ2</v>
          </cell>
          <cell r="E258">
            <v>43985</v>
          </cell>
          <cell r="F258" t="str">
            <v>车间副主任</v>
          </cell>
          <cell r="G258" t="str">
            <v>车间副主任</v>
          </cell>
          <cell r="H258" t="str">
            <v>5号楼</v>
          </cell>
          <cell r="I258" t="str">
            <v>倒班</v>
          </cell>
        </row>
        <row r="259">
          <cell r="C259" t="str">
            <v>ACT2467</v>
          </cell>
          <cell r="D259" t="str">
            <v>TJ2</v>
          </cell>
          <cell r="E259">
            <v>42508</v>
          </cell>
          <cell r="F259" t="str">
            <v>班长</v>
          </cell>
          <cell r="G259" t="str">
            <v>班长</v>
          </cell>
          <cell r="H259" t="str">
            <v>5号楼</v>
          </cell>
          <cell r="I259" t="str">
            <v>倒班</v>
          </cell>
        </row>
        <row r="260">
          <cell r="C260" t="str">
            <v>ALS14193</v>
          </cell>
          <cell r="D260" t="str">
            <v>TJ2</v>
          </cell>
          <cell r="E260">
            <v>45833</v>
          </cell>
          <cell r="F260" t="str">
            <v>工程师</v>
          </cell>
          <cell r="G260" t="str">
            <v>工程师</v>
          </cell>
          <cell r="H260" t="str">
            <v>5号楼</v>
          </cell>
          <cell r="I260" t="str">
            <v>倒班</v>
          </cell>
        </row>
        <row r="261">
          <cell r="C261" t="str">
            <v>ALS4606</v>
          </cell>
          <cell r="D261" t="str">
            <v>TJ2</v>
          </cell>
          <cell r="E261">
            <v>43306</v>
          </cell>
          <cell r="F261" t="str">
            <v>工艺主管</v>
          </cell>
          <cell r="G261" t="str">
            <v>工艺主管</v>
          </cell>
          <cell r="H261" t="str">
            <v>5号楼</v>
          </cell>
          <cell r="I261" t="str">
            <v>项目组</v>
          </cell>
        </row>
        <row r="262">
          <cell r="C262" t="str">
            <v>ALS16831</v>
          </cell>
          <cell r="D262" t="str">
            <v>TJ2</v>
          </cell>
          <cell r="E262">
            <v>46155</v>
          </cell>
          <cell r="F262" t="str">
            <v>工艺副主管</v>
          </cell>
          <cell r="G262" t="str">
            <v>工艺副主管</v>
          </cell>
          <cell r="H262" t="str">
            <v>5号楼</v>
          </cell>
          <cell r="I262" t="str">
            <v>项目组</v>
          </cell>
        </row>
        <row r="263">
          <cell r="C263" t="str">
            <v>ALS11773</v>
          </cell>
          <cell r="D263" t="str">
            <v>TJ2</v>
          </cell>
          <cell r="E263">
            <v>44998</v>
          </cell>
          <cell r="F263" t="str">
            <v>工艺副主管</v>
          </cell>
          <cell r="G263" t="str">
            <v>工艺副主管</v>
          </cell>
          <cell r="H263" t="str">
            <v>5号楼</v>
          </cell>
          <cell r="I263" t="str">
            <v>项目组</v>
          </cell>
        </row>
        <row r="264">
          <cell r="C264" t="str">
            <v>ALS18269</v>
          </cell>
          <cell r="D264" t="str">
            <v>TJ2</v>
          </cell>
          <cell r="E264">
            <v>46239</v>
          </cell>
          <cell r="F264" t="str">
            <v>工艺组长</v>
          </cell>
          <cell r="G264" t="str">
            <v>工艺组长</v>
          </cell>
          <cell r="H264" t="str">
            <v>5号楼</v>
          </cell>
          <cell r="I264" t="str">
            <v>项目组</v>
          </cell>
        </row>
        <row r="265">
          <cell r="C265" t="str">
            <v>ALS17339</v>
          </cell>
          <cell r="D265" t="str">
            <v>TJ2</v>
          </cell>
          <cell r="E265">
            <v>46208</v>
          </cell>
          <cell r="F265" t="str">
            <v>工程师</v>
          </cell>
          <cell r="G265" t="str">
            <v>工程师</v>
          </cell>
          <cell r="H265" t="str">
            <v>5号楼</v>
          </cell>
          <cell r="I265" t="str">
            <v>项目组</v>
          </cell>
        </row>
        <row r="266">
          <cell r="C266" t="str">
            <v>ALS17794</v>
          </cell>
          <cell r="D266" t="str">
            <v>TJ2</v>
          </cell>
          <cell r="E266">
            <v>46204</v>
          </cell>
          <cell r="F266" t="str">
            <v>助理工程师</v>
          </cell>
          <cell r="G266" t="str">
            <v>助理工程师</v>
          </cell>
          <cell r="H266" t="str">
            <v>5号楼</v>
          </cell>
          <cell r="I266" t="str">
            <v>项目组</v>
          </cell>
        </row>
        <row r="267">
          <cell r="C267" t="str">
            <v>ALS17788</v>
          </cell>
          <cell r="D267" t="str">
            <v>TJ2</v>
          </cell>
          <cell r="E267">
            <v>46204</v>
          </cell>
          <cell r="F267" t="str">
            <v>助理工程师</v>
          </cell>
          <cell r="G267" t="str">
            <v>助理工程师</v>
          </cell>
          <cell r="H267" t="str">
            <v>5号楼</v>
          </cell>
          <cell r="I267" t="str">
            <v>项目组</v>
          </cell>
        </row>
        <row r="268">
          <cell r="C268" t="str">
            <v>ALS14192</v>
          </cell>
          <cell r="D268" t="str">
            <v>TJ2</v>
          </cell>
          <cell r="E268">
            <v>45833</v>
          </cell>
          <cell r="F268" t="str">
            <v>工程师</v>
          </cell>
          <cell r="G268" t="str">
            <v>工程师</v>
          </cell>
          <cell r="H268" t="str">
            <v>5号楼</v>
          </cell>
          <cell r="I268" t="str">
            <v>项目组倒班</v>
          </cell>
        </row>
        <row r="269">
          <cell r="C269" t="str">
            <v>ALS15923</v>
          </cell>
          <cell r="D269" t="str">
            <v>TJ2</v>
          </cell>
          <cell r="E269">
            <v>46034</v>
          </cell>
          <cell r="F269" t="str">
            <v>工程师</v>
          </cell>
          <cell r="G269" t="str">
            <v>工程师</v>
          </cell>
          <cell r="H269" t="str">
            <v>5号楼</v>
          </cell>
          <cell r="I269" t="str">
            <v>项目组倒班</v>
          </cell>
        </row>
        <row r="270">
          <cell r="C270" t="str">
            <v>ALS17344</v>
          </cell>
          <cell r="D270" t="str">
            <v>TJ2</v>
          </cell>
          <cell r="E270">
            <v>46208</v>
          </cell>
          <cell r="F270" t="str">
            <v>工程师</v>
          </cell>
          <cell r="G270" t="str">
            <v>工程师</v>
          </cell>
          <cell r="H270" t="str">
            <v>5号楼</v>
          </cell>
          <cell r="I270" t="str">
            <v>项目组倒班</v>
          </cell>
        </row>
        <row r="271">
          <cell r="C271" t="str">
            <v>ALS17342</v>
          </cell>
          <cell r="D271" t="str">
            <v>TJ2</v>
          </cell>
          <cell r="E271">
            <v>46208</v>
          </cell>
          <cell r="F271" t="str">
            <v>工程师</v>
          </cell>
          <cell r="G271" t="str">
            <v>工程师</v>
          </cell>
          <cell r="H271" t="str">
            <v>5号楼</v>
          </cell>
          <cell r="I271" t="str">
            <v>项目组倒班</v>
          </cell>
        </row>
        <row r="272">
          <cell r="C272" t="str">
            <v>LFX568</v>
          </cell>
          <cell r="D272" t="str">
            <v>FX2</v>
          </cell>
          <cell r="E272">
            <v>44389</v>
          </cell>
          <cell r="F272" t="str">
            <v>助理工程师</v>
          </cell>
          <cell r="G272" t="str">
            <v>助理工程师</v>
          </cell>
          <cell r="H272" t="str">
            <v>5号楼</v>
          </cell>
          <cell r="I272" t="str">
            <v>项目组倒班</v>
          </cell>
        </row>
        <row r="273">
          <cell r="C273" t="str">
            <v>ALS14098</v>
          </cell>
          <cell r="D273" t="str">
            <v>TJ2</v>
          </cell>
          <cell r="E273">
            <v>45812</v>
          </cell>
          <cell r="F273" t="str">
            <v>助理工程师</v>
          </cell>
          <cell r="G273" t="str">
            <v>助理工程师</v>
          </cell>
          <cell r="H273" t="str">
            <v>5号楼</v>
          </cell>
          <cell r="I273" t="str">
            <v>项目组倒班</v>
          </cell>
        </row>
        <row r="274">
          <cell r="C274" t="str">
            <v>ALS17510</v>
          </cell>
          <cell r="D274" t="str">
            <v>TJ2</v>
          </cell>
          <cell r="E274">
            <v>46197</v>
          </cell>
          <cell r="F274" t="str">
            <v>工程师</v>
          </cell>
          <cell r="G274" t="str">
            <v>工程师</v>
          </cell>
          <cell r="H274" t="str">
            <v>5号楼</v>
          </cell>
          <cell r="I274" t="str">
            <v>常白</v>
          </cell>
        </row>
        <row r="275">
          <cell r="C275" t="str">
            <v>ALS13772</v>
          </cell>
          <cell r="D275" t="str">
            <v>TJ2</v>
          </cell>
          <cell r="E275">
            <v>45672</v>
          </cell>
          <cell r="F275" t="str">
            <v>助理工程师</v>
          </cell>
          <cell r="G275" t="str">
            <v>助理工程师</v>
          </cell>
          <cell r="H275" t="str">
            <v>5号楼</v>
          </cell>
          <cell r="I275" t="str">
            <v>常白</v>
          </cell>
        </row>
        <row r="276">
          <cell r="C276" t="str">
            <v>ALS14679</v>
          </cell>
          <cell r="D276" t="str">
            <v>TJ2</v>
          </cell>
          <cell r="E276">
            <v>45889</v>
          </cell>
          <cell r="F276" t="str">
            <v>助理工程师</v>
          </cell>
          <cell r="G276" t="str">
            <v>助理工程师</v>
          </cell>
          <cell r="H276" t="str">
            <v>5号楼</v>
          </cell>
          <cell r="I276" t="str">
            <v>常白</v>
          </cell>
        </row>
        <row r="277">
          <cell r="C277" t="str">
            <v>ALS14930</v>
          </cell>
          <cell r="D277" t="str">
            <v>TJ2</v>
          </cell>
          <cell r="E277">
            <v>45924</v>
          </cell>
          <cell r="F277" t="str">
            <v>助理工程师</v>
          </cell>
          <cell r="G277" t="str">
            <v>助理工程师</v>
          </cell>
          <cell r="H277" t="str">
            <v>5号楼</v>
          </cell>
          <cell r="I277" t="str">
            <v>常白</v>
          </cell>
        </row>
        <row r="278">
          <cell r="C278" t="str">
            <v>ALS15084</v>
          </cell>
          <cell r="D278" t="str">
            <v>TJ2</v>
          </cell>
          <cell r="E278">
            <v>45952</v>
          </cell>
          <cell r="F278" t="str">
            <v>助理工程师</v>
          </cell>
          <cell r="G278" t="str">
            <v>助理工程师</v>
          </cell>
          <cell r="H278" t="str">
            <v>5号楼</v>
          </cell>
          <cell r="I278" t="str">
            <v>常白</v>
          </cell>
        </row>
        <row r="279">
          <cell r="C279" t="str">
            <v>ALS15204</v>
          </cell>
          <cell r="D279" t="str">
            <v>TJ2</v>
          </cell>
          <cell r="E279">
            <v>45965</v>
          </cell>
          <cell r="F279" t="str">
            <v>助理工程师</v>
          </cell>
          <cell r="G279" t="str">
            <v>助理工程师</v>
          </cell>
          <cell r="H279" t="str">
            <v>5号楼</v>
          </cell>
          <cell r="I279" t="str">
            <v>常白</v>
          </cell>
        </row>
        <row r="280">
          <cell r="C280" t="str">
            <v>ALS15352</v>
          </cell>
          <cell r="D280" t="str">
            <v>TJ2</v>
          </cell>
          <cell r="E280">
            <v>45979</v>
          </cell>
          <cell r="F280" t="str">
            <v>助理工程师</v>
          </cell>
          <cell r="G280" t="str">
            <v>助理工程师</v>
          </cell>
          <cell r="H280" t="str">
            <v>5号楼</v>
          </cell>
          <cell r="I280" t="str">
            <v>常白</v>
          </cell>
        </row>
        <row r="281">
          <cell r="C281" t="str">
            <v>ALS15996</v>
          </cell>
          <cell r="D281" t="str">
            <v>TJ2</v>
          </cell>
          <cell r="E281">
            <v>46043</v>
          </cell>
          <cell r="F281" t="str">
            <v>助理工程师</v>
          </cell>
          <cell r="G281" t="str">
            <v>助理工程师</v>
          </cell>
          <cell r="H281" t="str">
            <v>5号楼</v>
          </cell>
          <cell r="I281" t="str">
            <v>常白</v>
          </cell>
        </row>
        <row r="282">
          <cell r="C282" t="str">
            <v>ALS16772</v>
          </cell>
          <cell r="D282" t="str">
            <v>TJ2</v>
          </cell>
          <cell r="E282">
            <v>46162</v>
          </cell>
          <cell r="F282" t="str">
            <v>助理工程师</v>
          </cell>
          <cell r="G282" t="str">
            <v>助理工程师</v>
          </cell>
          <cell r="H282" t="str">
            <v>5号楼</v>
          </cell>
          <cell r="I282" t="str">
            <v>常白</v>
          </cell>
        </row>
        <row r="283">
          <cell r="C283" t="str">
            <v>ALS16932</v>
          </cell>
          <cell r="D283" t="str">
            <v>TJ2</v>
          </cell>
          <cell r="E283">
            <v>46169</v>
          </cell>
          <cell r="F283" t="str">
            <v>助理工程师</v>
          </cell>
          <cell r="G283" t="str">
            <v>助理工程师</v>
          </cell>
          <cell r="H283" t="str">
            <v>5号楼</v>
          </cell>
          <cell r="I283" t="str">
            <v>常白</v>
          </cell>
        </row>
        <row r="284">
          <cell r="C284" t="str">
            <v>ALS17071</v>
          </cell>
          <cell r="D284" t="str">
            <v>TJ2</v>
          </cell>
          <cell r="E284">
            <v>46176</v>
          </cell>
          <cell r="F284" t="str">
            <v>助理工程师</v>
          </cell>
          <cell r="G284" t="str">
            <v>助理工程师</v>
          </cell>
          <cell r="H284" t="str">
            <v>5号楼</v>
          </cell>
          <cell r="I284" t="str">
            <v>常白</v>
          </cell>
        </row>
        <row r="285">
          <cell r="C285" t="str">
            <v>ALS17072</v>
          </cell>
          <cell r="D285" t="str">
            <v>TJ2</v>
          </cell>
          <cell r="E285">
            <v>46181</v>
          </cell>
          <cell r="F285" t="str">
            <v>助理工程师</v>
          </cell>
          <cell r="G285" t="str">
            <v>助理工程师</v>
          </cell>
          <cell r="H285" t="str">
            <v>5号楼</v>
          </cell>
          <cell r="I285" t="str">
            <v>常白</v>
          </cell>
        </row>
        <row r="286">
          <cell r="C286" t="str">
            <v>ALS17617</v>
          </cell>
          <cell r="D286" t="str">
            <v>TJ2</v>
          </cell>
          <cell r="E286">
            <v>46197</v>
          </cell>
          <cell r="F286" t="str">
            <v>助理工程师</v>
          </cell>
          <cell r="G286" t="str">
            <v>助理工程师</v>
          </cell>
          <cell r="H286" t="str">
            <v>5号楼</v>
          </cell>
          <cell r="I286" t="str">
            <v>常白</v>
          </cell>
        </row>
        <row r="287">
          <cell r="C287" t="str">
            <v>ALS17784</v>
          </cell>
          <cell r="D287" t="str">
            <v>TJ2</v>
          </cell>
          <cell r="E287">
            <v>46204</v>
          </cell>
          <cell r="F287" t="str">
            <v>助理工程师</v>
          </cell>
          <cell r="G287" t="str">
            <v>助理工程师</v>
          </cell>
          <cell r="H287" t="str">
            <v>5号楼</v>
          </cell>
          <cell r="I287" t="str">
            <v>常白</v>
          </cell>
        </row>
        <row r="288">
          <cell r="C288" t="str">
            <v>ALS17785</v>
          </cell>
          <cell r="D288" t="str">
            <v>TJ2</v>
          </cell>
          <cell r="E288">
            <v>46204</v>
          </cell>
          <cell r="F288" t="str">
            <v>助理工程师</v>
          </cell>
          <cell r="G288" t="str">
            <v>助理工程师</v>
          </cell>
          <cell r="H288" t="str">
            <v>5号楼</v>
          </cell>
          <cell r="I288" t="str">
            <v>常白</v>
          </cell>
        </row>
        <row r="289">
          <cell r="C289" t="str">
            <v>ALS17776</v>
          </cell>
          <cell r="D289" t="str">
            <v>TJ2</v>
          </cell>
          <cell r="E289">
            <v>46204</v>
          </cell>
          <cell r="F289" t="str">
            <v>助理工程师</v>
          </cell>
          <cell r="G289" t="str">
            <v>助理工程师</v>
          </cell>
          <cell r="H289" t="str">
            <v>5号楼</v>
          </cell>
          <cell r="I289" t="str">
            <v>常白</v>
          </cell>
        </row>
        <row r="290">
          <cell r="C290" t="str">
            <v>ALS17789</v>
          </cell>
          <cell r="D290" t="str">
            <v>TJ2</v>
          </cell>
          <cell r="E290">
            <v>46204</v>
          </cell>
          <cell r="F290" t="str">
            <v>助理工程师</v>
          </cell>
          <cell r="G290" t="str">
            <v>助理工程师</v>
          </cell>
          <cell r="H290" t="str">
            <v>5号楼</v>
          </cell>
          <cell r="I290" t="str">
            <v>常白</v>
          </cell>
        </row>
        <row r="291">
          <cell r="C291" t="str">
            <v>ALS17406</v>
          </cell>
          <cell r="D291" t="str">
            <v>TJ2</v>
          </cell>
          <cell r="E291">
            <v>46215</v>
          </cell>
          <cell r="F291" t="str">
            <v>助理工程师</v>
          </cell>
          <cell r="G291" t="str">
            <v>助理工程师</v>
          </cell>
          <cell r="H291" t="str">
            <v>5号楼</v>
          </cell>
          <cell r="I291" t="str">
            <v>常白</v>
          </cell>
        </row>
        <row r="292">
          <cell r="C292" t="str">
            <v>ALS17380</v>
          </cell>
          <cell r="D292" t="str">
            <v>TJ2</v>
          </cell>
          <cell r="E292">
            <v>46215</v>
          </cell>
          <cell r="F292" t="str">
            <v>助理工程师</v>
          </cell>
          <cell r="G292" t="str">
            <v>助理工程师</v>
          </cell>
          <cell r="H292" t="str">
            <v>5号楼</v>
          </cell>
          <cell r="I292" t="str">
            <v>常白</v>
          </cell>
        </row>
        <row r="293">
          <cell r="C293" t="str">
            <v>ALS17396</v>
          </cell>
          <cell r="D293" t="str">
            <v>TJ2</v>
          </cell>
          <cell r="E293">
            <v>46215</v>
          </cell>
          <cell r="F293" t="str">
            <v>助理工程师</v>
          </cell>
          <cell r="G293" t="str">
            <v>助理工程师</v>
          </cell>
          <cell r="H293" t="str">
            <v>5号楼</v>
          </cell>
          <cell r="I293" t="str">
            <v>常白</v>
          </cell>
        </row>
        <row r="294">
          <cell r="C294" t="str">
            <v>ALS17383</v>
          </cell>
          <cell r="D294" t="str">
            <v>TJ2</v>
          </cell>
          <cell r="E294">
            <v>46215</v>
          </cell>
          <cell r="F294" t="str">
            <v>助理工程师</v>
          </cell>
          <cell r="G294" t="str">
            <v>助理工程师</v>
          </cell>
          <cell r="H294" t="str">
            <v>5号楼</v>
          </cell>
          <cell r="I294" t="str">
            <v>常白</v>
          </cell>
        </row>
        <row r="295">
          <cell r="C295" t="str">
            <v>ALS17350</v>
          </cell>
          <cell r="D295" t="str">
            <v>TJ2</v>
          </cell>
          <cell r="E295">
            <v>46215</v>
          </cell>
          <cell r="F295" t="str">
            <v>助理工程师</v>
          </cell>
          <cell r="G295" t="str">
            <v>助理工程师</v>
          </cell>
          <cell r="H295" t="str">
            <v>5号楼</v>
          </cell>
          <cell r="I295" t="str">
            <v>常白</v>
          </cell>
        </row>
        <row r="296">
          <cell r="C296" t="str">
            <v>ALS17351</v>
          </cell>
          <cell r="D296" t="str">
            <v>TJ2</v>
          </cell>
          <cell r="E296">
            <v>46215</v>
          </cell>
          <cell r="F296" t="str">
            <v>助理工程师</v>
          </cell>
          <cell r="G296" t="str">
            <v>助理工程师</v>
          </cell>
          <cell r="H296" t="str">
            <v>5号楼</v>
          </cell>
          <cell r="I296" t="str">
            <v>常白</v>
          </cell>
        </row>
        <row r="297">
          <cell r="C297" t="str">
            <v>ALS17354</v>
          </cell>
          <cell r="D297" t="str">
            <v>TJ2</v>
          </cell>
          <cell r="E297">
            <v>46215</v>
          </cell>
          <cell r="F297" t="str">
            <v>助理工程师</v>
          </cell>
          <cell r="G297" t="str">
            <v>助理工程师</v>
          </cell>
          <cell r="H297" t="str">
            <v>5号楼</v>
          </cell>
          <cell r="I297" t="str">
            <v>常白</v>
          </cell>
        </row>
        <row r="298">
          <cell r="C298" t="str">
            <v>ALS18232</v>
          </cell>
          <cell r="D298" t="str">
            <v>TJ2</v>
          </cell>
          <cell r="E298">
            <v>46239</v>
          </cell>
          <cell r="F298" t="str">
            <v>助理工程师</v>
          </cell>
          <cell r="G298" t="str">
            <v>助理工程师</v>
          </cell>
          <cell r="H298" t="str">
            <v>5号楼</v>
          </cell>
          <cell r="I298" t="str">
            <v>常白</v>
          </cell>
        </row>
        <row r="299">
          <cell r="C299" t="str">
            <v>ALS13853</v>
          </cell>
          <cell r="D299" t="str">
            <v>TJ2</v>
          </cell>
          <cell r="E299">
            <v>45735</v>
          </cell>
          <cell r="F299" t="str">
            <v>操作工</v>
          </cell>
          <cell r="G299" t="str">
            <v>操作工</v>
          </cell>
          <cell r="H299" t="str">
            <v>5号楼</v>
          </cell>
          <cell r="I299" t="str">
            <v>常白</v>
          </cell>
        </row>
        <row r="300">
          <cell r="C300" t="str">
            <v>ALS14744</v>
          </cell>
          <cell r="D300" t="str">
            <v>TJ2</v>
          </cell>
          <cell r="E300">
            <v>45896</v>
          </cell>
          <cell r="F300" t="str">
            <v>操作工</v>
          </cell>
          <cell r="G300" t="str">
            <v>操作工</v>
          </cell>
          <cell r="H300" t="str">
            <v>5号楼</v>
          </cell>
          <cell r="I300" t="str">
            <v>常白</v>
          </cell>
        </row>
        <row r="301">
          <cell r="C301" t="str">
            <v>ACT833</v>
          </cell>
          <cell r="D301" t="str">
            <v>TJ2</v>
          </cell>
          <cell r="E301">
            <v>38803</v>
          </cell>
          <cell r="F301" t="str">
            <v>班长</v>
          </cell>
          <cell r="G301" t="str">
            <v>班长</v>
          </cell>
          <cell r="H301" t="str">
            <v>5号楼</v>
          </cell>
          <cell r="I301" t="str">
            <v>班组</v>
          </cell>
        </row>
        <row r="302">
          <cell r="C302" t="str">
            <v>LFX570</v>
          </cell>
          <cell r="D302" t="str">
            <v>FX2</v>
          </cell>
          <cell r="E302">
            <v>44389</v>
          </cell>
          <cell r="F302" t="str">
            <v>助理工程师</v>
          </cell>
          <cell r="G302" t="str">
            <v>助理工程师</v>
          </cell>
          <cell r="H302" t="str">
            <v>5号楼</v>
          </cell>
          <cell r="I302" t="str">
            <v>班组</v>
          </cell>
        </row>
        <row r="303">
          <cell r="C303" t="str">
            <v>ALS14790</v>
          </cell>
          <cell r="D303" t="str">
            <v>TJ2</v>
          </cell>
          <cell r="E303">
            <v>45908</v>
          </cell>
          <cell r="F303" t="str">
            <v>助理工程师</v>
          </cell>
          <cell r="G303" t="str">
            <v>助理工程师</v>
          </cell>
          <cell r="H303" t="str">
            <v>5号楼</v>
          </cell>
          <cell r="I303" t="str">
            <v>班组</v>
          </cell>
        </row>
        <row r="304">
          <cell r="C304" t="str">
            <v>ALS14835</v>
          </cell>
          <cell r="D304" t="str">
            <v>TJ2</v>
          </cell>
          <cell r="E304">
            <v>45910</v>
          </cell>
          <cell r="F304" t="str">
            <v>助理工程师</v>
          </cell>
          <cell r="G304" t="str">
            <v>助理工程师</v>
          </cell>
          <cell r="H304" t="str">
            <v>5号楼</v>
          </cell>
          <cell r="I304" t="str">
            <v>班组</v>
          </cell>
        </row>
        <row r="305">
          <cell r="C305" t="str">
            <v>ALS15055</v>
          </cell>
          <cell r="D305" t="str">
            <v>TJ2</v>
          </cell>
          <cell r="E305">
            <v>45951</v>
          </cell>
          <cell r="F305" t="str">
            <v>助理工程师</v>
          </cell>
          <cell r="G305" t="str">
            <v>助理工程师</v>
          </cell>
          <cell r="H305" t="str">
            <v>5号楼</v>
          </cell>
          <cell r="I305" t="str">
            <v>班组</v>
          </cell>
        </row>
        <row r="306">
          <cell r="C306" t="str">
            <v>ALS16846</v>
          </cell>
          <cell r="D306" t="str">
            <v>TJ2</v>
          </cell>
          <cell r="E306">
            <v>46155</v>
          </cell>
          <cell r="F306" t="str">
            <v>助理工程师</v>
          </cell>
          <cell r="G306" t="str">
            <v>助理工程师</v>
          </cell>
          <cell r="H306" t="str">
            <v>5号楼</v>
          </cell>
          <cell r="I306" t="str">
            <v>班组</v>
          </cell>
        </row>
        <row r="307">
          <cell r="C307" t="str">
            <v>ALS17515</v>
          </cell>
          <cell r="D307" t="str">
            <v>TJ2</v>
          </cell>
          <cell r="E307">
            <v>46197</v>
          </cell>
          <cell r="F307" t="str">
            <v>助理工程师</v>
          </cell>
          <cell r="G307" t="str">
            <v>助理工程师</v>
          </cell>
          <cell r="H307" t="str">
            <v>5号楼</v>
          </cell>
          <cell r="I307" t="str">
            <v>班组</v>
          </cell>
        </row>
        <row r="308">
          <cell r="C308" t="str">
            <v>ALS17616</v>
          </cell>
          <cell r="D308" t="str">
            <v>TJ2</v>
          </cell>
          <cell r="E308">
            <v>46197</v>
          </cell>
          <cell r="F308" t="str">
            <v>助理工程师</v>
          </cell>
          <cell r="G308" t="str">
            <v>助理工程师</v>
          </cell>
          <cell r="H308" t="str">
            <v>5号楼</v>
          </cell>
          <cell r="I308" t="str">
            <v>班组</v>
          </cell>
        </row>
        <row r="309">
          <cell r="C309" t="str">
            <v>ALS17787</v>
          </cell>
          <cell r="D309" t="str">
            <v>TJ2</v>
          </cell>
          <cell r="E309">
            <v>46204</v>
          </cell>
          <cell r="F309" t="str">
            <v>助理工程师</v>
          </cell>
          <cell r="G309" t="str">
            <v>助理工程师</v>
          </cell>
          <cell r="H309" t="str">
            <v>5号楼</v>
          </cell>
          <cell r="I309" t="str">
            <v>班组</v>
          </cell>
        </row>
        <row r="310">
          <cell r="C310" t="str">
            <v>ALS17352</v>
          </cell>
          <cell r="D310" t="str">
            <v>TJ2</v>
          </cell>
          <cell r="E310">
            <v>46215</v>
          </cell>
          <cell r="F310" t="str">
            <v>助理工程师</v>
          </cell>
          <cell r="G310" t="str">
            <v>助理工程师</v>
          </cell>
          <cell r="H310" t="str">
            <v>5号楼</v>
          </cell>
          <cell r="I310" t="str">
            <v>班组</v>
          </cell>
        </row>
        <row r="311">
          <cell r="C311" t="str">
            <v>ALS17404</v>
          </cell>
          <cell r="D311" t="str">
            <v>TJ2</v>
          </cell>
          <cell r="E311">
            <v>46215</v>
          </cell>
          <cell r="F311" t="str">
            <v>助理工程师</v>
          </cell>
          <cell r="G311" t="str">
            <v>助理工程师</v>
          </cell>
          <cell r="H311" t="str">
            <v>5号楼</v>
          </cell>
          <cell r="I311" t="str">
            <v>班组</v>
          </cell>
        </row>
        <row r="312">
          <cell r="C312" t="str">
            <v>ALS17541</v>
          </cell>
          <cell r="D312" t="str">
            <v>TJ2</v>
          </cell>
          <cell r="E312">
            <v>46195</v>
          </cell>
          <cell r="F312" t="str">
            <v>操作工</v>
          </cell>
          <cell r="G312" t="str">
            <v>实习生</v>
          </cell>
          <cell r="H312" t="str">
            <v>5号楼</v>
          </cell>
          <cell r="I312" t="str">
            <v>班组</v>
          </cell>
        </row>
        <row r="313">
          <cell r="C313" t="str">
            <v>ALS1758</v>
          </cell>
          <cell r="D313" t="str">
            <v>TJ2</v>
          </cell>
          <cell r="E313">
            <v>41855</v>
          </cell>
          <cell r="F313" t="str">
            <v>助理工程师</v>
          </cell>
          <cell r="G313" t="str">
            <v>班长</v>
          </cell>
          <cell r="H313" t="str">
            <v>5号楼</v>
          </cell>
          <cell r="I313" t="str">
            <v>班组</v>
          </cell>
        </row>
        <row r="314">
          <cell r="C314" t="str">
            <v>ALS15571</v>
          </cell>
          <cell r="D314" t="str">
            <v>TJ2</v>
          </cell>
          <cell r="E314">
            <v>45994</v>
          </cell>
          <cell r="F314" t="str">
            <v>班长</v>
          </cell>
          <cell r="G314" t="str">
            <v>班长</v>
          </cell>
          <cell r="H314" t="str">
            <v>5号楼</v>
          </cell>
          <cell r="I314" t="str">
            <v>班组</v>
          </cell>
        </row>
        <row r="315">
          <cell r="C315" t="str">
            <v>ALS15027</v>
          </cell>
          <cell r="D315" t="str">
            <v>TJ2</v>
          </cell>
          <cell r="E315">
            <v>45945</v>
          </cell>
          <cell r="F315" t="str">
            <v>助理工程师</v>
          </cell>
          <cell r="G315" t="str">
            <v>助理工程师</v>
          </cell>
          <cell r="H315" t="str">
            <v>5号楼</v>
          </cell>
          <cell r="I315" t="str">
            <v>班组</v>
          </cell>
        </row>
        <row r="316">
          <cell r="C316" t="str">
            <v>ALS15353</v>
          </cell>
          <cell r="D316" t="str">
            <v>TJ2</v>
          </cell>
          <cell r="E316">
            <v>45979</v>
          </cell>
          <cell r="F316" t="str">
            <v>助理工程师</v>
          </cell>
          <cell r="G316" t="str">
            <v>助理工程师</v>
          </cell>
          <cell r="H316" t="str">
            <v>5号楼</v>
          </cell>
          <cell r="I316" t="str">
            <v>班组</v>
          </cell>
        </row>
        <row r="317">
          <cell r="C317" t="str">
            <v>ALS16101</v>
          </cell>
          <cell r="D317" t="str">
            <v>TJ2</v>
          </cell>
          <cell r="E317">
            <v>46085</v>
          </cell>
          <cell r="F317" t="str">
            <v>助理工程师</v>
          </cell>
          <cell r="G317" t="str">
            <v>助理工程师</v>
          </cell>
          <cell r="H317" t="str">
            <v>5号楼</v>
          </cell>
          <cell r="I317" t="str">
            <v>班组</v>
          </cell>
        </row>
        <row r="318">
          <cell r="C318" t="str">
            <v>ALS16919</v>
          </cell>
          <cell r="D318" t="str">
            <v>TJ2</v>
          </cell>
          <cell r="E318">
            <v>46162</v>
          </cell>
          <cell r="F318" t="str">
            <v>助理工程师</v>
          </cell>
          <cell r="G318" t="str">
            <v>助理工程师</v>
          </cell>
          <cell r="H318" t="str">
            <v>5号楼</v>
          </cell>
          <cell r="I318" t="str">
            <v>班组</v>
          </cell>
        </row>
        <row r="319">
          <cell r="C319" t="str">
            <v>ALS17783</v>
          </cell>
          <cell r="D319" t="str">
            <v>TJ2</v>
          </cell>
          <cell r="E319">
            <v>46204</v>
          </cell>
          <cell r="F319" t="str">
            <v>助理工程师</v>
          </cell>
          <cell r="G319" t="str">
            <v>助理工程师</v>
          </cell>
          <cell r="H319" t="str">
            <v>5号楼</v>
          </cell>
          <cell r="I319" t="str">
            <v>班组</v>
          </cell>
        </row>
        <row r="320">
          <cell r="C320" t="str">
            <v>ALS17795</v>
          </cell>
          <cell r="D320" t="str">
            <v>TJ2</v>
          </cell>
          <cell r="E320">
            <v>46204</v>
          </cell>
          <cell r="F320" t="str">
            <v>助理工程师</v>
          </cell>
          <cell r="G320" t="str">
            <v>助理工程师</v>
          </cell>
          <cell r="H320" t="str">
            <v>5号楼</v>
          </cell>
          <cell r="I320" t="str">
            <v>班组</v>
          </cell>
        </row>
        <row r="321">
          <cell r="C321" t="str">
            <v>ALS14775</v>
          </cell>
          <cell r="D321" t="str">
            <v>TJ2</v>
          </cell>
          <cell r="E321">
            <v>45903</v>
          </cell>
          <cell r="F321" t="str">
            <v>操作工</v>
          </cell>
          <cell r="G321" t="str">
            <v>操作工</v>
          </cell>
          <cell r="H321" t="str">
            <v>5号楼</v>
          </cell>
          <cell r="I321" t="str">
            <v>班组</v>
          </cell>
        </row>
        <row r="322">
          <cell r="C322" t="str">
            <v>ALS17778</v>
          </cell>
          <cell r="D322" t="str">
            <v>TJ2</v>
          </cell>
          <cell r="E322">
            <v>46204</v>
          </cell>
          <cell r="F322" t="str">
            <v>操作工</v>
          </cell>
          <cell r="G322" t="str">
            <v>操作工</v>
          </cell>
          <cell r="H322" t="str">
            <v>5号楼</v>
          </cell>
          <cell r="I322" t="str">
            <v>班组</v>
          </cell>
        </row>
        <row r="323">
          <cell r="C323" t="str">
            <v>ALS14021</v>
          </cell>
          <cell r="D323" t="str">
            <v>TJ2</v>
          </cell>
          <cell r="E323">
            <v>45791</v>
          </cell>
          <cell r="F323" t="str">
            <v>助理工程师</v>
          </cell>
          <cell r="G323" t="str">
            <v>班长</v>
          </cell>
          <cell r="H323" t="str">
            <v>5号楼</v>
          </cell>
          <cell r="I323" t="str">
            <v>班组</v>
          </cell>
        </row>
        <row r="324">
          <cell r="C324" t="str">
            <v>ALS17330</v>
          </cell>
          <cell r="D324" t="str">
            <v>TJ2</v>
          </cell>
          <cell r="E324">
            <v>46208</v>
          </cell>
          <cell r="F324" t="str">
            <v>工程师</v>
          </cell>
          <cell r="G324" t="str">
            <v>工程师</v>
          </cell>
          <cell r="H324" t="str">
            <v>5号楼</v>
          </cell>
          <cell r="I324" t="str">
            <v>班组</v>
          </cell>
        </row>
        <row r="325">
          <cell r="C325" t="str">
            <v>ALS14571</v>
          </cell>
          <cell r="D325" t="str">
            <v>TJ2</v>
          </cell>
          <cell r="E325">
            <v>45875</v>
          </cell>
          <cell r="F325" t="str">
            <v>助理工程师</v>
          </cell>
          <cell r="G325" t="str">
            <v>助理工程师</v>
          </cell>
          <cell r="H325" t="str">
            <v>5号楼</v>
          </cell>
          <cell r="I325" t="str">
            <v>班组</v>
          </cell>
        </row>
        <row r="326">
          <cell r="C326" t="str">
            <v>ALS15028</v>
          </cell>
          <cell r="D326" t="str">
            <v>TJ2</v>
          </cell>
          <cell r="E326">
            <v>45945</v>
          </cell>
          <cell r="F326" t="str">
            <v>助理工程师</v>
          </cell>
          <cell r="G326" t="str">
            <v>助理工程师</v>
          </cell>
          <cell r="H326" t="str">
            <v>5号楼</v>
          </cell>
          <cell r="I326" t="str">
            <v>班组</v>
          </cell>
        </row>
        <row r="327">
          <cell r="C327" t="str">
            <v>ALS15205</v>
          </cell>
          <cell r="D327" t="str">
            <v>TJ2</v>
          </cell>
          <cell r="E327">
            <v>45965</v>
          </cell>
          <cell r="F327" t="str">
            <v>助理工程师</v>
          </cell>
          <cell r="G327" t="str">
            <v>助理工程师</v>
          </cell>
          <cell r="H327" t="str">
            <v>5号楼</v>
          </cell>
          <cell r="I327" t="str">
            <v>班组</v>
          </cell>
        </row>
        <row r="328">
          <cell r="C328" t="str">
            <v>ALS16867</v>
          </cell>
          <cell r="D328" t="str">
            <v>TJ2</v>
          </cell>
          <cell r="E328">
            <v>46160</v>
          </cell>
          <cell r="F328" t="str">
            <v>助理工程师</v>
          </cell>
          <cell r="G328" t="str">
            <v>助理工程师</v>
          </cell>
          <cell r="H328" t="str">
            <v>5号楼</v>
          </cell>
          <cell r="I328" t="str">
            <v>班组</v>
          </cell>
        </row>
        <row r="329">
          <cell r="C329" t="str">
            <v>ALS17612</v>
          </cell>
          <cell r="D329" t="str">
            <v>TJ2</v>
          </cell>
          <cell r="E329">
            <v>46197</v>
          </cell>
          <cell r="F329" t="str">
            <v>助理工程师</v>
          </cell>
          <cell r="G329" t="str">
            <v>助理工程师</v>
          </cell>
          <cell r="H329" t="str">
            <v>5号楼</v>
          </cell>
          <cell r="I329" t="str">
            <v>班组</v>
          </cell>
        </row>
        <row r="330">
          <cell r="C330" t="str">
            <v>ALS17781</v>
          </cell>
          <cell r="D330" t="str">
            <v>TJ2</v>
          </cell>
          <cell r="E330">
            <v>46204</v>
          </cell>
          <cell r="F330" t="str">
            <v>助理工程师</v>
          </cell>
          <cell r="G330" t="str">
            <v>助理工程师</v>
          </cell>
          <cell r="H330" t="str">
            <v>5号楼</v>
          </cell>
          <cell r="I330" t="str">
            <v>班组</v>
          </cell>
        </row>
        <row r="331">
          <cell r="C331" t="str">
            <v>ALS17408</v>
          </cell>
          <cell r="D331" t="str">
            <v>TJ2</v>
          </cell>
          <cell r="E331">
            <v>46208</v>
          </cell>
          <cell r="F331" t="str">
            <v>助理工程师</v>
          </cell>
          <cell r="G331" t="str">
            <v>助理工程师</v>
          </cell>
          <cell r="H331" t="str">
            <v>5号楼</v>
          </cell>
          <cell r="I331" t="str">
            <v>班组</v>
          </cell>
        </row>
        <row r="332">
          <cell r="C332" t="str">
            <v>ALS17401</v>
          </cell>
          <cell r="D332" t="str">
            <v>TJ2</v>
          </cell>
          <cell r="E332">
            <v>46215</v>
          </cell>
          <cell r="F332" t="str">
            <v>助理工程师</v>
          </cell>
          <cell r="G332" t="str">
            <v>助理工程师</v>
          </cell>
          <cell r="H332" t="str">
            <v>5号楼</v>
          </cell>
          <cell r="I332" t="str">
            <v>班组</v>
          </cell>
        </row>
        <row r="333">
          <cell r="C333" t="str">
            <v>ALS18006</v>
          </cell>
          <cell r="D333" t="str">
            <v>TJ2</v>
          </cell>
          <cell r="E333">
            <v>46225</v>
          </cell>
          <cell r="F333" t="str">
            <v>助理工程师</v>
          </cell>
          <cell r="G333" t="str">
            <v>助理工程师</v>
          </cell>
          <cell r="H333" t="str">
            <v>5号楼</v>
          </cell>
          <cell r="I333" t="str">
            <v>班组</v>
          </cell>
        </row>
        <row r="334">
          <cell r="C334" t="str">
            <v>ALS14998</v>
          </cell>
          <cell r="D334" t="str">
            <v>TJ2</v>
          </cell>
          <cell r="E334">
            <v>45952</v>
          </cell>
          <cell r="F334" t="str">
            <v>操作工</v>
          </cell>
          <cell r="G334" t="str">
            <v>操作工</v>
          </cell>
          <cell r="H334" t="str">
            <v>5号楼</v>
          </cell>
          <cell r="I334" t="str">
            <v>班组</v>
          </cell>
        </row>
        <row r="335">
          <cell r="C335" t="str">
            <v>ACT2491</v>
          </cell>
          <cell r="D335" t="str">
            <v>TJ2</v>
          </cell>
          <cell r="E335">
            <v>43003</v>
          </cell>
          <cell r="F335" t="str">
            <v>班长</v>
          </cell>
          <cell r="G335" t="str">
            <v>班长</v>
          </cell>
          <cell r="H335" t="str">
            <v>5号楼</v>
          </cell>
          <cell r="I335" t="str">
            <v>班组</v>
          </cell>
        </row>
        <row r="336">
          <cell r="C336" t="str">
            <v>ALS15250</v>
          </cell>
          <cell r="D336" t="str">
            <v>TJ2</v>
          </cell>
          <cell r="E336">
            <v>45971</v>
          </cell>
          <cell r="F336" t="str">
            <v>工程师</v>
          </cell>
          <cell r="G336" t="str">
            <v>工程师</v>
          </cell>
          <cell r="H336" t="str">
            <v>5号楼</v>
          </cell>
          <cell r="I336" t="str">
            <v>班组</v>
          </cell>
        </row>
        <row r="337">
          <cell r="C337" t="str">
            <v>ALS17341</v>
          </cell>
          <cell r="D337" t="str">
            <v>TJ2</v>
          </cell>
          <cell r="E337">
            <v>46208</v>
          </cell>
          <cell r="F337" t="str">
            <v>工程师</v>
          </cell>
          <cell r="G337" t="str">
            <v>工程师</v>
          </cell>
          <cell r="H337" t="str">
            <v>5号楼</v>
          </cell>
          <cell r="I337" t="str">
            <v>班组</v>
          </cell>
        </row>
        <row r="338">
          <cell r="C338" t="str">
            <v>ALS14025</v>
          </cell>
          <cell r="D338" t="str">
            <v>TJ2</v>
          </cell>
          <cell r="E338">
            <v>45798</v>
          </cell>
          <cell r="F338" t="str">
            <v>助理工程师</v>
          </cell>
          <cell r="G338" t="str">
            <v>助理工程师</v>
          </cell>
          <cell r="H338" t="str">
            <v>5号楼</v>
          </cell>
          <cell r="I338" t="str">
            <v>班组</v>
          </cell>
        </row>
        <row r="339">
          <cell r="C339" t="str">
            <v>ALS15097</v>
          </cell>
          <cell r="D339" t="str">
            <v>TJ2</v>
          </cell>
          <cell r="E339">
            <v>45959</v>
          </cell>
          <cell r="F339" t="str">
            <v>助理工程师</v>
          </cell>
          <cell r="G339" t="str">
            <v>助理工程师</v>
          </cell>
          <cell r="H339" t="str">
            <v>5号楼</v>
          </cell>
          <cell r="I339" t="str">
            <v>班组</v>
          </cell>
        </row>
        <row r="340">
          <cell r="C340" t="str">
            <v>ALS15439</v>
          </cell>
          <cell r="D340" t="str">
            <v>TJ2</v>
          </cell>
          <cell r="E340">
            <v>45987</v>
          </cell>
          <cell r="F340" t="str">
            <v>助理工程师</v>
          </cell>
          <cell r="G340" t="str">
            <v>助理工程师</v>
          </cell>
          <cell r="H340" t="str">
            <v>5号楼</v>
          </cell>
          <cell r="I340" t="str">
            <v>班组</v>
          </cell>
        </row>
        <row r="341">
          <cell r="C341" t="str">
            <v>ALS17791</v>
          </cell>
          <cell r="D341" t="str">
            <v>TJ2</v>
          </cell>
          <cell r="E341">
            <v>46204</v>
          </cell>
          <cell r="F341" t="str">
            <v>助理工程师</v>
          </cell>
          <cell r="G341" t="str">
            <v>助理工程师</v>
          </cell>
          <cell r="H341" t="str">
            <v>5号楼</v>
          </cell>
          <cell r="I341" t="str">
            <v>常白</v>
          </cell>
        </row>
        <row r="342">
          <cell r="C342" t="str">
            <v>ALS17407</v>
          </cell>
          <cell r="D342" t="str">
            <v>TJ2</v>
          </cell>
          <cell r="E342">
            <v>46208</v>
          </cell>
          <cell r="F342" t="str">
            <v>助理工程师</v>
          </cell>
          <cell r="G342" t="str">
            <v>助理工程师</v>
          </cell>
          <cell r="H342" t="str">
            <v>5号楼</v>
          </cell>
          <cell r="I342" t="str">
            <v>班组</v>
          </cell>
        </row>
        <row r="343">
          <cell r="C343" t="str">
            <v>ALS17416</v>
          </cell>
          <cell r="D343" t="str">
            <v>TJ2</v>
          </cell>
          <cell r="E343">
            <v>46208</v>
          </cell>
          <cell r="F343" t="str">
            <v>助理工程师</v>
          </cell>
          <cell r="G343" t="str">
            <v>助理工程师</v>
          </cell>
          <cell r="H343" t="str">
            <v>5号楼</v>
          </cell>
          <cell r="I343" t="str">
            <v>班组</v>
          </cell>
        </row>
        <row r="344">
          <cell r="C344" t="str">
            <v>ALS17402</v>
          </cell>
          <cell r="D344" t="str">
            <v>TJ2</v>
          </cell>
          <cell r="E344">
            <v>46232</v>
          </cell>
          <cell r="F344" t="str">
            <v>助理工程师</v>
          </cell>
          <cell r="G344" t="str">
            <v>助理工程师</v>
          </cell>
          <cell r="H344" t="str">
            <v>5号楼</v>
          </cell>
          <cell r="I344" t="str">
            <v>班组</v>
          </cell>
        </row>
        <row r="345">
          <cell r="C345" t="str">
            <v>ALS16107</v>
          </cell>
          <cell r="D345" t="str">
            <v>TJ2</v>
          </cell>
          <cell r="E345">
            <v>46085</v>
          </cell>
          <cell r="F345" t="str">
            <v>操作工</v>
          </cell>
          <cell r="G345" t="str">
            <v>操作工</v>
          </cell>
          <cell r="H345" t="str">
            <v>5号楼</v>
          </cell>
          <cell r="I345" t="str">
            <v>班组</v>
          </cell>
        </row>
        <row r="346">
          <cell r="C346" t="str">
            <v>ALS1466</v>
          </cell>
          <cell r="D346" t="str">
            <v>TJ2</v>
          </cell>
          <cell r="E346">
            <v>41597</v>
          </cell>
          <cell r="F346" t="str">
            <v>高级主管</v>
          </cell>
          <cell r="G346" t="str">
            <v>高级主管</v>
          </cell>
          <cell r="H346" t="str">
            <v>11号楼</v>
          </cell>
          <cell r="I346" t="str">
            <v>常白</v>
          </cell>
        </row>
        <row r="347">
          <cell r="C347" t="str">
            <v>ALS5477</v>
          </cell>
          <cell r="D347" t="str">
            <v>TJ2</v>
          </cell>
          <cell r="E347">
            <v>43654</v>
          </cell>
          <cell r="F347" t="str">
            <v>工艺主管</v>
          </cell>
          <cell r="G347" t="str">
            <v>工艺主管</v>
          </cell>
          <cell r="H347" t="str">
            <v>11号楼</v>
          </cell>
          <cell r="I347">
            <v>5104</v>
          </cell>
        </row>
        <row r="348">
          <cell r="C348" t="str">
            <v>ALS6119</v>
          </cell>
          <cell r="D348" t="str">
            <v>TJ2</v>
          </cell>
          <cell r="E348">
            <v>43963</v>
          </cell>
          <cell r="F348" t="str">
            <v>工艺组长</v>
          </cell>
          <cell r="G348" t="str">
            <v>工艺组长</v>
          </cell>
          <cell r="H348" t="str">
            <v>11号楼</v>
          </cell>
          <cell r="I348">
            <v>5104</v>
          </cell>
        </row>
        <row r="349">
          <cell r="C349" t="str">
            <v>ALS14885</v>
          </cell>
          <cell r="D349" t="str">
            <v>TJ2</v>
          </cell>
          <cell r="E349">
            <v>45922</v>
          </cell>
          <cell r="F349" t="str">
            <v>工艺组长</v>
          </cell>
          <cell r="G349" t="str">
            <v>工艺组长</v>
          </cell>
          <cell r="H349" t="str">
            <v>11号楼</v>
          </cell>
          <cell r="I349">
            <v>5104</v>
          </cell>
        </row>
        <row r="350">
          <cell r="C350" t="str">
            <v>ALS18268</v>
          </cell>
          <cell r="D350" t="str">
            <v>TJ2</v>
          </cell>
          <cell r="E350">
            <v>46239</v>
          </cell>
          <cell r="F350" t="str">
            <v>工艺组长</v>
          </cell>
          <cell r="G350" t="str">
            <v>工艺组长</v>
          </cell>
          <cell r="H350" t="str">
            <v>13号楼（11号楼委培）</v>
          </cell>
          <cell r="I350">
            <v>5104</v>
          </cell>
        </row>
        <row r="351">
          <cell r="C351" t="str">
            <v>ALS12765</v>
          </cell>
          <cell r="D351" t="str">
            <v>TJ2</v>
          </cell>
          <cell r="E351">
            <v>45238</v>
          </cell>
          <cell r="F351" t="str">
            <v>助理工程师</v>
          </cell>
          <cell r="G351" t="str">
            <v>助理工程师</v>
          </cell>
          <cell r="H351" t="str">
            <v>11号楼</v>
          </cell>
          <cell r="I351">
            <v>5104</v>
          </cell>
        </row>
        <row r="352">
          <cell r="C352" t="str">
            <v>ALS13028</v>
          </cell>
          <cell r="D352" t="str">
            <v>TJ2</v>
          </cell>
          <cell r="E352">
            <v>45469</v>
          </cell>
          <cell r="F352" t="str">
            <v>助理工程师</v>
          </cell>
          <cell r="G352" t="str">
            <v>助理工程师</v>
          </cell>
          <cell r="H352" t="str">
            <v>11号楼</v>
          </cell>
          <cell r="I352">
            <v>5104</v>
          </cell>
        </row>
        <row r="353">
          <cell r="C353" t="str">
            <v>ALS13544</v>
          </cell>
          <cell r="D353" t="str">
            <v>TJ2</v>
          </cell>
          <cell r="E353">
            <v>45586</v>
          </cell>
          <cell r="F353" t="str">
            <v>助理工程师</v>
          </cell>
          <cell r="G353" t="str">
            <v>助理工程师</v>
          </cell>
          <cell r="H353" t="str">
            <v>11号楼</v>
          </cell>
          <cell r="I353">
            <v>5104</v>
          </cell>
        </row>
        <row r="354">
          <cell r="C354" t="str">
            <v>ALS17340</v>
          </cell>
          <cell r="D354" t="str">
            <v>TJ2</v>
          </cell>
          <cell r="E354">
            <v>46208</v>
          </cell>
          <cell r="F354" t="str">
            <v>工程师</v>
          </cell>
          <cell r="G354" t="str">
            <v>工程师</v>
          </cell>
          <cell r="H354" t="str">
            <v>11号楼</v>
          </cell>
          <cell r="I354">
            <v>5104</v>
          </cell>
        </row>
        <row r="355">
          <cell r="C355" t="str">
            <v>ALS8031</v>
          </cell>
          <cell r="D355" t="str">
            <v>TJ2</v>
          </cell>
          <cell r="E355">
            <v>44396</v>
          </cell>
          <cell r="F355" t="str">
            <v>助理工程师</v>
          </cell>
          <cell r="G355" t="str">
            <v>助理工程师</v>
          </cell>
          <cell r="H355" t="str">
            <v>11号楼</v>
          </cell>
          <cell r="I355">
            <v>5104</v>
          </cell>
        </row>
        <row r="356">
          <cell r="C356" t="str">
            <v>ALS17362</v>
          </cell>
          <cell r="D356" t="str">
            <v>TJ2</v>
          </cell>
          <cell r="E356">
            <v>46208</v>
          </cell>
          <cell r="F356" t="str">
            <v>助理工程师</v>
          </cell>
          <cell r="G356" t="str">
            <v>助理工程师</v>
          </cell>
          <cell r="H356" t="str">
            <v>11号楼</v>
          </cell>
          <cell r="I356">
            <v>5104</v>
          </cell>
        </row>
        <row r="357">
          <cell r="C357" t="str">
            <v>AMM0875</v>
          </cell>
          <cell r="D357" t="str">
            <v>TJ2</v>
          </cell>
          <cell r="E357">
            <v>42655</v>
          </cell>
          <cell r="F357" t="str">
            <v>车间主任</v>
          </cell>
          <cell r="G357" t="str">
            <v>车间主任</v>
          </cell>
          <cell r="H357" t="str">
            <v>11号楼CNC区域</v>
          </cell>
          <cell r="I357" t="str">
            <v>常白</v>
          </cell>
        </row>
        <row r="358">
          <cell r="C358" t="str">
            <v>ALS17740</v>
          </cell>
          <cell r="D358" t="str">
            <v>TJ2</v>
          </cell>
          <cell r="E358">
            <v>46204</v>
          </cell>
          <cell r="F358" t="str">
            <v>车间主任</v>
          </cell>
          <cell r="G358" t="str">
            <v>车间主任</v>
          </cell>
          <cell r="H358" t="str">
            <v>11号楼CNC区域</v>
          </cell>
          <cell r="I358" t="str">
            <v>常白</v>
          </cell>
        </row>
        <row r="359">
          <cell r="C359" t="str">
            <v>ACT844</v>
          </cell>
          <cell r="D359" t="str">
            <v>TJ2</v>
          </cell>
          <cell r="E359">
            <v>38803</v>
          </cell>
          <cell r="F359" t="str">
            <v>车间副主任</v>
          </cell>
          <cell r="G359" t="str">
            <v>车间副主任</v>
          </cell>
          <cell r="H359" t="str">
            <v>11号楼CNC区域</v>
          </cell>
          <cell r="I359" t="str">
            <v>常白</v>
          </cell>
        </row>
        <row r="360">
          <cell r="C360" t="str">
            <v>ALS17929</v>
          </cell>
          <cell r="D360" t="str">
            <v>TJ2</v>
          </cell>
          <cell r="E360">
            <v>46213</v>
          </cell>
          <cell r="F360" t="str">
            <v>车间副主任</v>
          </cell>
          <cell r="G360" t="str">
            <v>车间副主任</v>
          </cell>
          <cell r="H360" t="str">
            <v>11号楼CNC区域</v>
          </cell>
          <cell r="I360" t="str">
            <v>常白</v>
          </cell>
        </row>
        <row r="361">
          <cell r="C361" t="str">
            <v>ALS0367</v>
          </cell>
          <cell r="D361" t="str">
            <v>TJ2</v>
          </cell>
          <cell r="E361">
            <v>39699</v>
          </cell>
          <cell r="F361" t="str">
            <v>工艺高级主管</v>
          </cell>
          <cell r="G361" t="str">
            <v>工艺高级主管</v>
          </cell>
          <cell r="H361" t="str">
            <v>11号楼CNC区域</v>
          </cell>
          <cell r="I361" t="str">
            <v>项目组</v>
          </cell>
        </row>
        <row r="362">
          <cell r="C362" t="str">
            <v>AMM5072</v>
          </cell>
          <cell r="D362" t="str">
            <v>TJ3</v>
          </cell>
          <cell r="E362">
            <v>45994</v>
          </cell>
          <cell r="F362" t="str">
            <v>主管</v>
          </cell>
          <cell r="G362" t="str">
            <v>主管</v>
          </cell>
          <cell r="H362" t="str">
            <v>11号楼</v>
          </cell>
          <cell r="I362" t="str">
            <v>项目组</v>
          </cell>
        </row>
        <row r="363">
          <cell r="C363" t="str">
            <v>AMT0341</v>
          </cell>
          <cell r="D363" t="str">
            <v>TJ6</v>
          </cell>
          <cell r="E363">
            <v>44235</v>
          </cell>
          <cell r="F363" t="str">
            <v>主管</v>
          </cell>
          <cell r="G363" t="str">
            <v>主管</v>
          </cell>
          <cell r="H363" t="str">
            <v>11号楼CNC区域</v>
          </cell>
          <cell r="I363" t="str">
            <v>项目组</v>
          </cell>
        </row>
        <row r="364">
          <cell r="C364" t="str">
            <v>ALS3845</v>
          </cell>
          <cell r="D364" t="str">
            <v>TJ2</v>
          </cell>
          <cell r="E364">
            <v>42998</v>
          </cell>
          <cell r="F364" t="str">
            <v>工艺副主管</v>
          </cell>
          <cell r="G364" t="str">
            <v>工艺副主管</v>
          </cell>
          <cell r="H364" t="str">
            <v>11号楼CNC区域</v>
          </cell>
          <cell r="I364" t="str">
            <v>项目组</v>
          </cell>
        </row>
        <row r="365">
          <cell r="C365" t="str">
            <v>ALS11094</v>
          </cell>
          <cell r="D365" t="str">
            <v>TJ2</v>
          </cell>
          <cell r="E365">
            <v>44774</v>
          </cell>
          <cell r="F365" t="str">
            <v>工艺组长</v>
          </cell>
          <cell r="G365" t="str">
            <v>工艺组长</v>
          </cell>
          <cell r="H365" t="str">
            <v>11号楼CNC区域</v>
          </cell>
          <cell r="I365" t="str">
            <v>项目组</v>
          </cell>
        </row>
        <row r="366">
          <cell r="C366" t="str">
            <v>ALS18335</v>
          </cell>
          <cell r="D366" t="str">
            <v>TJ2</v>
          </cell>
          <cell r="E366">
            <v>46246</v>
          </cell>
          <cell r="F366" t="str">
            <v>工艺组长</v>
          </cell>
          <cell r="G366" t="str">
            <v>工艺组长</v>
          </cell>
          <cell r="H366" t="str">
            <v>11号楼CNC区域</v>
          </cell>
          <cell r="I366" t="str">
            <v>项目组</v>
          </cell>
        </row>
        <row r="367">
          <cell r="C367" t="str">
            <v>ALS18264</v>
          </cell>
          <cell r="D367" t="str">
            <v>TJ2</v>
          </cell>
          <cell r="E367">
            <v>46239</v>
          </cell>
          <cell r="F367" t="str">
            <v>工艺组长</v>
          </cell>
          <cell r="G367" t="str">
            <v>工艺组长</v>
          </cell>
          <cell r="H367" t="str">
            <v>13号楼（11号楼CNC区域委培）</v>
          </cell>
          <cell r="I367" t="str">
            <v>项目组</v>
          </cell>
        </row>
        <row r="368">
          <cell r="C368" t="str">
            <v>ALS12304</v>
          </cell>
          <cell r="D368" t="str">
            <v>TJ2</v>
          </cell>
          <cell r="E368">
            <v>45138</v>
          </cell>
          <cell r="F368" t="str">
            <v>工程师</v>
          </cell>
          <cell r="G368" t="str">
            <v>工程师</v>
          </cell>
          <cell r="H368" t="str">
            <v>11号楼CNC区域</v>
          </cell>
          <cell r="I368" t="str">
            <v>项目组</v>
          </cell>
        </row>
        <row r="369">
          <cell r="C369" t="str">
            <v>ALS14314</v>
          </cell>
          <cell r="D369" t="str">
            <v>TJ2</v>
          </cell>
          <cell r="E369">
            <v>45847</v>
          </cell>
          <cell r="F369" t="str">
            <v>工程师</v>
          </cell>
          <cell r="G369" t="str">
            <v>工程师</v>
          </cell>
          <cell r="H369" t="str">
            <v>11号楼CNC区域</v>
          </cell>
          <cell r="I369" t="str">
            <v>项目组</v>
          </cell>
        </row>
        <row r="370">
          <cell r="C370" t="str">
            <v>ALS17333</v>
          </cell>
          <cell r="D370" t="str">
            <v>TJ2</v>
          </cell>
          <cell r="E370">
            <v>46208</v>
          </cell>
          <cell r="F370" t="str">
            <v>工程师</v>
          </cell>
          <cell r="G370" t="str">
            <v>工程师</v>
          </cell>
          <cell r="H370" t="str">
            <v>11号楼CNC区域</v>
          </cell>
          <cell r="I370" t="str">
            <v>项目组</v>
          </cell>
        </row>
        <row r="371">
          <cell r="C371" t="str">
            <v>ALS14676</v>
          </cell>
          <cell r="D371" t="str">
            <v>TJ2</v>
          </cell>
          <cell r="E371">
            <v>45889</v>
          </cell>
          <cell r="F371" t="str">
            <v>助理工程师</v>
          </cell>
          <cell r="G371" t="str">
            <v>助理工程师</v>
          </cell>
          <cell r="H371" t="str">
            <v>11号楼CNC区域</v>
          </cell>
          <cell r="I371" t="str">
            <v>项目组</v>
          </cell>
        </row>
        <row r="372">
          <cell r="C372" t="str">
            <v>ALS18065</v>
          </cell>
          <cell r="D372" t="str">
            <v>TJ2</v>
          </cell>
          <cell r="E372">
            <v>46225</v>
          </cell>
          <cell r="F372" t="str">
            <v>助理工程师</v>
          </cell>
          <cell r="G372" t="str">
            <v>助理工程师</v>
          </cell>
          <cell r="H372" t="str">
            <v>11号楼CNC区域</v>
          </cell>
          <cell r="I372" t="str">
            <v>项目组</v>
          </cell>
        </row>
        <row r="373">
          <cell r="C373" t="str">
            <v>ALS18324</v>
          </cell>
          <cell r="D373" t="str">
            <v>TJ2</v>
          </cell>
          <cell r="E373">
            <v>46246</v>
          </cell>
          <cell r="F373" t="str">
            <v>助理工程师</v>
          </cell>
          <cell r="G373" t="str">
            <v>助理工程师</v>
          </cell>
          <cell r="H373" t="str">
            <v>11号楼CNC区域</v>
          </cell>
          <cell r="I373" t="str">
            <v>项目组</v>
          </cell>
        </row>
        <row r="374">
          <cell r="C374" t="str">
            <v>FX2809</v>
          </cell>
          <cell r="D374" t="str">
            <v>TJ2</v>
          </cell>
          <cell r="E374">
            <v>43530</v>
          </cell>
          <cell r="F374" t="str">
            <v>工程师</v>
          </cell>
          <cell r="G374" t="str">
            <v>工程师</v>
          </cell>
          <cell r="H374" t="str">
            <v>11号楼CNC区域</v>
          </cell>
          <cell r="I374" t="str">
            <v>项目组倒班</v>
          </cell>
        </row>
        <row r="375">
          <cell r="C375" t="str">
            <v>ALS16999</v>
          </cell>
          <cell r="D375" t="str">
            <v>TJ2</v>
          </cell>
          <cell r="E375">
            <v>46176</v>
          </cell>
          <cell r="F375" t="str">
            <v>工程师</v>
          </cell>
          <cell r="G375" t="str">
            <v>工程师</v>
          </cell>
          <cell r="H375" t="str">
            <v>11号楼CNC区域</v>
          </cell>
          <cell r="I375" t="str">
            <v>项目组倒班</v>
          </cell>
        </row>
        <row r="376">
          <cell r="C376" t="str">
            <v>ALS17444</v>
          </cell>
          <cell r="D376" t="str">
            <v>TJ2</v>
          </cell>
          <cell r="E376">
            <v>46215</v>
          </cell>
          <cell r="F376" t="str">
            <v>助理工程师</v>
          </cell>
          <cell r="G376" t="str">
            <v>助理工程师</v>
          </cell>
          <cell r="H376" t="str">
            <v>11号楼CNC区域</v>
          </cell>
          <cell r="I376" t="str">
            <v>项目组倒班</v>
          </cell>
        </row>
        <row r="377">
          <cell r="C377" t="str">
            <v>ALS17441</v>
          </cell>
          <cell r="D377" t="str">
            <v>TJ2</v>
          </cell>
          <cell r="E377">
            <v>46215</v>
          </cell>
          <cell r="F377" t="str">
            <v>助理工程师</v>
          </cell>
          <cell r="G377" t="str">
            <v>助理工程师</v>
          </cell>
          <cell r="H377" t="str">
            <v>11号楼CNC区域</v>
          </cell>
          <cell r="I377" t="str">
            <v>项目组倒班</v>
          </cell>
        </row>
        <row r="378">
          <cell r="C378" t="str">
            <v>ALS17646</v>
          </cell>
          <cell r="D378" t="str">
            <v>TJ2</v>
          </cell>
          <cell r="E378">
            <v>46215</v>
          </cell>
          <cell r="F378" t="str">
            <v>助理工程师</v>
          </cell>
          <cell r="G378" t="str">
            <v>助理工程师</v>
          </cell>
          <cell r="H378" t="str">
            <v>13号楼（11号楼CNC区域委培）</v>
          </cell>
          <cell r="I378" t="str">
            <v>项目组倒班</v>
          </cell>
        </row>
        <row r="379">
          <cell r="C379" t="str">
            <v>ALS15761</v>
          </cell>
          <cell r="D379" t="str">
            <v>TJ2</v>
          </cell>
          <cell r="E379">
            <v>46015</v>
          </cell>
          <cell r="F379" t="str">
            <v>工程师</v>
          </cell>
          <cell r="G379" t="str">
            <v>工程师</v>
          </cell>
          <cell r="H379" t="str">
            <v>11号楼CNC区域</v>
          </cell>
          <cell r="I379" t="str">
            <v>常白</v>
          </cell>
        </row>
        <row r="380">
          <cell r="C380" t="str">
            <v>ALS13177</v>
          </cell>
          <cell r="D380" t="str">
            <v>TJ2</v>
          </cell>
          <cell r="E380">
            <v>45490</v>
          </cell>
          <cell r="F380" t="str">
            <v>助理工程师</v>
          </cell>
          <cell r="G380" t="str">
            <v>助理工程师</v>
          </cell>
          <cell r="H380" t="str">
            <v>11号楼CNC区域</v>
          </cell>
          <cell r="I380" t="str">
            <v>常白</v>
          </cell>
        </row>
        <row r="381">
          <cell r="C381" t="str">
            <v>ALS15390</v>
          </cell>
          <cell r="D381" t="str">
            <v>TJ2</v>
          </cell>
          <cell r="E381">
            <v>45980</v>
          </cell>
          <cell r="F381" t="str">
            <v>助理工程师</v>
          </cell>
          <cell r="G381" t="str">
            <v>助理工程师</v>
          </cell>
          <cell r="H381" t="str">
            <v>11号楼CNC区域</v>
          </cell>
          <cell r="I381" t="str">
            <v>常白</v>
          </cell>
        </row>
        <row r="382">
          <cell r="C382" t="str">
            <v>ALS15762</v>
          </cell>
          <cell r="D382" t="str">
            <v>TJ2</v>
          </cell>
          <cell r="E382">
            <v>46015</v>
          </cell>
          <cell r="F382" t="str">
            <v>助理工程师</v>
          </cell>
          <cell r="G382" t="str">
            <v>助理工程师</v>
          </cell>
          <cell r="H382" t="str">
            <v>11号楼CNC区域</v>
          </cell>
          <cell r="I382" t="str">
            <v>常白</v>
          </cell>
        </row>
        <row r="383">
          <cell r="C383" t="str">
            <v>ALS15922</v>
          </cell>
          <cell r="D383" t="str">
            <v>TJ2</v>
          </cell>
          <cell r="E383">
            <v>46029</v>
          </cell>
          <cell r="F383" t="str">
            <v>助理工程师</v>
          </cell>
          <cell r="G383" t="str">
            <v>助理工程师</v>
          </cell>
          <cell r="H383" t="str">
            <v>11号楼CNC区域</v>
          </cell>
          <cell r="I383" t="str">
            <v>常白</v>
          </cell>
        </row>
        <row r="384">
          <cell r="C384" t="str">
            <v>ALS16298</v>
          </cell>
          <cell r="D384" t="str">
            <v>TJ2</v>
          </cell>
          <cell r="E384">
            <v>46120</v>
          </cell>
          <cell r="F384" t="str">
            <v>助理工程师</v>
          </cell>
          <cell r="G384" t="str">
            <v>助理工程师</v>
          </cell>
          <cell r="H384" t="str">
            <v>11号楼CNC区域</v>
          </cell>
          <cell r="I384" t="str">
            <v>常白</v>
          </cell>
        </row>
        <row r="385">
          <cell r="C385" t="str">
            <v>ALS16297</v>
          </cell>
          <cell r="D385" t="str">
            <v>TJ2</v>
          </cell>
          <cell r="E385">
            <v>46120</v>
          </cell>
          <cell r="F385" t="str">
            <v>助理工程师</v>
          </cell>
          <cell r="G385" t="str">
            <v>助理工程师</v>
          </cell>
          <cell r="H385" t="str">
            <v>11号楼CNC区域</v>
          </cell>
          <cell r="I385" t="str">
            <v>常白</v>
          </cell>
        </row>
        <row r="386">
          <cell r="C386" t="str">
            <v>ALS16293</v>
          </cell>
          <cell r="D386" t="str">
            <v>TJ2</v>
          </cell>
          <cell r="E386">
            <v>46120</v>
          </cell>
          <cell r="F386" t="str">
            <v>助理工程师</v>
          </cell>
          <cell r="G386" t="str">
            <v>助理工程师</v>
          </cell>
          <cell r="H386" t="str">
            <v>11号楼CNC区域</v>
          </cell>
          <cell r="I386" t="str">
            <v>常白</v>
          </cell>
        </row>
        <row r="387">
          <cell r="C387" t="str">
            <v>ALS16503</v>
          </cell>
          <cell r="D387" t="str">
            <v>TJ2</v>
          </cell>
          <cell r="E387">
            <v>46132</v>
          </cell>
          <cell r="F387" t="str">
            <v>助理工程师</v>
          </cell>
          <cell r="G387" t="str">
            <v>助理工程师</v>
          </cell>
          <cell r="H387" t="str">
            <v>11号楼CNC区域</v>
          </cell>
          <cell r="I387" t="str">
            <v>常白</v>
          </cell>
        </row>
        <row r="388">
          <cell r="C388" t="str">
            <v>ALS15389</v>
          </cell>
          <cell r="D388" t="str">
            <v>TJ2</v>
          </cell>
          <cell r="E388">
            <v>45980</v>
          </cell>
          <cell r="F388" t="str">
            <v>操作工</v>
          </cell>
          <cell r="G388" t="str">
            <v>操作工</v>
          </cell>
          <cell r="H388" t="str">
            <v>11号楼CNC区域</v>
          </cell>
          <cell r="I388" t="str">
            <v>常白</v>
          </cell>
        </row>
        <row r="389">
          <cell r="C389" t="str">
            <v>ALS16463</v>
          </cell>
          <cell r="D389" t="str">
            <v>TJ2</v>
          </cell>
          <cell r="E389">
            <v>46127</v>
          </cell>
          <cell r="F389" t="str">
            <v>操作工</v>
          </cell>
          <cell r="G389" t="str">
            <v>操作工</v>
          </cell>
          <cell r="H389" t="str">
            <v>11号楼CNC区域</v>
          </cell>
          <cell r="I389" t="str">
            <v>常白</v>
          </cell>
        </row>
        <row r="390">
          <cell r="C390" t="str">
            <v>ALS16550</v>
          </cell>
          <cell r="D390" t="str">
            <v>TJ2</v>
          </cell>
          <cell r="E390">
            <v>46134</v>
          </cell>
          <cell r="F390" t="str">
            <v>操作工</v>
          </cell>
          <cell r="G390" t="str">
            <v>操作工</v>
          </cell>
          <cell r="H390" t="str">
            <v>11号楼CNC区域</v>
          </cell>
          <cell r="I390" t="str">
            <v>常白</v>
          </cell>
        </row>
        <row r="391">
          <cell r="C391" t="str">
            <v>ALS14420</v>
          </cell>
          <cell r="D391" t="str">
            <v>TJ2</v>
          </cell>
          <cell r="E391">
            <v>45854</v>
          </cell>
          <cell r="F391" t="str">
            <v>操作工</v>
          </cell>
          <cell r="G391" t="str">
            <v>操作工</v>
          </cell>
          <cell r="H391" t="str">
            <v>11号楼CNC区域</v>
          </cell>
          <cell r="I391" t="str">
            <v>常白</v>
          </cell>
        </row>
        <row r="392">
          <cell r="C392" t="str">
            <v>ALS18084</v>
          </cell>
          <cell r="D392" t="str">
            <v>TJ2</v>
          </cell>
          <cell r="E392">
            <v>46225</v>
          </cell>
          <cell r="F392" t="str">
            <v>操作工</v>
          </cell>
          <cell r="G392" t="str">
            <v>实习生</v>
          </cell>
          <cell r="H392" t="str">
            <v>11号楼CNC区域</v>
          </cell>
          <cell r="I392" t="str">
            <v>常白</v>
          </cell>
        </row>
        <row r="393">
          <cell r="C393" t="str">
            <v>ALS18086</v>
          </cell>
          <cell r="D393" t="str">
            <v>TJ2</v>
          </cell>
          <cell r="E393">
            <v>46225</v>
          </cell>
          <cell r="F393" t="str">
            <v>操作工</v>
          </cell>
          <cell r="G393" t="str">
            <v>实习生</v>
          </cell>
          <cell r="H393" t="str">
            <v>11号楼CNC区域</v>
          </cell>
          <cell r="I393" t="str">
            <v>常白</v>
          </cell>
        </row>
        <row r="394">
          <cell r="C394" t="str">
            <v>ALS11201</v>
          </cell>
          <cell r="D394" t="str">
            <v>TJ2</v>
          </cell>
          <cell r="E394">
            <v>44774</v>
          </cell>
          <cell r="F394" t="str">
            <v>班长</v>
          </cell>
          <cell r="G394" t="str">
            <v>班长</v>
          </cell>
          <cell r="H394" t="str">
            <v>11号楼CNC区域</v>
          </cell>
          <cell r="I394" t="str">
            <v>班组</v>
          </cell>
        </row>
        <row r="395">
          <cell r="C395" t="str">
            <v>ALS17930</v>
          </cell>
          <cell r="D395" t="str">
            <v>TJ2</v>
          </cell>
          <cell r="E395">
            <v>46213</v>
          </cell>
          <cell r="F395" t="str">
            <v>工程师</v>
          </cell>
          <cell r="G395" t="str">
            <v>工程师</v>
          </cell>
          <cell r="H395" t="str">
            <v>11号楼CNC区域</v>
          </cell>
          <cell r="I395" t="str">
            <v>班组</v>
          </cell>
        </row>
        <row r="396">
          <cell r="C396" t="str">
            <v>ADH3945</v>
          </cell>
          <cell r="D396" t="str">
            <v>TJ2</v>
          </cell>
          <cell r="E396">
            <v>44396</v>
          </cell>
          <cell r="F396" t="str">
            <v>助理工程师</v>
          </cell>
          <cell r="G396" t="str">
            <v>助理工程师</v>
          </cell>
          <cell r="H396" t="str">
            <v>11号楼CNC区域</v>
          </cell>
          <cell r="I396" t="str">
            <v>班组</v>
          </cell>
        </row>
        <row r="397">
          <cell r="C397" t="str">
            <v>LFX864</v>
          </cell>
          <cell r="D397" t="str">
            <v>TJ2</v>
          </cell>
          <cell r="E397">
            <v>44753</v>
          </cell>
          <cell r="F397" t="str">
            <v>助理工程师</v>
          </cell>
          <cell r="G397" t="str">
            <v>助理工程师</v>
          </cell>
          <cell r="H397" t="str">
            <v>11号楼CNC区域</v>
          </cell>
          <cell r="I397" t="str">
            <v>班组</v>
          </cell>
        </row>
        <row r="398">
          <cell r="C398" t="str">
            <v>ALS15703</v>
          </cell>
          <cell r="D398" t="str">
            <v>TJ2</v>
          </cell>
          <cell r="E398">
            <v>46008</v>
          </cell>
          <cell r="F398" t="str">
            <v>助理工程师</v>
          </cell>
          <cell r="G398" t="str">
            <v>助理工程师</v>
          </cell>
          <cell r="H398" t="str">
            <v>11号楼CNC区域</v>
          </cell>
          <cell r="I398" t="str">
            <v>班组</v>
          </cell>
        </row>
        <row r="399">
          <cell r="C399" t="str">
            <v>ALS16192</v>
          </cell>
          <cell r="D399" t="str">
            <v>TJ2</v>
          </cell>
          <cell r="E399">
            <v>46104</v>
          </cell>
          <cell r="F399" t="str">
            <v>助理工程师</v>
          </cell>
          <cell r="G399" t="str">
            <v>助理工程师</v>
          </cell>
          <cell r="H399" t="str">
            <v>11号楼CNC区域</v>
          </cell>
          <cell r="I399" t="str">
            <v>班组</v>
          </cell>
        </row>
        <row r="400">
          <cell r="C400" t="str">
            <v>ALS16412</v>
          </cell>
          <cell r="D400" t="str">
            <v>TJ2</v>
          </cell>
          <cell r="E400">
            <v>46127</v>
          </cell>
          <cell r="F400" t="str">
            <v>助理工程师</v>
          </cell>
          <cell r="G400" t="str">
            <v>助理工程师</v>
          </cell>
          <cell r="H400" t="str">
            <v>11号楼CNC区域</v>
          </cell>
          <cell r="I400" t="str">
            <v>班组</v>
          </cell>
        </row>
        <row r="401">
          <cell r="C401" t="str">
            <v>ALS17400</v>
          </cell>
          <cell r="D401" t="str">
            <v>TJ2</v>
          </cell>
          <cell r="E401">
            <v>46215</v>
          </cell>
          <cell r="F401" t="str">
            <v>助理工程师</v>
          </cell>
          <cell r="G401" t="str">
            <v>助理工程师</v>
          </cell>
          <cell r="H401" t="str">
            <v>11号楼CNC区域</v>
          </cell>
          <cell r="I401" t="str">
            <v>班组</v>
          </cell>
        </row>
        <row r="402">
          <cell r="C402" t="str">
            <v>ALS17991</v>
          </cell>
          <cell r="D402" t="str">
            <v>TJ2</v>
          </cell>
          <cell r="E402">
            <v>46223</v>
          </cell>
          <cell r="F402" t="str">
            <v>助理工程师</v>
          </cell>
          <cell r="G402" t="str">
            <v>助理工程师</v>
          </cell>
          <cell r="H402" t="str">
            <v>11号楼CNC区域</v>
          </cell>
          <cell r="I402" t="str">
            <v>班组</v>
          </cell>
        </row>
        <row r="403">
          <cell r="C403" t="str">
            <v>AMM2053</v>
          </cell>
          <cell r="D403" t="str">
            <v>TJ2</v>
          </cell>
          <cell r="E403">
            <v>44671</v>
          </cell>
          <cell r="F403" t="str">
            <v>操作工</v>
          </cell>
          <cell r="G403" t="str">
            <v>操作工</v>
          </cell>
          <cell r="H403" t="str">
            <v>11号楼CNC区域</v>
          </cell>
          <cell r="I403" t="str">
            <v>班组</v>
          </cell>
        </row>
        <row r="404">
          <cell r="C404" t="str">
            <v>ALS17772</v>
          </cell>
          <cell r="D404" t="str">
            <v>TJ2</v>
          </cell>
          <cell r="E404">
            <v>46204</v>
          </cell>
          <cell r="F404" t="str">
            <v>操作工</v>
          </cell>
          <cell r="G404" t="str">
            <v>操作工</v>
          </cell>
          <cell r="H404" t="str">
            <v>11号楼CNC区域</v>
          </cell>
          <cell r="I404" t="str">
            <v>班组</v>
          </cell>
        </row>
        <row r="405">
          <cell r="C405" t="str">
            <v>ALS17770</v>
          </cell>
          <cell r="D405" t="str">
            <v>TJ2</v>
          </cell>
          <cell r="E405">
            <v>46204</v>
          </cell>
          <cell r="F405" t="str">
            <v>操作工</v>
          </cell>
          <cell r="G405" t="str">
            <v>操作工</v>
          </cell>
          <cell r="H405" t="str">
            <v>11号楼CNC区域</v>
          </cell>
          <cell r="I405" t="str">
            <v>班组</v>
          </cell>
        </row>
        <row r="406">
          <cell r="C406" t="str">
            <v>ALS18074</v>
          </cell>
          <cell r="D406" t="str">
            <v>TJ2</v>
          </cell>
          <cell r="E406">
            <v>46225</v>
          </cell>
          <cell r="F406" t="str">
            <v>操作工</v>
          </cell>
          <cell r="G406" t="str">
            <v>实习生</v>
          </cell>
          <cell r="H406" t="str">
            <v>11号楼CNC区域</v>
          </cell>
          <cell r="I406" t="str">
            <v>班组</v>
          </cell>
        </row>
        <row r="407">
          <cell r="C407" t="str">
            <v>ALS18078</v>
          </cell>
          <cell r="D407" t="str">
            <v>TJ2</v>
          </cell>
          <cell r="E407">
            <v>46232</v>
          </cell>
          <cell r="F407" t="str">
            <v>操作工</v>
          </cell>
          <cell r="G407" t="str">
            <v>实习生</v>
          </cell>
          <cell r="H407" t="str">
            <v>11号楼CNC区域</v>
          </cell>
          <cell r="I407" t="str">
            <v>班组</v>
          </cell>
        </row>
        <row r="408">
          <cell r="C408" t="str">
            <v>ALS14766</v>
          </cell>
          <cell r="D408" t="str">
            <v>TJ2</v>
          </cell>
          <cell r="E408">
            <v>45901</v>
          </cell>
          <cell r="F408" t="str">
            <v>助理工程师</v>
          </cell>
          <cell r="G408" t="str">
            <v>助理工程师</v>
          </cell>
          <cell r="H408" t="str">
            <v>12号楼（11号楼CNC区域委培）</v>
          </cell>
          <cell r="I408" t="str">
            <v>班组</v>
          </cell>
        </row>
        <row r="409">
          <cell r="C409" t="str">
            <v>ALS17360</v>
          </cell>
          <cell r="D409" t="str">
            <v>TJ2</v>
          </cell>
          <cell r="E409">
            <v>46215</v>
          </cell>
          <cell r="F409" t="str">
            <v>助理工程师</v>
          </cell>
          <cell r="G409" t="str">
            <v>助理工程师</v>
          </cell>
          <cell r="H409" t="str">
            <v>13号楼（11号楼CNC区域委培）</v>
          </cell>
          <cell r="I409" t="str">
            <v>班组</v>
          </cell>
        </row>
        <row r="410">
          <cell r="C410" t="str">
            <v>ADH3353</v>
          </cell>
          <cell r="D410" t="str">
            <v>TJ2</v>
          </cell>
          <cell r="E410">
            <v>41760</v>
          </cell>
          <cell r="F410" t="str">
            <v>操作工</v>
          </cell>
          <cell r="G410" t="str">
            <v>操作工</v>
          </cell>
          <cell r="H410" t="str">
            <v>12号楼（11号楼CNC区域委培）</v>
          </cell>
          <cell r="I410" t="str">
            <v>班组</v>
          </cell>
        </row>
        <row r="411">
          <cell r="C411" t="str">
            <v>ALS18054</v>
          </cell>
          <cell r="D411" t="str">
            <v>TJ2</v>
          </cell>
          <cell r="E411">
            <v>46225</v>
          </cell>
          <cell r="F411" t="str">
            <v>操作工</v>
          </cell>
          <cell r="G411" t="str">
            <v>操作工</v>
          </cell>
          <cell r="H411" t="str">
            <v>13号楼（11号楼CNC区域委培）</v>
          </cell>
          <cell r="I411" t="str">
            <v>班组</v>
          </cell>
        </row>
        <row r="412">
          <cell r="C412" t="str">
            <v>ALS18109</v>
          </cell>
          <cell r="D412" t="str">
            <v>TJ2</v>
          </cell>
          <cell r="E412">
            <v>46232</v>
          </cell>
          <cell r="F412" t="str">
            <v>操作工</v>
          </cell>
          <cell r="G412" t="str">
            <v>实习生</v>
          </cell>
          <cell r="H412" t="str">
            <v>13号楼（11号楼CNC区域委培）</v>
          </cell>
          <cell r="I412" t="str">
            <v>班组</v>
          </cell>
        </row>
        <row r="413">
          <cell r="C413" t="str">
            <v>ALS0034</v>
          </cell>
          <cell r="D413" t="str">
            <v>TJ2</v>
          </cell>
          <cell r="E413">
            <v>38548</v>
          </cell>
          <cell r="F413" t="str">
            <v>班长</v>
          </cell>
          <cell r="G413" t="str">
            <v>班长</v>
          </cell>
          <cell r="H413" t="str">
            <v>11号楼CNC区域</v>
          </cell>
          <cell r="I413" t="str">
            <v>班组</v>
          </cell>
        </row>
        <row r="414">
          <cell r="C414" t="str">
            <v>ALS13027</v>
          </cell>
          <cell r="D414" t="str">
            <v>TJ2</v>
          </cell>
          <cell r="E414">
            <v>45469</v>
          </cell>
          <cell r="F414" t="str">
            <v>助理工程师</v>
          </cell>
          <cell r="G414" t="str">
            <v>助理工程师</v>
          </cell>
          <cell r="H414" t="str">
            <v>11号楼CNC区域</v>
          </cell>
          <cell r="I414" t="str">
            <v>班组</v>
          </cell>
        </row>
        <row r="415">
          <cell r="C415" t="str">
            <v>ALS14155</v>
          </cell>
          <cell r="D415" t="str">
            <v>TJ2</v>
          </cell>
          <cell r="E415">
            <v>45826</v>
          </cell>
          <cell r="F415" t="str">
            <v>助理工程师</v>
          </cell>
          <cell r="G415" t="str">
            <v>助理工程师</v>
          </cell>
          <cell r="H415" t="str">
            <v>11号楼CNC区域</v>
          </cell>
          <cell r="I415" t="str">
            <v>班组</v>
          </cell>
        </row>
        <row r="416">
          <cell r="C416" t="str">
            <v>ALS15702</v>
          </cell>
          <cell r="D416" t="str">
            <v>TJ2</v>
          </cell>
          <cell r="E416">
            <v>46008</v>
          </cell>
          <cell r="F416" t="str">
            <v>助理工程师</v>
          </cell>
          <cell r="G416" t="str">
            <v>助理工程师</v>
          </cell>
          <cell r="H416" t="str">
            <v>11号楼CNC区域</v>
          </cell>
          <cell r="I416" t="str">
            <v>班组</v>
          </cell>
        </row>
        <row r="417">
          <cell r="C417" t="str">
            <v>ALS16458</v>
          </cell>
          <cell r="D417" t="str">
            <v>TJ2</v>
          </cell>
          <cell r="E417">
            <v>46127</v>
          </cell>
          <cell r="F417" t="str">
            <v>助理工程师</v>
          </cell>
          <cell r="G417" t="str">
            <v>助理工程师</v>
          </cell>
          <cell r="H417" t="str">
            <v>11号楼CNC区域</v>
          </cell>
          <cell r="I417" t="str">
            <v>班组</v>
          </cell>
        </row>
        <row r="418">
          <cell r="C418" t="str">
            <v>ALS16532</v>
          </cell>
          <cell r="D418" t="str">
            <v>TJ2</v>
          </cell>
          <cell r="E418">
            <v>46134</v>
          </cell>
          <cell r="F418" t="str">
            <v>助理工程师</v>
          </cell>
          <cell r="G418" t="str">
            <v>助理工程师</v>
          </cell>
          <cell r="H418" t="str">
            <v>11号楼CNC区域</v>
          </cell>
          <cell r="I418" t="str">
            <v>班组</v>
          </cell>
        </row>
        <row r="419">
          <cell r="C419" t="str">
            <v>ALS16555</v>
          </cell>
          <cell r="D419" t="str">
            <v>TJ2</v>
          </cell>
          <cell r="E419">
            <v>46134</v>
          </cell>
          <cell r="F419" t="str">
            <v>助理工程师</v>
          </cell>
          <cell r="G419" t="str">
            <v>助理工程师</v>
          </cell>
          <cell r="H419" t="str">
            <v>11号楼CNC区域</v>
          </cell>
          <cell r="I419" t="str">
            <v>班组</v>
          </cell>
        </row>
        <row r="420">
          <cell r="C420" t="str">
            <v>ALS16976</v>
          </cell>
          <cell r="D420" t="str">
            <v>TJ2</v>
          </cell>
          <cell r="E420">
            <v>46169</v>
          </cell>
          <cell r="F420" t="str">
            <v>助理工程师</v>
          </cell>
          <cell r="G420" t="str">
            <v>助理工程师</v>
          </cell>
          <cell r="H420" t="str">
            <v>11号楼CNC区域</v>
          </cell>
          <cell r="I420" t="str">
            <v>班组</v>
          </cell>
        </row>
        <row r="421">
          <cell r="C421" t="str">
            <v>ALS17585</v>
          </cell>
          <cell r="D421" t="str">
            <v>TJ2</v>
          </cell>
          <cell r="E421">
            <v>46197</v>
          </cell>
          <cell r="F421" t="str">
            <v>助理工程师</v>
          </cell>
          <cell r="G421" t="str">
            <v>助理工程师</v>
          </cell>
          <cell r="H421" t="str">
            <v>11号楼CNC区域</v>
          </cell>
          <cell r="I421" t="str">
            <v>班组</v>
          </cell>
        </row>
        <row r="422">
          <cell r="C422" t="str">
            <v>ALS17356</v>
          </cell>
          <cell r="D422" t="str">
            <v>TJ2</v>
          </cell>
          <cell r="E422">
            <v>46215</v>
          </cell>
          <cell r="F422" t="str">
            <v>助理工程师</v>
          </cell>
          <cell r="G422" t="str">
            <v>助理工程师</v>
          </cell>
          <cell r="H422" t="str">
            <v>11号楼CNC区域</v>
          </cell>
          <cell r="I422" t="str">
            <v>班组</v>
          </cell>
        </row>
        <row r="423">
          <cell r="C423" t="str">
            <v>ALS17990</v>
          </cell>
          <cell r="D423" t="str">
            <v>TJ2</v>
          </cell>
          <cell r="E423">
            <v>46223</v>
          </cell>
          <cell r="F423" t="str">
            <v>助理工程师</v>
          </cell>
          <cell r="G423" t="str">
            <v>助理工程师</v>
          </cell>
          <cell r="H423" t="str">
            <v>11号楼CNC区域</v>
          </cell>
          <cell r="I423" t="str">
            <v>班组</v>
          </cell>
        </row>
        <row r="424">
          <cell r="C424" t="str">
            <v>FX2675</v>
          </cell>
          <cell r="D424" t="str">
            <v>FX1</v>
          </cell>
          <cell r="E424">
            <v>42917</v>
          </cell>
          <cell r="F424" t="str">
            <v>操作工</v>
          </cell>
          <cell r="G424" t="str">
            <v>操作工</v>
          </cell>
          <cell r="H424" t="str">
            <v>11号楼CNC区域</v>
          </cell>
          <cell r="I424" t="str">
            <v>班组</v>
          </cell>
        </row>
        <row r="425">
          <cell r="C425" t="str">
            <v>ALS17576</v>
          </cell>
          <cell r="D425" t="str">
            <v>TJ2</v>
          </cell>
          <cell r="E425">
            <v>46195</v>
          </cell>
          <cell r="F425" t="str">
            <v>操作工</v>
          </cell>
          <cell r="G425" t="str">
            <v>实习生</v>
          </cell>
          <cell r="H425" t="str">
            <v>11号楼CNC区域</v>
          </cell>
          <cell r="I425" t="str">
            <v>班组</v>
          </cell>
        </row>
        <row r="426">
          <cell r="C426" t="str">
            <v>ALS18080</v>
          </cell>
          <cell r="D426" t="str">
            <v>TJ2</v>
          </cell>
          <cell r="E426">
            <v>46225</v>
          </cell>
          <cell r="F426" t="str">
            <v>操作工</v>
          </cell>
          <cell r="G426" t="str">
            <v>实习生</v>
          </cell>
          <cell r="H426" t="str">
            <v>11号楼CNC区域</v>
          </cell>
          <cell r="I426" t="str">
            <v>班组</v>
          </cell>
        </row>
        <row r="427">
          <cell r="C427" t="str">
            <v>AMM4428</v>
          </cell>
          <cell r="D427" t="str">
            <v>TJ2</v>
          </cell>
          <cell r="E427">
            <v>45511</v>
          </cell>
          <cell r="F427" t="str">
            <v>操作工</v>
          </cell>
          <cell r="G427" t="str">
            <v>操作工</v>
          </cell>
          <cell r="H427" t="str">
            <v>12号楼（11号楼CNC区域委培）</v>
          </cell>
          <cell r="I427" t="str">
            <v>班组</v>
          </cell>
        </row>
        <row r="428">
          <cell r="C428" t="str">
            <v>ALS13930</v>
          </cell>
          <cell r="D428" t="str">
            <v>TJ2</v>
          </cell>
          <cell r="E428">
            <v>45770</v>
          </cell>
          <cell r="F428" t="str">
            <v>操作工</v>
          </cell>
          <cell r="G428" t="str">
            <v>操作工</v>
          </cell>
          <cell r="H428" t="str">
            <v>12号楼（11号楼CNC区域委培）</v>
          </cell>
          <cell r="I428" t="str">
            <v>班组</v>
          </cell>
        </row>
        <row r="429">
          <cell r="C429" t="str">
            <v>ALS18070</v>
          </cell>
          <cell r="D429" t="str">
            <v>TJ2</v>
          </cell>
          <cell r="E429">
            <v>46225</v>
          </cell>
          <cell r="F429" t="str">
            <v>操作工</v>
          </cell>
          <cell r="G429" t="str">
            <v>操作工</v>
          </cell>
          <cell r="H429" t="str">
            <v>13号楼（11号楼CNC区域委培）</v>
          </cell>
          <cell r="I429" t="str">
            <v>班组</v>
          </cell>
        </row>
        <row r="430">
          <cell r="C430" t="str">
            <v>LFX853</v>
          </cell>
          <cell r="D430" t="str">
            <v>TJ2</v>
          </cell>
          <cell r="E430">
            <v>44753</v>
          </cell>
          <cell r="F430" t="str">
            <v>助理工程师</v>
          </cell>
          <cell r="G430" t="str">
            <v>班长</v>
          </cell>
          <cell r="H430" t="str">
            <v>11号楼CNC区域</v>
          </cell>
          <cell r="I430" t="str">
            <v>班组</v>
          </cell>
        </row>
        <row r="431">
          <cell r="C431" t="str">
            <v>ALS15479</v>
          </cell>
          <cell r="D431" t="str">
            <v>TJ2</v>
          </cell>
          <cell r="E431">
            <v>45987</v>
          </cell>
          <cell r="F431" t="str">
            <v>助理工程师</v>
          </cell>
          <cell r="G431" t="str">
            <v>助理工程师</v>
          </cell>
          <cell r="H431" t="str">
            <v>11号楼CNC区域</v>
          </cell>
          <cell r="I431" t="str">
            <v>班组</v>
          </cell>
        </row>
        <row r="432">
          <cell r="C432" t="str">
            <v>ALS15920</v>
          </cell>
          <cell r="D432" t="str">
            <v>TJ2</v>
          </cell>
          <cell r="E432">
            <v>46029</v>
          </cell>
          <cell r="F432" t="str">
            <v>助理工程师</v>
          </cell>
          <cell r="G432" t="str">
            <v>助理工程师</v>
          </cell>
          <cell r="H432" t="str">
            <v>11号楼CNC区域</v>
          </cell>
          <cell r="I432" t="str">
            <v>班组</v>
          </cell>
        </row>
        <row r="433">
          <cell r="C433" t="str">
            <v>ALS16321</v>
          </cell>
          <cell r="D433" t="str">
            <v>TJ2</v>
          </cell>
          <cell r="E433">
            <v>46120</v>
          </cell>
          <cell r="F433" t="str">
            <v>助理工程师</v>
          </cell>
          <cell r="G433" t="str">
            <v>助理工程师</v>
          </cell>
          <cell r="H433" t="str">
            <v>11号楼CNC区域</v>
          </cell>
          <cell r="I433" t="str">
            <v>班组</v>
          </cell>
        </row>
        <row r="434">
          <cell r="C434" t="str">
            <v>ALS17448</v>
          </cell>
          <cell r="D434" t="str">
            <v>TJ2</v>
          </cell>
          <cell r="E434">
            <v>46215</v>
          </cell>
          <cell r="F434" t="str">
            <v>助理工程师</v>
          </cell>
          <cell r="G434" t="str">
            <v>助理工程师</v>
          </cell>
          <cell r="H434" t="str">
            <v>11号楼CNC区域</v>
          </cell>
          <cell r="I434" t="str">
            <v>班组</v>
          </cell>
        </row>
        <row r="435">
          <cell r="C435" t="str">
            <v>ADH3360</v>
          </cell>
          <cell r="D435" t="str">
            <v>TJ2</v>
          </cell>
          <cell r="E435">
            <v>44256</v>
          </cell>
          <cell r="F435" t="str">
            <v>操作工</v>
          </cell>
          <cell r="G435" t="str">
            <v>操作工</v>
          </cell>
          <cell r="H435" t="str">
            <v>11号楼CNC区域</v>
          </cell>
          <cell r="I435" t="str">
            <v>班组</v>
          </cell>
        </row>
        <row r="436">
          <cell r="C436" t="str">
            <v>ALS14677</v>
          </cell>
          <cell r="D436" t="str">
            <v>TJ2</v>
          </cell>
          <cell r="E436">
            <v>45889</v>
          </cell>
          <cell r="F436" t="str">
            <v>操作工</v>
          </cell>
          <cell r="G436" t="str">
            <v>操作工</v>
          </cell>
          <cell r="H436" t="str">
            <v>11号楼CNC区域</v>
          </cell>
          <cell r="I436" t="str">
            <v>班组</v>
          </cell>
        </row>
        <row r="437">
          <cell r="C437" t="str">
            <v>ALS17313</v>
          </cell>
          <cell r="D437" t="str">
            <v>TJ2</v>
          </cell>
          <cell r="E437">
            <v>46188</v>
          </cell>
          <cell r="F437" t="str">
            <v>操作工</v>
          </cell>
          <cell r="G437" t="str">
            <v>操作工</v>
          </cell>
          <cell r="H437" t="str">
            <v>11号楼CNC区域</v>
          </cell>
          <cell r="I437" t="str">
            <v>班组</v>
          </cell>
        </row>
        <row r="438">
          <cell r="C438" t="str">
            <v>ALS17575</v>
          </cell>
          <cell r="D438" t="str">
            <v>TJ2</v>
          </cell>
          <cell r="E438">
            <v>46195</v>
          </cell>
          <cell r="F438" t="str">
            <v>操作工</v>
          </cell>
          <cell r="G438" t="str">
            <v>实习生</v>
          </cell>
          <cell r="H438" t="str">
            <v>11号楼CNC区域</v>
          </cell>
          <cell r="I438" t="str">
            <v>班组</v>
          </cell>
        </row>
        <row r="439">
          <cell r="C439" t="str">
            <v>ALS18039</v>
          </cell>
          <cell r="D439" t="str">
            <v>TJ2</v>
          </cell>
          <cell r="E439">
            <v>46225</v>
          </cell>
          <cell r="F439" t="str">
            <v>操作工</v>
          </cell>
          <cell r="G439" t="str">
            <v>实习生</v>
          </cell>
          <cell r="H439" t="str">
            <v>11号楼CNC区域</v>
          </cell>
          <cell r="I439" t="str">
            <v>班组</v>
          </cell>
        </row>
        <row r="440">
          <cell r="C440" t="str">
            <v>ALS14670</v>
          </cell>
          <cell r="D440" t="str">
            <v>TJ2</v>
          </cell>
          <cell r="E440">
            <v>45889</v>
          </cell>
          <cell r="F440" t="str">
            <v>助理工程师</v>
          </cell>
          <cell r="G440" t="str">
            <v>助理工程师</v>
          </cell>
          <cell r="H440" t="str">
            <v>12号楼（11号楼CNC区域委培）</v>
          </cell>
          <cell r="I440" t="str">
            <v>班组</v>
          </cell>
        </row>
        <row r="441">
          <cell r="C441" t="str">
            <v>ADH6471</v>
          </cell>
          <cell r="D441" t="str">
            <v>DH1</v>
          </cell>
          <cell r="E441">
            <v>45554</v>
          </cell>
          <cell r="F441" t="str">
            <v>操作工</v>
          </cell>
          <cell r="G441" t="str">
            <v>操作工</v>
          </cell>
          <cell r="H441" t="str">
            <v>12号楼（11号楼CNC区域委培）</v>
          </cell>
          <cell r="I441" t="str">
            <v>班组</v>
          </cell>
        </row>
        <row r="442">
          <cell r="C442" t="str">
            <v>ALS18049</v>
          </cell>
          <cell r="D442" t="str">
            <v>TJ2</v>
          </cell>
          <cell r="E442">
            <v>46225</v>
          </cell>
          <cell r="F442" t="str">
            <v>助理工程师</v>
          </cell>
          <cell r="G442" t="str">
            <v>助理工程师</v>
          </cell>
          <cell r="H442" t="str">
            <v>13号楼（11号楼CNC区域委培）</v>
          </cell>
          <cell r="I442" t="str">
            <v>班组</v>
          </cell>
        </row>
        <row r="443">
          <cell r="C443" t="str">
            <v>ALS12994</v>
          </cell>
          <cell r="D443" t="str">
            <v>TJ2</v>
          </cell>
          <cell r="E443">
            <v>45462</v>
          </cell>
          <cell r="F443" t="str">
            <v>助理工程师</v>
          </cell>
          <cell r="G443" t="str">
            <v>班长</v>
          </cell>
          <cell r="H443" t="str">
            <v>11号楼CNC区域</v>
          </cell>
          <cell r="I443" t="str">
            <v>班组</v>
          </cell>
        </row>
        <row r="444">
          <cell r="C444" t="str">
            <v>ALS17739</v>
          </cell>
          <cell r="D444" t="str">
            <v>TJ2</v>
          </cell>
          <cell r="E444">
            <v>46204</v>
          </cell>
          <cell r="F444" t="str">
            <v>班长</v>
          </cell>
          <cell r="G444" t="str">
            <v>班长</v>
          </cell>
          <cell r="H444" t="str">
            <v>11号楼CNC区域</v>
          </cell>
          <cell r="I444" t="str">
            <v>班组</v>
          </cell>
        </row>
        <row r="445">
          <cell r="C445" t="str">
            <v>ALS13367</v>
          </cell>
          <cell r="D445" t="str">
            <v>TJ2</v>
          </cell>
          <cell r="E445">
            <v>45532</v>
          </cell>
          <cell r="F445" t="str">
            <v>助理工程师</v>
          </cell>
          <cell r="G445" t="str">
            <v>助理工程师</v>
          </cell>
          <cell r="H445" t="str">
            <v>11号楼CNC区域</v>
          </cell>
          <cell r="I445" t="str">
            <v>班组</v>
          </cell>
        </row>
        <row r="446">
          <cell r="C446" t="str">
            <v>ALS15921</v>
          </cell>
          <cell r="D446" t="str">
            <v>TJ2</v>
          </cell>
          <cell r="E446">
            <v>46029</v>
          </cell>
          <cell r="F446" t="str">
            <v>助理工程师</v>
          </cell>
          <cell r="G446" t="str">
            <v>助理工程师</v>
          </cell>
          <cell r="H446" t="str">
            <v>11号楼CNC区域</v>
          </cell>
          <cell r="I446" t="str">
            <v>班组</v>
          </cell>
        </row>
        <row r="447">
          <cell r="C447" t="str">
            <v>ALS16506</v>
          </cell>
          <cell r="D447" t="str">
            <v>TJ2</v>
          </cell>
          <cell r="E447">
            <v>46132</v>
          </cell>
          <cell r="F447" t="str">
            <v>助理工程师</v>
          </cell>
          <cell r="G447" t="str">
            <v>助理工程师</v>
          </cell>
          <cell r="H447" t="str">
            <v>11号楼CNC区域</v>
          </cell>
          <cell r="I447" t="str">
            <v>班组</v>
          </cell>
        </row>
        <row r="448">
          <cell r="C448" t="str">
            <v>ALS16598</v>
          </cell>
          <cell r="D448" t="str">
            <v>TJ2</v>
          </cell>
          <cell r="E448">
            <v>46139</v>
          </cell>
          <cell r="F448" t="str">
            <v>助理工程师</v>
          </cell>
          <cell r="G448" t="str">
            <v>助理工程师</v>
          </cell>
          <cell r="H448" t="str">
            <v>11号楼CNC区域</v>
          </cell>
          <cell r="I448" t="str">
            <v>班组</v>
          </cell>
        </row>
        <row r="449">
          <cell r="C449" t="str">
            <v>ALS17586</v>
          </cell>
          <cell r="D449" t="str">
            <v>TJ2</v>
          </cell>
          <cell r="E449">
            <v>46197</v>
          </cell>
          <cell r="F449" t="str">
            <v>助理工程师</v>
          </cell>
          <cell r="G449" t="str">
            <v>助理工程师</v>
          </cell>
          <cell r="H449" t="str">
            <v>11号楼CNC区域</v>
          </cell>
          <cell r="I449" t="str">
            <v>班组</v>
          </cell>
        </row>
        <row r="450">
          <cell r="C450" t="str">
            <v>ALS17403</v>
          </cell>
          <cell r="D450" t="str">
            <v>TJ2</v>
          </cell>
          <cell r="E450">
            <v>46215</v>
          </cell>
          <cell r="F450" t="str">
            <v>助理工程师</v>
          </cell>
          <cell r="G450" t="str">
            <v>助理工程师</v>
          </cell>
          <cell r="H450" t="str">
            <v>11号楼CNC区域</v>
          </cell>
          <cell r="I450" t="str">
            <v>班组</v>
          </cell>
        </row>
        <row r="451">
          <cell r="C451" t="str">
            <v>ALS17992</v>
          </cell>
          <cell r="D451" t="str">
            <v>TJ2</v>
          </cell>
          <cell r="E451">
            <v>46223</v>
          </cell>
          <cell r="F451" t="str">
            <v>助理工程师</v>
          </cell>
          <cell r="G451" t="str">
            <v>助理工程师</v>
          </cell>
          <cell r="H451" t="str">
            <v>11号楼CNC区域</v>
          </cell>
          <cell r="I451" t="str">
            <v>班组</v>
          </cell>
        </row>
        <row r="452">
          <cell r="C452" t="str">
            <v>ALS14323</v>
          </cell>
          <cell r="D452" t="str">
            <v>TJ2</v>
          </cell>
          <cell r="E452">
            <v>45847</v>
          </cell>
          <cell r="F452" t="str">
            <v>操作工</v>
          </cell>
          <cell r="G452" t="str">
            <v>操作工</v>
          </cell>
          <cell r="H452" t="str">
            <v>11号楼CNC区域</v>
          </cell>
          <cell r="I452" t="str">
            <v>班组</v>
          </cell>
        </row>
        <row r="453">
          <cell r="C453" t="str">
            <v>ALS16300</v>
          </cell>
          <cell r="D453" t="str">
            <v>TJ2</v>
          </cell>
          <cell r="E453">
            <v>46120</v>
          </cell>
          <cell r="F453" t="str">
            <v>操作工</v>
          </cell>
          <cell r="G453" t="str">
            <v>操作工</v>
          </cell>
          <cell r="H453" t="str">
            <v>11号楼CNC区域</v>
          </cell>
          <cell r="I453" t="str">
            <v>班组</v>
          </cell>
        </row>
        <row r="454">
          <cell r="C454" t="str">
            <v>ALS18089</v>
          </cell>
          <cell r="D454" t="str">
            <v>TJ2</v>
          </cell>
          <cell r="E454">
            <v>46225</v>
          </cell>
          <cell r="F454" t="str">
            <v>操作工</v>
          </cell>
          <cell r="G454" t="str">
            <v>实习生</v>
          </cell>
          <cell r="H454" t="str">
            <v>11号楼CNC区域</v>
          </cell>
          <cell r="I454" t="str">
            <v>班组</v>
          </cell>
        </row>
        <row r="455">
          <cell r="C455" t="str">
            <v>ALS18090</v>
          </cell>
          <cell r="D455" t="str">
            <v>TJ2</v>
          </cell>
          <cell r="E455">
            <v>46225</v>
          </cell>
          <cell r="F455" t="str">
            <v>操作工</v>
          </cell>
          <cell r="G455" t="str">
            <v>实习生</v>
          </cell>
          <cell r="H455" t="str">
            <v>11号楼CNC区域</v>
          </cell>
          <cell r="I455" t="str">
            <v>班组</v>
          </cell>
        </row>
        <row r="456">
          <cell r="C456" t="str">
            <v>LFX079</v>
          </cell>
          <cell r="D456" t="str">
            <v>FX2</v>
          </cell>
          <cell r="E456">
            <v>43333</v>
          </cell>
          <cell r="F456" t="str">
            <v>操作工</v>
          </cell>
          <cell r="G456" t="str">
            <v>操作工</v>
          </cell>
          <cell r="H456" t="str">
            <v>12号楼（11号楼CNC区域委培）</v>
          </cell>
          <cell r="I456" t="str">
            <v>班组</v>
          </cell>
        </row>
        <row r="457">
          <cell r="C457" t="str">
            <v>ALS13564</v>
          </cell>
          <cell r="D457" t="str">
            <v>TJ2</v>
          </cell>
          <cell r="E457">
            <v>45595</v>
          </cell>
          <cell r="F457" t="str">
            <v>操作工</v>
          </cell>
          <cell r="G457" t="str">
            <v>操作工</v>
          </cell>
          <cell r="H457" t="str">
            <v>12号楼（11号楼CNC区域委培）</v>
          </cell>
          <cell r="I457" t="str">
            <v>班组</v>
          </cell>
        </row>
        <row r="458">
          <cell r="C458" t="str">
            <v>ALS16631</v>
          </cell>
          <cell r="D458" t="str">
            <v>TJ2</v>
          </cell>
          <cell r="E458">
            <v>46139</v>
          </cell>
          <cell r="F458" t="str">
            <v>助理工程师</v>
          </cell>
          <cell r="G458" t="str">
            <v>助理工程师</v>
          </cell>
          <cell r="H458" t="str">
            <v>13号楼（11号楼CNC区域委培）</v>
          </cell>
          <cell r="I458" t="str">
            <v>班组</v>
          </cell>
        </row>
        <row r="459">
          <cell r="C459" t="str">
            <v>ALS18047</v>
          </cell>
          <cell r="D459" t="str">
            <v>TJ2</v>
          </cell>
          <cell r="E459">
            <v>46225</v>
          </cell>
          <cell r="F459" t="str">
            <v>助理工程师</v>
          </cell>
          <cell r="G459" t="str">
            <v>助理工程师</v>
          </cell>
          <cell r="H459" t="str">
            <v>13号楼（11号楼CNC区域委培）</v>
          </cell>
          <cell r="I459" t="str">
            <v>班组</v>
          </cell>
        </row>
        <row r="460">
          <cell r="C460" t="str">
            <v>ACT337</v>
          </cell>
          <cell r="D460" t="str">
            <v>TJ2</v>
          </cell>
          <cell r="E460">
            <v>37824</v>
          </cell>
          <cell r="F460" t="str">
            <v>车间主任</v>
          </cell>
          <cell r="G460" t="str">
            <v>车间主任</v>
          </cell>
          <cell r="H460" t="str">
            <v>11号楼公斤级</v>
          </cell>
          <cell r="I460" t="str">
            <v>常白</v>
          </cell>
        </row>
        <row r="461">
          <cell r="C461" t="str">
            <v>ALS3717</v>
          </cell>
          <cell r="D461" t="str">
            <v>TJ2</v>
          </cell>
          <cell r="E461">
            <v>42954</v>
          </cell>
          <cell r="F461" t="str">
            <v>主管</v>
          </cell>
          <cell r="G461" t="str">
            <v>主管</v>
          </cell>
          <cell r="H461" t="str">
            <v>11号楼D级区域</v>
          </cell>
          <cell r="I461" t="str">
            <v>常白</v>
          </cell>
        </row>
        <row r="462">
          <cell r="C462" t="str">
            <v>ADH2765</v>
          </cell>
          <cell r="D462" t="str">
            <v>TJ2</v>
          </cell>
          <cell r="E462">
            <v>44025</v>
          </cell>
          <cell r="F462" t="str">
            <v>车间主任</v>
          </cell>
          <cell r="G462" t="str">
            <v>车间主任</v>
          </cell>
          <cell r="H462" t="str">
            <v>11号楼D级区域</v>
          </cell>
          <cell r="I462" t="str">
            <v>常白</v>
          </cell>
        </row>
        <row r="463">
          <cell r="C463" t="str">
            <v>ALS15385</v>
          </cell>
          <cell r="D463" t="str">
            <v>TJ2</v>
          </cell>
          <cell r="E463">
            <v>45980</v>
          </cell>
          <cell r="F463" t="str">
            <v>车间副主任</v>
          </cell>
          <cell r="G463" t="str">
            <v>车间副主任</v>
          </cell>
          <cell r="H463" t="str">
            <v>11号楼D级区域</v>
          </cell>
          <cell r="I463" t="str">
            <v>常白</v>
          </cell>
        </row>
        <row r="464">
          <cell r="C464" t="str">
            <v>ALS15602</v>
          </cell>
          <cell r="D464" t="str">
            <v>TJ2</v>
          </cell>
          <cell r="E464">
            <v>46001</v>
          </cell>
          <cell r="F464" t="str">
            <v>车间副主任</v>
          </cell>
          <cell r="G464" t="str">
            <v>车间副主任</v>
          </cell>
          <cell r="H464" t="str">
            <v>11号楼D级区域</v>
          </cell>
          <cell r="I464" t="str">
            <v>常白</v>
          </cell>
        </row>
        <row r="465">
          <cell r="C465" t="str">
            <v>ALS16861</v>
          </cell>
          <cell r="D465" t="str">
            <v>TJ2</v>
          </cell>
          <cell r="E465">
            <v>46162</v>
          </cell>
          <cell r="F465" t="str">
            <v>车间副主任</v>
          </cell>
          <cell r="G465" t="str">
            <v>车间副主任</v>
          </cell>
          <cell r="H465" t="str">
            <v>11号楼D级区域</v>
          </cell>
          <cell r="I465" t="str">
            <v>常白</v>
          </cell>
        </row>
        <row r="466">
          <cell r="C466" t="str">
            <v>ALS17522</v>
          </cell>
          <cell r="D466" t="str">
            <v>TJ2</v>
          </cell>
          <cell r="E466">
            <v>46204</v>
          </cell>
          <cell r="F466" t="str">
            <v>车间副主任</v>
          </cell>
          <cell r="G466" t="str">
            <v>车间副主任</v>
          </cell>
          <cell r="H466" t="str">
            <v>11号楼D级区域</v>
          </cell>
          <cell r="I466" t="str">
            <v>常白</v>
          </cell>
        </row>
        <row r="467">
          <cell r="C467" t="str">
            <v>ALS18194</v>
          </cell>
          <cell r="D467" t="str">
            <v>TJ2</v>
          </cell>
          <cell r="E467">
            <v>46232</v>
          </cell>
          <cell r="F467" t="str">
            <v>车间副主任</v>
          </cell>
          <cell r="G467" t="str">
            <v>车间副主任</v>
          </cell>
          <cell r="H467" t="str">
            <v>11号楼D级区域</v>
          </cell>
          <cell r="I467" t="str">
            <v>常白</v>
          </cell>
        </row>
        <row r="468">
          <cell r="C468" t="str">
            <v>ALS12155</v>
          </cell>
          <cell r="D468" t="str">
            <v>TJ2</v>
          </cell>
          <cell r="E468">
            <v>45105</v>
          </cell>
          <cell r="F468" t="str">
            <v>主管</v>
          </cell>
          <cell r="G468" t="str">
            <v>主管</v>
          </cell>
          <cell r="H468" t="str">
            <v>11号楼D级区域</v>
          </cell>
          <cell r="I468" t="str">
            <v>项目组</v>
          </cell>
        </row>
        <row r="469">
          <cell r="C469" t="str">
            <v>ALS2304</v>
          </cell>
          <cell r="D469" t="str">
            <v>TJ2</v>
          </cell>
          <cell r="E469">
            <v>42212</v>
          </cell>
          <cell r="F469" t="str">
            <v>工艺副主管</v>
          </cell>
          <cell r="G469" t="str">
            <v>工艺副主管</v>
          </cell>
          <cell r="H469" t="str">
            <v>11号楼D级区域</v>
          </cell>
          <cell r="I469" t="str">
            <v>项目组</v>
          </cell>
        </row>
        <row r="470">
          <cell r="C470" t="str">
            <v>ALS17048</v>
          </cell>
          <cell r="D470" t="str">
            <v>TJ2</v>
          </cell>
          <cell r="E470">
            <v>46181</v>
          </cell>
          <cell r="F470" t="str">
            <v>工艺副主管</v>
          </cell>
          <cell r="G470" t="str">
            <v>工艺副主管</v>
          </cell>
          <cell r="H470" t="str">
            <v>11号楼D级区域</v>
          </cell>
          <cell r="I470" t="str">
            <v>项目组</v>
          </cell>
        </row>
        <row r="471">
          <cell r="C471" t="str">
            <v>ALS12615</v>
          </cell>
          <cell r="D471" t="str">
            <v>TJ2</v>
          </cell>
          <cell r="E471">
            <v>45194</v>
          </cell>
          <cell r="F471" t="str">
            <v>工艺组长</v>
          </cell>
          <cell r="G471" t="str">
            <v>工艺组长</v>
          </cell>
          <cell r="H471" t="str">
            <v>11号楼D级区域</v>
          </cell>
          <cell r="I471" t="str">
            <v>项目组</v>
          </cell>
        </row>
        <row r="472">
          <cell r="C472" t="str">
            <v>ALS17895</v>
          </cell>
          <cell r="D472" t="str">
            <v>TJ2</v>
          </cell>
          <cell r="E472">
            <v>46213</v>
          </cell>
          <cell r="F472" t="str">
            <v>工艺组长</v>
          </cell>
          <cell r="G472" t="str">
            <v>工艺组长</v>
          </cell>
          <cell r="H472" t="str">
            <v>11号楼D级区域</v>
          </cell>
          <cell r="I472" t="str">
            <v>项目组</v>
          </cell>
        </row>
        <row r="473">
          <cell r="C473" t="str">
            <v>ALS13003</v>
          </cell>
          <cell r="D473" t="str">
            <v>TJ2</v>
          </cell>
          <cell r="E473">
            <v>45469</v>
          </cell>
          <cell r="F473" t="str">
            <v>工程师</v>
          </cell>
          <cell r="G473" t="str">
            <v>工程师</v>
          </cell>
          <cell r="H473" t="str">
            <v>11号楼D级区域</v>
          </cell>
          <cell r="I473" t="str">
            <v>项目组</v>
          </cell>
        </row>
        <row r="474">
          <cell r="C474" t="str">
            <v>ALS15866</v>
          </cell>
          <cell r="D474" t="str">
            <v>TJ2</v>
          </cell>
          <cell r="E474">
            <v>46029</v>
          </cell>
          <cell r="F474" t="str">
            <v>工程师</v>
          </cell>
          <cell r="G474" t="str">
            <v>工程师</v>
          </cell>
          <cell r="H474" t="str">
            <v>11号楼D级区域</v>
          </cell>
          <cell r="I474" t="str">
            <v>项目组</v>
          </cell>
        </row>
        <row r="475">
          <cell r="C475" t="str">
            <v>ALS16194</v>
          </cell>
          <cell r="D475" t="str">
            <v>TJ2</v>
          </cell>
          <cell r="E475">
            <v>46106</v>
          </cell>
          <cell r="F475" t="str">
            <v>工程师</v>
          </cell>
          <cell r="G475" t="str">
            <v>工程师</v>
          </cell>
          <cell r="H475" t="str">
            <v>11号楼D级区域</v>
          </cell>
          <cell r="I475" t="str">
            <v>项目组</v>
          </cell>
        </row>
        <row r="476">
          <cell r="C476" t="str">
            <v>ALS13034</v>
          </cell>
          <cell r="D476" t="str">
            <v>TJ2</v>
          </cell>
          <cell r="E476">
            <v>45469</v>
          </cell>
          <cell r="F476" t="str">
            <v>助理工程师</v>
          </cell>
          <cell r="G476" t="str">
            <v>助理工程师</v>
          </cell>
          <cell r="H476" t="str">
            <v>11号楼D级区域</v>
          </cell>
          <cell r="I476" t="str">
            <v>项目组</v>
          </cell>
        </row>
        <row r="477">
          <cell r="C477" t="str">
            <v>ALS13587</v>
          </cell>
          <cell r="D477" t="str">
            <v>TJ2</v>
          </cell>
          <cell r="E477">
            <v>45600</v>
          </cell>
          <cell r="F477" t="str">
            <v>助理工程师</v>
          </cell>
          <cell r="G477" t="str">
            <v>助理工程师</v>
          </cell>
          <cell r="H477" t="str">
            <v>11号楼D级区域</v>
          </cell>
          <cell r="I477" t="str">
            <v>项目组</v>
          </cell>
        </row>
        <row r="478">
          <cell r="C478" t="str">
            <v>ALS17928</v>
          </cell>
          <cell r="D478" t="str">
            <v>TJ2</v>
          </cell>
          <cell r="E478">
            <v>46213</v>
          </cell>
          <cell r="F478" t="str">
            <v>助理工程师</v>
          </cell>
          <cell r="G478" t="str">
            <v>助理工程师</v>
          </cell>
          <cell r="H478" t="str">
            <v>11号楼D级区域</v>
          </cell>
          <cell r="I478" t="str">
            <v>项目组</v>
          </cell>
        </row>
        <row r="479">
          <cell r="C479" t="str">
            <v>ALS18336</v>
          </cell>
          <cell r="D479" t="str">
            <v>TJ2</v>
          </cell>
          <cell r="E479">
            <v>46246</v>
          </cell>
          <cell r="F479" t="str">
            <v>助理工程师</v>
          </cell>
          <cell r="G479" t="str">
            <v>助理工程师</v>
          </cell>
          <cell r="H479" t="str">
            <v>11号楼D级区域</v>
          </cell>
          <cell r="I479" t="str">
            <v>项目组</v>
          </cell>
        </row>
        <row r="480">
          <cell r="C480" t="str">
            <v>ALS17614</v>
          </cell>
          <cell r="D480" t="str">
            <v>TJ2</v>
          </cell>
          <cell r="E480">
            <v>46197</v>
          </cell>
          <cell r="F480" t="str">
            <v>助理工程师</v>
          </cell>
          <cell r="G480" t="str">
            <v>助理工程师</v>
          </cell>
          <cell r="H480" t="str">
            <v>11号楼D级区域</v>
          </cell>
          <cell r="I480" t="str">
            <v>项目组倒班</v>
          </cell>
        </row>
        <row r="481">
          <cell r="C481" t="str">
            <v>ALS17376</v>
          </cell>
          <cell r="D481" t="str">
            <v>TJ2</v>
          </cell>
          <cell r="E481">
            <v>46208</v>
          </cell>
          <cell r="F481" t="str">
            <v>助理工程师</v>
          </cell>
          <cell r="G481" t="str">
            <v>助理工程师</v>
          </cell>
          <cell r="H481" t="str">
            <v>11号楼D级区域</v>
          </cell>
          <cell r="I481" t="str">
            <v>项目组倒班</v>
          </cell>
        </row>
        <row r="482">
          <cell r="C482" t="str">
            <v>ALS13687</v>
          </cell>
          <cell r="D482" t="str">
            <v>TJ2</v>
          </cell>
          <cell r="E482">
            <v>45630</v>
          </cell>
          <cell r="F482" t="str">
            <v>操作工</v>
          </cell>
          <cell r="G482" t="str">
            <v>操作工</v>
          </cell>
          <cell r="H482" t="str">
            <v>11号楼D级区域</v>
          </cell>
          <cell r="I482" t="str">
            <v>项目组倒班</v>
          </cell>
        </row>
        <row r="483">
          <cell r="C483" t="str">
            <v>LFX127</v>
          </cell>
          <cell r="D483" t="str">
            <v>TJ2</v>
          </cell>
          <cell r="E483">
            <v>43661</v>
          </cell>
          <cell r="F483" t="str">
            <v>工程师</v>
          </cell>
          <cell r="G483" t="str">
            <v>工程师</v>
          </cell>
          <cell r="H483" t="str">
            <v>11号楼D级区域</v>
          </cell>
          <cell r="I483" t="str">
            <v>常白</v>
          </cell>
        </row>
        <row r="484">
          <cell r="C484" t="str">
            <v>ALS15494</v>
          </cell>
          <cell r="D484" t="str">
            <v>TJ2</v>
          </cell>
          <cell r="E484">
            <v>45992</v>
          </cell>
          <cell r="F484" t="str">
            <v>工程师</v>
          </cell>
          <cell r="G484" t="str">
            <v>工程师</v>
          </cell>
          <cell r="H484" t="str">
            <v>11号楼D级区域</v>
          </cell>
          <cell r="I484" t="str">
            <v>常白</v>
          </cell>
        </row>
        <row r="485">
          <cell r="C485" t="str">
            <v>ALS16517</v>
          </cell>
          <cell r="D485" t="str">
            <v>TJ2</v>
          </cell>
          <cell r="E485">
            <v>46132</v>
          </cell>
          <cell r="F485" t="str">
            <v>工程师</v>
          </cell>
          <cell r="G485" t="str">
            <v>工程师</v>
          </cell>
          <cell r="H485" t="str">
            <v>11号楼D级区域</v>
          </cell>
          <cell r="I485" t="str">
            <v>常白</v>
          </cell>
        </row>
        <row r="486">
          <cell r="C486" t="str">
            <v>ALS12804</v>
          </cell>
          <cell r="D486" t="str">
            <v>TJ2</v>
          </cell>
          <cell r="E486">
            <v>45245</v>
          </cell>
          <cell r="F486" t="str">
            <v>助理工程师</v>
          </cell>
          <cell r="G486" t="str">
            <v>助理工程师</v>
          </cell>
          <cell r="H486" t="str">
            <v>11号楼D级区域</v>
          </cell>
          <cell r="I486" t="str">
            <v>常白</v>
          </cell>
        </row>
        <row r="487">
          <cell r="C487" t="str">
            <v>LFX918</v>
          </cell>
          <cell r="D487" t="str">
            <v>TJ2</v>
          </cell>
          <cell r="E487">
            <v>45488</v>
          </cell>
          <cell r="F487" t="str">
            <v>助理工程师</v>
          </cell>
          <cell r="G487" t="str">
            <v>助理工程师</v>
          </cell>
          <cell r="H487" t="str">
            <v>11号楼D级区域</v>
          </cell>
          <cell r="I487" t="str">
            <v>常白</v>
          </cell>
        </row>
        <row r="488">
          <cell r="C488" t="str">
            <v>ALS15824</v>
          </cell>
          <cell r="D488" t="str">
            <v>TJ2</v>
          </cell>
          <cell r="E488">
            <v>46029</v>
          </cell>
          <cell r="F488" t="str">
            <v>助理工程师</v>
          </cell>
          <cell r="G488" t="str">
            <v>助理工程师</v>
          </cell>
          <cell r="H488" t="str">
            <v>11号楼D级区域</v>
          </cell>
          <cell r="I488" t="str">
            <v>常白</v>
          </cell>
        </row>
        <row r="489">
          <cell r="C489" t="str">
            <v>ALS16016</v>
          </cell>
          <cell r="D489" t="str">
            <v>TJ2</v>
          </cell>
          <cell r="E489">
            <v>46050</v>
          </cell>
          <cell r="F489" t="str">
            <v>助理工程师</v>
          </cell>
          <cell r="G489" t="str">
            <v>助理工程师</v>
          </cell>
          <cell r="H489" t="str">
            <v>11号楼D级区域</v>
          </cell>
          <cell r="I489" t="str">
            <v>常白</v>
          </cell>
        </row>
        <row r="490">
          <cell r="C490" t="str">
            <v>ALS16274</v>
          </cell>
          <cell r="D490" t="str">
            <v>TJ2</v>
          </cell>
          <cell r="E490">
            <v>46113</v>
          </cell>
          <cell r="F490" t="str">
            <v>助理工程师</v>
          </cell>
          <cell r="G490" t="str">
            <v>助理工程师</v>
          </cell>
          <cell r="H490" t="str">
            <v>11号楼D级区域</v>
          </cell>
          <cell r="I490" t="str">
            <v>常白</v>
          </cell>
        </row>
        <row r="491">
          <cell r="C491" t="str">
            <v>ALS16271</v>
          </cell>
          <cell r="D491" t="str">
            <v>TJ2</v>
          </cell>
          <cell r="E491">
            <v>46113</v>
          </cell>
          <cell r="F491" t="str">
            <v>助理工程师</v>
          </cell>
          <cell r="G491" t="str">
            <v>助理工程师</v>
          </cell>
          <cell r="H491" t="str">
            <v>11号楼D级区域</v>
          </cell>
          <cell r="I491" t="str">
            <v>常白</v>
          </cell>
        </row>
        <row r="492">
          <cell r="C492" t="str">
            <v>ALS16266</v>
          </cell>
          <cell r="D492" t="str">
            <v>TJ2</v>
          </cell>
          <cell r="E492">
            <v>46113</v>
          </cell>
          <cell r="F492" t="str">
            <v>助理工程师</v>
          </cell>
          <cell r="G492" t="str">
            <v>助理工程师</v>
          </cell>
          <cell r="H492" t="str">
            <v>11号楼D级区域</v>
          </cell>
          <cell r="I492" t="str">
            <v>常白</v>
          </cell>
        </row>
        <row r="493">
          <cell r="C493" t="str">
            <v>ALS16268</v>
          </cell>
          <cell r="D493" t="str">
            <v>TJ2</v>
          </cell>
          <cell r="E493">
            <v>46113</v>
          </cell>
          <cell r="F493" t="str">
            <v>助理工程师</v>
          </cell>
          <cell r="G493" t="str">
            <v>助理工程师</v>
          </cell>
          <cell r="H493" t="str">
            <v>11号楼D级区域</v>
          </cell>
          <cell r="I493" t="str">
            <v>常白</v>
          </cell>
        </row>
        <row r="494">
          <cell r="C494" t="str">
            <v>ALS16396</v>
          </cell>
          <cell r="D494" t="str">
            <v>TJ2</v>
          </cell>
          <cell r="E494">
            <v>46127</v>
          </cell>
          <cell r="F494" t="str">
            <v>助理工程师</v>
          </cell>
          <cell r="G494" t="str">
            <v>助理工程师</v>
          </cell>
          <cell r="H494" t="str">
            <v>11号楼D级区域</v>
          </cell>
          <cell r="I494" t="str">
            <v>常白</v>
          </cell>
        </row>
        <row r="495">
          <cell r="C495" t="str">
            <v>ALS16419</v>
          </cell>
          <cell r="D495" t="str">
            <v>TJ2</v>
          </cell>
          <cell r="E495">
            <v>46127</v>
          </cell>
          <cell r="F495" t="str">
            <v>助理工程师</v>
          </cell>
          <cell r="G495" t="str">
            <v>助理工程师</v>
          </cell>
          <cell r="H495" t="str">
            <v>11号楼D级区域</v>
          </cell>
          <cell r="I495" t="str">
            <v>常白</v>
          </cell>
        </row>
        <row r="496">
          <cell r="C496" t="str">
            <v>ALS16452</v>
          </cell>
          <cell r="D496" t="str">
            <v>TJ2</v>
          </cell>
          <cell r="E496">
            <v>46127</v>
          </cell>
          <cell r="F496" t="str">
            <v>助理工程师</v>
          </cell>
          <cell r="G496" t="str">
            <v>助理工程师</v>
          </cell>
          <cell r="H496" t="str">
            <v>11号楼D级区域</v>
          </cell>
          <cell r="I496" t="str">
            <v>常白</v>
          </cell>
        </row>
        <row r="497">
          <cell r="C497" t="str">
            <v>ALS16504</v>
          </cell>
          <cell r="D497" t="str">
            <v>TJ2</v>
          </cell>
          <cell r="E497">
            <v>46132</v>
          </cell>
          <cell r="F497" t="str">
            <v>助理工程师</v>
          </cell>
          <cell r="G497" t="str">
            <v>助理工程师</v>
          </cell>
          <cell r="H497" t="str">
            <v>11号楼D级区域</v>
          </cell>
          <cell r="I497" t="str">
            <v>常白</v>
          </cell>
        </row>
        <row r="498">
          <cell r="C498" t="str">
            <v>ALS16505</v>
          </cell>
          <cell r="D498" t="str">
            <v>TJ2</v>
          </cell>
          <cell r="E498">
            <v>46132</v>
          </cell>
          <cell r="F498" t="str">
            <v>助理工程师</v>
          </cell>
          <cell r="G498" t="str">
            <v>助理工程师</v>
          </cell>
          <cell r="H498" t="str">
            <v>11号楼D级区域</v>
          </cell>
          <cell r="I498" t="str">
            <v>常白</v>
          </cell>
        </row>
        <row r="499">
          <cell r="C499" t="str">
            <v>ALS16538</v>
          </cell>
          <cell r="D499" t="str">
            <v>TJ2</v>
          </cell>
          <cell r="E499">
            <v>46134</v>
          </cell>
          <cell r="F499" t="str">
            <v>助理工程师</v>
          </cell>
          <cell r="G499" t="str">
            <v>助理工程师</v>
          </cell>
          <cell r="H499" t="str">
            <v>11号楼D级区域</v>
          </cell>
          <cell r="I499" t="str">
            <v>常白</v>
          </cell>
        </row>
        <row r="500">
          <cell r="C500" t="str">
            <v>ALS16548</v>
          </cell>
          <cell r="D500" t="str">
            <v>TJ2</v>
          </cell>
          <cell r="E500">
            <v>46134</v>
          </cell>
          <cell r="F500" t="str">
            <v>助理工程师</v>
          </cell>
          <cell r="G500" t="str">
            <v>助理工程师</v>
          </cell>
          <cell r="H500" t="str">
            <v>11号楼D级区域</v>
          </cell>
          <cell r="I500" t="str">
            <v>常白</v>
          </cell>
        </row>
        <row r="501">
          <cell r="C501" t="str">
            <v>ALS17589</v>
          </cell>
          <cell r="D501" t="str">
            <v>TJ2</v>
          </cell>
          <cell r="E501">
            <v>46197</v>
          </cell>
          <cell r="F501" t="str">
            <v>助理工程师</v>
          </cell>
          <cell r="G501" t="str">
            <v>助理工程师</v>
          </cell>
          <cell r="H501" t="str">
            <v>11号楼D级区域</v>
          </cell>
          <cell r="I501" t="str">
            <v>常白</v>
          </cell>
        </row>
        <row r="502">
          <cell r="C502" t="str">
            <v>ALS17584</v>
          </cell>
          <cell r="D502" t="str">
            <v>TJ2</v>
          </cell>
          <cell r="E502">
            <v>46197</v>
          </cell>
          <cell r="F502" t="str">
            <v>助理工程师</v>
          </cell>
          <cell r="G502" t="str">
            <v>助理工程师</v>
          </cell>
          <cell r="H502" t="str">
            <v>11号楼D级区域</v>
          </cell>
          <cell r="I502" t="str">
            <v>常白</v>
          </cell>
        </row>
        <row r="503">
          <cell r="C503" t="str">
            <v>ALS17580</v>
          </cell>
          <cell r="D503" t="str">
            <v>TJ2</v>
          </cell>
          <cell r="E503">
            <v>46197</v>
          </cell>
          <cell r="F503" t="str">
            <v>助理工程师</v>
          </cell>
          <cell r="G503" t="str">
            <v>助理工程师</v>
          </cell>
          <cell r="H503" t="str">
            <v>11号楼D级区域</v>
          </cell>
          <cell r="I503" t="str">
            <v>常白</v>
          </cell>
        </row>
        <row r="504">
          <cell r="C504" t="str">
            <v>ALS18012</v>
          </cell>
          <cell r="D504" t="str">
            <v>TJ2</v>
          </cell>
          <cell r="E504">
            <v>46225</v>
          </cell>
          <cell r="F504" t="str">
            <v>助理工程师</v>
          </cell>
          <cell r="G504" t="str">
            <v>助理工程师</v>
          </cell>
          <cell r="H504" t="str">
            <v>11号楼D级区域</v>
          </cell>
          <cell r="I504" t="str">
            <v>常白</v>
          </cell>
        </row>
        <row r="505">
          <cell r="C505" t="str">
            <v>ALS18029</v>
          </cell>
          <cell r="D505" t="str">
            <v>TJ2</v>
          </cell>
          <cell r="E505">
            <v>46225</v>
          </cell>
          <cell r="F505" t="str">
            <v>助理工程师</v>
          </cell>
          <cell r="G505" t="str">
            <v>助理工程师</v>
          </cell>
          <cell r="H505" t="str">
            <v>11号楼D级区域</v>
          </cell>
          <cell r="I505" t="str">
            <v>常白</v>
          </cell>
        </row>
        <row r="506">
          <cell r="C506" t="str">
            <v>ALS18193</v>
          </cell>
          <cell r="D506" t="str">
            <v>TJ2</v>
          </cell>
          <cell r="E506">
            <v>46232</v>
          </cell>
          <cell r="F506" t="str">
            <v>助理工程师</v>
          </cell>
          <cell r="G506" t="str">
            <v>助理工程师</v>
          </cell>
          <cell r="H506" t="str">
            <v>11号楼D级区域</v>
          </cell>
          <cell r="I506" t="str">
            <v>常白</v>
          </cell>
        </row>
        <row r="507">
          <cell r="C507" t="str">
            <v>ALS15296</v>
          </cell>
          <cell r="D507" t="str">
            <v>TJ2</v>
          </cell>
          <cell r="E507">
            <v>45973</v>
          </cell>
          <cell r="F507" t="str">
            <v>操作工</v>
          </cell>
          <cell r="G507" t="str">
            <v>操作工</v>
          </cell>
          <cell r="H507" t="str">
            <v>11号楼D级区域</v>
          </cell>
          <cell r="I507" t="str">
            <v>常白</v>
          </cell>
        </row>
        <row r="508">
          <cell r="C508" t="str">
            <v>ALS16270</v>
          </cell>
          <cell r="D508" t="str">
            <v>TJ2</v>
          </cell>
          <cell r="E508">
            <v>46113</v>
          </cell>
          <cell r="F508" t="str">
            <v>操作工</v>
          </cell>
          <cell r="G508" t="str">
            <v>操作工</v>
          </cell>
          <cell r="H508" t="str">
            <v>11号楼D级区域</v>
          </cell>
          <cell r="I508" t="str">
            <v>常白</v>
          </cell>
        </row>
        <row r="509">
          <cell r="C509" t="str">
            <v>ALS16611</v>
          </cell>
          <cell r="D509" t="str">
            <v>TJ2</v>
          </cell>
          <cell r="E509">
            <v>46139</v>
          </cell>
          <cell r="F509" t="str">
            <v>助理工程师</v>
          </cell>
          <cell r="G509" t="str">
            <v>助理工程师</v>
          </cell>
          <cell r="H509" t="str">
            <v>13号楼（11号楼D级区域委培）</v>
          </cell>
          <cell r="I509" t="str">
            <v>常白</v>
          </cell>
        </row>
        <row r="510">
          <cell r="C510" t="str">
            <v>ALS16612</v>
          </cell>
          <cell r="D510" t="str">
            <v>TJ2</v>
          </cell>
          <cell r="E510">
            <v>46139</v>
          </cell>
          <cell r="F510" t="str">
            <v>助理工程师</v>
          </cell>
          <cell r="G510" t="str">
            <v>助理工程师</v>
          </cell>
          <cell r="H510" t="str">
            <v>13号楼（11号楼D级区域委培）</v>
          </cell>
          <cell r="I510" t="str">
            <v>常白</v>
          </cell>
        </row>
        <row r="511">
          <cell r="C511" t="str">
            <v>ALS16842</v>
          </cell>
          <cell r="D511" t="str">
            <v>TJ2</v>
          </cell>
          <cell r="E511">
            <v>46155</v>
          </cell>
          <cell r="F511" t="str">
            <v>助理工程师</v>
          </cell>
          <cell r="G511" t="str">
            <v>助理工程师</v>
          </cell>
          <cell r="H511" t="str">
            <v>13号楼（11号楼D级区域委培）</v>
          </cell>
          <cell r="I511" t="str">
            <v>常白</v>
          </cell>
        </row>
        <row r="512">
          <cell r="C512" t="str">
            <v>ALS11785</v>
          </cell>
          <cell r="D512" t="str">
            <v>TJ2</v>
          </cell>
          <cell r="E512">
            <v>45000</v>
          </cell>
          <cell r="F512" t="str">
            <v>班长</v>
          </cell>
          <cell r="G512" t="str">
            <v>班长</v>
          </cell>
          <cell r="H512" t="str">
            <v>11号楼D级区域</v>
          </cell>
          <cell r="I512" t="str">
            <v>班组</v>
          </cell>
        </row>
        <row r="513">
          <cell r="C513" t="str">
            <v>ALS13570</v>
          </cell>
          <cell r="D513" t="str">
            <v>TJ2</v>
          </cell>
          <cell r="E513">
            <v>45595</v>
          </cell>
          <cell r="F513" t="str">
            <v>助理工程师</v>
          </cell>
          <cell r="G513" t="str">
            <v>助理工程师</v>
          </cell>
          <cell r="H513" t="str">
            <v>11号楼D级区域</v>
          </cell>
          <cell r="I513" t="str">
            <v>班组</v>
          </cell>
        </row>
        <row r="514">
          <cell r="C514" t="str">
            <v>ALS13694</v>
          </cell>
          <cell r="D514" t="str">
            <v>TJ2</v>
          </cell>
          <cell r="E514">
            <v>45635</v>
          </cell>
          <cell r="F514" t="str">
            <v>助理工程师</v>
          </cell>
          <cell r="G514" t="str">
            <v>助理工程师</v>
          </cell>
          <cell r="H514" t="str">
            <v>11号楼D级区域</v>
          </cell>
          <cell r="I514" t="str">
            <v>班组</v>
          </cell>
        </row>
        <row r="515">
          <cell r="C515" t="str">
            <v>ALS13928</v>
          </cell>
          <cell r="D515" t="str">
            <v>TJ2</v>
          </cell>
          <cell r="E515">
            <v>45770</v>
          </cell>
          <cell r="F515" t="str">
            <v>助理工程师</v>
          </cell>
          <cell r="G515" t="str">
            <v>助理工程师</v>
          </cell>
          <cell r="H515" t="str">
            <v>11号楼D级区域</v>
          </cell>
          <cell r="I515" t="str">
            <v>班组</v>
          </cell>
        </row>
        <row r="516">
          <cell r="C516" t="str">
            <v>ALS16249</v>
          </cell>
          <cell r="D516" t="str">
            <v>TJ2</v>
          </cell>
          <cell r="E516">
            <v>46113</v>
          </cell>
          <cell r="F516" t="str">
            <v>助理工程师</v>
          </cell>
          <cell r="G516" t="str">
            <v>助理工程师</v>
          </cell>
          <cell r="H516" t="str">
            <v>11号楼D级区域</v>
          </cell>
          <cell r="I516" t="str">
            <v>班组</v>
          </cell>
        </row>
        <row r="517">
          <cell r="C517" t="str">
            <v>ALS17310</v>
          </cell>
          <cell r="D517" t="str">
            <v>TJ2</v>
          </cell>
          <cell r="E517">
            <v>46188</v>
          </cell>
          <cell r="F517" t="str">
            <v>助理工程师</v>
          </cell>
          <cell r="G517" t="str">
            <v>助理工程师</v>
          </cell>
          <cell r="H517" t="str">
            <v>11号楼D级区域</v>
          </cell>
          <cell r="I517" t="str">
            <v>班组</v>
          </cell>
        </row>
        <row r="518">
          <cell r="C518" t="str">
            <v>ALS17553</v>
          </cell>
          <cell r="D518" t="str">
            <v>TJ2</v>
          </cell>
          <cell r="E518">
            <v>46195</v>
          </cell>
          <cell r="F518" t="str">
            <v>助理工程师</v>
          </cell>
          <cell r="G518" t="str">
            <v>助理工程师</v>
          </cell>
          <cell r="H518" t="str">
            <v>11号楼D级区域</v>
          </cell>
          <cell r="I518" t="str">
            <v>班组</v>
          </cell>
        </row>
        <row r="519">
          <cell r="C519" t="str">
            <v>ALS17367</v>
          </cell>
          <cell r="D519" t="str">
            <v>TJ2</v>
          </cell>
          <cell r="E519">
            <v>46208</v>
          </cell>
          <cell r="F519" t="str">
            <v>助理工程师</v>
          </cell>
          <cell r="G519" t="str">
            <v>助理工程师</v>
          </cell>
          <cell r="H519" t="str">
            <v>11号楼D级区域</v>
          </cell>
          <cell r="I519" t="str">
            <v>班组</v>
          </cell>
        </row>
        <row r="520">
          <cell r="C520" t="str">
            <v>ALS18068</v>
          </cell>
          <cell r="D520" t="str">
            <v>TJ2</v>
          </cell>
          <cell r="E520">
            <v>46225</v>
          </cell>
          <cell r="F520" t="str">
            <v>助理工程师</v>
          </cell>
          <cell r="G520" t="str">
            <v>助理工程师</v>
          </cell>
          <cell r="H520" t="str">
            <v>11号楼D级区域</v>
          </cell>
          <cell r="I520" t="str">
            <v>班组</v>
          </cell>
        </row>
        <row r="521">
          <cell r="C521" t="str">
            <v>ALS18083</v>
          </cell>
          <cell r="D521" t="str">
            <v>TJ2</v>
          </cell>
          <cell r="E521">
            <v>46225</v>
          </cell>
          <cell r="F521" t="str">
            <v>助理工程师</v>
          </cell>
          <cell r="G521" t="str">
            <v>助理工程师</v>
          </cell>
          <cell r="H521" t="str">
            <v>11号楼D级区域</v>
          </cell>
          <cell r="I521" t="str">
            <v>班组</v>
          </cell>
        </row>
        <row r="522">
          <cell r="C522" t="str">
            <v>ALS12772</v>
          </cell>
          <cell r="D522" t="str">
            <v>TJ2</v>
          </cell>
          <cell r="E522">
            <v>45238</v>
          </cell>
          <cell r="F522" t="str">
            <v>操作工</v>
          </cell>
          <cell r="G522" t="str">
            <v>操作工</v>
          </cell>
          <cell r="H522" t="str">
            <v>11号楼D级区域</v>
          </cell>
          <cell r="I522" t="str">
            <v>班组</v>
          </cell>
        </row>
        <row r="523">
          <cell r="C523" t="str">
            <v>ALS14324</v>
          </cell>
          <cell r="D523" t="str">
            <v>TJ2</v>
          </cell>
          <cell r="E523">
            <v>45847</v>
          </cell>
          <cell r="F523" t="str">
            <v>操作工</v>
          </cell>
          <cell r="G523" t="str">
            <v>操作工</v>
          </cell>
          <cell r="H523" t="str">
            <v>11号楼D级区域</v>
          </cell>
          <cell r="I523" t="str">
            <v>班组</v>
          </cell>
        </row>
        <row r="524">
          <cell r="C524" t="str">
            <v>ALS18063</v>
          </cell>
          <cell r="D524" t="str">
            <v>TJ2</v>
          </cell>
          <cell r="E524">
            <v>46225</v>
          </cell>
          <cell r="F524" t="str">
            <v>助理工程师</v>
          </cell>
          <cell r="G524" t="str">
            <v>助理工程师</v>
          </cell>
          <cell r="H524" t="str">
            <v>13号楼（11号楼D级区域委培）</v>
          </cell>
          <cell r="I524" t="str">
            <v>班组</v>
          </cell>
        </row>
        <row r="525">
          <cell r="C525" t="str">
            <v>ALS18154</v>
          </cell>
          <cell r="D525" t="str">
            <v>TJ2</v>
          </cell>
          <cell r="E525">
            <v>46232</v>
          </cell>
          <cell r="F525" t="str">
            <v>助理工程师</v>
          </cell>
          <cell r="G525" t="str">
            <v>助理工程师</v>
          </cell>
          <cell r="H525" t="str">
            <v>13号楼（11号楼D级区域委培）</v>
          </cell>
          <cell r="I525" t="str">
            <v>班组</v>
          </cell>
        </row>
        <row r="526">
          <cell r="C526" t="str">
            <v>ALS18155</v>
          </cell>
          <cell r="D526" t="str">
            <v>TJ2</v>
          </cell>
          <cell r="E526">
            <v>46232</v>
          </cell>
          <cell r="F526" t="str">
            <v>助理工程师</v>
          </cell>
          <cell r="G526" t="str">
            <v>助理工程师</v>
          </cell>
          <cell r="H526" t="str">
            <v>13号楼（11号楼D级区域委培）</v>
          </cell>
          <cell r="I526" t="str">
            <v>班组</v>
          </cell>
        </row>
        <row r="527">
          <cell r="C527" t="str">
            <v>ALS18166</v>
          </cell>
          <cell r="D527" t="str">
            <v>TJ2</v>
          </cell>
          <cell r="E527">
            <v>46232</v>
          </cell>
          <cell r="F527" t="str">
            <v>助理工程师</v>
          </cell>
          <cell r="G527" t="str">
            <v>助理工程师</v>
          </cell>
          <cell r="H527" t="str">
            <v>13号楼（11号楼D级区域委培）</v>
          </cell>
          <cell r="I527" t="str">
            <v>班组</v>
          </cell>
        </row>
        <row r="528">
          <cell r="C528" t="str">
            <v>ALS16819</v>
          </cell>
          <cell r="D528" t="str">
            <v>TJ2</v>
          </cell>
          <cell r="E528">
            <v>46155</v>
          </cell>
          <cell r="F528" t="str">
            <v>助理工程师</v>
          </cell>
          <cell r="G528" t="str">
            <v>助理工程师</v>
          </cell>
          <cell r="H528" t="str">
            <v>13号楼（11号楼D级区域委培）</v>
          </cell>
          <cell r="I528" t="str">
            <v>班组</v>
          </cell>
        </row>
        <row r="529">
          <cell r="C529" t="str">
            <v>ALS8494</v>
          </cell>
          <cell r="D529" t="str">
            <v>TJ2</v>
          </cell>
          <cell r="E529">
            <v>44489</v>
          </cell>
          <cell r="F529" t="str">
            <v>班长</v>
          </cell>
          <cell r="G529" t="str">
            <v>班长</v>
          </cell>
          <cell r="H529" t="str">
            <v>11号楼D级区域</v>
          </cell>
          <cell r="I529" t="str">
            <v>班组</v>
          </cell>
        </row>
        <row r="530">
          <cell r="C530" t="str">
            <v>ALS14569</v>
          </cell>
          <cell r="D530" t="str">
            <v>TJ2</v>
          </cell>
          <cell r="E530">
            <v>45875</v>
          </cell>
          <cell r="F530" t="str">
            <v>助理工程师</v>
          </cell>
          <cell r="G530" t="str">
            <v>助理工程师</v>
          </cell>
          <cell r="H530" t="str">
            <v>11号楼D级区域</v>
          </cell>
          <cell r="I530" t="str">
            <v>班组</v>
          </cell>
        </row>
        <row r="531">
          <cell r="C531" t="str">
            <v>ALS15290</v>
          </cell>
          <cell r="D531" t="str">
            <v>TJ2</v>
          </cell>
          <cell r="E531">
            <v>45973</v>
          </cell>
          <cell r="F531" t="str">
            <v>助理工程师</v>
          </cell>
          <cell r="G531" t="str">
            <v>助理工程师</v>
          </cell>
          <cell r="H531" t="str">
            <v>11号楼D级区域</v>
          </cell>
          <cell r="I531" t="str">
            <v>班组</v>
          </cell>
        </row>
        <row r="532">
          <cell r="C532" t="str">
            <v>ALS16422</v>
          </cell>
          <cell r="D532" t="str">
            <v>TJ2</v>
          </cell>
          <cell r="E532">
            <v>46127</v>
          </cell>
          <cell r="F532" t="str">
            <v>助理工程师</v>
          </cell>
          <cell r="G532" t="str">
            <v>助理工程师</v>
          </cell>
          <cell r="H532" t="str">
            <v>11号楼D级区域</v>
          </cell>
          <cell r="I532" t="str">
            <v>班组</v>
          </cell>
        </row>
        <row r="533">
          <cell r="C533" t="str">
            <v>ALS16547</v>
          </cell>
          <cell r="D533" t="str">
            <v>TJ2</v>
          </cell>
          <cell r="E533">
            <v>46134</v>
          </cell>
          <cell r="F533" t="str">
            <v>助理工程师</v>
          </cell>
          <cell r="G533" t="str">
            <v>助理工程师</v>
          </cell>
          <cell r="H533" t="str">
            <v>11号楼D级区域</v>
          </cell>
          <cell r="I533" t="str">
            <v>班组</v>
          </cell>
        </row>
        <row r="534">
          <cell r="C534" t="str">
            <v>ALS17307</v>
          </cell>
          <cell r="D534" t="str">
            <v>TJ2</v>
          </cell>
          <cell r="E534">
            <v>46188</v>
          </cell>
          <cell r="F534" t="str">
            <v>助理工程师</v>
          </cell>
          <cell r="G534" t="str">
            <v>助理工程师</v>
          </cell>
          <cell r="H534" t="str">
            <v>11号楼D级区域</v>
          </cell>
          <cell r="I534" t="str">
            <v>班组</v>
          </cell>
        </row>
        <row r="535">
          <cell r="C535" t="str">
            <v>ALS17581</v>
          </cell>
          <cell r="D535" t="str">
            <v>TJ2</v>
          </cell>
          <cell r="E535">
            <v>46197</v>
          </cell>
          <cell r="F535" t="str">
            <v>助理工程师</v>
          </cell>
          <cell r="G535" t="str">
            <v>助理工程师</v>
          </cell>
          <cell r="H535" t="str">
            <v>11号楼D级区域</v>
          </cell>
          <cell r="I535" t="str">
            <v>班组</v>
          </cell>
        </row>
        <row r="536">
          <cell r="C536" t="str">
            <v>ALS17379</v>
          </cell>
          <cell r="D536" t="str">
            <v>TJ2</v>
          </cell>
          <cell r="E536">
            <v>46208</v>
          </cell>
          <cell r="F536" t="str">
            <v>助理工程师</v>
          </cell>
          <cell r="G536" t="str">
            <v>助理工程师</v>
          </cell>
          <cell r="H536" t="str">
            <v>11号楼D级区域</v>
          </cell>
          <cell r="I536" t="str">
            <v>班组</v>
          </cell>
        </row>
        <row r="537">
          <cell r="C537" t="str">
            <v>ALS17378</v>
          </cell>
          <cell r="D537" t="str">
            <v>TJ2</v>
          </cell>
          <cell r="E537">
            <v>46208</v>
          </cell>
          <cell r="F537" t="str">
            <v>助理工程师</v>
          </cell>
          <cell r="G537" t="str">
            <v>助理工程师</v>
          </cell>
          <cell r="H537" t="str">
            <v>11号楼D级区域</v>
          </cell>
          <cell r="I537" t="str">
            <v>班组</v>
          </cell>
        </row>
        <row r="538">
          <cell r="C538" t="str">
            <v>ALS18051</v>
          </cell>
          <cell r="D538" t="str">
            <v>TJ2</v>
          </cell>
          <cell r="E538">
            <v>46225</v>
          </cell>
          <cell r="F538" t="str">
            <v>助理工程师</v>
          </cell>
          <cell r="G538" t="str">
            <v>助理工程师</v>
          </cell>
          <cell r="H538" t="str">
            <v>11号楼D级区域</v>
          </cell>
          <cell r="I538" t="str">
            <v>班组</v>
          </cell>
        </row>
        <row r="539">
          <cell r="C539" t="str">
            <v>ALS13510</v>
          </cell>
          <cell r="D539" t="str">
            <v>TJ2</v>
          </cell>
          <cell r="E539">
            <v>45574</v>
          </cell>
          <cell r="F539" t="str">
            <v>操作工</v>
          </cell>
          <cell r="G539" t="str">
            <v>操作工</v>
          </cell>
          <cell r="H539" t="str">
            <v>11号楼D级区域</v>
          </cell>
          <cell r="I539" t="str">
            <v>班组</v>
          </cell>
        </row>
        <row r="540">
          <cell r="C540" t="str">
            <v>ALS14248</v>
          </cell>
          <cell r="D540" t="str">
            <v>TJ2</v>
          </cell>
          <cell r="E540">
            <v>45840</v>
          </cell>
          <cell r="F540" t="str">
            <v>操作工</v>
          </cell>
          <cell r="G540" t="str">
            <v>操作工</v>
          </cell>
          <cell r="H540" t="str">
            <v>11号楼D级区域</v>
          </cell>
          <cell r="I540" t="str">
            <v>班组</v>
          </cell>
        </row>
        <row r="541">
          <cell r="C541" t="str">
            <v>ALS18275</v>
          </cell>
          <cell r="D541" t="str">
            <v>TJ2</v>
          </cell>
          <cell r="E541">
            <v>46246</v>
          </cell>
          <cell r="F541" t="str">
            <v>班长</v>
          </cell>
          <cell r="G541" t="str">
            <v>班长</v>
          </cell>
          <cell r="H541" t="str">
            <v>13号楼（11号楼D级区域委培）</v>
          </cell>
          <cell r="I541" t="str">
            <v>班组</v>
          </cell>
        </row>
        <row r="542">
          <cell r="C542" t="str">
            <v>ALS17413</v>
          </cell>
          <cell r="D542" t="str">
            <v>TJ2</v>
          </cell>
          <cell r="E542">
            <v>46208</v>
          </cell>
          <cell r="F542" t="str">
            <v>助理工程师</v>
          </cell>
          <cell r="G542" t="str">
            <v>助理工程师</v>
          </cell>
          <cell r="H542" t="str">
            <v>13号楼（11号楼D级区域委培）</v>
          </cell>
          <cell r="I542" t="str">
            <v>班组</v>
          </cell>
        </row>
        <row r="543">
          <cell r="C543" t="str">
            <v>ALS17412</v>
          </cell>
          <cell r="D543" t="str">
            <v>TJ2</v>
          </cell>
          <cell r="E543">
            <v>46208</v>
          </cell>
          <cell r="F543" t="str">
            <v>助理工程师</v>
          </cell>
          <cell r="G543" t="str">
            <v>助理工程师</v>
          </cell>
          <cell r="H543" t="str">
            <v>13号楼（11号楼D级区域委培）</v>
          </cell>
          <cell r="I543" t="str">
            <v>班组</v>
          </cell>
        </row>
        <row r="544">
          <cell r="C544" t="str">
            <v>ALS16853</v>
          </cell>
          <cell r="D544" t="str">
            <v>TJ2</v>
          </cell>
          <cell r="E544">
            <v>46155</v>
          </cell>
          <cell r="F544" t="str">
            <v>助理工程师</v>
          </cell>
          <cell r="G544" t="str">
            <v>助理工程师</v>
          </cell>
          <cell r="H544" t="str">
            <v>13号楼（11号楼D级区域委培）</v>
          </cell>
          <cell r="I544" t="str">
            <v>班组</v>
          </cell>
        </row>
        <row r="545">
          <cell r="C545" t="str">
            <v>ALS13117</v>
          </cell>
          <cell r="D545" t="str">
            <v>TJ2</v>
          </cell>
          <cell r="E545">
            <v>45483</v>
          </cell>
          <cell r="F545" t="str">
            <v>班长</v>
          </cell>
          <cell r="G545" t="str">
            <v>班长</v>
          </cell>
          <cell r="H545" t="str">
            <v>11号楼D级区域</v>
          </cell>
          <cell r="I545" t="str">
            <v>班组</v>
          </cell>
        </row>
        <row r="546">
          <cell r="C546" t="str">
            <v>ALS12806</v>
          </cell>
          <cell r="D546" t="str">
            <v>TJ2</v>
          </cell>
          <cell r="E546">
            <v>45245</v>
          </cell>
          <cell r="F546" t="str">
            <v>助理工程师</v>
          </cell>
          <cell r="G546" t="str">
            <v>助理工程师</v>
          </cell>
          <cell r="H546" t="str">
            <v>11号楼D级区域</v>
          </cell>
          <cell r="I546" t="str">
            <v>班组</v>
          </cell>
        </row>
        <row r="547">
          <cell r="C547" t="str">
            <v>ALS14787</v>
          </cell>
          <cell r="D547" t="str">
            <v>TJ2</v>
          </cell>
          <cell r="E547">
            <v>45908</v>
          </cell>
          <cell r="F547" t="str">
            <v>助理工程师</v>
          </cell>
          <cell r="G547" t="str">
            <v>助理工程师</v>
          </cell>
          <cell r="H547" t="str">
            <v>11号楼D级区域</v>
          </cell>
          <cell r="I547" t="str">
            <v>班组</v>
          </cell>
        </row>
        <row r="548">
          <cell r="C548" t="str">
            <v>ALS16435</v>
          </cell>
          <cell r="D548" t="str">
            <v>TJ2</v>
          </cell>
          <cell r="E548">
            <v>46127</v>
          </cell>
          <cell r="F548" t="str">
            <v>助理工程师</v>
          </cell>
          <cell r="G548" t="str">
            <v>助理工程师</v>
          </cell>
          <cell r="H548" t="str">
            <v>11号楼D级区域</v>
          </cell>
          <cell r="I548" t="str">
            <v>班组</v>
          </cell>
        </row>
        <row r="549">
          <cell r="C549" t="str">
            <v>ALS16552</v>
          </cell>
          <cell r="D549" t="str">
            <v>TJ2</v>
          </cell>
          <cell r="E549">
            <v>46134</v>
          </cell>
          <cell r="F549" t="str">
            <v>助理工程师</v>
          </cell>
          <cell r="G549" t="str">
            <v>助理工程师</v>
          </cell>
          <cell r="H549" t="str">
            <v>11号楼D级区域</v>
          </cell>
          <cell r="I549" t="str">
            <v>班组</v>
          </cell>
        </row>
        <row r="550">
          <cell r="C550" t="str">
            <v>ALS17311</v>
          </cell>
          <cell r="D550" t="str">
            <v>TJ2</v>
          </cell>
          <cell r="E550">
            <v>46188</v>
          </cell>
          <cell r="F550" t="str">
            <v>助理工程师</v>
          </cell>
          <cell r="G550" t="str">
            <v>助理工程师</v>
          </cell>
          <cell r="H550" t="str">
            <v>11号楼D级区域</v>
          </cell>
          <cell r="I550" t="str">
            <v>班组</v>
          </cell>
        </row>
        <row r="551">
          <cell r="C551" t="str">
            <v>ALS17588</v>
          </cell>
          <cell r="D551" t="str">
            <v>TJ2</v>
          </cell>
          <cell r="E551">
            <v>46197</v>
          </cell>
          <cell r="F551" t="str">
            <v>助理工程师</v>
          </cell>
          <cell r="G551" t="str">
            <v>助理工程师</v>
          </cell>
          <cell r="H551" t="str">
            <v>11号楼D级区域</v>
          </cell>
          <cell r="I551" t="str">
            <v>班组</v>
          </cell>
        </row>
        <row r="552">
          <cell r="C552" t="str">
            <v>ALS17677</v>
          </cell>
          <cell r="D552" t="str">
            <v>TJ2</v>
          </cell>
          <cell r="E552">
            <v>46204</v>
          </cell>
          <cell r="F552" t="str">
            <v>助理工程师</v>
          </cell>
          <cell r="G552" t="str">
            <v>助理工程师</v>
          </cell>
          <cell r="H552" t="str">
            <v>11号楼D级区域</v>
          </cell>
          <cell r="I552" t="str">
            <v>班组</v>
          </cell>
        </row>
        <row r="553">
          <cell r="C553" t="str">
            <v>ALS17445</v>
          </cell>
          <cell r="D553" t="str">
            <v>TJ2</v>
          </cell>
          <cell r="E553">
            <v>46215</v>
          </cell>
          <cell r="F553" t="str">
            <v>助理工程师</v>
          </cell>
          <cell r="G553" t="str">
            <v>助理工程师</v>
          </cell>
          <cell r="H553" t="str">
            <v>11号楼D级区域</v>
          </cell>
          <cell r="I553" t="str">
            <v>班组</v>
          </cell>
        </row>
        <row r="554">
          <cell r="C554" t="str">
            <v>ALS18064</v>
          </cell>
          <cell r="D554" t="str">
            <v>TJ2</v>
          </cell>
          <cell r="E554">
            <v>46225</v>
          </cell>
          <cell r="F554" t="str">
            <v>助理工程师</v>
          </cell>
          <cell r="G554" t="str">
            <v>助理工程师</v>
          </cell>
          <cell r="H554" t="str">
            <v>11号楼D级区域</v>
          </cell>
          <cell r="I554" t="str">
            <v>班组</v>
          </cell>
        </row>
        <row r="555">
          <cell r="C555" t="str">
            <v>ALS18067</v>
          </cell>
          <cell r="D555" t="str">
            <v>TJ2</v>
          </cell>
          <cell r="E555">
            <v>46225</v>
          </cell>
          <cell r="F555" t="str">
            <v>助理工程师</v>
          </cell>
          <cell r="G555" t="str">
            <v>助理工程师</v>
          </cell>
          <cell r="H555" t="str">
            <v>11号楼D级区域</v>
          </cell>
          <cell r="I555" t="str">
            <v>班组</v>
          </cell>
        </row>
        <row r="556">
          <cell r="C556" t="str">
            <v>ALS13438</v>
          </cell>
          <cell r="D556" t="str">
            <v>TJ2</v>
          </cell>
          <cell r="E556">
            <v>45546</v>
          </cell>
          <cell r="F556" t="str">
            <v>操作工</v>
          </cell>
          <cell r="G556" t="str">
            <v>操作工</v>
          </cell>
          <cell r="H556" t="str">
            <v>11号楼D级区域</v>
          </cell>
          <cell r="I556" t="str">
            <v>班组</v>
          </cell>
        </row>
        <row r="557">
          <cell r="C557" t="str">
            <v>ALS14322</v>
          </cell>
          <cell r="D557" t="str">
            <v>TJ2</v>
          </cell>
          <cell r="E557">
            <v>45847</v>
          </cell>
          <cell r="F557" t="str">
            <v>操作工</v>
          </cell>
          <cell r="G557" t="str">
            <v>操作工</v>
          </cell>
          <cell r="H557" t="str">
            <v>11号楼D级区域</v>
          </cell>
          <cell r="I557" t="str">
            <v>班组</v>
          </cell>
        </row>
        <row r="558">
          <cell r="C558" t="str">
            <v>ALS17414</v>
          </cell>
          <cell r="D558" t="str">
            <v>TJ2</v>
          </cell>
          <cell r="E558">
            <v>46208</v>
          </cell>
          <cell r="F558" t="str">
            <v>助理工程师</v>
          </cell>
          <cell r="G558" t="str">
            <v>助理工程师</v>
          </cell>
          <cell r="H558" t="str">
            <v>13号楼（11号楼D级区域委培）</v>
          </cell>
          <cell r="I558" t="str">
            <v>班组</v>
          </cell>
        </row>
        <row r="559">
          <cell r="C559" t="str">
            <v>ALS17410</v>
          </cell>
          <cell r="D559" t="str">
            <v>TJ2</v>
          </cell>
          <cell r="E559">
            <v>46208</v>
          </cell>
          <cell r="F559" t="str">
            <v>助理工程师</v>
          </cell>
          <cell r="G559" t="str">
            <v>助理工程师</v>
          </cell>
          <cell r="H559" t="str">
            <v>13号楼（11号楼D级区域委培）</v>
          </cell>
          <cell r="I559" t="str">
            <v>班组</v>
          </cell>
        </row>
        <row r="560">
          <cell r="C560" t="str">
            <v>ALS18066</v>
          </cell>
          <cell r="D560" t="str">
            <v>TJ2</v>
          </cell>
          <cell r="E560">
            <v>46225</v>
          </cell>
          <cell r="F560" t="str">
            <v>助理工程师</v>
          </cell>
          <cell r="G560" t="str">
            <v>助理工程师</v>
          </cell>
          <cell r="H560" t="str">
            <v>13号楼（11号楼D级区域委培）</v>
          </cell>
          <cell r="I560" t="str">
            <v>班组</v>
          </cell>
        </row>
        <row r="561">
          <cell r="C561" t="str">
            <v>ALS17115</v>
          </cell>
          <cell r="D561" t="str">
            <v>TJ2</v>
          </cell>
          <cell r="E561">
            <v>46183</v>
          </cell>
          <cell r="F561" t="str">
            <v>助理工程师</v>
          </cell>
          <cell r="G561" t="str">
            <v>助理工程师</v>
          </cell>
          <cell r="H561" t="str">
            <v>13号楼（11号楼D级区域委培）</v>
          </cell>
          <cell r="I561" t="str">
            <v>班组</v>
          </cell>
        </row>
        <row r="562">
          <cell r="C562" t="str">
            <v>LFX888</v>
          </cell>
          <cell r="D562" t="str">
            <v>TJ2</v>
          </cell>
          <cell r="E562">
            <v>44753</v>
          </cell>
          <cell r="F562" t="str">
            <v>班长</v>
          </cell>
          <cell r="G562" t="str">
            <v>班长</v>
          </cell>
          <cell r="H562" t="str">
            <v>11号楼D级区域</v>
          </cell>
          <cell r="I562" t="str">
            <v>班组</v>
          </cell>
        </row>
        <row r="563">
          <cell r="C563" t="str">
            <v>ALS14875</v>
          </cell>
          <cell r="D563" t="str">
            <v>TJ2</v>
          </cell>
          <cell r="E563">
            <v>45917</v>
          </cell>
          <cell r="F563" t="str">
            <v>助理工程师</v>
          </cell>
          <cell r="G563" t="str">
            <v>助理工程师</v>
          </cell>
          <cell r="H563" t="str">
            <v>11号楼D级区域</v>
          </cell>
          <cell r="I563" t="str">
            <v>班组</v>
          </cell>
        </row>
        <row r="564">
          <cell r="C564" t="str">
            <v>ALS15293</v>
          </cell>
          <cell r="D564" t="str">
            <v>TJ2</v>
          </cell>
          <cell r="E564">
            <v>45973</v>
          </cell>
          <cell r="F564" t="str">
            <v>助理工程师</v>
          </cell>
          <cell r="G564" t="str">
            <v>助理工程师</v>
          </cell>
          <cell r="H564" t="str">
            <v>11号楼D级区域</v>
          </cell>
          <cell r="I564" t="str">
            <v>班组</v>
          </cell>
        </row>
        <row r="565">
          <cell r="C565" t="str">
            <v>ALS16015</v>
          </cell>
          <cell r="D565" t="str">
            <v>TJ2</v>
          </cell>
          <cell r="E565">
            <v>46050</v>
          </cell>
          <cell r="F565" t="str">
            <v>助理工程师</v>
          </cell>
          <cell r="G565" t="str">
            <v>助理工程师</v>
          </cell>
          <cell r="H565" t="str">
            <v>11号楼D级区域</v>
          </cell>
          <cell r="I565" t="str">
            <v>班组</v>
          </cell>
        </row>
        <row r="566">
          <cell r="C566" t="str">
            <v>ALS16250</v>
          </cell>
          <cell r="D566" t="str">
            <v>TJ2</v>
          </cell>
          <cell r="E566">
            <v>46113</v>
          </cell>
          <cell r="F566" t="str">
            <v>助理工程师</v>
          </cell>
          <cell r="G566" t="str">
            <v>助理工程师</v>
          </cell>
          <cell r="H566" t="str">
            <v>11号楼D级区域</v>
          </cell>
          <cell r="I566" t="str">
            <v>班组</v>
          </cell>
        </row>
        <row r="567">
          <cell r="C567" t="str">
            <v>ALS16536</v>
          </cell>
          <cell r="D567" t="str">
            <v>TJ2</v>
          </cell>
          <cell r="E567">
            <v>46134</v>
          </cell>
          <cell r="F567" t="str">
            <v>助理工程师</v>
          </cell>
          <cell r="G567" t="str">
            <v>助理工程师</v>
          </cell>
          <cell r="H567" t="str">
            <v>11号楼D级区域</v>
          </cell>
          <cell r="I567" t="str">
            <v>班组</v>
          </cell>
        </row>
        <row r="568">
          <cell r="C568" t="str">
            <v>ALS16048</v>
          </cell>
          <cell r="D568" t="str">
            <v>TJ2</v>
          </cell>
          <cell r="E568">
            <v>46057</v>
          </cell>
          <cell r="F568" t="str">
            <v>助理工程师</v>
          </cell>
          <cell r="G568" t="str">
            <v>助理工程师</v>
          </cell>
          <cell r="H568" t="str">
            <v>11号楼D级区域</v>
          </cell>
          <cell r="I568" t="str">
            <v>班组</v>
          </cell>
        </row>
        <row r="569">
          <cell r="C569" t="str">
            <v>ALS17561</v>
          </cell>
          <cell r="D569" t="str">
            <v>TJ2</v>
          </cell>
          <cell r="E569">
            <v>46195</v>
          </cell>
          <cell r="F569" t="str">
            <v>助理工程师</v>
          </cell>
          <cell r="G569" t="str">
            <v>助理工程师</v>
          </cell>
          <cell r="H569" t="str">
            <v>11号楼D级区域</v>
          </cell>
          <cell r="I569" t="str">
            <v>班组</v>
          </cell>
        </row>
        <row r="570">
          <cell r="C570" t="str">
            <v>ALS17741</v>
          </cell>
          <cell r="D570" t="str">
            <v>TJ2</v>
          </cell>
          <cell r="E570">
            <v>46204</v>
          </cell>
          <cell r="F570" t="str">
            <v>助理工程师</v>
          </cell>
          <cell r="G570" t="str">
            <v>助理工程师</v>
          </cell>
          <cell r="H570" t="str">
            <v>11号楼D级区域</v>
          </cell>
          <cell r="I570" t="str">
            <v>班组</v>
          </cell>
        </row>
        <row r="571">
          <cell r="C571" t="str">
            <v>ALS17762</v>
          </cell>
          <cell r="D571" t="str">
            <v>TJ2</v>
          </cell>
          <cell r="E571">
            <v>46204</v>
          </cell>
          <cell r="F571" t="str">
            <v>助理工程师</v>
          </cell>
          <cell r="G571" t="str">
            <v>助理工程师</v>
          </cell>
          <cell r="H571" t="str">
            <v>11号楼D级区域</v>
          </cell>
          <cell r="I571" t="str">
            <v>班组</v>
          </cell>
        </row>
        <row r="572">
          <cell r="C572" t="str">
            <v>ALS17377</v>
          </cell>
          <cell r="D572" t="str">
            <v>TJ2</v>
          </cell>
          <cell r="E572">
            <v>46208</v>
          </cell>
          <cell r="F572" t="str">
            <v>助理工程师</v>
          </cell>
          <cell r="G572" t="str">
            <v>助理工程师</v>
          </cell>
          <cell r="H572" t="str">
            <v>11号楼D级区域</v>
          </cell>
          <cell r="I572" t="str">
            <v>班组</v>
          </cell>
        </row>
        <row r="573">
          <cell r="C573" t="str">
            <v>ALS18101</v>
          </cell>
          <cell r="D573" t="str">
            <v>TJ2</v>
          </cell>
          <cell r="E573">
            <v>46225</v>
          </cell>
          <cell r="F573" t="str">
            <v>助理工程师</v>
          </cell>
          <cell r="G573" t="str">
            <v>助理工程师</v>
          </cell>
          <cell r="H573" t="str">
            <v>11号楼D级区域</v>
          </cell>
          <cell r="I573" t="str">
            <v>班组</v>
          </cell>
        </row>
        <row r="574">
          <cell r="C574" t="str">
            <v>ADH6415</v>
          </cell>
          <cell r="D574" t="str">
            <v>DH1</v>
          </cell>
          <cell r="E574">
            <v>45540</v>
          </cell>
          <cell r="F574" t="str">
            <v>操作工</v>
          </cell>
          <cell r="G574" t="str">
            <v>操作工</v>
          </cell>
          <cell r="H574" t="str">
            <v>11号楼D级区域</v>
          </cell>
          <cell r="I574" t="str">
            <v>班组</v>
          </cell>
        </row>
        <row r="575">
          <cell r="C575" t="str">
            <v>ALS17447</v>
          </cell>
          <cell r="D575" t="str">
            <v>TJ2</v>
          </cell>
          <cell r="E575">
            <v>46208</v>
          </cell>
          <cell r="F575" t="str">
            <v>助理工程师</v>
          </cell>
          <cell r="G575" t="str">
            <v>助理工程师</v>
          </cell>
          <cell r="H575" t="str">
            <v>13号楼（11号楼D级区域委培）</v>
          </cell>
          <cell r="I575" t="str">
            <v>班组</v>
          </cell>
        </row>
        <row r="576">
          <cell r="C576" t="str">
            <v>ALS17363</v>
          </cell>
          <cell r="D576" t="str">
            <v>TJ2</v>
          </cell>
          <cell r="E576">
            <v>46208</v>
          </cell>
          <cell r="F576" t="str">
            <v>助理工程师</v>
          </cell>
          <cell r="G576" t="str">
            <v>助理工程师</v>
          </cell>
          <cell r="H576" t="str">
            <v>13号楼（11号楼D级区域委培）</v>
          </cell>
          <cell r="I576" t="str">
            <v>班组</v>
          </cell>
        </row>
        <row r="577">
          <cell r="C577" t="str">
            <v>ALS18069</v>
          </cell>
          <cell r="D577" t="str">
            <v>TJ2</v>
          </cell>
          <cell r="E577">
            <v>46225</v>
          </cell>
          <cell r="F577" t="str">
            <v>助理工程师</v>
          </cell>
          <cell r="G577" t="str">
            <v>助理工程师</v>
          </cell>
          <cell r="H577" t="str">
            <v>13号楼（11号楼D级区域委培）</v>
          </cell>
          <cell r="I577" t="str">
            <v>班组</v>
          </cell>
        </row>
        <row r="578">
          <cell r="C578" t="str">
            <v>ALS18182</v>
          </cell>
          <cell r="D578" t="str">
            <v>TJ2</v>
          </cell>
          <cell r="E578">
            <v>46232</v>
          </cell>
          <cell r="F578" t="str">
            <v>助理工程师</v>
          </cell>
          <cell r="G578" t="str">
            <v>助理工程师</v>
          </cell>
          <cell r="H578" t="str">
            <v>13号楼（11号楼D级区域委培）</v>
          </cell>
          <cell r="I578" t="str">
            <v>班组</v>
          </cell>
        </row>
        <row r="579">
          <cell r="C579" t="str">
            <v>ALS17165</v>
          </cell>
          <cell r="D579" t="str">
            <v>TJ2</v>
          </cell>
          <cell r="E579">
            <v>46188</v>
          </cell>
          <cell r="F579" t="str">
            <v>操作工</v>
          </cell>
          <cell r="G579" t="str">
            <v>实习生</v>
          </cell>
          <cell r="H579" t="str">
            <v>13号楼（11号楼D级区域委培）</v>
          </cell>
          <cell r="I579" t="str">
            <v>班组</v>
          </cell>
        </row>
        <row r="580">
          <cell r="C580" t="str">
            <v>AMM0064</v>
          </cell>
          <cell r="D580" t="str">
            <v>TJ2</v>
          </cell>
          <cell r="E580">
            <v>41126</v>
          </cell>
          <cell r="F580" t="str">
            <v>高级主管</v>
          </cell>
          <cell r="G580" t="str">
            <v>高级主管</v>
          </cell>
          <cell r="H580" t="str">
            <v>12号楼</v>
          </cell>
          <cell r="I580" t="str">
            <v>常白</v>
          </cell>
        </row>
        <row r="581">
          <cell r="C581" t="str">
            <v>ADH7104</v>
          </cell>
          <cell r="D581" t="str">
            <v>TJ2</v>
          </cell>
          <cell r="E581">
            <v>46016</v>
          </cell>
          <cell r="F581" t="str">
            <v>主管</v>
          </cell>
          <cell r="G581" t="str">
            <v>主管</v>
          </cell>
          <cell r="H581" t="str">
            <v>12号楼</v>
          </cell>
          <cell r="I581" t="str">
            <v>常白</v>
          </cell>
        </row>
        <row r="582">
          <cell r="C582" t="str">
            <v>ALS16891</v>
          </cell>
          <cell r="D582" t="str">
            <v>TJ2</v>
          </cell>
          <cell r="E582">
            <v>46162</v>
          </cell>
          <cell r="F582" t="str">
            <v>主管</v>
          </cell>
          <cell r="G582" t="str">
            <v>主管</v>
          </cell>
          <cell r="H582" t="str">
            <v>12号楼CNC区域</v>
          </cell>
          <cell r="I582" t="str">
            <v>常白</v>
          </cell>
        </row>
        <row r="583">
          <cell r="C583" t="str">
            <v>LFX023</v>
          </cell>
          <cell r="D583" t="str">
            <v>TJ2</v>
          </cell>
          <cell r="E583">
            <v>42807</v>
          </cell>
          <cell r="F583" t="str">
            <v>车间主任</v>
          </cell>
          <cell r="G583" t="str">
            <v>车间主任</v>
          </cell>
          <cell r="H583" t="str">
            <v>12号楼CNC区域</v>
          </cell>
          <cell r="I583" t="str">
            <v>常白</v>
          </cell>
        </row>
        <row r="584">
          <cell r="C584" t="str">
            <v>ALS17185</v>
          </cell>
          <cell r="D584" t="str">
            <v>TJ2</v>
          </cell>
          <cell r="E584">
            <v>46188</v>
          </cell>
          <cell r="F584" t="str">
            <v>车间主任</v>
          </cell>
          <cell r="G584" t="str">
            <v>车间主任</v>
          </cell>
          <cell r="H584" t="str">
            <v>12号楼CNC区域</v>
          </cell>
          <cell r="I584" t="str">
            <v>常白</v>
          </cell>
        </row>
        <row r="585">
          <cell r="C585" t="str">
            <v>ALS18056</v>
          </cell>
          <cell r="D585" t="str">
            <v>TJ2</v>
          </cell>
          <cell r="E585">
            <v>46225</v>
          </cell>
          <cell r="F585" t="str">
            <v>车间主任</v>
          </cell>
          <cell r="G585" t="str">
            <v>车间主任</v>
          </cell>
          <cell r="H585" t="str">
            <v>12号楼CNC区域</v>
          </cell>
          <cell r="I585" t="str">
            <v>常白</v>
          </cell>
        </row>
        <row r="586">
          <cell r="C586" t="str">
            <v>ALS12705</v>
          </cell>
          <cell r="D586" t="str">
            <v>TJ2</v>
          </cell>
          <cell r="E586">
            <v>45217</v>
          </cell>
          <cell r="F586" t="str">
            <v>车间副主任</v>
          </cell>
          <cell r="G586" t="str">
            <v>车间副主任</v>
          </cell>
          <cell r="H586" t="str">
            <v>12号楼CNC区域</v>
          </cell>
          <cell r="I586" t="str">
            <v>常白</v>
          </cell>
        </row>
        <row r="587">
          <cell r="C587" t="str">
            <v>ALS12763</v>
          </cell>
          <cell r="D587" t="str">
            <v>TJ2</v>
          </cell>
          <cell r="E587">
            <v>45238</v>
          </cell>
          <cell r="F587" t="str">
            <v>车间副主任</v>
          </cell>
          <cell r="G587" t="str">
            <v>车间副主任</v>
          </cell>
          <cell r="H587" t="str">
            <v>12号楼CNC区域</v>
          </cell>
          <cell r="I587" t="str">
            <v>常白</v>
          </cell>
        </row>
        <row r="588">
          <cell r="C588" t="str">
            <v>ALS14824</v>
          </cell>
          <cell r="D588" t="str">
            <v>TJ2</v>
          </cell>
          <cell r="E588">
            <v>45910</v>
          </cell>
          <cell r="F588" t="str">
            <v>车间副主任</v>
          </cell>
          <cell r="G588" t="str">
            <v>车间副主任</v>
          </cell>
          <cell r="H588" t="str">
            <v>12号楼CNC区域</v>
          </cell>
          <cell r="I588" t="str">
            <v>常白</v>
          </cell>
        </row>
        <row r="589">
          <cell r="C589" t="str">
            <v>ALS15021</v>
          </cell>
          <cell r="D589" t="str">
            <v>TJ2</v>
          </cell>
          <cell r="E589">
            <v>45945</v>
          </cell>
          <cell r="F589" t="str">
            <v>车间副主任</v>
          </cell>
          <cell r="G589" t="str">
            <v>车间副主任</v>
          </cell>
          <cell r="H589" t="str">
            <v>12号楼CNC区域</v>
          </cell>
          <cell r="I589" t="str">
            <v>常白</v>
          </cell>
        </row>
        <row r="590">
          <cell r="C590" t="str">
            <v>ALS15022</v>
          </cell>
          <cell r="D590" t="str">
            <v>TJ2</v>
          </cell>
          <cell r="E590">
            <v>45945</v>
          </cell>
          <cell r="F590" t="str">
            <v>车间副主任</v>
          </cell>
          <cell r="G590" t="str">
            <v>车间副主任</v>
          </cell>
          <cell r="H590" t="str">
            <v>12号楼CNC区域</v>
          </cell>
          <cell r="I590" t="str">
            <v>常白</v>
          </cell>
        </row>
        <row r="591">
          <cell r="C591" t="str">
            <v>LFX672</v>
          </cell>
          <cell r="D591" t="str">
            <v>TJ2</v>
          </cell>
          <cell r="E591">
            <v>44446</v>
          </cell>
          <cell r="F591" t="str">
            <v>车间副主任</v>
          </cell>
          <cell r="G591" t="str">
            <v>车间副主任</v>
          </cell>
          <cell r="H591" t="str">
            <v>12号楼CNC区域</v>
          </cell>
          <cell r="I591" t="str">
            <v>常白</v>
          </cell>
        </row>
        <row r="592">
          <cell r="C592" t="str">
            <v>ALS13396</v>
          </cell>
          <cell r="D592" t="str">
            <v>TJ2</v>
          </cell>
          <cell r="E592">
            <v>45539</v>
          </cell>
          <cell r="F592" t="str">
            <v>车间副主任</v>
          </cell>
          <cell r="G592" t="str">
            <v>车间副主任</v>
          </cell>
          <cell r="H592" t="str">
            <v>12号楼CNC区域</v>
          </cell>
          <cell r="I592" t="str">
            <v>常白</v>
          </cell>
        </row>
        <row r="593">
          <cell r="C593" t="str">
            <v>ALS2225</v>
          </cell>
          <cell r="D593" t="str">
            <v>TJ2</v>
          </cell>
          <cell r="E593">
            <v>42199</v>
          </cell>
          <cell r="F593" t="str">
            <v>工艺主管</v>
          </cell>
          <cell r="G593" t="str">
            <v>工艺主管</v>
          </cell>
          <cell r="H593" t="str">
            <v>12号楼CNC区域</v>
          </cell>
          <cell r="I593" t="str">
            <v>项目组</v>
          </cell>
        </row>
        <row r="594">
          <cell r="C594" t="str">
            <v>ALS2294</v>
          </cell>
          <cell r="D594" t="str">
            <v>TJ2</v>
          </cell>
          <cell r="E594">
            <v>42212</v>
          </cell>
          <cell r="F594" t="str">
            <v>工艺副主管</v>
          </cell>
          <cell r="G594" t="str">
            <v>工艺副主管</v>
          </cell>
          <cell r="H594" t="str">
            <v>12号楼CNC区域</v>
          </cell>
          <cell r="I594" t="str">
            <v>项目组</v>
          </cell>
        </row>
        <row r="595">
          <cell r="C595" t="str">
            <v>ADH0741</v>
          </cell>
          <cell r="D595" t="str">
            <v>TJ2</v>
          </cell>
          <cell r="E595">
            <v>42205</v>
          </cell>
          <cell r="F595" t="str">
            <v>工艺副主管</v>
          </cell>
          <cell r="G595" t="str">
            <v>工艺副主管</v>
          </cell>
          <cell r="H595" t="str">
            <v>12号楼CNC区域</v>
          </cell>
          <cell r="I595" t="str">
            <v>项目组</v>
          </cell>
        </row>
        <row r="596">
          <cell r="C596" t="str">
            <v>ALS4845</v>
          </cell>
          <cell r="D596" t="str">
            <v>TJ2</v>
          </cell>
          <cell r="E596">
            <v>43397</v>
          </cell>
          <cell r="F596" t="str">
            <v>工艺副主管</v>
          </cell>
          <cell r="G596" t="str">
            <v>工艺副主管</v>
          </cell>
          <cell r="H596" t="str">
            <v>12号楼CNC区域</v>
          </cell>
          <cell r="I596" t="str">
            <v>项目组</v>
          </cell>
        </row>
        <row r="597">
          <cell r="C597" t="str">
            <v>LFX126</v>
          </cell>
          <cell r="D597" t="str">
            <v>TJ2</v>
          </cell>
          <cell r="E597">
            <v>43661</v>
          </cell>
          <cell r="F597" t="str">
            <v>工艺组长</v>
          </cell>
          <cell r="G597" t="str">
            <v>工艺组长</v>
          </cell>
          <cell r="H597" t="str">
            <v>12号楼CNC区域</v>
          </cell>
          <cell r="I597" t="str">
            <v>项目组</v>
          </cell>
        </row>
        <row r="598">
          <cell r="C598" t="str">
            <v>ALS6536</v>
          </cell>
          <cell r="D598" t="str">
            <v>TJ2</v>
          </cell>
          <cell r="E598">
            <v>44025</v>
          </cell>
          <cell r="F598" t="str">
            <v>工艺组长</v>
          </cell>
          <cell r="G598" t="str">
            <v>工艺组长</v>
          </cell>
          <cell r="H598" t="str">
            <v>12号楼CNC区域</v>
          </cell>
          <cell r="I598" t="str">
            <v>项目组</v>
          </cell>
        </row>
        <row r="599">
          <cell r="C599" t="str">
            <v>AMM4392</v>
          </cell>
          <cell r="D599" t="str">
            <v>TJ3</v>
          </cell>
          <cell r="E599">
            <v>45504</v>
          </cell>
          <cell r="F599" t="str">
            <v>工艺组长</v>
          </cell>
          <cell r="G599" t="str">
            <v>工艺组长</v>
          </cell>
          <cell r="H599" t="str">
            <v>12号楼CNC区域</v>
          </cell>
          <cell r="I599" t="str">
            <v>项目组</v>
          </cell>
        </row>
        <row r="600">
          <cell r="C600" t="str">
            <v>ALS17981</v>
          </cell>
          <cell r="D600" t="str">
            <v>TJ2</v>
          </cell>
          <cell r="E600">
            <v>46225</v>
          </cell>
          <cell r="F600" t="str">
            <v>工艺组长</v>
          </cell>
          <cell r="G600" t="str">
            <v>工艺组长</v>
          </cell>
          <cell r="H600" t="str">
            <v>12号楼CNC区域</v>
          </cell>
          <cell r="I600" t="str">
            <v>项目组</v>
          </cell>
        </row>
        <row r="601">
          <cell r="C601" t="str">
            <v>ALS18206</v>
          </cell>
          <cell r="D601" t="str">
            <v>TJ2</v>
          </cell>
          <cell r="E601">
            <v>46232</v>
          </cell>
          <cell r="F601" t="str">
            <v>工艺组长</v>
          </cell>
          <cell r="G601" t="str">
            <v>工艺组长</v>
          </cell>
          <cell r="H601" t="str">
            <v>12号楼CNC区域</v>
          </cell>
          <cell r="I601" t="str">
            <v>项目组</v>
          </cell>
        </row>
        <row r="602">
          <cell r="C602" t="str">
            <v>ALS4568</v>
          </cell>
          <cell r="D602" t="str">
            <v>TJ2</v>
          </cell>
          <cell r="E602">
            <v>43299</v>
          </cell>
          <cell r="F602" t="str">
            <v>工程师</v>
          </cell>
          <cell r="G602" t="str">
            <v>工程师</v>
          </cell>
          <cell r="H602" t="str">
            <v>12号楼CNC区域</v>
          </cell>
          <cell r="I602" t="str">
            <v>项目组</v>
          </cell>
        </row>
        <row r="603">
          <cell r="C603" t="str">
            <v>ALS18011</v>
          </cell>
          <cell r="D603" t="str">
            <v>TJ2</v>
          </cell>
          <cell r="E603">
            <v>46225</v>
          </cell>
          <cell r="F603" t="str">
            <v>工程师</v>
          </cell>
          <cell r="G603" t="str">
            <v>工程师</v>
          </cell>
          <cell r="H603" t="str">
            <v>12号楼CNC区域</v>
          </cell>
          <cell r="I603" t="str">
            <v>项目组</v>
          </cell>
        </row>
        <row r="604">
          <cell r="C604" t="str">
            <v>AMM2965</v>
          </cell>
          <cell r="D604" t="str">
            <v>TJ2</v>
          </cell>
          <cell r="E604">
            <v>44690</v>
          </cell>
          <cell r="F604" t="str">
            <v>助理工程师</v>
          </cell>
          <cell r="G604" t="str">
            <v>助理工程师</v>
          </cell>
          <cell r="H604" t="str">
            <v>12号楼CNC区域</v>
          </cell>
          <cell r="I604" t="str">
            <v>项目组</v>
          </cell>
        </row>
        <row r="605">
          <cell r="C605" t="str">
            <v>LFX855</v>
          </cell>
          <cell r="D605" t="str">
            <v>TJ2</v>
          </cell>
          <cell r="E605">
            <v>44753</v>
          </cell>
          <cell r="F605" t="str">
            <v>助理工程师</v>
          </cell>
          <cell r="G605" t="str">
            <v>助理工程师</v>
          </cell>
          <cell r="H605" t="str">
            <v>12号楼CNC区域</v>
          </cell>
          <cell r="I605" t="str">
            <v>项目组</v>
          </cell>
        </row>
        <row r="606">
          <cell r="C606" t="str">
            <v>ALS14156</v>
          </cell>
          <cell r="D606" t="str">
            <v>TJ2</v>
          </cell>
          <cell r="E606">
            <v>45833</v>
          </cell>
          <cell r="F606" t="str">
            <v>助理工程师</v>
          </cell>
          <cell r="G606" t="str">
            <v>助理工程师</v>
          </cell>
          <cell r="H606" t="str">
            <v>12号楼CNC区域</v>
          </cell>
          <cell r="I606" t="str">
            <v>项目组</v>
          </cell>
        </row>
        <row r="607">
          <cell r="C607" t="str">
            <v>ALS14601</v>
          </cell>
          <cell r="D607" t="str">
            <v>TJ2</v>
          </cell>
          <cell r="E607">
            <v>45882</v>
          </cell>
          <cell r="F607" t="str">
            <v>助理工程师</v>
          </cell>
          <cell r="G607" t="str">
            <v>助理工程师</v>
          </cell>
          <cell r="H607" t="str">
            <v>12号楼CNC区域</v>
          </cell>
          <cell r="I607" t="str">
            <v>项目组</v>
          </cell>
        </row>
        <row r="608">
          <cell r="C608" t="str">
            <v>ALS16430</v>
          </cell>
          <cell r="D608" t="str">
            <v>TJ2</v>
          </cell>
          <cell r="E608">
            <v>46127</v>
          </cell>
          <cell r="F608" t="str">
            <v>助理工程师</v>
          </cell>
          <cell r="G608" t="str">
            <v>助理工程师</v>
          </cell>
          <cell r="H608" t="str">
            <v>12号楼CNC区域</v>
          </cell>
          <cell r="I608" t="str">
            <v>项目组</v>
          </cell>
        </row>
        <row r="609">
          <cell r="C609" t="str">
            <v>ADH6279</v>
          </cell>
          <cell r="D609" t="str">
            <v>DH1</v>
          </cell>
          <cell r="E609">
            <v>45509</v>
          </cell>
          <cell r="F609" t="str">
            <v>操作工</v>
          </cell>
          <cell r="G609" t="str">
            <v>操作工</v>
          </cell>
          <cell r="H609" t="str">
            <v>12号楼CNC区域</v>
          </cell>
          <cell r="I609" t="str">
            <v>项目组</v>
          </cell>
        </row>
        <row r="610">
          <cell r="C610" t="str">
            <v>ALS11222</v>
          </cell>
          <cell r="D610" t="str">
            <v>TJ2</v>
          </cell>
          <cell r="E610">
            <v>44809</v>
          </cell>
          <cell r="F610" t="str">
            <v>助理工程师</v>
          </cell>
          <cell r="G610" t="str">
            <v>助理工程师</v>
          </cell>
          <cell r="H610" t="str">
            <v>12号楼CNC区域</v>
          </cell>
          <cell r="I610" t="str">
            <v>项目组倒班</v>
          </cell>
        </row>
        <row r="611">
          <cell r="C611" t="str">
            <v>ALS14637</v>
          </cell>
          <cell r="D611" t="str">
            <v>TJ2</v>
          </cell>
          <cell r="E611">
            <v>45882</v>
          </cell>
          <cell r="F611" t="str">
            <v>助理工程师</v>
          </cell>
          <cell r="G611" t="str">
            <v>助理工程师</v>
          </cell>
          <cell r="H611" t="str">
            <v>12号楼CNC区域</v>
          </cell>
          <cell r="I611" t="str">
            <v>项目组倒班</v>
          </cell>
        </row>
        <row r="612">
          <cell r="C612" t="str">
            <v>ALS16424</v>
          </cell>
          <cell r="D612" t="str">
            <v>TJ2</v>
          </cell>
          <cell r="E612">
            <v>46127</v>
          </cell>
          <cell r="F612" t="str">
            <v>助理工程师</v>
          </cell>
          <cell r="G612" t="str">
            <v>助理工程师</v>
          </cell>
          <cell r="H612" t="str">
            <v>12号楼CNC区域</v>
          </cell>
          <cell r="I612" t="str">
            <v>项目组倒班</v>
          </cell>
        </row>
        <row r="613">
          <cell r="C613" t="str">
            <v>AMM0587</v>
          </cell>
          <cell r="D613" t="str">
            <v>TJ2</v>
          </cell>
          <cell r="E613">
            <v>44018</v>
          </cell>
          <cell r="F613" t="str">
            <v>班长</v>
          </cell>
          <cell r="G613" t="str">
            <v>班长</v>
          </cell>
          <cell r="H613" t="str">
            <v>12号楼CNC区域</v>
          </cell>
          <cell r="I613" t="str">
            <v>常白</v>
          </cell>
        </row>
        <row r="614">
          <cell r="C614" t="str">
            <v>ALS15386</v>
          </cell>
          <cell r="D614" t="str">
            <v>TJ2</v>
          </cell>
          <cell r="E614">
            <v>45980</v>
          </cell>
          <cell r="F614" t="str">
            <v>班长</v>
          </cell>
          <cell r="G614" t="str">
            <v>班长</v>
          </cell>
          <cell r="H614" t="str">
            <v>12号楼CNC区域</v>
          </cell>
          <cell r="I614" t="str">
            <v>常白</v>
          </cell>
        </row>
        <row r="615">
          <cell r="C615" t="str">
            <v>AMM2310</v>
          </cell>
          <cell r="D615" t="str">
            <v>TJ2</v>
          </cell>
          <cell r="E615">
            <v>44753</v>
          </cell>
          <cell r="F615" t="str">
            <v>助理工程师</v>
          </cell>
          <cell r="G615" t="str">
            <v>助理工程师</v>
          </cell>
          <cell r="H615" t="str">
            <v>12号楼CNC区域</v>
          </cell>
          <cell r="I615" t="str">
            <v>常白</v>
          </cell>
        </row>
        <row r="616">
          <cell r="C616" t="str">
            <v>ALS14671</v>
          </cell>
          <cell r="D616" t="str">
            <v>TJ2</v>
          </cell>
          <cell r="E616">
            <v>45889</v>
          </cell>
          <cell r="F616" t="str">
            <v>助理工程师</v>
          </cell>
          <cell r="G616" t="str">
            <v>助理工程师</v>
          </cell>
          <cell r="H616" t="str">
            <v>12号楼CNC区域</v>
          </cell>
          <cell r="I616" t="str">
            <v>常白</v>
          </cell>
        </row>
        <row r="617">
          <cell r="C617" t="str">
            <v>ALS14704</v>
          </cell>
          <cell r="D617" t="str">
            <v>TJ2</v>
          </cell>
          <cell r="E617">
            <v>45896</v>
          </cell>
          <cell r="F617" t="str">
            <v>助理工程师</v>
          </cell>
          <cell r="G617" t="str">
            <v>助理工程师</v>
          </cell>
          <cell r="H617" t="str">
            <v>12号楼CNC区域</v>
          </cell>
          <cell r="I617" t="str">
            <v>常白</v>
          </cell>
        </row>
        <row r="618">
          <cell r="C618" t="str">
            <v>ALS14706</v>
          </cell>
          <cell r="D618" t="str">
            <v>TJ2</v>
          </cell>
          <cell r="E618">
            <v>45896</v>
          </cell>
          <cell r="F618" t="str">
            <v>助理工程师</v>
          </cell>
          <cell r="G618" t="str">
            <v>助理工程师</v>
          </cell>
          <cell r="H618" t="str">
            <v>12号楼CNC区域</v>
          </cell>
          <cell r="I618" t="str">
            <v>常白</v>
          </cell>
        </row>
        <row r="619">
          <cell r="C619" t="str">
            <v>ALS14860</v>
          </cell>
          <cell r="D619" t="str">
            <v>TJ2</v>
          </cell>
          <cell r="E619">
            <v>45916</v>
          </cell>
          <cell r="F619" t="str">
            <v>助理工程师</v>
          </cell>
          <cell r="G619" t="str">
            <v>助理工程师</v>
          </cell>
          <cell r="H619" t="str">
            <v>12号楼CNC区域</v>
          </cell>
          <cell r="I619" t="str">
            <v>常白</v>
          </cell>
        </row>
        <row r="620">
          <cell r="C620" t="str">
            <v>ALS15470</v>
          </cell>
          <cell r="D620" t="str">
            <v>TJ2</v>
          </cell>
          <cell r="E620">
            <v>45987</v>
          </cell>
          <cell r="F620" t="str">
            <v>助理工程师</v>
          </cell>
          <cell r="G620" t="str">
            <v>助理工程师</v>
          </cell>
          <cell r="H620" t="str">
            <v>12号楼CNC区域</v>
          </cell>
          <cell r="I620" t="str">
            <v>常白</v>
          </cell>
        </row>
        <row r="621">
          <cell r="C621" t="str">
            <v>ALS15474</v>
          </cell>
          <cell r="D621" t="str">
            <v>TJ2</v>
          </cell>
          <cell r="E621">
            <v>45987</v>
          </cell>
          <cell r="F621" t="str">
            <v>助理工程师</v>
          </cell>
          <cell r="G621" t="str">
            <v>助理工程师</v>
          </cell>
          <cell r="H621" t="str">
            <v>12号楼CNC区域</v>
          </cell>
          <cell r="I621" t="str">
            <v>常白</v>
          </cell>
        </row>
        <row r="622">
          <cell r="C622" t="str">
            <v>ALS15554</v>
          </cell>
          <cell r="D622" t="str">
            <v>TJ2</v>
          </cell>
          <cell r="E622">
            <v>45994</v>
          </cell>
          <cell r="F622" t="str">
            <v>助理工程师</v>
          </cell>
          <cell r="G622" t="str">
            <v>助理工程师</v>
          </cell>
          <cell r="H622" t="str">
            <v>12号楼CNC区域</v>
          </cell>
          <cell r="I622" t="str">
            <v>常白</v>
          </cell>
        </row>
        <row r="623">
          <cell r="C623" t="str">
            <v>ALS15555</v>
          </cell>
          <cell r="D623" t="str">
            <v>TJ2</v>
          </cell>
          <cell r="E623">
            <v>45994</v>
          </cell>
          <cell r="F623" t="str">
            <v>助理工程师</v>
          </cell>
          <cell r="G623" t="str">
            <v>助理工程师</v>
          </cell>
          <cell r="H623" t="str">
            <v>12号楼CNC区域</v>
          </cell>
          <cell r="I623" t="str">
            <v>常白</v>
          </cell>
        </row>
        <row r="624">
          <cell r="C624" t="str">
            <v>ALS15726</v>
          </cell>
          <cell r="D624" t="str">
            <v>TJ2</v>
          </cell>
          <cell r="E624">
            <v>46015</v>
          </cell>
          <cell r="F624" t="str">
            <v>助理工程师</v>
          </cell>
          <cell r="G624" t="str">
            <v>助理工程师</v>
          </cell>
          <cell r="H624" t="str">
            <v>12号楼CNC区域</v>
          </cell>
          <cell r="I624" t="str">
            <v>常白</v>
          </cell>
        </row>
        <row r="625">
          <cell r="C625" t="str">
            <v>ALS15858</v>
          </cell>
          <cell r="D625" t="str">
            <v>TJ2</v>
          </cell>
          <cell r="E625">
            <v>46029</v>
          </cell>
          <cell r="F625" t="str">
            <v>助理工程师</v>
          </cell>
          <cell r="G625" t="str">
            <v>助理工程师</v>
          </cell>
          <cell r="H625" t="str">
            <v>12号楼CNC区域</v>
          </cell>
          <cell r="I625" t="str">
            <v>常白</v>
          </cell>
        </row>
        <row r="626">
          <cell r="C626" t="str">
            <v>ALS15861</v>
          </cell>
          <cell r="D626" t="str">
            <v>TJ2</v>
          </cell>
          <cell r="E626">
            <v>46029</v>
          </cell>
          <cell r="F626" t="str">
            <v>助理工程师</v>
          </cell>
          <cell r="G626" t="str">
            <v>助理工程师</v>
          </cell>
          <cell r="H626" t="str">
            <v>12号楼CNC区域</v>
          </cell>
          <cell r="I626" t="str">
            <v>常白</v>
          </cell>
        </row>
        <row r="627">
          <cell r="C627" t="str">
            <v>ALS16260</v>
          </cell>
          <cell r="D627" t="str">
            <v>TJ2</v>
          </cell>
          <cell r="E627">
            <v>46113</v>
          </cell>
          <cell r="F627" t="str">
            <v>助理工程师</v>
          </cell>
          <cell r="G627" t="str">
            <v>助理工程师</v>
          </cell>
          <cell r="H627" t="str">
            <v>12号楼CNC区域</v>
          </cell>
          <cell r="I627" t="str">
            <v>常白</v>
          </cell>
        </row>
        <row r="628">
          <cell r="C628" t="str">
            <v>ALS16278</v>
          </cell>
          <cell r="D628" t="str">
            <v>TJ2</v>
          </cell>
          <cell r="E628">
            <v>46113</v>
          </cell>
          <cell r="F628" t="str">
            <v>助理工程师</v>
          </cell>
          <cell r="G628" t="str">
            <v>助理工程师</v>
          </cell>
          <cell r="H628" t="str">
            <v>12号楼CNC区域</v>
          </cell>
          <cell r="I628" t="str">
            <v>常白</v>
          </cell>
        </row>
        <row r="629">
          <cell r="C629" t="str">
            <v>ALS16294</v>
          </cell>
          <cell r="D629" t="str">
            <v>TJ2</v>
          </cell>
          <cell r="E629">
            <v>46120</v>
          </cell>
          <cell r="F629" t="str">
            <v>助理工程师</v>
          </cell>
          <cell r="G629" t="str">
            <v>助理工程师</v>
          </cell>
          <cell r="H629" t="str">
            <v>12号楼CNC区域</v>
          </cell>
          <cell r="I629" t="str">
            <v>常白</v>
          </cell>
        </row>
        <row r="630">
          <cell r="C630" t="str">
            <v>ALS16987</v>
          </cell>
          <cell r="D630" t="str">
            <v>TJ2</v>
          </cell>
          <cell r="E630">
            <v>46169</v>
          </cell>
          <cell r="F630" t="str">
            <v>助理工程师</v>
          </cell>
          <cell r="G630" t="str">
            <v>助理工程师</v>
          </cell>
          <cell r="H630" t="str">
            <v>12号楼CNC区域</v>
          </cell>
          <cell r="I630" t="str">
            <v>常白</v>
          </cell>
        </row>
        <row r="631">
          <cell r="C631" t="str">
            <v>ALS16983</v>
          </cell>
          <cell r="D631" t="str">
            <v>TJ2</v>
          </cell>
          <cell r="E631">
            <v>46169</v>
          </cell>
          <cell r="F631" t="str">
            <v>助理工程师</v>
          </cell>
          <cell r="G631" t="str">
            <v>助理工程师</v>
          </cell>
          <cell r="H631" t="str">
            <v>12号楼CNC区域</v>
          </cell>
          <cell r="I631" t="str">
            <v>常白</v>
          </cell>
        </row>
        <row r="632">
          <cell r="C632" t="str">
            <v>ALS17760</v>
          </cell>
          <cell r="D632" t="str">
            <v>TJ2</v>
          </cell>
          <cell r="E632">
            <v>46204</v>
          </cell>
          <cell r="F632" t="str">
            <v>助理工程师</v>
          </cell>
          <cell r="G632" t="str">
            <v>助理工程师</v>
          </cell>
          <cell r="H632" t="str">
            <v>12号楼CNC区域</v>
          </cell>
          <cell r="I632" t="str">
            <v>常白</v>
          </cell>
        </row>
        <row r="633">
          <cell r="C633" t="str">
            <v>ALS17432</v>
          </cell>
          <cell r="D633" t="str">
            <v>TJ2</v>
          </cell>
          <cell r="E633">
            <v>46208</v>
          </cell>
          <cell r="F633" t="str">
            <v>助理工程师</v>
          </cell>
          <cell r="G633" t="str">
            <v>助理工程师</v>
          </cell>
          <cell r="H633" t="str">
            <v>12号楼CNC区域</v>
          </cell>
          <cell r="I633" t="str">
            <v>常白</v>
          </cell>
        </row>
        <row r="634">
          <cell r="C634" t="str">
            <v>ALS17369</v>
          </cell>
          <cell r="D634" t="str">
            <v>TJ2</v>
          </cell>
          <cell r="E634">
            <v>46208</v>
          </cell>
          <cell r="F634" t="str">
            <v>助理工程师</v>
          </cell>
          <cell r="G634" t="str">
            <v>助理工程师</v>
          </cell>
          <cell r="H634" t="str">
            <v>12号楼CNC区域</v>
          </cell>
          <cell r="I634" t="str">
            <v>常白</v>
          </cell>
        </row>
        <row r="635">
          <cell r="C635" t="str">
            <v>ALS17374</v>
          </cell>
          <cell r="D635" t="str">
            <v>TJ2</v>
          </cell>
          <cell r="E635">
            <v>46208</v>
          </cell>
          <cell r="F635" t="str">
            <v>助理工程师</v>
          </cell>
          <cell r="G635" t="str">
            <v>助理工程师</v>
          </cell>
          <cell r="H635" t="str">
            <v>12号楼CNC区域</v>
          </cell>
          <cell r="I635" t="str">
            <v>常白</v>
          </cell>
        </row>
        <row r="636">
          <cell r="C636" t="str">
            <v>ALS17373</v>
          </cell>
          <cell r="D636" t="str">
            <v>TJ2</v>
          </cell>
          <cell r="E636">
            <v>46208</v>
          </cell>
          <cell r="F636" t="str">
            <v>助理工程师</v>
          </cell>
          <cell r="G636" t="str">
            <v>助理工程师</v>
          </cell>
          <cell r="H636" t="str">
            <v>12号楼CNC区域</v>
          </cell>
          <cell r="I636" t="str">
            <v>常白</v>
          </cell>
        </row>
        <row r="637">
          <cell r="C637" t="str">
            <v>ALS17423</v>
          </cell>
          <cell r="D637" t="str">
            <v>TJ2</v>
          </cell>
          <cell r="E637">
            <v>46215</v>
          </cell>
          <cell r="F637" t="str">
            <v>助理工程师</v>
          </cell>
          <cell r="G637" t="str">
            <v>助理工程师</v>
          </cell>
          <cell r="H637" t="str">
            <v>12号楼CNC区域</v>
          </cell>
          <cell r="I637" t="str">
            <v>常白</v>
          </cell>
        </row>
        <row r="638">
          <cell r="C638" t="str">
            <v>ALS17355</v>
          </cell>
          <cell r="D638" t="str">
            <v>TJ2</v>
          </cell>
          <cell r="E638">
            <v>46215</v>
          </cell>
          <cell r="F638" t="str">
            <v>助理工程师</v>
          </cell>
          <cell r="G638" t="str">
            <v>助理工程师</v>
          </cell>
          <cell r="H638" t="str">
            <v>12号楼CNC区域</v>
          </cell>
          <cell r="I638" t="str">
            <v>常白</v>
          </cell>
        </row>
        <row r="639">
          <cell r="C639" t="str">
            <v>ALS17999</v>
          </cell>
          <cell r="D639" t="str">
            <v>TJ2</v>
          </cell>
          <cell r="E639">
            <v>46225</v>
          </cell>
          <cell r="F639" t="str">
            <v>助理工程师</v>
          </cell>
          <cell r="G639" t="str">
            <v>助理工程师</v>
          </cell>
          <cell r="H639" t="str">
            <v>12号楼CNC区域</v>
          </cell>
          <cell r="I639" t="str">
            <v>常白</v>
          </cell>
        </row>
        <row r="640">
          <cell r="C640" t="str">
            <v>ALS18042</v>
          </cell>
          <cell r="D640" t="str">
            <v>TJ2</v>
          </cell>
          <cell r="E640">
            <v>46225</v>
          </cell>
          <cell r="F640" t="str">
            <v>助理工程师</v>
          </cell>
          <cell r="G640" t="str">
            <v>助理工程师</v>
          </cell>
          <cell r="H640" t="str">
            <v>12号楼CNC区域</v>
          </cell>
          <cell r="I640" t="str">
            <v>常白</v>
          </cell>
        </row>
        <row r="641">
          <cell r="C641" t="str">
            <v>ALS18079</v>
          </cell>
          <cell r="D641" t="str">
            <v>TJ2</v>
          </cell>
          <cell r="E641">
            <v>46225</v>
          </cell>
          <cell r="F641" t="str">
            <v>助理工程师</v>
          </cell>
          <cell r="G641" t="str">
            <v>助理工程师</v>
          </cell>
          <cell r="H641" t="str">
            <v>12号楼CNC区域</v>
          </cell>
          <cell r="I641" t="str">
            <v>常白</v>
          </cell>
        </row>
        <row r="642">
          <cell r="C642" t="str">
            <v>ALS18085</v>
          </cell>
          <cell r="D642" t="str">
            <v>TJ2</v>
          </cell>
          <cell r="E642">
            <v>46225</v>
          </cell>
          <cell r="F642" t="str">
            <v>助理工程师</v>
          </cell>
          <cell r="G642" t="str">
            <v>助理工程师</v>
          </cell>
          <cell r="H642" t="str">
            <v>12号楼CNC区域</v>
          </cell>
          <cell r="I642" t="str">
            <v>常白</v>
          </cell>
        </row>
        <row r="643">
          <cell r="C643" t="str">
            <v>ALS18087</v>
          </cell>
          <cell r="D643" t="str">
            <v>TJ2</v>
          </cell>
          <cell r="E643">
            <v>46225</v>
          </cell>
          <cell r="F643" t="str">
            <v>助理工程师</v>
          </cell>
          <cell r="G643" t="str">
            <v>助理工程师</v>
          </cell>
          <cell r="H643" t="str">
            <v>12号楼CNC区域</v>
          </cell>
          <cell r="I643" t="str">
            <v>常白</v>
          </cell>
        </row>
        <row r="644">
          <cell r="C644" t="str">
            <v>AMM3995</v>
          </cell>
          <cell r="D644" t="str">
            <v>TJ2</v>
          </cell>
          <cell r="E644">
            <v>41583</v>
          </cell>
          <cell r="F644" t="str">
            <v>操作工</v>
          </cell>
          <cell r="G644" t="str">
            <v>操作工</v>
          </cell>
          <cell r="H644" t="str">
            <v>12号楼CNC区域</v>
          </cell>
          <cell r="I644" t="str">
            <v>常白</v>
          </cell>
        </row>
        <row r="645">
          <cell r="C645" t="str">
            <v>BDH0465</v>
          </cell>
          <cell r="D645" t="str">
            <v>DH2</v>
          </cell>
          <cell r="E645">
            <v>44260</v>
          </cell>
          <cell r="F645" t="str">
            <v>操作工</v>
          </cell>
          <cell r="G645" t="str">
            <v>操作工</v>
          </cell>
          <cell r="H645" t="str">
            <v>12号楼CNC区域</v>
          </cell>
          <cell r="I645" t="str">
            <v>常白</v>
          </cell>
        </row>
        <row r="646">
          <cell r="C646" t="str">
            <v>ALS14767</v>
          </cell>
          <cell r="D646" t="str">
            <v>TJ2</v>
          </cell>
          <cell r="E646">
            <v>45908</v>
          </cell>
          <cell r="F646" t="str">
            <v>操作工</v>
          </cell>
          <cell r="G646" t="str">
            <v>操作工</v>
          </cell>
          <cell r="H646" t="str">
            <v>12号楼CNC区域</v>
          </cell>
          <cell r="I646" t="str">
            <v>常白</v>
          </cell>
        </row>
        <row r="647">
          <cell r="C647" t="str">
            <v>ALS14832</v>
          </cell>
          <cell r="D647" t="str">
            <v>TJ2</v>
          </cell>
          <cell r="E647">
            <v>45910</v>
          </cell>
          <cell r="F647" t="str">
            <v>操作工</v>
          </cell>
          <cell r="G647" t="str">
            <v>操作工</v>
          </cell>
          <cell r="H647" t="str">
            <v>12号楼CNC区域</v>
          </cell>
          <cell r="I647" t="str">
            <v>常白</v>
          </cell>
        </row>
        <row r="648">
          <cell r="C648" t="str">
            <v>ALS15227</v>
          </cell>
          <cell r="D648" t="str">
            <v>TJ2</v>
          </cell>
          <cell r="E648">
            <v>45966</v>
          </cell>
          <cell r="F648" t="str">
            <v>操作工</v>
          </cell>
          <cell r="G648" t="str">
            <v>操作工</v>
          </cell>
          <cell r="H648" t="str">
            <v>12号楼CNC区域</v>
          </cell>
          <cell r="I648" t="str">
            <v>常白</v>
          </cell>
        </row>
        <row r="649">
          <cell r="C649" t="str">
            <v>ALS16305</v>
          </cell>
          <cell r="D649" t="str">
            <v>TJ2</v>
          </cell>
          <cell r="E649">
            <v>46120</v>
          </cell>
          <cell r="F649" t="str">
            <v>操作工</v>
          </cell>
          <cell r="G649" t="str">
            <v>操作工</v>
          </cell>
          <cell r="H649" t="str">
            <v>12号楼CNC区域</v>
          </cell>
          <cell r="I649" t="str">
            <v>常白</v>
          </cell>
        </row>
        <row r="650">
          <cell r="C650" t="str">
            <v>ALS17750</v>
          </cell>
          <cell r="D650" t="str">
            <v>TJ2</v>
          </cell>
          <cell r="E650">
            <v>46204</v>
          </cell>
          <cell r="F650" t="str">
            <v>操作工</v>
          </cell>
          <cell r="G650" t="str">
            <v>操作工</v>
          </cell>
          <cell r="H650" t="str">
            <v>12号楼CNC区域</v>
          </cell>
          <cell r="I650" t="str">
            <v>常白</v>
          </cell>
        </row>
        <row r="651">
          <cell r="C651" t="str">
            <v>ALS17752</v>
          </cell>
          <cell r="D651" t="str">
            <v>TJ2</v>
          </cell>
          <cell r="E651">
            <v>46204</v>
          </cell>
          <cell r="F651" t="str">
            <v>操作工</v>
          </cell>
          <cell r="G651" t="str">
            <v>操作工</v>
          </cell>
          <cell r="H651" t="str">
            <v>12号楼CNC区域</v>
          </cell>
          <cell r="I651" t="str">
            <v>常白</v>
          </cell>
        </row>
        <row r="652">
          <cell r="C652" t="str">
            <v>ALS17738</v>
          </cell>
          <cell r="D652" t="str">
            <v>TJ2</v>
          </cell>
          <cell r="E652">
            <v>46204</v>
          </cell>
          <cell r="F652" t="str">
            <v>操作工</v>
          </cell>
          <cell r="G652" t="str">
            <v>操作工</v>
          </cell>
          <cell r="H652" t="str">
            <v>12号楼CNC区域</v>
          </cell>
          <cell r="I652" t="str">
            <v>常白</v>
          </cell>
        </row>
        <row r="653">
          <cell r="C653" t="str">
            <v>ALS17748</v>
          </cell>
          <cell r="D653" t="str">
            <v>TJ2</v>
          </cell>
          <cell r="E653">
            <v>46204</v>
          </cell>
          <cell r="F653" t="str">
            <v>操作工</v>
          </cell>
          <cell r="G653" t="str">
            <v>操作工</v>
          </cell>
          <cell r="H653" t="str">
            <v>12号楼CNC区域</v>
          </cell>
          <cell r="I653" t="str">
            <v>常白</v>
          </cell>
        </row>
        <row r="654">
          <cell r="C654" t="str">
            <v>ALS17697</v>
          </cell>
          <cell r="D654" t="str">
            <v>TJ2</v>
          </cell>
          <cell r="E654">
            <v>46204</v>
          </cell>
          <cell r="F654" t="str">
            <v>操作工</v>
          </cell>
          <cell r="G654" t="str">
            <v>操作工</v>
          </cell>
          <cell r="H654" t="str">
            <v>12号楼CNC区域</v>
          </cell>
          <cell r="I654" t="str">
            <v>常白</v>
          </cell>
        </row>
        <row r="655">
          <cell r="C655" t="str">
            <v>ALS14312</v>
          </cell>
          <cell r="D655" t="str">
            <v>TJ2</v>
          </cell>
          <cell r="E655">
            <v>45847</v>
          </cell>
          <cell r="F655" t="str">
            <v>操作工</v>
          </cell>
          <cell r="G655" t="str">
            <v>操作工</v>
          </cell>
          <cell r="H655" t="str">
            <v>12号楼CNC区域</v>
          </cell>
          <cell r="I655" t="str">
            <v>常白</v>
          </cell>
        </row>
        <row r="656">
          <cell r="C656" t="str">
            <v>ALS15698</v>
          </cell>
          <cell r="D656" t="str">
            <v>TJ2</v>
          </cell>
          <cell r="E656">
            <v>46008</v>
          </cell>
          <cell r="F656" t="str">
            <v>操作工</v>
          </cell>
          <cell r="G656" t="str">
            <v>操作工</v>
          </cell>
          <cell r="H656" t="str">
            <v>12号楼CNC区域</v>
          </cell>
          <cell r="I656" t="str">
            <v>常白</v>
          </cell>
        </row>
        <row r="657">
          <cell r="C657" t="str">
            <v>ALS18035</v>
          </cell>
          <cell r="D657" t="str">
            <v>TJ2</v>
          </cell>
          <cell r="E657">
            <v>46225</v>
          </cell>
          <cell r="F657" t="str">
            <v>操作工</v>
          </cell>
          <cell r="G657" t="str">
            <v>操作工</v>
          </cell>
          <cell r="H657" t="str">
            <v>12号楼CNC区域</v>
          </cell>
          <cell r="I657" t="str">
            <v>常白</v>
          </cell>
        </row>
        <row r="658">
          <cell r="C658" t="str">
            <v>ALS18082</v>
          </cell>
          <cell r="D658" t="str">
            <v>TJ2</v>
          </cell>
          <cell r="E658">
            <v>46225</v>
          </cell>
          <cell r="F658" t="str">
            <v>操作工</v>
          </cell>
          <cell r="G658" t="str">
            <v>实习生</v>
          </cell>
          <cell r="H658" t="str">
            <v>12号楼CNC区域</v>
          </cell>
          <cell r="I658" t="str">
            <v>常白</v>
          </cell>
        </row>
        <row r="659">
          <cell r="C659" t="str">
            <v>ALS18100</v>
          </cell>
          <cell r="D659" t="str">
            <v>TJ2</v>
          </cell>
          <cell r="E659">
            <v>46225</v>
          </cell>
          <cell r="F659" t="str">
            <v>操作工</v>
          </cell>
          <cell r="G659" t="str">
            <v>实习生</v>
          </cell>
          <cell r="H659" t="str">
            <v>12号楼CNC区域</v>
          </cell>
          <cell r="I659" t="str">
            <v>常白</v>
          </cell>
        </row>
        <row r="660">
          <cell r="C660" t="str">
            <v>ALS18103</v>
          </cell>
          <cell r="D660" t="str">
            <v>TJ2</v>
          </cell>
          <cell r="E660">
            <v>46225</v>
          </cell>
          <cell r="F660" t="str">
            <v>操作工</v>
          </cell>
          <cell r="G660" t="str">
            <v>实习生</v>
          </cell>
          <cell r="H660" t="str">
            <v>12号楼CNC区域</v>
          </cell>
          <cell r="I660" t="str">
            <v>常白</v>
          </cell>
        </row>
        <row r="661">
          <cell r="C661" t="str">
            <v>ALS18104</v>
          </cell>
          <cell r="D661" t="str">
            <v>TJ2</v>
          </cell>
          <cell r="E661">
            <v>46225</v>
          </cell>
          <cell r="F661" t="str">
            <v>操作工</v>
          </cell>
          <cell r="G661" t="str">
            <v>实习生</v>
          </cell>
          <cell r="H661" t="str">
            <v>12号楼CNC区域</v>
          </cell>
          <cell r="I661" t="str">
            <v>常白</v>
          </cell>
        </row>
        <row r="662">
          <cell r="C662" t="str">
            <v>ALS18106</v>
          </cell>
          <cell r="D662" t="str">
            <v>TJ2</v>
          </cell>
          <cell r="E662">
            <v>46225</v>
          </cell>
          <cell r="F662" t="str">
            <v>操作工</v>
          </cell>
          <cell r="G662" t="str">
            <v>实习生</v>
          </cell>
          <cell r="H662" t="str">
            <v>12号楼CNC区域</v>
          </cell>
          <cell r="I662" t="str">
            <v>常白</v>
          </cell>
        </row>
        <row r="663">
          <cell r="C663" t="str">
            <v>ALS18107</v>
          </cell>
          <cell r="D663" t="str">
            <v>TJ2</v>
          </cell>
          <cell r="E663">
            <v>46225</v>
          </cell>
          <cell r="F663" t="str">
            <v>操作工</v>
          </cell>
          <cell r="G663" t="str">
            <v>实习生</v>
          </cell>
          <cell r="H663" t="str">
            <v>12号楼CNC区域</v>
          </cell>
          <cell r="I663" t="str">
            <v>常白</v>
          </cell>
        </row>
        <row r="664">
          <cell r="C664" t="str">
            <v>ALS18108</v>
          </cell>
          <cell r="D664" t="str">
            <v>TJ2</v>
          </cell>
          <cell r="E664">
            <v>46225</v>
          </cell>
          <cell r="F664" t="str">
            <v>操作工</v>
          </cell>
          <cell r="G664" t="str">
            <v>实习生</v>
          </cell>
          <cell r="H664" t="str">
            <v>12号楼CNC区域</v>
          </cell>
          <cell r="I664" t="str">
            <v>常白</v>
          </cell>
        </row>
        <row r="665">
          <cell r="C665" t="str">
            <v>ALS18203</v>
          </cell>
          <cell r="D665" t="str">
            <v>TJ2</v>
          </cell>
          <cell r="E665">
            <v>46232</v>
          </cell>
          <cell r="F665" t="str">
            <v>操作工</v>
          </cell>
          <cell r="G665" t="str">
            <v>实习生</v>
          </cell>
          <cell r="H665" t="str">
            <v>12号楼CNC区域</v>
          </cell>
          <cell r="I665" t="str">
            <v>常白</v>
          </cell>
        </row>
        <row r="666">
          <cell r="C666" t="str">
            <v>ALS18209</v>
          </cell>
          <cell r="D666" t="str">
            <v>TJ2</v>
          </cell>
          <cell r="E666">
            <v>46232</v>
          </cell>
          <cell r="F666" t="str">
            <v>操作工</v>
          </cell>
          <cell r="G666" t="str">
            <v>实习生</v>
          </cell>
          <cell r="H666" t="str">
            <v>12号楼CNC区域</v>
          </cell>
          <cell r="I666" t="str">
            <v>常白</v>
          </cell>
        </row>
        <row r="667">
          <cell r="C667" t="str">
            <v>ALS16117</v>
          </cell>
          <cell r="D667" t="str">
            <v>TJ2</v>
          </cell>
          <cell r="E667">
            <v>46092</v>
          </cell>
          <cell r="F667" t="str">
            <v>车间主任</v>
          </cell>
          <cell r="G667" t="str">
            <v>车间主任</v>
          </cell>
          <cell r="H667" t="str">
            <v>13号楼（12号楼CNC区域委培）</v>
          </cell>
          <cell r="I667" t="str">
            <v>常白</v>
          </cell>
        </row>
        <row r="668">
          <cell r="C668" t="str">
            <v>ALS16324</v>
          </cell>
          <cell r="D668" t="str">
            <v>TJ2</v>
          </cell>
          <cell r="E668">
            <v>46120</v>
          </cell>
          <cell r="F668" t="str">
            <v>班长</v>
          </cell>
          <cell r="G668" t="str">
            <v>班长</v>
          </cell>
          <cell r="H668" t="str">
            <v>13号楼（12号楼CNC区域委培）</v>
          </cell>
          <cell r="I668" t="str">
            <v>常白</v>
          </cell>
        </row>
        <row r="669">
          <cell r="C669" t="str">
            <v>ALS17025</v>
          </cell>
          <cell r="D669" t="str">
            <v>TJ2</v>
          </cell>
          <cell r="E669">
            <v>46176</v>
          </cell>
          <cell r="F669" t="str">
            <v>工程师</v>
          </cell>
          <cell r="G669" t="str">
            <v>工程师</v>
          </cell>
          <cell r="H669" t="str">
            <v>13号楼（12号楼CNC区域委培）</v>
          </cell>
          <cell r="I669" t="str">
            <v>常白</v>
          </cell>
        </row>
        <row r="670">
          <cell r="C670" t="str">
            <v>ALS16557</v>
          </cell>
          <cell r="D670" t="str">
            <v>TJ2</v>
          </cell>
          <cell r="E670">
            <v>46134</v>
          </cell>
          <cell r="F670" t="str">
            <v>助理工程师</v>
          </cell>
          <cell r="G670" t="str">
            <v>助理工程师</v>
          </cell>
          <cell r="H670" t="str">
            <v>13号楼（12号楼CNC区域委培）</v>
          </cell>
          <cell r="I670" t="str">
            <v>常白</v>
          </cell>
        </row>
        <row r="671">
          <cell r="C671" t="str">
            <v>ALS16560</v>
          </cell>
          <cell r="D671" t="str">
            <v>TJ2</v>
          </cell>
          <cell r="E671">
            <v>46134</v>
          </cell>
          <cell r="F671" t="str">
            <v>助理工程师</v>
          </cell>
          <cell r="G671" t="str">
            <v>助理工程师</v>
          </cell>
          <cell r="H671" t="str">
            <v>13号楼（12号楼CNC区域委培）</v>
          </cell>
          <cell r="I671" t="str">
            <v>常白</v>
          </cell>
        </row>
        <row r="672">
          <cell r="C672" t="str">
            <v>ALS16565</v>
          </cell>
          <cell r="D672" t="str">
            <v>TJ2</v>
          </cell>
          <cell r="E672">
            <v>46134</v>
          </cell>
          <cell r="F672" t="str">
            <v>助理工程师</v>
          </cell>
          <cell r="G672" t="str">
            <v>助理工程师</v>
          </cell>
          <cell r="H672" t="str">
            <v>13号楼（12号楼CNC区域委培）</v>
          </cell>
          <cell r="I672" t="str">
            <v>常白</v>
          </cell>
        </row>
        <row r="673">
          <cell r="C673" t="str">
            <v>ALS16596</v>
          </cell>
          <cell r="D673" t="str">
            <v>TJ2</v>
          </cell>
          <cell r="E673">
            <v>46139</v>
          </cell>
          <cell r="F673" t="str">
            <v>助理工程师</v>
          </cell>
          <cell r="G673" t="str">
            <v>助理工程师</v>
          </cell>
          <cell r="H673" t="str">
            <v>13号楼（12号楼CNC区域委培）</v>
          </cell>
          <cell r="I673" t="str">
            <v>常白</v>
          </cell>
        </row>
        <row r="674">
          <cell r="C674" t="str">
            <v>ALS16564</v>
          </cell>
          <cell r="D674" t="str">
            <v>TJ2</v>
          </cell>
          <cell r="E674">
            <v>46139</v>
          </cell>
          <cell r="F674" t="str">
            <v>助理工程师</v>
          </cell>
          <cell r="G674" t="str">
            <v>助理工程师</v>
          </cell>
          <cell r="H674" t="str">
            <v>13号楼（12号楼CNC区域委培）</v>
          </cell>
          <cell r="I674" t="str">
            <v>常白</v>
          </cell>
        </row>
        <row r="675">
          <cell r="C675" t="str">
            <v>ALS17159</v>
          </cell>
          <cell r="D675" t="str">
            <v>TJ2</v>
          </cell>
          <cell r="E675">
            <v>46183</v>
          </cell>
          <cell r="F675" t="str">
            <v>助理工程师</v>
          </cell>
          <cell r="G675" t="str">
            <v>助理工程师</v>
          </cell>
          <cell r="H675" t="str">
            <v>13号楼（12号楼CNC区域委培）</v>
          </cell>
          <cell r="I675" t="str">
            <v>常白</v>
          </cell>
        </row>
        <row r="676">
          <cell r="C676" t="str">
            <v>ALS17160</v>
          </cell>
          <cell r="D676" t="str">
            <v>TJ2</v>
          </cell>
          <cell r="E676">
            <v>46183</v>
          </cell>
          <cell r="F676" t="str">
            <v>助理工程师</v>
          </cell>
          <cell r="G676" t="str">
            <v>助理工程师</v>
          </cell>
          <cell r="H676" t="str">
            <v>13号楼（12号楼CNC区域委培）</v>
          </cell>
          <cell r="I676" t="str">
            <v>常白</v>
          </cell>
        </row>
        <row r="677">
          <cell r="C677" t="str">
            <v>ALS17767</v>
          </cell>
          <cell r="D677" t="str">
            <v>TJ2</v>
          </cell>
          <cell r="E677">
            <v>46204</v>
          </cell>
          <cell r="F677" t="str">
            <v>助理工程师</v>
          </cell>
          <cell r="G677" t="str">
            <v>助理工程师</v>
          </cell>
          <cell r="H677" t="str">
            <v>13号楼（12号楼CNC区域委培）</v>
          </cell>
          <cell r="I677" t="str">
            <v>常白</v>
          </cell>
        </row>
        <row r="678">
          <cell r="C678" t="str">
            <v>ALS17765</v>
          </cell>
          <cell r="D678" t="str">
            <v>TJ2</v>
          </cell>
          <cell r="E678">
            <v>46204</v>
          </cell>
          <cell r="F678" t="str">
            <v>助理工程师</v>
          </cell>
          <cell r="G678" t="str">
            <v>助理工程师</v>
          </cell>
          <cell r="H678" t="str">
            <v>13号楼（12号楼CNC区域委培）</v>
          </cell>
          <cell r="I678" t="str">
            <v>常白</v>
          </cell>
        </row>
        <row r="679">
          <cell r="C679" t="str">
            <v>ALS16621</v>
          </cell>
          <cell r="D679" t="str">
            <v>TJ2</v>
          </cell>
          <cell r="E679">
            <v>46139</v>
          </cell>
          <cell r="F679" t="str">
            <v>助理工程师</v>
          </cell>
          <cell r="G679" t="str">
            <v>助理工程师</v>
          </cell>
          <cell r="H679" t="str">
            <v>13号楼（12号楼CNC区域委培）</v>
          </cell>
          <cell r="I679" t="str">
            <v>常白</v>
          </cell>
        </row>
        <row r="680">
          <cell r="C680" t="str">
            <v>ALS16738</v>
          </cell>
          <cell r="D680" t="str">
            <v>TJ2</v>
          </cell>
          <cell r="E680">
            <v>46155</v>
          </cell>
          <cell r="F680" t="str">
            <v>助理工程师</v>
          </cell>
          <cell r="G680" t="str">
            <v>助理工程师</v>
          </cell>
          <cell r="H680" t="str">
            <v>13号楼（12号楼CNC区域委培）</v>
          </cell>
          <cell r="I680" t="str">
            <v>常白</v>
          </cell>
        </row>
        <row r="681">
          <cell r="C681" t="str">
            <v>ALS18038</v>
          </cell>
          <cell r="D681" t="str">
            <v>TJ2</v>
          </cell>
          <cell r="E681">
            <v>46225</v>
          </cell>
          <cell r="F681" t="str">
            <v>助理工程师</v>
          </cell>
          <cell r="G681" t="str">
            <v>助理工程师</v>
          </cell>
          <cell r="H681" t="str">
            <v>13号楼（12号楼CNC区域委培）</v>
          </cell>
          <cell r="I681" t="str">
            <v>常白</v>
          </cell>
        </row>
        <row r="682">
          <cell r="C682" t="str">
            <v>ALS18046</v>
          </cell>
          <cell r="D682" t="str">
            <v>TJ2</v>
          </cell>
          <cell r="E682">
            <v>46225</v>
          </cell>
          <cell r="F682" t="str">
            <v>助理工程师</v>
          </cell>
          <cell r="G682" t="str">
            <v>助理工程师</v>
          </cell>
          <cell r="H682" t="str">
            <v>13号楼（12号楼CNC区域委培）</v>
          </cell>
          <cell r="I682" t="str">
            <v>常白</v>
          </cell>
        </row>
        <row r="683">
          <cell r="C683" t="str">
            <v>ALS18092</v>
          </cell>
          <cell r="D683" t="str">
            <v>TJ2</v>
          </cell>
          <cell r="E683">
            <v>46232</v>
          </cell>
          <cell r="F683" t="str">
            <v>助理工程师</v>
          </cell>
          <cell r="G683" t="str">
            <v>助理工程师</v>
          </cell>
          <cell r="H683" t="str">
            <v>13号楼（12号楼CNC区域委培）</v>
          </cell>
          <cell r="I683" t="str">
            <v>常白</v>
          </cell>
        </row>
        <row r="684">
          <cell r="C684" t="str">
            <v>ALS18097</v>
          </cell>
          <cell r="D684" t="str">
            <v>TJ2</v>
          </cell>
          <cell r="E684">
            <v>46225</v>
          </cell>
          <cell r="F684" t="str">
            <v>操作工</v>
          </cell>
          <cell r="G684" t="str">
            <v>实习生</v>
          </cell>
          <cell r="H684" t="str">
            <v>13号楼（12号楼CNC区域委培）</v>
          </cell>
          <cell r="I684" t="str">
            <v>常白</v>
          </cell>
        </row>
        <row r="685">
          <cell r="C685" t="str">
            <v>ALS18098</v>
          </cell>
          <cell r="D685" t="str">
            <v>TJ2</v>
          </cell>
          <cell r="E685">
            <v>46225</v>
          </cell>
          <cell r="F685" t="str">
            <v>操作工</v>
          </cell>
          <cell r="G685" t="str">
            <v>实习生</v>
          </cell>
          <cell r="H685" t="str">
            <v>13号楼（12号楼CNC区域委培）</v>
          </cell>
          <cell r="I685" t="str">
            <v>常白</v>
          </cell>
        </row>
        <row r="686">
          <cell r="C686" t="str">
            <v>ALS14214</v>
          </cell>
          <cell r="D686" t="str">
            <v>TJ2</v>
          </cell>
          <cell r="E686">
            <v>45840</v>
          </cell>
          <cell r="F686" t="str">
            <v>车间副主任</v>
          </cell>
          <cell r="G686" t="str">
            <v>车间副主任</v>
          </cell>
          <cell r="H686" t="str">
            <v>12号楼CNC区域</v>
          </cell>
          <cell r="I686" t="str">
            <v>班组</v>
          </cell>
        </row>
        <row r="687">
          <cell r="C687" t="str">
            <v>AMM0513</v>
          </cell>
          <cell r="D687" t="str">
            <v>TJ2</v>
          </cell>
          <cell r="E687">
            <v>43922</v>
          </cell>
          <cell r="F687" t="str">
            <v>助理工程师</v>
          </cell>
          <cell r="G687" t="str">
            <v>助理工程师</v>
          </cell>
          <cell r="H687" t="str">
            <v>12号楼CNC区域</v>
          </cell>
          <cell r="I687" t="str">
            <v>班组</v>
          </cell>
        </row>
        <row r="688">
          <cell r="C688" t="str">
            <v>ALS14730</v>
          </cell>
          <cell r="D688" t="str">
            <v>TJ2</v>
          </cell>
          <cell r="E688">
            <v>45896</v>
          </cell>
          <cell r="F688" t="str">
            <v>助理工程师</v>
          </cell>
          <cell r="G688" t="str">
            <v>助理工程师</v>
          </cell>
          <cell r="H688" t="str">
            <v>12号楼CNC区域</v>
          </cell>
          <cell r="I688" t="str">
            <v>班组</v>
          </cell>
        </row>
        <row r="689">
          <cell r="C689" t="str">
            <v>ALS14763</v>
          </cell>
          <cell r="D689" t="str">
            <v>TJ2</v>
          </cell>
          <cell r="E689">
            <v>45901</v>
          </cell>
          <cell r="F689" t="str">
            <v>助理工程师</v>
          </cell>
          <cell r="G689" t="str">
            <v>助理工程师</v>
          </cell>
          <cell r="H689" t="str">
            <v>12号楼CNC区域</v>
          </cell>
          <cell r="I689" t="str">
            <v>常白</v>
          </cell>
        </row>
        <row r="690">
          <cell r="C690" t="str">
            <v>ALS15471</v>
          </cell>
          <cell r="D690" t="str">
            <v>TJ2</v>
          </cell>
          <cell r="E690">
            <v>45987</v>
          </cell>
          <cell r="F690" t="str">
            <v>助理工程师</v>
          </cell>
          <cell r="G690" t="str">
            <v>助理工程师</v>
          </cell>
          <cell r="H690" t="str">
            <v>12号楼CNC区域</v>
          </cell>
          <cell r="I690" t="str">
            <v>班组</v>
          </cell>
        </row>
        <row r="691">
          <cell r="C691" t="str">
            <v>ALS15473</v>
          </cell>
          <cell r="D691" t="str">
            <v>TJ2</v>
          </cell>
          <cell r="E691">
            <v>45987</v>
          </cell>
          <cell r="F691" t="str">
            <v>助理工程师</v>
          </cell>
          <cell r="G691" t="str">
            <v>助理工程师</v>
          </cell>
          <cell r="H691" t="str">
            <v>12号楼CNC区域</v>
          </cell>
          <cell r="I691" t="str">
            <v>班组</v>
          </cell>
        </row>
        <row r="692">
          <cell r="C692" t="str">
            <v>ALS15559</v>
          </cell>
          <cell r="D692" t="str">
            <v>TJ2</v>
          </cell>
          <cell r="E692">
            <v>45994</v>
          </cell>
          <cell r="F692" t="str">
            <v>助理工程师</v>
          </cell>
          <cell r="G692" t="str">
            <v>助理工程师</v>
          </cell>
          <cell r="H692" t="str">
            <v>12号楼CNC区域</v>
          </cell>
          <cell r="I692" t="str">
            <v>班组</v>
          </cell>
        </row>
        <row r="693">
          <cell r="C693" t="str">
            <v>ALS15730</v>
          </cell>
          <cell r="D693" t="str">
            <v>TJ2</v>
          </cell>
          <cell r="E693">
            <v>46015</v>
          </cell>
          <cell r="F693" t="str">
            <v>助理工程师</v>
          </cell>
          <cell r="G693" t="str">
            <v>助理工程师</v>
          </cell>
          <cell r="H693" t="str">
            <v>12号楼CNC区域</v>
          </cell>
          <cell r="I693" t="str">
            <v>班组</v>
          </cell>
        </row>
        <row r="694">
          <cell r="C694" t="str">
            <v>ALS15789</v>
          </cell>
          <cell r="D694" t="str">
            <v>TJ2</v>
          </cell>
          <cell r="E694">
            <v>46016</v>
          </cell>
          <cell r="F694" t="str">
            <v>助理工程师</v>
          </cell>
          <cell r="G694" t="str">
            <v>助理工程师</v>
          </cell>
          <cell r="H694" t="str">
            <v>12号楼CNC区域</v>
          </cell>
          <cell r="I694" t="str">
            <v>班组</v>
          </cell>
        </row>
        <row r="695">
          <cell r="C695" t="str">
            <v>ALS16254</v>
          </cell>
          <cell r="D695" t="str">
            <v>TJ2</v>
          </cell>
          <cell r="E695">
            <v>46113</v>
          </cell>
          <cell r="F695" t="str">
            <v>助理工程师</v>
          </cell>
          <cell r="G695" t="str">
            <v>助理工程师</v>
          </cell>
          <cell r="H695" t="str">
            <v>12号楼CNC区域</v>
          </cell>
          <cell r="I695" t="str">
            <v>班组</v>
          </cell>
        </row>
        <row r="696">
          <cell r="C696" t="str">
            <v>ALS16257</v>
          </cell>
          <cell r="D696" t="str">
            <v>TJ2</v>
          </cell>
          <cell r="E696">
            <v>46113</v>
          </cell>
          <cell r="F696" t="str">
            <v>助理工程师</v>
          </cell>
          <cell r="G696" t="str">
            <v>助理工程师</v>
          </cell>
          <cell r="H696" t="str">
            <v>12号楼CNC区域</v>
          </cell>
          <cell r="I696" t="str">
            <v>班组</v>
          </cell>
        </row>
        <row r="697">
          <cell r="C697" t="str">
            <v>ALS16258</v>
          </cell>
          <cell r="D697" t="str">
            <v>TJ2</v>
          </cell>
          <cell r="E697">
            <v>46113</v>
          </cell>
          <cell r="F697" t="str">
            <v>助理工程师</v>
          </cell>
          <cell r="G697" t="str">
            <v>助理工程师</v>
          </cell>
          <cell r="H697" t="str">
            <v>12号楼CNC区域</v>
          </cell>
          <cell r="I697" t="str">
            <v>班组</v>
          </cell>
        </row>
        <row r="698">
          <cell r="C698" t="str">
            <v>ALS16513</v>
          </cell>
          <cell r="D698" t="str">
            <v>TJ2</v>
          </cell>
          <cell r="E698">
            <v>46134</v>
          </cell>
          <cell r="F698" t="str">
            <v>助理工程师</v>
          </cell>
          <cell r="G698" t="str">
            <v>助理工程师</v>
          </cell>
          <cell r="H698" t="str">
            <v>12号楼CNC区域</v>
          </cell>
          <cell r="I698" t="str">
            <v>常白</v>
          </cell>
        </row>
        <row r="699">
          <cell r="C699" t="str">
            <v>ALS17568</v>
          </cell>
          <cell r="D699" t="str">
            <v>TJ2</v>
          </cell>
          <cell r="E699">
            <v>46215</v>
          </cell>
          <cell r="F699" t="str">
            <v>助理工程师</v>
          </cell>
          <cell r="G699" t="str">
            <v>助理工程师</v>
          </cell>
          <cell r="H699" t="str">
            <v>12号楼CNC区域</v>
          </cell>
          <cell r="I699" t="str">
            <v>常白</v>
          </cell>
        </row>
        <row r="700">
          <cell r="C700" t="str">
            <v>ALS14673</v>
          </cell>
          <cell r="D700" t="str">
            <v>TJ2</v>
          </cell>
          <cell r="E700">
            <v>45889</v>
          </cell>
          <cell r="F700" t="str">
            <v>操作工</v>
          </cell>
          <cell r="G700" t="str">
            <v>操作工</v>
          </cell>
          <cell r="H700" t="str">
            <v>12号楼CNC区域</v>
          </cell>
          <cell r="I700" t="str">
            <v>班组</v>
          </cell>
        </row>
        <row r="701">
          <cell r="C701" t="str">
            <v>ALS14709</v>
          </cell>
          <cell r="D701" t="str">
            <v>TJ2</v>
          </cell>
          <cell r="E701">
            <v>45896</v>
          </cell>
          <cell r="F701" t="str">
            <v>操作工</v>
          </cell>
          <cell r="G701" t="str">
            <v>操作工</v>
          </cell>
          <cell r="H701" t="str">
            <v>12号楼CNC区域</v>
          </cell>
          <cell r="I701" t="str">
            <v>班组</v>
          </cell>
        </row>
        <row r="702">
          <cell r="C702" t="str">
            <v>ALS14830</v>
          </cell>
          <cell r="D702" t="str">
            <v>TJ2</v>
          </cell>
          <cell r="E702">
            <v>45910</v>
          </cell>
          <cell r="F702" t="str">
            <v>操作工</v>
          </cell>
          <cell r="G702" t="str">
            <v>操作工</v>
          </cell>
          <cell r="H702" t="str">
            <v>12号楼CNC区域</v>
          </cell>
          <cell r="I702" t="str">
            <v>班组</v>
          </cell>
        </row>
        <row r="703">
          <cell r="C703" t="str">
            <v>ADH6967</v>
          </cell>
          <cell r="D703" t="str">
            <v>DH1</v>
          </cell>
          <cell r="E703">
            <v>45940</v>
          </cell>
          <cell r="F703" t="str">
            <v>操作工</v>
          </cell>
          <cell r="G703" t="str">
            <v>操作工</v>
          </cell>
          <cell r="H703" t="str">
            <v>12号楼CNC区域</v>
          </cell>
          <cell r="I703" t="str">
            <v>班组</v>
          </cell>
        </row>
        <row r="704">
          <cell r="C704" t="str">
            <v>ALS16013</v>
          </cell>
          <cell r="D704" t="str">
            <v>TJ2</v>
          </cell>
          <cell r="E704">
            <v>46050</v>
          </cell>
          <cell r="F704" t="str">
            <v>操作工</v>
          </cell>
          <cell r="G704" t="str">
            <v>操作工</v>
          </cell>
          <cell r="H704" t="str">
            <v>12号楼CNC区域</v>
          </cell>
          <cell r="I704" t="str">
            <v>班组</v>
          </cell>
        </row>
        <row r="705">
          <cell r="C705" t="str">
            <v>ALS18036</v>
          </cell>
          <cell r="D705" t="str">
            <v>TJ2</v>
          </cell>
          <cell r="E705">
            <v>46225</v>
          </cell>
          <cell r="F705" t="str">
            <v>助理工程师</v>
          </cell>
          <cell r="G705" t="str">
            <v>助理工程师</v>
          </cell>
          <cell r="H705" t="str">
            <v>13号楼（12号楼CNC区域委培）</v>
          </cell>
          <cell r="I705" t="str">
            <v>常白</v>
          </cell>
        </row>
        <row r="706">
          <cell r="C706" t="str">
            <v>ALS14468</v>
          </cell>
          <cell r="D706" t="str">
            <v>TJ2</v>
          </cell>
          <cell r="E706">
            <v>45861</v>
          </cell>
          <cell r="F706" t="str">
            <v>助理工程师</v>
          </cell>
          <cell r="G706" t="str">
            <v>助理工程师</v>
          </cell>
          <cell r="H706" t="str">
            <v>4号楼（12号楼楼CNC区域委培）</v>
          </cell>
          <cell r="I706" t="str">
            <v>班组</v>
          </cell>
        </row>
        <row r="707">
          <cell r="C707" t="str">
            <v>ALS14244</v>
          </cell>
          <cell r="D707" t="str">
            <v>TJ2</v>
          </cell>
          <cell r="E707">
            <v>45840</v>
          </cell>
          <cell r="F707" t="str">
            <v>操作工</v>
          </cell>
          <cell r="G707" t="str">
            <v>操作工</v>
          </cell>
          <cell r="H707" t="str">
            <v>4号楼（12号楼楼CNC区域委培）</v>
          </cell>
          <cell r="I707" t="str">
            <v>班组</v>
          </cell>
        </row>
        <row r="708">
          <cell r="C708" t="str">
            <v>AMM3993</v>
          </cell>
          <cell r="D708" t="str">
            <v>TJ2</v>
          </cell>
          <cell r="E708">
            <v>41340</v>
          </cell>
          <cell r="F708" t="str">
            <v>班长</v>
          </cell>
          <cell r="G708" t="str">
            <v>班长</v>
          </cell>
          <cell r="H708" t="str">
            <v>12号楼CNC区域</v>
          </cell>
          <cell r="I708" t="str">
            <v>班组</v>
          </cell>
        </row>
        <row r="709">
          <cell r="C709" t="str">
            <v>ALS14604</v>
          </cell>
          <cell r="D709" t="str">
            <v>TJ2</v>
          </cell>
          <cell r="E709">
            <v>45882</v>
          </cell>
          <cell r="F709" t="str">
            <v>助理工程师</v>
          </cell>
          <cell r="G709" t="str">
            <v>助理工程师</v>
          </cell>
          <cell r="H709" t="str">
            <v>12号楼CNC区域</v>
          </cell>
          <cell r="I709" t="str">
            <v>班组</v>
          </cell>
        </row>
        <row r="710">
          <cell r="C710" t="str">
            <v>ALS14608</v>
          </cell>
          <cell r="D710" t="str">
            <v>TJ2</v>
          </cell>
          <cell r="E710">
            <v>45889</v>
          </cell>
          <cell r="F710" t="str">
            <v>助理工程师</v>
          </cell>
          <cell r="G710" t="str">
            <v>助理工程师</v>
          </cell>
          <cell r="H710" t="str">
            <v>12号楼CNC区域</v>
          </cell>
          <cell r="I710" t="str">
            <v>班组</v>
          </cell>
        </row>
        <row r="711">
          <cell r="C711" t="str">
            <v>ALS15222</v>
          </cell>
          <cell r="D711" t="str">
            <v>TJ2</v>
          </cell>
          <cell r="E711">
            <v>45966</v>
          </cell>
          <cell r="F711" t="str">
            <v>助理工程师</v>
          </cell>
          <cell r="G711" t="str">
            <v>助理工程师</v>
          </cell>
          <cell r="H711" t="str">
            <v>12号楼CNC区域</v>
          </cell>
          <cell r="I711" t="str">
            <v>班组</v>
          </cell>
        </row>
        <row r="712">
          <cell r="C712" t="str">
            <v>ALS15608</v>
          </cell>
          <cell r="D712" t="str">
            <v>TJ2</v>
          </cell>
          <cell r="E712">
            <v>46000</v>
          </cell>
          <cell r="F712" t="str">
            <v>助理工程师</v>
          </cell>
          <cell r="G712" t="str">
            <v>助理工程师</v>
          </cell>
          <cell r="H712" t="str">
            <v>12号楼CNC区域</v>
          </cell>
          <cell r="I712" t="str">
            <v>班组</v>
          </cell>
        </row>
        <row r="713">
          <cell r="C713" t="str">
            <v>ALS15696</v>
          </cell>
          <cell r="D713" t="str">
            <v>TJ2</v>
          </cell>
          <cell r="E713">
            <v>46008</v>
          </cell>
          <cell r="F713" t="str">
            <v>助理工程师</v>
          </cell>
          <cell r="G713" t="str">
            <v>助理工程师</v>
          </cell>
          <cell r="H713" t="str">
            <v>12号楼CNC区域</v>
          </cell>
          <cell r="I713" t="str">
            <v>班组</v>
          </cell>
        </row>
        <row r="714">
          <cell r="C714" t="str">
            <v>ALS16347</v>
          </cell>
          <cell r="D714" t="str">
            <v>TJ2</v>
          </cell>
          <cell r="E714">
            <v>46127</v>
          </cell>
          <cell r="F714" t="str">
            <v>助理工程师</v>
          </cell>
          <cell r="G714" t="str">
            <v>助理工程师</v>
          </cell>
          <cell r="H714" t="str">
            <v>12号楼CNC区域</v>
          </cell>
          <cell r="I714" t="str">
            <v>班组</v>
          </cell>
        </row>
        <row r="715">
          <cell r="C715" t="str">
            <v>ALS16508</v>
          </cell>
          <cell r="D715" t="str">
            <v>TJ2</v>
          </cell>
          <cell r="E715">
            <v>46132</v>
          </cell>
          <cell r="F715" t="str">
            <v>助理工程师</v>
          </cell>
          <cell r="G715" t="str">
            <v>助理工程师</v>
          </cell>
          <cell r="H715" t="str">
            <v>12号楼CNC区域</v>
          </cell>
          <cell r="I715" t="str">
            <v>班组</v>
          </cell>
        </row>
        <row r="716">
          <cell r="C716" t="str">
            <v>ALS17429</v>
          </cell>
          <cell r="D716" t="str">
            <v>TJ2</v>
          </cell>
          <cell r="E716">
            <v>46208</v>
          </cell>
          <cell r="F716" t="str">
            <v>助理工程师</v>
          </cell>
          <cell r="G716" t="str">
            <v>助理工程师</v>
          </cell>
          <cell r="H716" t="str">
            <v>12号楼CNC区域</v>
          </cell>
          <cell r="I716" t="str">
            <v>常白</v>
          </cell>
        </row>
        <row r="717">
          <cell r="C717" t="str">
            <v>AMM4084</v>
          </cell>
          <cell r="D717" t="str">
            <v>TJ2</v>
          </cell>
          <cell r="E717">
            <v>45399</v>
          </cell>
          <cell r="F717" t="str">
            <v>操作工</v>
          </cell>
          <cell r="G717" t="str">
            <v>操作工</v>
          </cell>
          <cell r="H717" t="str">
            <v>12号楼CNC区域</v>
          </cell>
          <cell r="I717" t="str">
            <v>班组</v>
          </cell>
        </row>
        <row r="718">
          <cell r="C718" t="str">
            <v>ALS13588</v>
          </cell>
          <cell r="D718" t="str">
            <v>TJ2</v>
          </cell>
          <cell r="E718">
            <v>45600</v>
          </cell>
          <cell r="F718" t="str">
            <v>操作工</v>
          </cell>
          <cell r="G718" t="str">
            <v>操作工</v>
          </cell>
          <cell r="H718" t="str">
            <v>12号楼（验证组委培）</v>
          </cell>
          <cell r="I718" t="str">
            <v>常白</v>
          </cell>
        </row>
        <row r="719">
          <cell r="C719" t="str">
            <v>ALS14310</v>
          </cell>
          <cell r="D719" t="str">
            <v>TJ2</v>
          </cell>
          <cell r="E719">
            <v>45854</v>
          </cell>
          <cell r="F719" t="str">
            <v>操作工</v>
          </cell>
          <cell r="G719" t="str">
            <v>操作工</v>
          </cell>
          <cell r="H719" t="str">
            <v>12号楼CNC区域</v>
          </cell>
          <cell r="I719" t="str">
            <v>班组</v>
          </cell>
        </row>
        <row r="720">
          <cell r="C720" t="str">
            <v>ALS14735</v>
          </cell>
          <cell r="D720" t="str">
            <v>TJ2</v>
          </cell>
          <cell r="E720">
            <v>45896</v>
          </cell>
          <cell r="F720" t="str">
            <v>操作工</v>
          </cell>
          <cell r="G720" t="str">
            <v>操作工</v>
          </cell>
          <cell r="H720" t="str">
            <v>12号楼CNC区域</v>
          </cell>
          <cell r="I720" t="str">
            <v>班组</v>
          </cell>
        </row>
        <row r="721">
          <cell r="C721" t="str">
            <v>ALS16074</v>
          </cell>
          <cell r="D721" t="str">
            <v>TJ2</v>
          </cell>
          <cell r="E721">
            <v>46085</v>
          </cell>
          <cell r="F721" t="str">
            <v>操作工</v>
          </cell>
          <cell r="G721" t="str">
            <v>操作工</v>
          </cell>
          <cell r="H721" t="str">
            <v>12号楼CNC区域</v>
          </cell>
          <cell r="I721" t="str">
            <v>班组</v>
          </cell>
        </row>
        <row r="722">
          <cell r="C722" t="str">
            <v>ALS16445</v>
          </cell>
          <cell r="D722" t="str">
            <v>TJ2</v>
          </cell>
          <cell r="E722">
            <v>46127</v>
          </cell>
          <cell r="F722" t="str">
            <v>操作工</v>
          </cell>
          <cell r="G722" t="str">
            <v>操作工</v>
          </cell>
          <cell r="H722" t="str">
            <v>12号楼CNC区域</v>
          </cell>
          <cell r="I722" t="str">
            <v>班组</v>
          </cell>
        </row>
        <row r="723">
          <cell r="C723" t="str">
            <v>ALS14507</v>
          </cell>
          <cell r="D723" t="str">
            <v>TJ2</v>
          </cell>
          <cell r="E723">
            <v>45868</v>
          </cell>
          <cell r="F723" t="str">
            <v>操作工</v>
          </cell>
          <cell r="G723" t="str">
            <v>操作工</v>
          </cell>
          <cell r="H723" t="str">
            <v>12号楼CNC区域</v>
          </cell>
          <cell r="I723" t="str">
            <v>班组</v>
          </cell>
        </row>
        <row r="724">
          <cell r="C724" t="str">
            <v>ALS16854</v>
          </cell>
          <cell r="D724" t="str">
            <v>TJ2</v>
          </cell>
          <cell r="E724">
            <v>46155</v>
          </cell>
          <cell r="F724" t="str">
            <v>助理工程师</v>
          </cell>
          <cell r="G724" t="str">
            <v>助理工程师</v>
          </cell>
          <cell r="H724" t="str">
            <v>13号楼（12号楼CNC区域委培）</v>
          </cell>
          <cell r="I724" t="str">
            <v>班组</v>
          </cell>
        </row>
        <row r="725">
          <cell r="C725" t="str">
            <v>ALS18043</v>
          </cell>
          <cell r="D725" t="str">
            <v>TJ2</v>
          </cell>
          <cell r="E725">
            <v>46225</v>
          </cell>
          <cell r="F725" t="str">
            <v>助理工程师</v>
          </cell>
          <cell r="G725" t="str">
            <v>助理工程师</v>
          </cell>
          <cell r="H725" t="str">
            <v>13号楼（12号楼CNC区域委培）</v>
          </cell>
          <cell r="I725" t="str">
            <v>常白</v>
          </cell>
        </row>
        <row r="726">
          <cell r="C726" t="str">
            <v>AMM1080</v>
          </cell>
          <cell r="D726" t="str">
            <v>TJ2</v>
          </cell>
          <cell r="E726">
            <v>44307</v>
          </cell>
          <cell r="F726" t="str">
            <v>操作工</v>
          </cell>
          <cell r="G726" t="str">
            <v>操作工</v>
          </cell>
          <cell r="H726" t="str">
            <v>4号楼（12号楼楼CNC区域委培）</v>
          </cell>
          <cell r="I726" t="str">
            <v>班组</v>
          </cell>
        </row>
        <row r="727">
          <cell r="C727" t="str">
            <v>ALS16394</v>
          </cell>
          <cell r="D727" t="str">
            <v>TJ2</v>
          </cell>
          <cell r="E727">
            <v>46125</v>
          </cell>
          <cell r="F727" t="str">
            <v>操作工</v>
          </cell>
          <cell r="G727" t="str">
            <v>操作工</v>
          </cell>
          <cell r="H727" t="str">
            <v>4号楼（12号楼楼CNC区域委培）</v>
          </cell>
          <cell r="I727" t="str">
            <v>班组</v>
          </cell>
        </row>
        <row r="728">
          <cell r="C728" t="str">
            <v>ALS14568</v>
          </cell>
          <cell r="D728" t="str">
            <v>TJ2</v>
          </cell>
          <cell r="E728">
            <v>45875</v>
          </cell>
          <cell r="F728" t="str">
            <v>车间副主任</v>
          </cell>
          <cell r="G728" t="str">
            <v>车间副主任</v>
          </cell>
          <cell r="H728" t="str">
            <v>12号楼CNC区域</v>
          </cell>
          <cell r="I728" t="str">
            <v>班组</v>
          </cell>
        </row>
        <row r="729">
          <cell r="C729" t="str">
            <v>ADH6302</v>
          </cell>
          <cell r="D729" t="str">
            <v>DH1</v>
          </cell>
          <cell r="E729">
            <v>45509</v>
          </cell>
          <cell r="F729" t="str">
            <v>助理工程师</v>
          </cell>
          <cell r="G729" t="str">
            <v>助理工程师</v>
          </cell>
          <cell r="H729" t="str">
            <v>12号楼CNC区域</v>
          </cell>
          <cell r="I729" t="str">
            <v>班组</v>
          </cell>
        </row>
        <row r="730">
          <cell r="C730" t="str">
            <v>ALS13679</v>
          </cell>
          <cell r="D730" t="str">
            <v>TJ2</v>
          </cell>
          <cell r="E730">
            <v>45637</v>
          </cell>
          <cell r="F730" t="str">
            <v>助理工程师</v>
          </cell>
          <cell r="G730" t="str">
            <v>助理工程师</v>
          </cell>
          <cell r="H730" t="str">
            <v>12号楼CNC区域</v>
          </cell>
          <cell r="I730" t="str">
            <v>班组</v>
          </cell>
        </row>
        <row r="731">
          <cell r="C731" t="str">
            <v>ALS14503</v>
          </cell>
          <cell r="D731" t="str">
            <v>TJ2</v>
          </cell>
          <cell r="E731">
            <v>45868</v>
          </cell>
          <cell r="F731" t="str">
            <v>助理工程师</v>
          </cell>
          <cell r="G731" t="str">
            <v>助理工程师</v>
          </cell>
          <cell r="H731" t="str">
            <v>12号楼（验证组委培）</v>
          </cell>
          <cell r="I731" t="str">
            <v>常白</v>
          </cell>
        </row>
        <row r="732">
          <cell r="C732" t="str">
            <v>ALS14700</v>
          </cell>
          <cell r="D732" t="str">
            <v>TJ2</v>
          </cell>
          <cell r="E732">
            <v>45896</v>
          </cell>
          <cell r="F732" t="str">
            <v>助理工程师</v>
          </cell>
          <cell r="G732" t="str">
            <v>助理工程师</v>
          </cell>
          <cell r="H732" t="str">
            <v>12号楼CNC区域</v>
          </cell>
          <cell r="I732" t="str">
            <v>班组</v>
          </cell>
        </row>
        <row r="733">
          <cell r="C733" t="str">
            <v>ALS14729</v>
          </cell>
          <cell r="D733" t="str">
            <v>TJ2</v>
          </cell>
          <cell r="E733">
            <v>45896</v>
          </cell>
          <cell r="F733" t="str">
            <v>助理工程师</v>
          </cell>
          <cell r="G733" t="str">
            <v>助理工程师</v>
          </cell>
          <cell r="H733" t="str">
            <v>12号楼CNC区域</v>
          </cell>
          <cell r="I733" t="str">
            <v>班组</v>
          </cell>
        </row>
        <row r="734">
          <cell r="C734" t="str">
            <v>ALS14672</v>
          </cell>
          <cell r="D734" t="str">
            <v>TJ2</v>
          </cell>
          <cell r="E734">
            <v>45889</v>
          </cell>
          <cell r="F734" t="str">
            <v>助理工程师</v>
          </cell>
          <cell r="G734" t="str">
            <v>助理工程师</v>
          </cell>
          <cell r="H734" t="str">
            <v>12号楼CNC区域</v>
          </cell>
          <cell r="I734" t="str">
            <v>班组</v>
          </cell>
        </row>
        <row r="735">
          <cell r="C735" t="str">
            <v>ALS16018</v>
          </cell>
          <cell r="D735" t="str">
            <v>TJ2</v>
          </cell>
          <cell r="E735">
            <v>46050</v>
          </cell>
          <cell r="F735" t="str">
            <v>助理工程师</v>
          </cell>
          <cell r="G735" t="str">
            <v>助理工程师</v>
          </cell>
          <cell r="H735" t="str">
            <v>12号楼CNC区域</v>
          </cell>
          <cell r="I735" t="str">
            <v>班组</v>
          </cell>
        </row>
        <row r="736">
          <cell r="C736" t="str">
            <v>ALS16510</v>
          </cell>
          <cell r="D736" t="str">
            <v>TJ2</v>
          </cell>
          <cell r="E736">
            <v>46134</v>
          </cell>
          <cell r="F736" t="str">
            <v>助理工程师</v>
          </cell>
          <cell r="G736" t="str">
            <v>助理工程师</v>
          </cell>
          <cell r="H736" t="str">
            <v>12号楼CNC区域</v>
          </cell>
          <cell r="I736" t="str">
            <v>班组</v>
          </cell>
        </row>
        <row r="737">
          <cell r="C737" t="str">
            <v>ALS16515</v>
          </cell>
          <cell r="D737" t="str">
            <v>TJ2</v>
          </cell>
          <cell r="E737">
            <v>46134</v>
          </cell>
          <cell r="F737" t="str">
            <v>助理工程师</v>
          </cell>
          <cell r="G737" t="str">
            <v>助理工程师</v>
          </cell>
          <cell r="H737" t="str">
            <v>12号楼CNC区域</v>
          </cell>
          <cell r="I737" t="str">
            <v>班组</v>
          </cell>
        </row>
        <row r="738">
          <cell r="C738" t="str">
            <v>ALS17437</v>
          </cell>
          <cell r="D738" t="str">
            <v>TJ2</v>
          </cell>
          <cell r="E738">
            <v>46215</v>
          </cell>
          <cell r="F738" t="str">
            <v>助理工程师</v>
          </cell>
          <cell r="G738" t="str">
            <v>助理工程师</v>
          </cell>
          <cell r="H738" t="str">
            <v>12号楼CNC区域</v>
          </cell>
          <cell r="I738" t="str">
            <v>常白</v>
          </cell>
        </row>
        <row r="739">
          <cell r="C739" t="str">
            <v>ALS15764</v>
          </cell>
          <cell r="D739" t="str">
            <v>TJ2</v>
          </cell>
          <cell r="E739">
            <v>46015</v>
          </cell>
          <cell r="F739" t="str">
            <v>操作工</v>
          </cell>
          <cell r="G739" t="str">
            <v>操作工</v>
          </cell>
          <cell r="H739" t="str">
            <v>12号楼CNC区域</v>
          </cell>
          <cell r="I739" t="str">
            <v>班组</v>
          </cell>
        </row>
        <row r="740">
          <cell r="C740" t="str">
            <v>ALS16014</v>
          </cell>
          <cell r="D740" t="str">
            <v>TJ2</v>
          </cell>
          <cell r="E740">
            <v>46050</v>
          </cell>
          <cell r="F740" t="str">
            <v>操作工</v>
          </cell>
          <cell r="G740" t="str">
            <v>操作工</v>
          </cell>
          <cell r="H740" t="str">
            <v>12号楼CNC区域</v>
          </cell>
          <cell r="I740" t="str">
            <v>班组</v>
          </cell>
        </row>
        <row r="741">
          <cell r="C741" t="str">
            <v>ALS16653</v>
          </cell>
          <cell r="D741" t="str">
            <v>TJ2</v>
          </cell>
          <cell r="E741">
            <v>46148</v>
          </cell>
          <cell r="F741" t="str">
            <v>车间副主任</v>
          </cell>
          <cell r="G741" t="str">
            <v>车间副主任</v>
          </cell>
          <cell r="H741" t="str">
            <v>13号楼（12号楼CNC区域委培）</v>
          </cell>
          <cell r="I741" t="str">
            <v>班组</v>
          </cell>
        </row>
        <row r="742">
          <cell r="C742" t="str">
            <v>ALS16597</v>
          </cell>
          <cell r="D742" t="str">
            <v>TJ2</v>
          </cell>
          <cell r="E742">
            <v>46139</v>
          </cell>
          <cell r="F742" t="str">
            <v>助理工程师</v>
          </cell>
          <cell r="G742" t="str">
            <v>助理工程师</v>
          </cell>
          <cell r="H742" t="str">
            <v>13号楼（12号楼CNC区域委培）</v>
          </cell>
          <cell r="I742" t="str">
            <v>常白</v>
          </cell>
        </row>
        <row r="743">
          <cell r="C743" t="str">
            <v>ALS16619</v>
          </cell>
          <cell r="D743" t="str">
            <v>TJ2</v>
          </cell>
          <cell r="E743">
            <v>46139</v>
          </cell>
          <cell r="F743" t="str">
            <v>助理工程师</v>
          </cell>
          <cell r="G743" t="str">
            <v>助理工程师</v>
          </cell>
          <cell r="H743" t="str">
            <v>13号楼（12号楼CNC区域委培）</v>
          </cell>
          <cell r="I743" t="str">
            <v>班组</v>
          </cell>
        </row>
        <row r="744">
          <cell r="C744" t="str">
            <v>ALS17600</v>
          </cell>
          <cell r="D744" t="str">
            <v>TJ2</v>
          </cell>
          <cell r="E744">
            <v>46197</v>
          </cell>
          <cell r="F744" t="str">
            <v>助理工程师</v>
          </cell>
          <cell r="G744" t="str">
            <v>助理工程师</v>
          </cell>
          <cell r="H744" t="str">
            <v>13号楼（12号楼CNC区域委培）</v>
          </cell>
          <cell r="I744" t="str">
            <v>班组</v>
          </cell>
        </row>
        <row r="745">
          <cell r="C745" t="str">
            <v>ALS17599</v>
          </cell>
          <cell r="D745" t="str">
            <v>TJ2</v>
          </cell>
          <cell r="E745">
            <v>46197</v>
          </cell>
          <cell r="F745" t="str">
            <v>助理工程师</v>
          </cell>
          <cell r="G745" t="str">
            <v>助理工程师</v>
          </cell>
          <cell r="H745" t="str">
            <v>13号楼（12号楼CNC区域委培）</v>
          </cell>
          <cell r="I745" t="str">
            <v>班组</v>
          </cell>
        </row>
        <row r="746">
          <cell r="C746" t="str">
            <v>ALS18045</v>
          </cell>
          <cell r="D746" t="str">
            <v>TJ2</v>
          </cell>
          <cell r="E746">
            <v>46225</v>
          </cell>
          <cell r="F746" t="str">
            <v>操作工</v>
          </cell>
          <cell r="G746" t="str">
            <v>操作工</v>
          </cell>
          <cell r="H746" t="str">
            <v>13号楼（12号楼CNC区域委培）</v>
          </cell>
          <cell r="I746" t="str">
            <v>常白</v>
          </cell>
        </row>
        <row r="747">
          <cell r="C747" t="str">
            <v>ALS14504</v>
          </cell>
          <cell r="D747" t="str">
            <v>TJ2</v>
          </cell>
          <cell r="E747">
            <v>45868</v>
          </cell>
          <cell r="F747" t="str">
            <v>助理工程师</v>
          </cell>
          <cell r="G747" t="str">
            <v>助理工程师</v>
          </cell>
          <cell r="H747" t="str">
            <v>4号楼（12号楼楼CNC区域委培）</v>
          </cell>
          <cell r="I747" t="str">
            <v>班组</v>
          </cell>
        </row>
        <row r="748">
          <cell r="C748" t="str">
            <v>ALS14424</v>
          </cell>
          <cell r="D748" t="str">
            <v>TJ2</v>
          </cell>
          <cell r="E748">
            <v>45854</v>
          </cell>
          <cell r="F748" t="str">
            <v>操作工</v>
          </cell>
          <cell r="G748" t="str">
            <v>操作工</v>
          </cell>
          <cell r="H748" t="str">
            <v>4号楼（12号楼楼CNC区域委培）</v>
          </cell>
          <cell r="I748" t="str">
            <v>班组</v>
          </cell>
        </row>
        <row r="749">
          <cell r="C749" t="str">
            <v>ALS14566</v>
          </cell>
          <cell r="D749" t="str">
            <v>TJ2</v>
          </cell>
          <cell r="E749">
            <v>45875</v>
          </cell>
          <cell r="F749" t="str">
            <v>班长</v>
          </cell>
          <cell r="G749" t="str">
            <v>班长</v>
          </cell>
          <cell r="H749" t="str">
            <v>12号楼CNC区域</v>
          </cell>
          <cell r="I749" t="str">
            <v>班组</v>
          </cell>
        </row>
        <row r="750">
          <cell r="C750" t="str">
            <v>AMM3115</v>
          </cell>
          <cell r="D750" t="str">
            <v>TJ2</v>
          </cell>
          <cell r="E750">
            <v>44706</v>
          </cell>
          <cell r="F750" t="str">
            <v>助理工程师</v>
          </cell>
          <cell r="G750" t="str">
            <v>助理工程师</v>
          </cell>
          <cell r="H750" t="str">
            <v>12号楼CNC区域</v>
          </cell>
          <cell r="I750" t="str">
            <v>班组</v>
          </cell>
        </row>
        <row r="751">
          <cell r="C751" t="str">
            <v>ADH5609</v>
          </cell>
          <cell r="D751" t="str">
            <v>TJ2</v>
          </cell>
          <cell r="E751">
            <v>45139</v>
          </cell>
          <cell r="F751" t="str">
            <v>助理工程师</v>
          </cell>
          <cell r="G751" t="str">
            <v>助理工程师</v>
          </cell>
          <cell r="H751" t="str">
            <v>12号楼CNC区域</v>
          </cell>
          <cell r="I751" t="str">
            <v>班组</v>
          </cell>
        </row>
        <row r="752">
          <cell r="C752" t="str">
            <v>ALS13121</v>
          </cell>
          <cell r="D752" t="str">
            <v>TJ2</v>
          </cell>
          <cell r="E752">
            <v>45483</v>
          </cell>
          <cell r="F752" t="str">
            <v>助理工程师</v>
          </cell>
          <cell r="G752" t="str">
            <v>助理工程师</v>
          </cell>
          <cell r="H752" t="str">
            <v>12号楼CNC区域</v>
          </cell>
          <cell r="I752" t="str">
            <v>班组</v>
          </cell>
        </row>
        <row r="753">
          <cell r="C753" t="str">
            <v>ALS14319</v>
          </cell>
          <cell r="D753" t="str">
            <v>TJ2</v>
          </cell>
          <cell r="E753">
            <v>45847</v>
          </cell>
          <cell r="F753" t="str">
            <v>助理工程师</v>
          </cell>
          <cell r="G753" t="str">
            <v>助理工程师</v>
          </cell>
          <cell r="H753" t="str">
            <v>12号楼CNC区域</v>
          </cell>
          <cell r="I753" t="str">
            <v>常白</v>
          </cell>
        </row>
        <row r="754">
          <cell r="C754" t="str">
            <v>ALS15864</v>
          </cell>
          <cell r="D754" t="str">
            <v>TJ2</v>
          </cell>
          <cell r="E754">
            <v>46029</v>
          </cell>
          <cell r="F754" t="str">
            <v>助理工程师</v>
          </cell>
          <cell r="G754" t="str">
            <v>助理工程师</v>
          </cell>
          <cell r="H754" t="str">
            <v>12号楼CNC区域</v>
          </cell>
          <cell r="I754" t="str">
            <v>班组</v>
          </cell>
        </row>
        <row r="755">
          <cell r="C755" t="str">
            <v>ALS16403</v>
          </cell>
          <cell r="D755" t="str">
            <v>TJ2</v>
          </cell>
          <cell r="E755">
            <v>46127</v>
          </cell>
          <cell r="F755" t="str">
            <v>助理工程师</v>
          </cell>
          <cell r="G755" t="str">
            <v>助理工程师</v>
          </cell>
          <cell r="H755" t="str">
            <v>12号楼CNC区域</v>
          </cell>
          <cell r="I755" t="str">
            <v>班组</v>
          </cell>
        </row>
        <row r="756">
          <cell r="C756" t="str">
            <v>ALS16418</v>
          </cell>
          <cell r="D756" t="str">
            <v>TJ2</v>
          </cell>
          <cell r="E756">
            <v>46127</v>
          </cell>
          <cell r="F756" t="str">
            <v>助理工程师</v>
          </cell>
          <cell r="G756" t="str">
            <v>助理工程师</v>
          </cell>
          <cell r="H756" t="str">
            <v>12号楼CNC区域</v>
          </cell>
          <cell r="I756" t="str">
            <v>班组</v>
          </cell>
        </row>
        <row r="757">
          <cell r="C757" t="str">
            <v>ALS16480</v>
          </cell>
          <cell r="D757" t="str">
            <v>TJ2</v>
          </cell>
          <cell r="E757">
            <v>46132</v>
          </cell>
          <cell r="F757" t="str">
            <v>助理工程师</v>
          </cell>
          <cell r="G757" t="str">
            <v>助理工程师</v>
          </cell>
          <cell r="H757" t="str">
            <v>12号楼CNC区域</v>
          </cell>
          <cell r="I757" t="str">
            <v>班组</v>
          </cell>
        </row>
        <row r="758">
          <cell r="C758" t="str">
            <v>ALS17439</v>
          </cell>
          <cell r="D758" t="str">
            <v>TJ2</v>
          </cell>
          <cell r="E758">
            <v>46215</v>
          </cell>
          <cell r="F758" t="str">
            <v>助理工程师</v>
          </cell>
          <cell r="G758" t="str">
            <v>助理工程师</v>
          </cell>
          <cell r="H758" t="str">
            <v>12号楼CNC区域</v>
          </cell>
          <cell r="I758" t="str">
            <v>常白</v>
          </cell>
        </row>
        <row r="759">
          <cell r="C759" t="str">
            <v>BDH0550</v>
          </cell>
          <cell r="D759" t="str">
            <v>TJ2</v>
          </cell>
          <cell r="E759">
            <v>44463</v>
          </cell>
          <cell r="F759" t="str">
            <v>操作工</v>
          </cell>
          <cell r="G759" t="str">
            <v>操作工</v>
          </cell>
          <cell r="H759" t="str">
            <v>12号楼CNC区域</v>
          </cell>
          <cell r="I759" t="str">
            <v>班组</v>
          </cell>
        </row>
        <row r="760">
          <cell r="C760" t="str">
            <v>ALS14416</v>
          </cell>
          <cell r="D760" t="str">
            <v>TJ2</v>
          </cell>
          <cell r="E760">
            <v>45854</v>
          </cell>
          <cell r="F760" t="str">
            <v>操作工</v>
          </cell>
          <cell r="G760" t="str">
            <v>操作工</v>
          </cell>
          <cell r="H760" t="str">
            <v>12号楼CNC区域</v>
          </cell>
          <cell r="I760" t="str">
            <v>常白</v>
          </cell>
        </row>
        <row r="761">
          <cell r="C761" t="str">
            <v>ALS14612</v>
          </cell>
          <cell r="D761" t="str">
            <v>TJ2</v>
          </cell>
          <cell r="E761">
            <v>45882</v>
          </cell>
          <cell r="F761" t="str">
            <v>操作工</v>
          </cell>
          <cell r="G761" t="str">
            <v>操作工</v>
          </cell>
          <cell r="H761" t="str">
            <v>12号楼CNC区域</v>
          </cell>
          <cell r="I761" t="str">
            <v>班组</v>
          </cell>
        </row>
        <row r="762">
          <cell r="C762" t="str">
            <v>ALS14738</v>
          </cell>
          <cell r="D762" t="str">
            <v>TJ2</v>
          </cell>
          <cell r="E762">
            <v>45896</v>
          </cell>
          <cell r="F762" t="str">
            <v>操作工</v>
          </cell>
          <cell r="G762" t="str">
            <v>操作工</v>
          </cell>
          <cell r="H762" t="str">
            <v>12号楼CNC区域</v>
          </cell>
          <cell r="I762" t="str">
            <v>班组</v>
          </cell>
        </row>
        <row r="763">
          <cell r="C763" t="str">
            <v>ALS14745</v>
          </cell>
          <cell r="D763" t="str">
            <v>TJ2</v>
          </cell>
          <cell r="E763">
            <v>45908</v>
          </cell>
          <cell r="F763" t="str">
            <v>操作工</v>
          </cell>
          <cell r="G763" t="str">
            <v>操作工</v>
          </cell>
          <cell r="H763" t="str">
            <v>12号楼CNC区域</v>
          </cell>
          <cell r="I763" t="str">
            <v>班组</v>
          </cell>
        </row>
        <row r="764">
          <cell r="C764" t="str">
            <v>ALS16823</v>
          </cell>
          <cell r="D764" t="str">
            <v>TJ2</v>
          </cell>
          <cell r="E764">
            <v>46155</v>
          </cell>
          <cell r="F764" t="str">
            <v>操作工</v>
          </cell>
          <cell r="G764" t="str">
            <v>操作工</v>
          </cell>
          <cell r="H764" t="str">
            <v>13号楼（12号楼CNC区域委培）</v>
          </cell>
          <cell r="I764" t="str">
            <v>班组</v>
          </cell>
        </row>
        <row r="765">
          <cell r="C765" t="str">
            <v>ALS18037</v>
          </cell>
          <cell r="D765" t="str">
            <v>TJ2</v>
          </cell>
          <cell r="E765">
            <v>46225</v>
          </cell>
          <cell r="F765" t="str">
            <v>操作工</v>
          </cell>
          <cell r="G765" t="str">
            <v>操作工</v>
          </cell>
          <cell r="H765" t="str">
            <v>13号楼（12号楼CNC区域委培）</v>
          </cell>
          <cell r="I765" t="str">
            <v>常白</v>
          </cell>
        </row>
        <row r="766">
          <cell r="C766" t="str">
            <v>ALS14237</v>
          </cell>
          <cell r="D766" t="str">
            <v>TJ2</v>
          </cell>
          <cell r="E766">
            <v>45840</v>
          </cell>
          <cell r="F766" t="str">
            <v>助理工程师</v>
          </cell>
          <cell r="G766" t="str">
            <v>助理工程师</v>
          </cell>
          <cell r="H766" t="str">
            <v>4号楼（12号楼楼CNC区域委培）</v>
          </cell>
          <cell r="I766" t="str">
            <v>班组</v>
          </cell>
        </row>
        <row r="767">
          <cell r="C767" t="str">
            <v>ALS14422</v>
          </cell>
          <cell r="D767" t="str">
            <v>TJ2</v>
          </cell>
          <cell r="E767">
            <v>45854</v>
          </cell>
          <cell r="F767" t="str">
            <v>助理工程师</v>
          </cell>
          <cell r="G767" t="str">
            <v>助理工程师</v>
          </cell>
          <cell r="H767" t="str">
            <v>4号楼（12号楼楼CNC区域委培）</v>
          </cell>
          <cell r="I767" t="str">
            <v>班组</v>
          </cell>
        </row>
        <row r="768">
          <cell r="C768" t="str">
            <v>AMT0033</v>
          </cell>
          <cell r="D768" t="str">
            <v>TJ2</v>
          </cell>
          <cell r="E768">
            <v>43579</v>
          </cell>
          <cell r="F768" t="str">
            <v>工艺副主管</v>
          </cell>
          <cell r="G768" t="str">
            <v>工艺副主管</v>
          </cell>
          <cell r="H768" t="str">
            <v>12号楼中试</v>
          </cell>
          <cell r="I768" t="str">
            <v>项目组</v>
          </cell>
        </row>
        <row r="769">
          <cell r="C769" t="str">
            <v>ALS8427</v>
          </cell>
          <cell r="D769" t="str">
            <v>TJ2</v>
          </cell>
          <cell r="E769">
            <v>44467</v>
          </cell>
          <cell r="F769" t="str">
            <v>工艺副主管</v>
          </cell>
          <cell r="G769" t="str">
            <v>工艺副主管</v>
          </cell>
          <cell r="H769" t="str">
            <v>12号楼中试</v>
          </cell>
          <cell r="I769" t="str">
            <v>项目组</v>
          </cell>
        </row>
        <row r="770">
          <cell r="C770" t="str">
            <v>ALS17715</v>
          </cell>
          <cell r="D770" t="str">
            <v>TJ2</v>
          </cell>
          <cell r="E770">
            <v>46206</v>
          </cell>
          <cell r="F770" t="str">
            <v>工程师</v>
          </cell>
          <cell r="G770" t="str">
            <v>工程师</v>
          </cell>
          <cell r="H770" t="str">
            <v>12号楼中试</v>
          </cell>
          <cell r="I770" t="str">
            <v>项目组</v>
          </cell>
        </row>
        <row r="771">
          <cell r="C771" t="str">
            <v>ALS13607</v>
          </cell>
          <cell r="D771" t="str">
            <v>TJ2</v>
          </cell>
          <cell r="E771">
            <v>45607</v>
          </cell>
          <cell r="F771" t="str">
            <v>助理工程师</v>
          </cell>
          <cell r="G771" t="str">
            <v>助理工程师</v>
          </cell>
          <cell r="H771" t="str">
            <v>12号楼中试</v>
          </cell>
          <cell r="I771" t="str">
            <v>项目组</v>
          </cell>
        </row>
        <row r="772">
          <cell r="C772" t="str">
            <v>ALS14635</v>
          </cell>
          <cell r="D772" t="str">
            <v>TJ2</v>
          </cell>
          <cell r="E772">
            <v>45882</v>
          </cell>
          <cell r="F772" t="str">
            <v>助理工程师</v>
          </cell>
          <cell r="G772" t="str">
            <v>助理工程师</v>
          </cell>
          <cell r="H772" t="str">
            <v>12号楼中试</v>
          </cell>
          <cell r="I772" t="str">
            <v>项目组</v>
          </cell>
        </row>
        <row r="773">
          <cell r="C773" t="str">
            <v>ALS15221</v>
          </cell>
          <cell r="D773" t="str">
            <v>TJ2</v>
          </cell>
          <cell r="E773">
            <v>45966</v>
          </cell>
          <cell r="F773" t="str">
            <v>助理工程师</v>
          </cell>
          <cell r="G773" t="str">
            <v>助理工程师</v>
          </cell>
          <cell r="H773" t="str">
            <v>12号楼中试</v>
          </cell>
          <cell r="I773" t="str">
            <v>项目组</v>
          </cell>
        </row>
        <row r="774">
          <cell r="C774" t="str">
            <v>ALS16460</v>
          </cell>
          <cell r="D774" t="str">
            <v>TJ2</v>
          </cell>
          <cell r="E774">
            <v>46127</v>
          </cell>
          <cell r="F774" t="str">
            <v>助理工程师</v>
          </cell>
          <cell r="G774" t="str">
            <v>助理工程师</v>
          </cell>
          <cell r="H774" t="str">
            <v>12号楼中试</v>
          </cell>
          <cell r="I774" t="str">
            <v>项目组</v>
          </cell>
        </row>
        <row r="775">
          <cell r="C775" t="str">
            <v>ALS17513</v>
          </cell>
          <cell r="D775" t="str">
            <v>TJ2</v>
          </cell>
          <cell r="E775">
            <v>46197</v>
          </cell>
          <cell r="F775" t="str">
            <v>工程师</v>
          </cell>
          <cell r="G775" t="str">
            <v>工程师</v>
          </cell>
          <cell r="H775" t="str">
            <v>13号楼（12号楼中试委培）</v>
          </cell>
          <cell r="I775" t="str">
            <v>项目组</v>
          </cell>
        </row>
        <row r="776">
          <cell r="C776" t="str">
            <v>ALS17347</v>
          </cell>
          <cell r="D776" t="str">
            <v>TJ2</v>
          </cell>
          <cell r="E776">
            <v>46208</v>
          </cell>
          <cell r="F776" t="str">
            <v>工程师</v>
          </cell>
          <cell r="G776" t="str">
            <v>工程师</v>
          </cell>
          <cell r="H776" t="str">
            <v>13号楼（12号楼中试委培）</v>
          </cell>
          <cell r="I776" t="str">
            <v>项目组</v>
          </cell>
        </row>
        <row r="777">
          <cell r="C777" t="str">
            <v>ALS17332</v>
          </cell>
          <cell r="D777" t="str">
            <v>TJ2</v>
          </cell>
          <cell r="E777">
            <v>46208</v>
          </cell>
          <cell r="F777" t="str">
            <v>工程师</v>
          </cell>
          <cell r="G777" t="str">
            <v>工程师</v>
          </cell>
          <cell r="H777" t="str">
            <v>13号楼（12号楼中试委培）</v>
          </cell>
          <cell r="I777" t="str">
            <v>项目组</v>
          </cell>
        </row>
        <row r="778">
          <cell r="C778" t="str">
            <v>AMM2395</v>
          </cell>
          <cell r="D778" t="str">
            <v>TJ2</v>
          </cell>
          <cell r="E778">
            <v>44760</v>
          </cell>
          <cell r="F778" t="str">
            <v>助理工程师</v>
          </cell>
          <cell r="G778" t="str">
            <v>助理工程师</v>
          </cell>
          <cell r="H778" t="str">
            <v>12号楼中试</v>
          </cell>
          <cell r="I778" t="str">
            <v>项目组倒班</v>
          </cell>
        </row>
        <row r="779">
          <cell r="C779" t="str">
            <v>ALS15249</v>
          </cell>
          <cell r="D779" t="str">
            <v>TJ2</v>
          </cell>
          <cell r="E779">
            <v>45971</v>
          </cell>
          <cell r="F779" t="str">
            <v>助理工程师</v>
          </cell>
          <cell r="G779" t="str">
            <v>助理工程师</v>
          </cell>
          <cell r="H779" t="str">
            <v>12号楼中试</v>
          </cell>
          <cell r="I779" t="str">
            <v>项目组倒班</v>
          </cell>
        </row>
        <row r="780">
          <cell r="C780" t="str">
            <v>ALS16417</v>
          </cell>
          <cell r="D780" t="str">
            <v>TJ2</v>
          </cell>
          <cell r="E780">
            <v>46127</v>
          </cell>
          <cell r="F780" t="str">
            <v>助理工程师</v>
          </cell>
          <cell r="G780" t="str">
            <v>助理工程师</v>
          </cell>
          <cell r="H780" t="str">
            <v>12号楼中试</v>
          </cell>
          <cell r="I780" t="str">
            <v>项目组倒班</v>
          </cell>
        </row>
        <row r="781">
          <cell r="C781" t="str">
            <v>ALS10159</v>
          </cell>
          <cell r="D781" t="str">
            <v>TJ2</v>
          </cell>
          <cell r="E781">
            <v>44755</v>
          </cell>
          <cell r="F781" t="str">
            <v>车间主任</v>
          </cell>
          <cell r="G781" t="str">
            <v>车间主任</v>
          </cell>
          <cell r="H781" t="str">
            <v>12号楼D级区域</v>
          </cell>
          <cell r="I781" t="str">
            <v>常白</v>
          </cell>
        </row>
        <row r="782">
          <cell r="C782" t="str">
            <v>ALS16992</v>
          </cell>
          <cell r="D782" t="str">
            <v>TJ2</v>
          </cell>
          <cell r="E782">
            <v>46169</v>
          </cell>
          <cell r="F782" t="str">
            <v>车间主任</v>
          </cell>
          <cell r="G782" t="str">
            <v>车间主任</v>
          </cell>
          <cell r="H782" t="str">
            <v>12号楼D级区域</v>
          </cell>
          <cell r="I782" t="str">
            <v>常白</v>
          </cell>
        </row>
        <row r="783">
          <cell r="C783" t="str">
            <v>ALS15044</v>
          </cell>
          <cell r="D783" t="str">
            <v>TJ2</v>
          </cell>
          <cell r="E783">
            <v>45950</v>
          </cell>
          <cell r="F783" t="str">
            <v>车间副主任</v>
          </cell>
          <cell r="G783" t="str">
            <v>车间副主任</v>
          </cell>
          <cell r="H783" t="str">
            <v>12号楼D级区域</v>
          </cell>
          <cell r="I783" t="str">
            <v>常白</v>
          </cell>
        </row>
        <row r="784">
          <cell r="C784" t="str">
            <v>ALS15096</v>
          </cell>
          <cell r="D784" t="str">
            <v>TJ2</v>
          </cell>
          <cell r="E784">
            <v>45957</v>
          </cell>
          <cell r="F784" t="str">
            <v>车间副主任</v>
          </cell>
          <cell r="G784" t="str">
            <v>车间副主任</v>
          </cell>
          <cell r="H784" t="str">
            <v>12号楼D级区域</v>
          </cell>
          <cell r="I784" t="str">
            <v>常白</v>
          </cell>
        </row>
        <row r="785">
          <cell r="C785" t="str">
            <v>ALS18316</v>
          </cell>
          <cell r="D785" t="str">
            <v>TJ2</v>
          </cell>
          <cell r="E785">
            <v>46253</v>
          </cell>
          <cell r="F785" t="str">
            <v>车间副主任</v>
          </cell>
          <cell r="G785" t="str">
            <v>车间副主任</v>
          </cell>
          <cell r="H785" t="str">
            <v>12号楼D级区域</v>
          </cell>
          <cell r="I785" t="str">
            <v>常白</v>
          </cell>
        </row>
        <row r="786">
          <cell r="C786" t="str">
            <v>ACT2289</v>
          </cell>
          <cell r="D786" t="str">
            <v>TJ2</v>
          </cell>
          <cell r="E786">
            <v>41758</v>
          </cell>
          <cell r="F786" t="str">
            <v>工艺高级主管</v>
          </cell>
          <cell r="G786" t="str">
            <v>工艺高级主管</v>
          </cell>
          <cell r="H786" t="str">
            <v>12号楼D级区域</v>
          </cell>
          <cell r="I786" t="str">
            <v>项目组</v>
          </cell>
        </row>
        <row r="787">
          <cell r="C787" t="str">
            <v>ALS2629</v>
          </cell>
          <cell r="D787" t="str">
            <v>TJ2</v>
          </cell>
          <cell r="E787">
            <v>42270</v>
          </cell>
          <cell r="F787" t="str">
            <v>工艺主管</v>
          </cell>
          <cell r="G787" t="str">
            <v>工艺主管</v>
          </cell>
          <cell r="H787" t="str">
            <v>12号楼D级区域</v>
          </cell>
          <cell r="I787" t="str">
            <v>项目组</v>
          </cell>
        </row>
        <row r="788">
          <cell r="C788" t="str">
            <v>ALS12992</v>
          </cell>
          <cell r="D788" t="str">
            <v>TJ2</v>
          </cell>
          <cell r="E788">
            <v>45462</v>
          </cell>
          <cell r="F788" t="str">
            <v>工艺副主管</v>
          </cell>
          <cell r="G788" t="str">
            <v>工艺副主管</v>
          </cell>
          <cell r="H788" t="str">
            <v>12号楼D级区域</v>
          </cell>
          <cell r="I788" t="str">
            <v>项目组</v>
          </cell>
        </row>
        <row r="789">
          <cell r="C789" t="str">
            <v>AMM3426</v>
          </cell>
          <cell r="D789" t="str">
            <v>TJ2</v>
          </cell>
          <cell r="E789">
            <v>45138</v>
          </cell>
          <cell r="F789" t="str">
            <v>工艺组长</v>
          </cell>
          <cell r="G789" t="str">
            <v>工艺组长</v>
          </cell>
          <cell r="H789" t="str">
            <v>12号楼D级区域</v>
          </cell>
          <cell r="I789" t="str">
            <v>项目组</v>
          </cell>
        </row>
        <row r="790">
          <cell r="C790" t="str">
            <v>ALS13220</v>
          </cell>
          <cell r="D790" t="str">
            <v>TJ2</v>
          </cell>
          <cell r="E790">
            <v>45525</v>
          </cell>
          <cell r="F790" t="str">
            <v>工艺组长</v>
          </cell>
          <cell r="G790" t="str">
            <v>工艺组长</v>
          </cell>
          <cell r="H790" t="str">
            <v>12号楼D级区域</v>
          </cell>
          <cell r="I790" t="str">
            <v>项目组</v>
          </cell>
        </row>
        <row r="791">
          <cell r="C791" t="str">
            <v>ALS16859</v>
          </cell>
          <cell r="D791" t="str">
            <v>TJ2</v>
          </cell>
          <cell r="E791">
            <v>46160</v>
          </cell>
          <cell r="F791" t="str">
            <v>工艺组长</v>
          </cell>
          <cell r="G791" t="str">
            <v>工艺组长</v>
          </cell>
          <cell r="H791" t="str">
            <v>12号楼D级区域</v>
          </cell>
          <cell r="I791" t="str">
            <v>项目组</v>
          </cell>
        </row>
        <row r="792">
          <cell r="C792" t="str">
            <v>ABT0628</v>
          </cell>
          <cell r="D792" t="str">
            <v>CSBT</v>
          </cell>
          <cell r="E792">
            <v>45847</v>
          </cell>
          <cell r="F792" t="str">
            <v>工程师</v>
          </cell>
          <cell r="G792" t="str">
            <v>工程师</v>
          </cell>
          <cell r="H792" t="str">
            <v>12号楼D级区域</v>
          </cell>
          <cell r="I792" t="str">
            <v>项目组</v>
          </cell>
        </row>
        <row r="793">
          <cell r="C793" t="str">
            <v>ALS16211</v>
          </cell>
          <cell r="D793" t="str">
            <v>TJ2</v>
          </cell>
          <cell r="E793">
            <v>46111</v>
          </cell>
          <cell r="F793" t="str">
            <v>助理工程师</v>
          </cell>
          <cell r="G793" t="str">
            <v>助理工程师</v>
          </cell>
          <cell r="H793" t="str">
            <v>12号楼D级区域</v>
          </cell>
          <cell r="I793" t="str">
            <v>项目组</v>
          </cell>
        </row>
        <row r="794">
          <cell r="C794" t="str">
            <v>ALS17391</v>
          </cell>
          <cell r="D794" t="str">
            <v>TJ2</v>
          </cell>
          <cell r="E794">
            <v>46208</v>
          </cell>
          <cell r="F794" t="str">
            <v>助理工程师</v>
          </cell>
          <cell r="G794" t="str">
            <v>助理工程师</v>
          </cell>
          <cell r="H794" t="str">
            <v>12号楼D级区域</v>
          </cell>
          <cell r="I794" t="str">
            <v>项目组</v>
          </cell>
        </row>
        <row r="795">
          <cell r="C795" t="str">
            <v>ALS17334</v>
          </cell>
          <cell r="D795" t="str">
            <v>TJ2</v>
          </cell>
          <cell r="E795">
            <v>46215</v>
          </cell>
          <cell r="F795" t="str">
            <v>工程师</v>
          </cell>
          <cell r="G795" t="str">
            <v>工程师</v>
          </cell>
          <cell r="H795" t="str">
            <v>13号楼（12号楼D级区域委培）</v>
          </cell>
          <cell r="I795" t="str">
            <v>项目组</v>
          </cell>
        </row>
        <row r="796">
          <cell r="C796" t="str">
            <v>BDH0403</v>
          </cell>
          <cell r="D796" t="str">
            <v>DH2</v>
          </cell>
          <cell r="E796">
            <v>44151</v>
          </cell>
          <cell r="F796" t="str">
            <v>工程师</v>
          </cell>
          <cell r="G796" t="str">
            <v>工程师</v>
          </cell>
          <cell r="H796" t="str">
            <v>12号楼D级区域</v>
          </cell>
          <cell r="I796" t="str">
            <v>包装</v>
          </cell>
        </row>
        <row r="797">
          <cell r="C797" t="str">
            <v>ALS15438</v>
          </cell>
          <cell r="D797" t="str">
            <v>TJ2</v>
          </cell>
          <cell r="E797">
            <v>45987</v>
          </cell>
          <cell r="F797" t="str">
            <v>助理工程师</v>
          </cell>
          <cell r="G797" t="str">
            <v>助理工程师</v>
          </cell>
          <cell r="H797" t="str">
            <v>12号楼D级区域</v>
          </cell>
          <cell r="I797" t="str">
            <v>包装</v>
          </cell>
        </row>
        <row r="798">
          <cell r="C798" t="str">
            <v>ALS16462</v>
          </cell>
          <cell r="D798" t="str">
            <v>TJ2</v>
          </cell>
          <cell r="E798">
            <v>46127</v>
          </cell>
          <cell r="F798" t="str">
            <v>助理工程师</v>
          </cell>
          <cell r="G798" t="str">
            <v>助理工程师</v>
          </cell>
          <cell r="H798" t="str">
            <v>12号楼D级区域</v>
          </cell>
          <cell r="I798" t="str">
            <v>包装</v>
          </cell>
        </row>
        <row r="799">
          <cell r="C799" t="str">
            <v>ALS14564</v>
          </cell>
          <cell r="D799" t="str">
            <v>TJ2</v>
          </cell>
          <cell r="E799">
            <v>45875</v>
          </cell>
          <cell r="F799" t="str">
            <v>助理工程师</v>
          </cell>
          <cell r="G799" t="str">
            <v>助理工程师</v>
          </cell>
          <cell r="H799" t="str">
            <v>12号楼D级区域</v>
          </cell>
          <cell r="I799" t="str">
            <v>常白</v>
          </cell>
        </row>
        <row r="800">
          <cell r="C800" t="str">
            <v>ALS15128</v>
          </cell>
          <cell r="D800" t="str">
            <v>TJ2</v>
          </cell>
          <cell r="E800">
            <v>45959</v>
          </cell>
          <cell r="F800" t="str">
            <v>助理工程师</v>
          </cell>
          <cell r="G800" t="str">
            <v>助理工程师</v>
          </cell>
          <cell r="H800" t="str">
            <v>12号楼D级区域</v>
          </cell>
          <cell r="I800" t="str">
            <v>常白</v>
          </cell>
        </row>
        <row r="801">
          <cell r="C801" t="str">
            <v>ALS15647</v>
          </cell>
          <cell r="D801" t="str">
            <v>TJ2</v>
          </cell>
          <cell r="E801">
            <v>46001</v>
          </cell>
          <cell r="F801" t="str">
            <v>助理工程师</v>
          </cell>
          <cell r="G801" t="str">
            <v>助理工程师</v>
          </cell>
          <cell r="H801" t="str">
            <v>12号楼D级区域</v>
          </cell>
          <cell r="I801" t="str">
            <v>常白</v>
          </cell>
        </row>
        <row r="802">
          <cell r="C802" t="str">
            <v>ALS16440</v>
          </cell>
          <cell r="D802" t="str">
            <v>TJ2</v>
          </cell>
          <cell r="E802">
            <v>46127</v>
          </cell>
          <cell r="F802" t="str">
            <v>助理工程师</v>
          </cell>
          <cell r="G802" t="str">
            <v>助理工程师</v>
          </cell>
          <cell r="H802" t="str">
            <v>12号楼D级区域</v>
          </cell>
          <cell r="I802" t="str">
            <v>常白</v>
          </cell>
        </row>
        <row r="803">
          <cell r="C803" t="str">
            <v>AMM0732</v>
          </cell>
          <cell r="D803" t="str">
            <v>TJ3</v>
          </cell>
          <cell r="E803">
            <v>44118</v>
          </cell>
          <cell r="F803" t="str">
            <v>助理工程师</v>
          </cell>
          <cell r="G803" t="str">
            <v>助理工程师</v>
          </cell>
          <cell r="H803" t="str">
            <v>12号楼D级区域</v>
          </cell>
          <cell r="I803" t="str">
            <v>常白</v>
          </cell>
        </row>
        <row r="804">
          <cell r="C804" t="str">
            <v>AMM0730</v>
          </cell>
          <cell r="D804" t="str">
            <v>TJ3</v>
          </cell>
          <cell r="E804">
            <v>44118</v>
          </cell>
          <cell r="F804" t="str">
            <v>助理工程师</v>
          </cell>
          <cell r="G804" t="str">
            <v>助理工程师</v>
          </cell>
          <cell r="H804" t="str">
            <v>12号楼D级区域</v>
          </cell>
          <cell r="I804" t="str">
            <v>常白</v>
          </cell>
        </row>
        <row r="805">
          <cell r="C805" t="str">
            <v>AMM1677</v>
          </cell>
          <cell r="D805" t="str">
            <v>TJ3</v>
          </cell>
          <cell r="E805">
            <v>44524</v>
          </cell>
          <cell r="F805" t="str">
            <v>助理工程师</v>
          </cell>
          <cell r="G805" t="str">
            <v>助理工程师</v>
          </cell>
          <cell r="H805" t="str">
            <v>12号楼D级区域</v>
          </cell>
          <cell r="I805" t="str">
            <v>常白</v>
          </cell>
        </row>
        <row r="806">
          <cell r="C806" t="str">
            <v>AMM4321</v>
          </cell>
          <cell r="D806" t="str">
            <v>TJ3</v>
          </cell>
          <cell r="E806">
            <v>45476</v>
          </cell>
          <cell r="F806" t="str">
            <v>助理工程师</v>
          </cell>
          <cell r="G806" t="str">
            <v>助理工程师</v>
          </cell>
          <cell r="H806" t="str">
            <v>12号楼D级区域</v>
          </cell>
          <cell r="I806" t="str">
            <v>常白</v>
          </cell>
        </row>
        <row r="807">
          <cell r="C807" t="str">
            <v>AMM4344</v>
          </cell>
          <cell r="D807" t="str">
            <v>TJ3</v>
          </cell>
          <cell r="E807">
            <v>45483</v>
          </cell>
          <cell r="F807" t="str">
            <v>助理工程师</v>
          </cell>
          <cell r="G807" t="str">
            <v>助理工程师</v>
          </cell>
          <cell r="H807" t="str">
            <v>12号楼D级区域</v>
          </cell>
          <cell r="I807" t="str">
            <v>常白</v>
          </cell>
        </row>
        <row r="808">
          <cell r="C808" t="str">
            <v>ALS15566</v>
          </cell>
          <cell r="D808" t="str">
            <v>TJ2</v>
          </cell>
          <cell r="E808">
            <v>45994</v>
          </cell>
          <cell r="F808" t="str">
            <v>操作工</v>
          </cell>
          <cell r="G808" t="str">
            <v>操作工</v>
          </cell>
          <cell r="H808" t="str">
            <v>12号楼D级区域</v>
          </cell>
          <cell r="I808" t="str">
            <v>常白</v>
          </cell>
        </row>
        <row r="809">
          <cell r="C809" t="str">
            <v>AMM0744</v>
          </cell>
          <cell r="D809" t="str">
            <v>TJ3</v>
          </cell>
          <cell r="E809">
            <v>44118</v>
          </cell>
          <cell r="F809" t="str">
            <v>操作工</v>
          </cell>
          <cell r="G809" t="str">
            <v>操作工</v>
          </cell>
          <cell r="H809" t="str">
            <v>12号楼D级区域</v>
          </cell>
          <cell r="I809" t="str">
            <v>常白</v>
          </cell>
        </row>
        <row r="810">
          <cell r="C810" t="str">
            <v>AMM0967</v>
          </cell>
          <cell r="D810" t="str">
            <v>TJ3</v>
          </cell>
          <cell r="E810">
            <v>44272</v>
          </cell>
          <cell r="F810" t="str">
            <v>操作工</v>
          </cell>
          <cell r="G810" t="str">
            <v>操作工</v>
          </cell>
          <cell r="H810" t="str">
            <v>12号楼D级区域</v>
          </cell>
          <cell r="I810" t="str">
            <v>常白</v>
          </cell>
        </row>
        <row r="811">
          <cell r="C811" t="str">
            <v>AMM3741</v>
          </cell>
          <cell r="D811" t="str">
            <v>TJ3</v>
          </cell>
          <cell r="E811">
            <v>45236</v>
          </cell>
          <cell r="F811" t="str">
            <v>操作工</v>
          </cell>
          <cell r="G811" t="str">
            <v>操作工</v>
          </cell>
          <cell r="H811" t="str">
            <v>12号楼D级区域</v>
          </cell>
          <cell r="I811" t="str">
            <v>常白</v>
          </cell>
        </row>
        <row r="812">
          <cell r="C812" t="str">
            <v>AMM4243</v>
          </cell>
          <cell r="D812" t="str">
            <v>TJ3</v>
          </cell>
          <cell r="E812">
            <v>45455</v>
          </cell>
          <cell r="F812" t="str">
            <v>操作工</v>
          </cell>
          <cell r="G812" t="str">
            <v>操作工</v>
          </cell>
          <cell r="H812" t="str">
            <v>12号楼D级区域</v>
          </cell>
          <cell r="I812" t="str">
            <v>常白</v>
          </cell>
        </row>
        <row r="813">
          <cell r="C813" t="str">
            <v>AMM4723</v>
          </cell>
          <cell r="D813" t="str">
            <v>TJ3</v>
          </cell>
          <cell r="E813">
            <v>45805</v>
          </cell>
          <cell r="F813" t="str">
            <v>操作工</v>
          </cell>
          <cell r="G813" t="str">
            <v>操作工</v>
          </cell>
          <cell r="H813" t="str">
            <v>12号楼D级区域</v>
          </cell>
          <cell r="I813" t="str">
            <v>常白</v>
          </cell>
        </row>
        <row r="814">
          <cell r="C814" t="str">
            <v>ALS16768</v>
          </cell>
          <cell r="D814" t="str">
            <v>TJ2</v>
          </cell>
          <cell r="E814">
            <v>46153</v>
          </cell>
          <cell r="F814" t="str">
            <v>助理工程师</v>
          </cell>
          <cell r="G814" t="str">
            <v>助理工程师</v>
          </cell>
          <cell r="H814" t="str">
            <v>13号楼（12号楼D级区域委培）</v>
          </cell>
          <cell r="I814" t="str">
            <v>常白</v>
          </cell>
        </row>
        <row r="815">
          <cell r="C815" t="str">
            <v>ALS17125</v>
          </cell>
          <cell r="D815" t="str">
            <v>TJ2</v>
          </cell>
          <cell r="E815">
            <v>46188</v>
          </cell>
          <cell r="F815" t="str">
            <v>助理工程师</v>
          </cell>
          <cell r="G815" t="str">
            <v>助理工程师</v>
          </cell>
          <cell r="H815" t="str">
            <v>13号楼（12号楼D级区域委培）</v>
          </cell>
          <cell r="I815" t="str">
            <v>常白</v>
          </cell>
        </row>
        <row r="816">
          <cell r="C816" t="str">
            <v>ALS14987</v>
          </cell>
          <cell r="D816" t="str">
            <v>TJ2</v>
          </cell>
          <cell r="E816">
            <v>45943</v>
          </cell>
          <cell r="F816" t="str">
            <v>班长</v>
          </cell>
          <cell r="G816" t="str">
            <v>班长</v>
          </cell>
          <cell r="H816" t="str">
            <v>12号楼D级区域</v>
          </cell>
          <cell r="I816" t="str">
            <v>班组</v>
          </cell>
        </row>
        <row r="817">
          <cell r="C817" t="str">
            <v>ALS14728</v>
          </cell>
          <cell r="D817" t="str">
            <v>TJ2</v>
          </cell>
          <cell r="E817">
            <v>45896</v>
          </cell>
          <cell r="F817" t="str">
            <v>助理工程师</v>
          </cell>
          <cell r="G817" t="str">
            <v>助理工程师</v>
          </cell>
          <cell r="H817" t="str">
            <v>12号楼D级区域</v>
          </cell>
          <cell r="I817" t="str">
            <v>班组</v>
          </cell>
        </row>
        <row r="818">
          <cell r="C818" t="str">
            <v>ALS14731</v>
          </cell>
          <cell r="D818" t="str">
            <v>TJ2</v>
          </cell>
          <cell r="E818">
            <v>45896</v>
          </cell>
          <cell r="F818" t="str">
            <v>助理工程师</v>
          </cell>
          <cell r="G818" t="str">
            <v>助理工程师</v>
          </cell>
          <cell r="H818" t="str">
            <v>12号楼D级区域</v>
          </cell>
          <cell r="I818" t="str">
            <v>班组</v>
          </cell>
        </row>
        <row r="819">
          <cell r="C819" t="str">
            <v>ALS15556</v>
          </cell>
          <cell r="D819" t="str">
            <v>TJ2</v>
          </cell>
          <cell r="E819">
            <v>45994</v>
          </cell>
          <cell r="F819" t="str">
            <v>助理工程师</v>
          </cell>
          <cell r="G819" t="str">
            <v>助理工程师</v>
          </cell>
          <cell r="H819" t="str">
            <v>12号楼D级区域</v>
          </cell>
          <cell r="I819" t="str">
            <v>班组</v>
          </cell>
        </row>
        <row r="820">
          <cell r="C820" t="str">
            <v>ALS17418</v>
          </cell>
          <cell r="D820" t="str">
            <v>TJ2</v>
          </cell>
          <cell r="E820">
            <v>46208</v>
          </cell>
          <cell r="F820" t="str">
            <v>助理工程师</v>
          </cell>
          <cell r="G820" t="str">
            <v>助理工程师</v>
          </cell>
          <cell r="H820" t="str">
            <v>12号楼D级区域</v>
          </cell>
          <cell r="I820" t="str">
            <v>班组</v>
          </cell>
        </row>
        <row r="821">
          <cell r="C821" t="str">
            <v>ALS18077</v>
          </cell>
          <cell r="D821" t="str">
            <v>TJ2</v>
          </cell>
          <cell r="E821">
            <v>46225</v>
          </cell>
          <cell r="F821" t="str">
            <v>助理工程师</v>
          </cell>
          <cell r="G821" t="str">
            <v>助理工程师</v>
          </cell>
          <cell r="H821" t="str">
            <v>12号楼D级区域</v>
          </cell>
          <cell r="I821" t="str">
            <v>班组</v>
          </cell>
        </row>
        <row r="822">
          <cell r="C822" t="str">
            <v>ADH6965</v>
          </cell>
          <cell r="D822" t="str">
            <v>DH1</v>
          </cell>
          <cell r="E822">
            <v>45940</v>
          </cell>
          <cell r="F822" t="str">
            <v>操作工</v>
          </cell>
          <cell r="G822" t="str">
            <v>操作工</v>
          </cell>
          <cell r="H822" t="str">
            <v>12号楼D级区域</v>
          </cell>
          <cell r="I822" t="str">
            <v>班组</v>
          </cell>
        </row>
        <row r="823">
          <cell r="C823" t="str">
            <v>ALS17164</v>
          </cell>
          <cell r="D823" t="str">
            <v>TJ2</v>
          </cell>
          <cell r="E823">
            <v>46183</v>
          </cell>
          <cell r="F823" t="str">
            <v>班长</v>
          </cell>
          <cell r="G823" t="str">
            <v>班长</v>
          </cell>
          <cell r="H823" t="str">
            <v>13号楼（12号楼D级区域委培）</v>
          </cell>
          <cell r="I823" t="str">
            <v>班组</v>
          </cell>
        </row>
        <row r="824">
          <cell r="C824" t="str">
            <v>ALS16858</v>
          </cell>
          <cell r="D824" t="str">
            <v>TJ2</v>
          </cell>
          <cell r="E824">
            <v>46155</v>
          </cell>
          <cell r="F824" t="str">
            <v>助理工程师</v>
          </cell>
          <cell r="G824" t="str">
            <v>助理工程师</v>
          </cell>
          <cell r="H824" t="str">
            <v>13号楼（12号楼D级区域委培）</v>
          </cell>
          <cell r="I824" t="str">
            <v>班组</v>
          </cell>
        </row>
        <row r="825">
          <cell r="C825" t="str">
            <v>ALS16849</v>
          </cell>
          <cell r="D825" t="str">
            <v>TJ2</v>
          </cell>
          <cell r="E825">
            <v>46155</v>
          </cell>
          <cell r="F825" t="str">
            <v>助理工程师</v>
          </cell>
          <cell r="G825" t="str">
            <v>助理工程师</v>
          </cell>
          <cell r="H825" t="str">
            <v>13号楼（12号楼D级区域委培）</v>
          </cell>
          <cell r="I825" t="str">
            <v>班组</v>
          </cell>
        </row>
        <row r="826">
          <cell r="C826" t="str">
            <v>ALS16563</v>
          </cell>
          <cell r="D826" t="str">
            <v>TJ2</v>
          </cell>
          <cell r="E826">
            <v>46134</v>
          </cell>
          <cell r="F826" t="str">
            <v>助理工程师</v>
          </cell>
          <cell r="G826" t="str">
            <v>助理工程师</v>
          </cell>
          <cell r="H826" t="str">
            <v>13号楼（12号楼D级区域委培）</v>
          </cell>
          <cell r="I826" t="str">
            <v>班组</v>
          </cell>
        </row>
        <row r="827">
          <cell r="C827" t="str">
            <v>ALS14828</v>
          </cell>
          <cell r="D827" t="str">
            <v>TJ2</v>
          </cell>
          <cell r="E827">
            <v>45910</v>
          </cell>
          <cell r="F827" t="str">
            <v>助理工程师</v>
          </cell>
          <cell r="G827" t="str">
            <v>助理工程师</v>
          </cell>
          <cell r="H827" t="str">
            <v>12号楼D级区域</v>
          </cell>
          <cell r="I827" t="str">
            <v>班组</v>
          </cell>
        </row>
        <row r="828">
          <cell r="C828" t="str">
            <v>ALS17345</v>
          </cell>
          <cell r="D828" t="str">
            <v>TJ2</v>
          </cell>
          <cell r="E828">
            <v>46208</v>
          </cell>
          <cell r="F828" t="str">
            <v>工程师</v>
          </cell>
          <cell r="G828" t="str">
            <v>工程师</v>
          </cell>
          <cell r="H828" t="str">
            <v>12号楼D级区域</v>
          </cell>
          <cell r="I828" t="str">
            <v>班组</v>
          </cell>
        </row>
        <row r="829">
          <cell r="C829" t="str">
            <v>ALS15127</v>
          </cell>
          <cell r="D829" t="str">
            <v>TJ2</v>
          </cell>
          <cell r="E829">
            <v>45959</v>
          </cell>
          <cell r="F829" t="str">
            <v>助理工程师</v>
          </cell>
          <cell r="G829" t="str">
            <v>助理工程师</v>
          </cell>
          <cell r="H829" t="str">
            <v>12号楼D级区域</v>
          </cell>
          <cell r="I829" t="str">
            <v>班组</v>
          </cell>
        </row>
        <row r="830">
          <cell r="C830" t="str">
            <v>ALS15415</v>
          </cell>
          <cell r="D830" t="str">
            <v>TJ2</v>
          </cell>
          <cell r="E830">
            <v>45985</v>
          </cell>
          <cell r="F830" t="str">
            <v>助理工程师</v>
          </cell>
          <cell r="G830" t="str">
            <v>助理工程师</v>
          </cell>
          <cell r="H830" t="str">
            <v>12号楼D级区域</v>
          </cell>
          <cell r="I830" t="str">
            <v>班组</v>
          </cell>
        </row>
        <row r="831">
          <cell r="C831" t="str">
            <v>ALS15469</v>
          </cell>
          <cell r="D831" t="str">
            <v>TJ2</v>
          </cell>
          <cell r="E831">
            <v>45987</v>
          </cell>
          <cell r="F831" t="str">
            <v>助理工程师</v>
          </cell>
          <cell r="G831" t="str">
            <v>助理工程师</v>
          </cell>
          <cell r="H831" t="str">
            <v>12号楼D级区域</v>
          </cell>
          <cell r="I831" t="str">
            <v>班组</v>
          </cell>
        </row>
        <row r="832">
          <cell r="C832" t="str">
            <v>ALS16302</v>
          </cell>
          <cell r="D832" t="str">
            <v>TJ2</v>
          </cell>
          <cell r="E832">
            <v>46127</v>
          </cell>
          <cell r="F832" t="str">
            <v>助理工程师</v>
          </cell>
          <cell r="G832" t="str">
            <v>助理工程师</v>
          </cell>
          <cell r="H832" t="str">
            <v>12号楼D级区域</v>
          </cell>
          <cell r="I832" t="str">
            <v>班组</v>
          </cell>
        </row>
        <row r="833">
          <cell r="C833" t="str">
            <v>ALS16303</v>
          </cell>
          <cell r="D833" t="str">
            <v>TJ2</v>
          </cell>
          <cell r="E833">
            <v>46127</v>
          </cell>
          <cell r="F833" t="str">
            <v>助理工程师</v>
          </cell>
          <cell r="G833" t="str">
            <v>助理工程师</v>
          </cell>
          <cell r="H833" t="str">
            <v>12号楼D级区域</v>
          </cell>
          <cell r="I833" t="str">
            <v>班组</v>
          </cell>
        </row>
        <row r="834">
          <cell r="C834" t="str">
            <v>ALS16402</v>
          </cell>
          <cell r="D834" t="str">
            <v>TJ2</v>
          </cell>
          <cell r="E834">
            <v>46127</v>
          </cell>
          <cell r="F834" t="str">
            <v>助理工程师</v>
          </cell>
          <cell r="G834" t="str">
            <v>助理工程师</v>
          </cell>
          <cell r="H834" t="str">
            <v>12号楼D级区域</v>
          </cell>
          <cell r="I834" t="str">
            <v>班组</v>
          </cell>
        </row>
        <row r="835">
          <cell r="C835" t="str">
            <v>ALS17428</v>
          </cell>
          <cell r="D835" t="str">
            <v>TJ2</v>
          </cell>
          <cell r="E835">
            <v>46208</v>
          </cell>
          <cell r="F835" t="str">
            <v>助理工程师</v>
          </cell>
          <cell r="G835" t="str">
            <v>助理工程师</v>
          </cell>
          <cell r="H835" t="str">
            <v>12号楼D级区域</v>
          </cell>
          <cell r="I835" t="str">
            <v>班组</v>
          </cell>
        </row>
        <row r="836">
          <cell r="C836" t="str">
            <v>ALS16836</v>
          </cell>
          <cell r="D836" t="str">
            <v>TJ2</v>
          </cell>
          <cell r="E836">
            <v>46155</v>
          </cell>
          <cell r="F836" t="str">
            <v>助理工程师</v>
          </cell>
          <cell r="G836" t="str">
            <v>助理工程师</v>
          </cell>
          <cell r="H836" t="str">
            <v>13号楼（12号楼D级区域委培）</v>
          </cell>
          <cell r="I836" t="str">
            <v>班组</v>
          </cell>
        </row>
        <row r="837">
          <cell r="C837" t="str">
            <v>ALS14311</v>
          </cell>
          <cell r="D837" t="str">
            <v>TJ2</v>
          </cell>
          <cell r="E837">
            <v>45847</v>
          </cell>
          <cell r="F837" t="str">
            <v>操作工</v>
          </cell>
          <cell r="G837" t="str">
            <v>操作工</v>
          </cell>
          <cell r="H837" t="str">
            <v>12号楼D级区域</v>
          </cell>
          <cell r="I837" t="str">
            <v>班组</v>
          </cell>
        </row>
        <row r="838">
          <cell r="C838" t="str">
            <v>AMM4275</v>
          </cell>
          <cell r="D838" t="str">
            <v>TJ3</v>
          </cell>
          <cell r="E838">
            <v>45462</v>
          </cell>
          <cell r="F838" t="str">
            <v>助理工程师</v>
          </cell>
          <cell r="G838" t="str">
            <v>助理工程师</v>
          </cell>
          <cell r="H838" t="str">
            <v>12号楼D级区域</v>
          </cell>
          <cell r="I838" t="str">
            <v>班组</v>
          </cell>
        </row>
        <row r="839">
          <cell r="C839" t="str">
            <v>AMM4287</v>
          </cell>
          <cell r="D839" t="str">
            <v>TJ2</v>
          </cell>
          <cell r="E839">
            <v>45469</v>
          </cell>
          <cell r="F839" t="str">
            <v>助理工程师</v>
          </cell>
          <cell r="G839" t="str">
            <v>助理工程师</v>
          </cell>
          <cell r="H839" t="str">
            <v>12号楼D级区域</v>
          </cell>
          <cell r="I839" t="str">
            <v>班组</v>
          </cell>
        </row>
        <row r="840">
          <cell r="C840" t="str">
            <v>ALS14764</v>
          </cell>
          <cell r="D840" t="str">
            <v>TJ2</v>
          </cell>
          <cell r="E840">
            <v>45901</v>
          </cell>
          <cell r="F840" t="str">
            <v>助理工程师</v>
          </cell>
          <cell r="G840" t="str">
            <v>助理工程师</v>
          </cell>
          <cell r="H840" t="str">
            <v>12号楼D级区域</v>
          </cell>
          <cell r="I840" t="str">
            <v>班组</v>
          </cell>
        </row>
        <row r="841">
          <cell r="C841" t="str">
            <v>ALS17620</v>
          </cell>
          <cell r="D841" t="str">
            <v>TJ2</v>
          </cell>
          <cell r="E841">
            <v>46197</v>
          </cell>
          <cell r="F841" t="str">
            <v>助理工程师</v>
          </cell>
          <cell r="G841" t="str">
            <v>助理工程师</v>
          </cell>
          <cell r="H841" t="str">
            <v>12号楼D级区域</v>
          </cell>
          <cell r="I841" t="str">
            <v>班组</v>
          </cell>
        </row>
        <row r="842">
          <cell r="C842" t="str">
            <v>ALS17431</v>
          </cell>
          <cell r="D842" t="str">
            <v>TJ2</v>
          </cell>
          <cell r="E842">
            <v>46208</v>
          </cell>
          <cell r="F842" t="str">
            <v>助理工程师</v>
          </cell>
          <cell r="G842" t="str">
            <v>助理工程师</v>
          </cell>
          <cell r="H842" t="str">
            <v>12号楼D级区域</v>
          </cell>
          <cell r="I842" t="str">
            <v>班组</v>
          </cell>
        </row>
        <row r="843">
          <cell r="C843" t="str">
            <v>AMM2550</v>
          </cell>
          <cell r="D843" t="str">
            <v>TJ3</v>
          </cell>
          <cell r="E843">
            <v>45014</v>
          </cell>
          <cell r="F843" t="str">
            <v>操作工</v>
          </cell>
          <cell r="G843" t="str">
            <v>操作工</v>
          </cell>
          <cell r="H843" t="str">
            <v>12号楼D级区域</v>
          </cell>
          <cell r="I843" t="str">
            <v>班组</v>
          </cell>
        </row>
        <row r="844">
          <cell r="C844" t="str">
            <v>ALS14506</v>
          </cell>
          <cell r="D844" t="str">
            <v>TJ2</v>
          </cell>
          <cell r="E844">
            <v>45868</v>
          </cell>
          <cell r="F844" t="str">
            <v>操作工</v>
          </cell>
          <cell r="G844" t="str">
            <v>操作工</v>
          </cell>
          <cell r="H844" t="str">
            <v>12号楼D级区域</v>
          </cell>
          <cell r="I844" t="str">
            <v>班组</v>
          </cell>
        </row>
        <row r="845">
          <cell r="C845" t="str">
            <v>ALS17592</v>
          </cell>
          <cell r="D845" t="str">
            <v>TJ2</v>
          </cell>
          <cell r="E845">
            <v>46197</v>
          </cell>
          <cell r="F845" t="str">
            <v>操作工</v>
          </cell>
          <cell r="G845" t="str">
            <v>实习生</v>
          </cell>
          <cell r="H845" t="str">
            <v>12号楼D级区域</v>
          </cell>
          <cell r="I845" t="str">
            <v>班组</v>
          </cell>
        </row>
        <row r="846">
          <cell r="C846" t="str">
            <v>ALS16845</v>
          </cell>
          <cell r="D846" t="str">
            <v>TJ2</v>
          </cell>
          <cell r="E846">
            <v>46155</v>
          </cell>
          <cell r="F846" t="str">
            <v>助理工程师</v>
          </cell>
          <cell r="G846" t="str">
            <v>助理工程师</v>
          </cell>
          <cell r="H846" t="str">
            <v>13号楼（12号楼D级区域委培）</v>
          </cell>
          <cell r="I846" t="str">
            <v>班组</v>
          </cell>
        </row>
        <row r="847">
          <cell r="C847" t="str">
            <v>ALS14774</v>
          </cell>
          <cell r="D847" t="str">
            <v>TJ2</v>
          </cell>
          <cell r="E847">
            <v>45903</v>
          </cell>
          <cell r="F847" t="str">
            <v>车间副主任</v>
          </cell>
          <cell r="G847" t="str">
            <v>车间副主任</v>
          </cell>
          <cell r="H847" t="str">
            <v>12号楼D级区域</v>
          </cell>
          <cell r="I847" t="str">
            <v>班组</v>
          </cell>
        </row>
        <row r="848">
          <cell r="C848" t="str">
            <v>AMM4231</v>
          </cell>
          <cell r="D848" t="str">
            <v>TJ3</v>
          </cell>
          <cell r="E848">
            <v>45448</v>
          </cell>
          <cell r="F848" t="str">
            <v>助理工程师</v>
          </cell>
          <cell r="G848" t="str">
            <v>助理工程师</v>
          </cell>
          <cell r="H848" t="str">
            <v>12号楼D级区域</v>
          </cell>
          <cell r="I848" t="str">
            <v>班组</v>
          </cell>
        </row>
        <row r="849">
          <cell r="C849" t="str">
            <v>ADH6203</v>
          </cell>
          <cell r="D849" t="str">
            <v>DH1</v>
          </cell>
          <cell r="E849">
            <v>45475</v>
          </cell>
          <cell r="F849" t="str">
            <v>助理工程师</v>
          </cell>
          <cell r="G849" t="str">
            <v>助理工程师</v>
          </cell>
          <cell r="H849" t="str">
            <v>12号楼D级区域</v>
          </cell>
          <cell r="I849" t="str">
            <v>班组</v>
          </cell>
        </row>
        <row r="850">
          <cell r="C850" t="str">
            <v>ALS14825</v>
          </cell>
          <cell r="D850" t="str">
            <v>TJ2</v>
          </cell>
          <cell r="E850">
            <v>45910</v>
          </cell>
          <cell r="F850" t="str">
            <v>助理工程师</v>
          </cell>
          <cell r="G850" t="str">
            <v>助理工程师</v>
          </cell>
          <cell r="H850" t="str">
            <v>12号楼D级区域</v>
          </cell>
          <cell r="I850" t="str">
            <v>班组</v>
          </cell>
        </row>
        <row r="851">
          <cell r="C851" t="str">
            <v>ALS17619</v>
          </cell>
          <cell r="D851" t="str">
            <v>TJ2</v>
          </cell>
          <cell r="E851">
            <v>46197</v>
          </cell>
          <cell r="F851" t="str">
            <v>助理工程师</v>
          </cell>
          <cell r="G851" t="str">
            <v>助理工程师</v>
          </cell>
          <cell r="H851" t="str">
            <v>12号楼D级区域</v>
          </cell>
          <cell r="I851" t="str">
            <v>班组</v>
          </cell>
        </row>
        <row r="852">
          <cell r="C852" t="str">
            <v>ALS17375</v>
          </cell>
          <cell r="D852" t="str">
            <v>TJ2</v>
          </cell>
          <cell r="E852">
            <v>46208</v>
          </cell>
          <cell r="F852" t="str">
            <v>助理工程师</v>
          </cell>
          <cell r="G852" t="str">
            <v>助理工程师</v>
          </cell>
          <cell r="H852" t="str">
            <v>12号楼D级区域</v>
          </cell>
          <cell r="I852" t="str">
            <v>班组</v>
          </cell>
        </row>
        <row r="853">
          <cell r="C853" t="str">
            <v>ALS17372</v>
          </cell>
          <cell r="D853" t="str">
            <v>TJ2</v>
          </cell>
          <cell r="E853">
            <v>46208</v>
          </cell>
          <cell r="F853" t="str">
            <v>助理工程师</v>
          </cell>
          <cell r="G853" t="str">
            <v>助理工程师</v>
          </cell>
          <cell r="H853" t="str">
            <v>12号楼D级区域</v>
          </cell>
          <cell r="I853" t="str">
            <v>班组</v>
          </cell>
        </row>
        <row r="854">
          <cell r="C854" t="str">
            <v>ALS16848</v>
          </cell>
          <cell r="D854" t="str">
            <v>TJ2</v>
          </cell>
          <cell r="E854">
            <v>46155</v>
          </cell>
          <cell r="F854" t="str">
            <v>助理工程师</v>
          </cell>
          <cell r="G854" t="str">
            <v>助理工程师</v>
          </cell>
          <cell r="H854" t="str">
            <v>13号楼（12号楼D级区域委培）</v>
          </cell>
          <cell r="I854" t="str">
            <v>班组</v>
          </cell>
        </row>
        <row r="855">
          <cell r="C855" t="str">
            <v>ADH0420</v>
          </cell>
          <cell r="D855" t="str">
            <v>TJ2</v>
          </cell>
          <cell r="E855">
            <v>41696</v>
          </cell>
          <cell r="F855" t="str">
            <v>高级主管</v>
          </cell>
          <cell r="G855" t="str">
            <v>高级主管</v>
          </cell>
          <cell r="H855" t="str">
            <v>13号楼</v>
          </cell>
          <cell r="I855" t="str">
            <v>常白</v>
          </cell>
        </row>
        <row r="856">
          <cell r="C856" t="str">
            <v>ALS15151</v>
          </cell>
          <cell r="D856" t="str">
            <v>TJ2</v>
          </cell>
          <cell r="E856">
            <v>45966</v>
          </cell>
          <cell r="F856" t="str">
            <v>主管</v>
          </cell>
          <cell r="G856" t="str">
            <v>主管</v>
          </cell>
          <cell r="H856" t="str">
            <v>13号楼</v>
          </cell>
          <cell r="I856" t="str">
            <v>常白</v>
          </cell>
        </row>
        <row r="857">
          <cell r="C857" t="str">
            <v>ALS16610</v>
          </cell>
          <cell r="D857" t="str">
            <v>TJ2</v>
          </cell>
          <cell r="E857">
            <v>46153</v>
          </cell>
          <cell r="F857" t="str">
            <v>车间主任</v>
          </cell>
          <cell r="G857" t="str">
            <v>车间主任</v>
          </cell>
          <cell r="H857" t="str">
            <v>13号楼</v>
          </cell>
          <cell r="I857" t="str">
            <v>常白</v>
          </cell>
        </row>
        <row r="858">
          <cell r="C858" t="str">
            <v>ALS17989</v>
          </cell>
          <cell r="D858" t="str">
            <v>TJ2</v>
          </cell>
          <cell r="E858">
            <v>46223</v>
          </cell>
          <cell r="F858" t="str">
            <v>车间主任</v>
          </cell>
          <cell r="G858" t="str">
            <v>车间主任</v>
          </cell>
          <cell r="H858" t="str">
            <v>13号楼</v>
          </cell>
          <cell r="I858" t="str">
            <v>常白</v>
          </cell>
        </row>
        <row r="859">
          <cell r="C859" t="str">
            <v>ALS16528</v>
          </cell>
          <cell r="D859" t="str">
            <v>TJ2</v>
          </cell>
          <cell r="E859">
            <v>46134</v>
          </cell>
          <cell r="F859" t="str">
            <v>车间副主任</v>
          </cell>
          <cell r="G859" t="str">
            <v>车间副主任</v>
          </cell>
          <cell r="H859" t="str">
            <v>13号楼</v>
          </cell>
          <cell r="I859" t="str">
            <v>常白</v>
          </cell>
        </row>
        <row r="860">
          <cell r="C860" t="str">
            <v>ALS18322</v>
          </cell>
          <cell r="D860" t="str">
            <v>TJ2</v>
          </cell>
          <cell r="E860">
            <v>46246</v>
          </cell>
          <cell r="F860" t="str">
            <v>车间副主任</v>
          </cell>
          <cell r="G860" t="str">
            <v>车间副主任</v>
          </cell>
          <cell r="H860" t="str">
            <v>13号楼</v>
          </cell>
          <cell r="I860" t="str">
            <v>常白</v>
          </cell>
        </row>
        <row r="861">
          <cell r="C861" t="str">
            <v>ALS16993</v>
          </cell>
          <cell r="D861" t="str">
            <v>TJ2</v>
          </cell>
          <cell r="E861">
            <v>46169</v>
          </cell>
          <cell r="F861" t="str">
            <v>班长</v>
          </cell>
          <cell r="G861" t="str">
            <v>班长</v>
          </cell>
          <cell r="H861" t="str">
            <v>13号楼</v>
          </cell>
          <cell r="I861" t="str">
            <v>常白</v>
          </cell>
        </row>
        <row r="862">
          <cell r="C862" t="str">
            <v>ALS17002</v>
          </cell>
          <cell r="D862" t="str">
            <v>TJ2</v>
          </cell>
          <cell r="E862">
            <v>46174</v>
          </cell>
          <cell r="F862" t="str">
            <v>班长</v>
          </cell>
          <cell r="G862" t="str">
            <v>班长</v>
          </cell>
          <cell r="H862" t="str">
            <v>13号楼</v>
          </cell>
          <cell r="I862" t="str">
            <v>常白</v>
          </cell>
        </row>
        <row r="863">
          <cell r="C863" t="str">
            <v>ALS16818</v>
          </cell>
          <cell r="D863" t="str">
            <v>TJ2</v>
          </cell>
          <cell r="E863">
            <v>46155</v>
          </cell>
          <cell r="F863" t="str">
            <v>助理工程师</v>
          </cell>
          <cell r="G863" t="str">
            <v>助理工程师</v>
          </cell>
          <cell r="H863" t="str">
            <v>13号楼</v>
          </cell>
          <cell r="I863" t="str">
            <v>常白</v>
          </cell>
        </row>
        <row r="864">
          <cell r="C864" t="str">
            <v>ALS17093</v>
          </cell>
          <cell r="D864" t="str">
            <v>TJ2</v>
          </cell>
          <cell r="E864">
            <v>46181</v>
          </cell>
          <cell r="F864" t="str">
            <v>助理工程师</v>
          </cell>
          <cell r="G864" t="str">
            <v>助理工程师</v>
          </cell>
          <cell r="H864" t="str">
            <v>13号楼</v>
          </cell>
          <cell r="I864" t="str">
            <v>常白</v>
          </cell>
        </row>
        <row r="865">
          <cell r="C865" t="str">
            <v>ALS17117</v>
          </cell>
          <cell r="D865" t="str">
            <v>TJ2</v>
          </cell>
          <cell r="E865">
            <v>46183</v>
          </cell>
          <cell r="F865" t="str">
            <v>助理工程师</v>
          </cell>
          <cell r="G865" t="str">
            <v>助理工程师</v>
          </cell>
          <cell r="H865" t="str">
            <v>13号楼</v>
          </cell>
          <cell r="I865" t="str">
            <v>常白</v>
          </cell>
        </row>
        <row r="866">
          <cell r="C866" t="str">
            <v>ALS17797</v>
          </cell>
          <cell r="D866" t="str">
            <v>TJ2</v>
          </cell>
          <cell r="E866">
            <v>46204</v>
          </cell>
          <cell r="F866" t="str">
            <v>助理工程师</v>
          </cell>
          <cell r="G866" t="str">
            <v>助理工程师</v>
          </cell>
          <cell r="H866" t="str">
            <v>13号楼</v>
          </cell>
          <cell r="I866" t="str">
            <v>常白</v>
          </cell>
        </row>
        <row r="867">
          <cell r="C867" t="str">
            <v>ALS17415</v>
          </cell>
          <cell r="D867" t="str">
            <v>TJ2</v>
          </cell>
          <cell r="E867">
            <v>46208</v>
          </cell>
          <cell r="F867" t="str">
            <v>助理工程师</v>
          </cell>
          <cell r="G867" t="str">
            <v>助理工程师</v>
          </cell>
          <cell r="H867" t="str">
            <v>13号楼</v>
          </cell>
          <cell r="I867" t="str">
            <v>常白</v>
          </cell>
        </row>
        <row r="868">
          <cell r="C868" t="str">
            <v>ALS17365</v>
          </cell>
          <cell r="D868" t="str">
            <v>TJ2</v>
          </cell>
          <cell r="E868">
            <v>46208</v>
          </cell>
          <cell r="F868" t="str">
            <v>助理工程师</v>
          </cell>
          <cell r="G868" t="str">
            <v>助理工程师</v>
          </cell>
          <cell r="H868" t="str">
            <v>13号楼</v>
          </cell>
          <cell r="I868" t="str">
            <v>常白</v>
          </cell>
        </row>
        <row r="869">
          <cell r="C869" t="str">
            <v>ALS17792</v>
          </cell>
          <cell r="D869" t="str">
            <v>TJ2</v>
          </cell>
          <cell r="E869">
            <v>46204</v>
          </cell>
          <cell r="F869" t="str">
            <v>操作工</v>
          </cell>
          <cell r="G869" t="str">
            <v>操作工</v>
          </cell>
          <cell r="H869" t="str">
            <v>13号楼</v>
          </cell>
          <cell r="I869" t="str">
            <v>常白</v>
          </cell>
        </row>
        <row r="870">
          <cell r="C870" t="str">
            <v>ACT1579</v>
          </cell>
          <cell r="D870" t="str">
            <v>TJ2</v>
          </cell>
          <cell r="E870">
            <v>39699</v>
          </cell>
          <cell r="F870" t="str">
            <v>工艺主管</v>
          </cell>
          <cell r="G870" t="str">
            <v>工艺主管</v>
          </cell>
          <cell r="H870" t="str">
            <v>生产技术转移组（辅料&amp;毒素连接体）</v>
          </cell>
          <cell r="I870" t="str">
            <v>项目组</v>
          </cell>
        </row>
        <row r="871">
          <cell r="C871" t="str">
            <v>ALS14984</v>
          </cell>
          <cell r="D871" t="str">
            <v>TJ2</v>
          </cell>
          <cell r="E871">
            <v>45943</v>
          </cell>
          <cell r="F871" t="str">
            <v>工程师</v>
          </cell>
          <cell r="G871" t="str">
            <v>工程师</v>
          </cell>
          <cell r="H871" t="str">
            <v>生产技术转移组（辅料&amp;毒素连接体）</v>
          </cell>
          <cell r="I871" t="str">
            <v>项目组</v>
          </cell>
        </row>
        <row r="872">
          <cell r="C872" t="str">
            <v>ALS15095</v>
          </cell>
          <cell r="D872" t="str">
            <v>TJ2</v>
          </cell>
          <cell r="E872">
            <v>45957</v>
          </cell>
          <cell r="F872" t="str">
            <v>工程师</v>
          </cell>
          <cell r="G872" t="str">
            <v>工程师</v>
          </cell>
          <cell r="H872" t="str">
            <v>生产技术转移组（辅料&amp;毒素连接体）</v>
          </cell>
          <cell r="I872" t="str">
            <v>项目组</v>
          </cell>
        </row>
        <row r="873">
          <cell r="C873" t="str">
            <v>ALS15335</v>
          </cell>
          <cell r="D873" t="str">
            <v>TJ2</v>
          </cell>
          <cell r="E873">
            <v>45980</v>
          </cell>
          <cell r="F873" t="str">
            <v>工程师</v>
          </cell>
          <cell r="G873" t="str">
            <v>工程师</v>
          </cell>
          <cell r="H873" t="str">
            <v>生产技术转移组（辅料&amp;毒素连接体）</v>
          </cell>
          <cell r="I873" t="str">
            <v>项目组</v>
          </cell>
        </row>
        <row r="874">
          <cell r="C874" t="str">
            <v>ALS17113</v>
          </cell>
          <cell r="D874" t="str">
            <v>TJ2</v>
          </cell>
          <cell r="E874">
            <v>46183</v>
          </cell>
          <cell r="F874" t="str">
            <v>工程师</v>
          </cell>
          <cell r="G874" t="str">
            <v>工程师</v>
          </cell>
          <cell r="H874" t="str">
            <v>生产技术转移组（辅料&amp;毒素连接体）</v>
          </cell>
          <cell r="I874" t="str">
            <v>项目组</v>
          </cell>
        </row>
        <row r="875">
          <cell r="C875" t="str">
            <v>ALS17338</v>
          </cell>
          <cell r="D875" t="str">
            <v>TJ2</v>
          </cell>
          <cell r="E875">
            <v>46208</v>
          </cell>
          <cell r="F875" t="str">
            <v>工程师</v>
          </cell>
          <cell r="G875" t="str">
            <v>工程师</v>
          </cell>
          <cell r="H875" t="str">
            <v>生产技术转移组（辅料&amp;毒素连接体）</v>
          </cell>
          <cell r="I875" t="str">
            <v>项目组</v>
          </cell>
        </row>
        <row r="876">
          <cell r="C876" t="str">
            <v>ALS17943</v>
          </cell>
          <cell r="D876" t="str">
            <v>TJ2</v>
          </cell>
          <cell r="E876">
            <v>46225</v>
          </cell>
          <cell r="F876" t="str">
            <v>工程师</v>
          </cell>
          <cell r="G876" t="str">
            <v>工程师</v>
          </cell>
          <cell r="H876" t="str">
            <v>生产技术转移组（辅料&amp;毒素连接体）</v>
          </cell>
          <cell r="I876" t="str">
            <v>项目组</v>
          </cell>
        </row>
        <row r="877">
          <cell r="C877" t="str">
            <v>ALS18297</v>
          </cell>
          <cell r="D877" t="str">
            <v>TJ2</v>
          </cell>
          <cell r="E877">
            <v>46253</v>
          </cell>
          <cell r="F877" t="str">
            <v>工程师</v>
          </cell>
          <cell r="G877" t="str">
            <v>工程师</v>
          </cell>
          <cell r="H877" t="str">
            <v>生产技术转移组（辅料&amp;毒素连接体）</v>
          </cell>
          <cell r="I877" t="str">
            <v>项目组</v>
          </cell>
        </row>
        <row r="878">
          <cell r="C878" t="str">
            <v>ALS17690</v>
          </cell>
          <cell r="D878" t="str">
            <v>TJ2</v>
          </cell>
          <cell r="E878">
            <v>46204</v>
          </cell>
          <cell r="F878" t="str">
            <v>助理工程师</v>
          </cell>
          <cell r="G878" t="str">
            <v>助理工程师</v>
          </cell>
          <cell r="H878" t="str">
            <v>生产技术转移组（辅料&amp;毒素连接体）</v>
          </cell>
          <cell r="I878" t="str">
            <v>项目组</v>
          </cell>
        </row>
        <row r="879">
          <cell r="C879" t="str">
            <v>ALS2530</v>
          </cell>
          <cell r="D879" t="str">
            <v>TJ2</v>
          </cell>
          <cell r="E879">
            <v>42298</v>
          </cell>
          <cell r="F879" t="str">
            <v>工艺高级主管</v>
          </cell>
          <cell r="G879" t="str">
            <v>工艺高级主管</v>
          </cell>
          <cell r="H879" t="str">
            <v>生产技术转移组（多肽）</v>
          </cell>
          <cell r="I879" t="str">
            <v>项目组</v>
          </cell>
        </row>
        <row r="880">
          <cell r="C880" t="str">
            <v>ALS3455</v>
          </cell>
          <cell r="D880" t="str">
            <v>TJ2</v>
          </cell>
          <cell r="E880">
            <v>42926</v>
          </cell>
          <cell r="F880" t="str">
            <v>工艺副主管</v>
          </cell>
          <cell r="G880" t="str">
            <v>工艺副主管</v>
          </cell>
          <cell r="H880" t="str">
            <v>生产技术转移组（多肽）</v>
          </cell>
          <cell r="I880" t="str">
            <v>项目组</v>
          </cell>
        </row>
        <row r="881">
          <cell r="C881" t="str">
            <v>ALS7380</v>
          </cell>
          <cell r="D881" t="str">
            <v>TJ2</v>
          </cell>
          <cell r="E881">
            <v>44326</v>
          </cell>
          <cell r="F881" t="str">
            <v>工艺组长</v>
          </cell>
          <cell r="G881" t="str">
            <v>工艺组长</v>
          </cell>
          <cell r="H881" t="str">
            <v>生产技术转移组（多肽）</v>
          </cell>
          <cell r="I881" t="str">
            <v>项目组</v>
          </cell>
        </row>
        <row r="882">
          <cell r="C882" t="str">
            <v>ALS11096</v>
          </cell>
          <cell r="D882" t="str">
            <v>TJ2</v>
          </cell>
          <cell r="E882">
            <v>44774</v>
          </cell>
          <cell r="F882" t="str">
            <v>工艺组长</v>
          </cell>
          <cell r="G882" t="str">
            <v>工艺组长</v>
          </cell>
          <cell r="H882" t="str">
            <v>生产技术转移组（多肽）</v>
          </cell>
          <cell r="I882" t="str">
            <v>项目组</v>
          </cell>
        </row>
        <row r="883">
          <cell r="C883" t="str">
            <v>ALS16118</v>
          </cell>
          <cell r="D883" t="str">
            <v>TJ2</v>
          </cell>
          <cell r="E883">
            <v>46090</v>
          </cell>
          <cell r="F883" t="str">
            <v>工艺组长</v>
          </cell>
          <cell r="G883" t="str">
            <v>工艺组长</v>
          </cell>
          <cell r="H883" t="str">
            <v>生产技术转移组（多肽）</v>
          </cell>
          <cell r="I883" t="str">
            <v>项目组</v>
          </cell>
        </row>
        <row r="884">
          <cell r="C884" t="str">
            <v>ALS2305</v>
          </cell>
          <cell r="D884" t="str">
            <v>TJ2</v>
          </cell>
          <cell r="E884">
            <v>42212</v>
          </cell>
          <cell r="F884" t="str">
            <v>工程师</v>
          </cell>
          <cell r="G884" t="str">
            <v>工程师</v>
          </cell>
          <cell r="H884" t="str">
            <v>生产技术转移组（多肽）</v>
          </cell>
          <cell r="I884" t="str">
            <v>项目组</v>
          </cell>
        </row>
        <row r="885">
          <cell r="C885" t="str">
            <v>AMM3422</v>
          </cell>
          <cell r="D885" t="str">
            <v>TJ3</v>
          </cell>
          <cell r="E885">
            <v>45138</v>
          </cell>
          <cell r="F885" t="str">
            <v>工程师</v>
          </cell>
          <cell r="G885" t="str">
            <v>工程师</v>
          </cell>
          <cell r="H885" t="str">
            <v>生产技术转移组（多肽）</v>
          </cell>
          <cell r="I885" t="str">
            <v>项目组</v>
          </cell>
        </row>
        <row r="886">
          <cell r="C886" t="str">
            <v>ALS12838</v>
          </cell>
          <cell r="D886" t="str">
            <v>TJ2</v>
          </cell>
          <cell r="E886">
            <v>45259</v>
          </cell>
          <cell r="F886" t="str">
            <v>工程师</v>
          </cell>
          <cell r="G886" t="str">
            <v>工程师</v>
          </cell>
          <cell r="H886" t="str">
            <v>生产技术转移组（多肽）</v>
          </cell>
          <cell r="I886" t="str">
            <v>项目组</v>
          </cell>
        </row>
        <row r="887">
          <cell r="C887" t="str">
            <v>ALS12955</v>
          </cell>
          <cell r="D887" t="str">
            <v>TJ2</v>
          </cell>
          <cell r="E887">
            <v>45448</v>
          </cell>
          <cell r="F887" t="str">
            <v>工程师</v>
          </cell>
          <cell r="G887" t="str">
            <v>工程师</v>
          </cell>
          <cell r="H887" t="str">
            <v>生产技术转移组（多肽）</v>
          </cell>
          <cell r="I887" t="str">
            <v>项目组</v>
          </cell>
        </row>
        <row r="888">
          <cell r="C888" t="str">
            <v>ALS16339</v>
          </cell>
          <cell r="D888" t="str">
            <v>TJ2</v>
          </cell>
          <cell r="E888">
            <v>46127</v>
          </cell>
          <cell r="F888" t="str">
            <v>工程师</v>
          </cell>
          <cell r="G888" t="str">
            <v>工程师</v>
          </cell>
          <cell r="H888" t="str">
            <v>生产技术转移组（多肽）</v>
          </cell>
          <cell r="I888" t="str">
            <v>项目组</v>
          </cell>
        </row>
        <row r="889">
          <cell r="C889" t="str">
            <v>ALS17343</v>
          </cell>
          <cell r="D889" t="str">
            <v>TJ2</v>
          </cell>
          <cell r="E889">
            <v>46208</v>
          </cell>
          <cell r="F889" t="str">
            <v>工程师</v>
          </cell>
          <cell r="G889" t="str">
            <v>工程师</v>
          </cell>
          <cell r="H889" t="str">
            <v>生产技术转移组（多肽）</v>
          </cell>
          <cell r="I889" t="str">
            <v>项目组</v>
          </cell>
        </row>
        <row r="890">
          <cell r="C890" t="str">
            <v>ALS17331</v>
          </cell>
          <cell r="D890" t="str">
            <v>TJ2</v>
          </cell>
          <cell r="E890">
            <v>46215</v>
          </cell>
          <cell r="F890" t="str">
            <v>工程师</v>
          </cell>
          <cell r="G890" t="str">
            <v>工程师</v>
          </cell>
          <cell r="H890" t="str">
            <v>生产技术转移组（多肽）</v>
          </cell>
          <cell r="I890" t="str">
            <v>项目组</v>
          </cell>
        </row>
        <row r="891">
          <cell r="C891" t="str">
            <v>ALS14337</v>
          </cell>
          <cell r="D891" t="str">
            <v>TJ2</v>
          </cell>
          <cell r="E891">
            <v>45847</v>
          </cell>
          <cell r="F891" t="str">
            <v>助理工程师</v>
          </cell>
          <cell r="G891" t="str">
            <v>助理工程师</v>
          </cell>
          <cell r="H891" t="str">
            <v>生产技术转移组（多肽）</v>
          </cell>
          <cell r="I891" t="str">
            <v>项目组</v>
          </cell>
        </row>
        <row r="892">
          <cell r="C892" t="str">
            <v>ALS14338</v>
          </cell>
          <cell r="D892" t="str">
            <v>TJ2</v>
          </cell>
          <cell r="E892">
            <v>45847</v>
          </cell>
          <cell r="F892" t="str">
            <v>助理工程师</v>
          </cell>
          <cell r="G892" t="str">
            <v>助理工程师</v>
          </cell>
          <cell r="H892" t="str">
            <v>生产技术转移组（多肽）</v>
          </cell>
          <cell r="I892" t="str">
            <v>项目组</v>
          </cell>
        </row>
        <row r="893">
          <cell r="C893" t="str">
            <v>ALS16461</v>
          </cell>
          <cell r="D893" t="str">
            <v>TJ2</v>
          </cell>
          <cell r="E893">
            <v>46127</v>
          </cell>
          <cell r="F893" t="str">
            <v>助理工程师</v>
          </cell>
          <cell r="G893" t="str">
            <v>助理工程师</v>
          </cell>
          <cell r="H893" t="str">
            <v>生产技术转移组（多肽）</v>
          </cell>
          <cell r="I893" t="str">
            <v>项目组</v>
          </cell>
        </row>
        <row r="894">
          <cell r="C894" t="str">
            <v>ALS17615</v>
          </cell>
          <cell r="D894" t="str">
            <v>TJ2</v>
          </cell>
          <cell r="E894">
            <v>46197</v>
          </cell>
          <cell r="F894" t="str">
            <v>助理工程师</v>
          </cell>
          <cell r="G894" t="str">
            <v>助理工程师</v>
          </cell>
          <cell r="H894" t="str">
            <v>生产技术转移组（多肽）</v>
          </cell>
          <cell r="I894" t="str">
            <v>项目组</v>
          </cell>
        </row>
        <row r="895">
          <cell r="C895" t="str">
            <v>ALS17371</v>
          </cell>
          <cell r="D895" t="str">
            <v>TJ2</v>
          </cell>
          <cell r="E895">
            <v>46208</v>
          </cell>
          <cell r="F895" t="str">
            <v>助理工程师</v>
          </cell>
          <cell r="G895" t="str">
            <v>助理工程师</v>
          </cell>
          <cell r="H895" t="str">
            <v>生产技术转移组（多肽）</v>
          </cell>
          <cell r="I895" t="str">
            <v>项目组</v>
          </cell>
        </row>
        <row r="896">
          <cell r="C896" t="str">
            <v>ALS17443</v>
          </cell>
          <cell r="D896" t="str">
            <v>TJ2</v>
          </cell>
          <cell r="E896">
            <v>46215</v>
          </cell>
          <cell r="F896" t="str">
            <v>助理工程师</v>
          </cell>
          <cell r="G896" t="str">
            <v>助理工程师</v>
          </cell>
          <cell r="H896" t="str">
            <v>生产技术转移组（多肽）</v>
          </cell>
          <cell r="I896" t="str">
            <v>项目组</v>
          </cell>
        </row>
        <row r="897">
          <cell r="C897" t="str">
            <v>ALS18013</v>
          </cell>
          <cell r="D897" t="str">
            <v>TJ2</v>
          </cell>
          <cell r="E897">
            <v>46225</v>
          </cell>
          <cell r="F897" t="str">
            <v>助理工程师</v>
          </cell>
          <cell r="G897" t="str">
            <v>助理工程师</v>
          </cell>
          <cell r="H897" t="str">
            <v>生产技术转移组（多肽）</v>
          </cell>
          <cell r="I897" t="str">
            <v>项目组</v>
          </cell>
        </row>
        <row r="898">
          <cell r="C898" t="str">
            <v>ALS18153</v>
          </cell>
          <cell r="D898" t="str">
            <v>TJ2</v>
          </cell>
          <cell r="E898">
            <v>46232</v>
          </cell>
          <cell r="F898" t="str">
            <v>助理工程师</v>
          </cell>
          <cell r="G898" t="str">
            <v>助理工程师</v>
          </cell>
          <cell r="H898" t="str">
            <v>生产技术转移组（多肽）</v>
          </cell>
          <cell r="I898" t="str">
            <v>项目组</v>
          </cell>
        </row>
        <row r="899">
          <cell r="C899" t="str">
            <v>ALS2257</v>
          </cell>
          <cell r="D899" t="str">
            <v>TJ2</v>
          </cell>
          <cell r="E899">
            <v>42212</v>
          </cell>
          <cell r="F899" t="str">
            <v>高级主管</v>
          </cell>
          <cell r="G899" t="str">
            <v>高级主管</v>
          </cell>
          <cell r="H899" t="str">
            <v>验证组</v>
          </cell>
          <cell r="I899" t="str">
            <v>常白</v>
          </cell>
        </row>
        <row r="900">
          <cell r="C900" t="str">
            <v>ALS10334</v>
          </cell>
          <cell r="D900" t="str">
            <v>TJ2</v>
          </cell>
          <cell r="E900">
            <v>44734</v>
          </cell>
          <cell r="F900" t="str">
            <v>经理</v>
          </cell>
          <cell r="G900" t="str">
            <v>经理</v>
          </cell>
          <cell r="H900" t="str">
            <v>验证组</v>
          </cell>
          <cell r="I900" t="str">
            <v>常白</v>
          </cell>
        </row>
        <row r="901">
          <cell r="C901" t="str">
            <v>ALS11230</v>
          </cell>
          <cell r="D901" t="str">
            <v>TJ2</v>
          </cell>
          <cell r="E901">
            <v>44774</v>
          </cell>
          <cell r="F901" t="str">
            <v>经理</v>
          </cell>
          <cell r="G901" t="str">
            <v>经理</v>
          </cell>
          <cell r="H901" t="str">
            <v>验证组</v>
          </cell>
          <cell r="I901" t="str">
            <v>常白</v>
          </cell>
        </row>
        <row r="902">
          <cell r="C902" t="str">
            <v>ABT0062</v>
          </cell>
          <cell r="D902" t="str">
            <v>CSBT</v>
          </cell>
          <cell r="E902">
            <v>43907</v>
          </cell>
          <cell r="F902" t="str">
            <v>工程师</v>
          </cell>
          <cell r="G902" t="str">
            <v>工程师</v>
          </cell>
          <cell r="H902" t="str">
            <v>验证组</v>
          </cell>
          <cell r="I902" t="str">
            <v>常白</v>
          </cell>
        </row>
        <row r="903">
          <cell r="C903" t="str">
            <v>ALS14985</v>
          </cell>
          <cell r="D903" t="str">
            <v>TJ2</v>
          </cell>
          <cell r="E903">
            <v>45943</v>
          </cell>
          <cell r="F903" t="str">
            <v>工程师</v>
          </cell>
          <cell r="G903" t="str">
            <v>工程师</v>
          </cell>
          <cell r="H903" t="str">
            <v>验证组</v>
          </cell>
          <cell r="I903" t="str">
            <v>常白</v>
          </cell>
        </row>
        <row r="904">
          <cell r="C904" t="str">
            <v>ALS15491</v>
          </cell>
          <cell r="D904" t="str">
            <v>TJ2</v>
          </cell>
          <cell r="E904">
            <v>45992</v>
          </cell>
          <cell r="F904" t="str">
            <v>工程师</v>
          </cell>
          <cell r="G904" t="str">
            <v>工程师</v>
          </cell>
          <cell r="H904" t="str">
            <v>验证组</v>
          </cell>
          <cell r="I904" t="str">
            <v>常白</v>
          </cell>
        </row>
        <row r="905">
          <cell r="C905" t="str">
            <v>ALS16348</v>
          </cell>
          <cell r="D905" t="str">
            <v>TJ2</v>
          </cell>
          <cell r="E905">
            <v>46127</v>
          </cell>
          <cell r="F905" t="str">
            <v>工程师</v>
          </cell>
          <cell r="G905" t="str">
            <v>工程师</v>
          </cell>
          <cell r="H905" t="str">
            <v>验证组</v>
          </cell>
          <cell r="I905" t="str">
            <v>常白</v>
          </cell>
        </row>
        <row r="906">
          <cell r="C906" t="str">
            <v>ALS13550</v>
          </cell>
          <cell r="D906" t="str">
            <v>TJ2</v>
          </cell>
          <cell r="E906">
            <v>45588</v>
          </cell>
          <cell r="F906" t="str">
            <v>助理工程师</v>
          </cell>
          <cell r="G906" t="str">
            <v>助理工程师</v>
          </cell>
          <cell r="H906" t="str">
            <v>验证组</v>
          </cell>
          <cell r="I906" t="str">
            <v>常白</v>
          </cell>
        </row>
        <row r="907">
          <cell r="C907" t="str">
            <v>ALS14334</v>
          </cell>
          <cell r="D907" t="str">
            <v>TJ2</v>
          </cell>
          <cell r="E907">
            <v>45847</v>
          </cell>
          <cell r="F907" t="str">
            <v>助理工程师</v>
          </cell>
          <cell r="G907" t="str">
            <v>助理工程师</v>
          </cell>
          <cell r="H907" t="str">
            <v>验证组</v>
          </cell>
          <cell r="I907" t="str">
            <v>常白</v>
          </cell>
        </row>
        <row r="908">
          <cell r="C908" t="str">
            <v>ALS14335</v>
          </cell>
          <cell r="D908" t="str">
            <v>TJ2</v>
          </cell>
          <cell r="E908">
            <v>45847</v>
          </cell>
          <cell r="F908" t="str">
            <v>助理工程师</v>
          </cell>
          <cell r="G908" t="str">
            <v>助理工程师</v>
          </cell>
          <cell r="H908" t="str">
            <v>验证组</v>
          </cell>
          <cell r="I908" t="str">
            <v>常白</v>
          </cell>
        </row>
        <row r="909">
          <cell r="C909" t="str">
            <v>ALS15552</v>
          </cell>
          <cell r="D909" t="str">
            <v>TJ2</v>
          </cell>
          <cell r="E909">
            <v>45994</v>
          </cell>
          <cell r="F909" t="str">
            <v>助理工程师</v>
          </cell>
          <cell r="G909" t="str">
            <v>助理工程师</v>
          </cell>
          <cell r="H909" t="str">
            <v>验证组</v>
          </cell>
          <cell r="I909" t="str">
            <v>常白</v>
          </cell>
        </row>
        <row r="910">
          <cell r="C910" t="str">
            <v>ALS16279</v>
          </cell>
          <cell r="D910" t="str">
            <v>TJ2</v>
          </cell>
          <cell r="E910">
            <v>46120</v>
          </cell>
          <cell r="F910" t="str">
            <v>助理工程师</v>
          </cell>
          <cell r="G910" t="str">
            <v>助理工程师</v>
          </cell>
          <cell r="H910" t="str">
            <v>验证组</v>
          </cell>
          <cell r="I910" t="str">
            <v>常白</v>
          </cell>
        </row>
        <row r="911">
          <cell r="C911" t="str">
            <v>ALS16277</v>
          </cell>
          <cell r="D911" t="str">
            <v>TJ2</v>
          </cell>
          <cell r="E911">
            <v>46125</v>
          </cell>
          <cell r="F911" t="str">
            <v>助理工程师</v>
          </cell>
          <cell r="G911" t="str">
            <v>助理工程师</v>
          </cell>
          <cell r="H911" t="str">
            <v>验证组</v>
          </cell>
          <cell r="I911" t="str">
            <v>常白</v>
          </cell>
        </row>
        <row r="912">
          <cell r="C912" t="str">
            <v>ALS16427</v>
          </cell>
          <cell r="D912" t="str">
            <v>TJ2</v>
          </cell>
          <cell r="E912">
            <v>46127</v>
          </cell>
          <cell r="F912" t="str">
            <v>助理工程师</v>
          </cell>
          <cell r="G912" t="str">
            <v>助理工程师</v>
          </cell>
          <cell r="H912" t="str">
            <v>验证组</v>
          </cell>
          <cell r="I912" t="str">
            <v>常白</v>
          </cell>
        </row>
        <row r="913">
          <cell r="C913" t="str">
            <v>ALS16777</v>
          </cell>
          <cell r="D913" t="str">
            <v>TJ2</v>
          </cell>
          <cell r="E913">
            <v>46153</v>
          </cell>
          <cell r="F913" t="str">
            <v>助理工程师</v>
          </cell>
          <cell r="G913" t="str">
            <v>助理工程师</v>
          </cell>
          <cell r="H913" t="str">
            <v>验证组</v>
          </cell>
          <cell r="I913" t="str">
            <v>常白</v>
          </cell>
        </row>
        <row r="914">
          <cell r="C914" t="str">
            <v>ALS16813</v>
          </cell>
          <cell r="D914" t="str">
            <v>TJ2</v>
          </cell>
          <cell r="E914">
            <v>46155</v>
          </cell>
          <cell r="F914" t="str">
            <v>助理工程师</v>
          </cell>
          <cell r="G914" t="str">
            <v>助理工程师</v>
          </cell>
          <cell r="H914" t="str">
            <v>验证组</v>
          </cell>
          <cell r="I914" t="str">
            <v>常白</v>
          </cell>
        </row>
        <row r="915">
          <cell r="C915" t="str">
            <v>ALS17763</v>
          </cell>
          <cell r="D915" t="str">
            <v>TJ2</v>
          </cell>
          <cell r="E915">
            <v>46204</v>
          </cell>
          <cell r="F915" t="str">
            <v>助理工程师</v>
          </cell>
          <cell r="G915" t="str">
            <v>助理工程师</v>
          </cell>
          <cell r="H915" t="str">
            <v>验证组</v>
          </cell>
          <cell r="I915" t="str">
            <v>常白</v>
          </cell>
        </row>
        <row r="916">
          <cell r="C916" t="str">
            <v>ALS17769</v>
          </cell>
          <cell r="D916" t="str">
            <v>TJ2</v>
          </cell>
          <cell r="E916">
            <v>46204</v>
          </cell>
          <cell r="F916" t="str">
            <v>助理工程师</v>
          </cell>
          <cell r="G916" t="str">
            <v>助理工程师</v>
          </cell>
          <cell r="H916" t="str">
            <v>验证组</v>
          </cell>
          <cell r="I916" t="str">
            <v>常白</v>
          </cell>
        </row>
        <row r="917">
          <cell r="C917" t="str">
            <v>ALS18034</v>
          </cell>
          <cell r="D917" t="str">
            <v>TJ2</v>
          </cell>
          <cell r="E917">
            <v>46225</v>
          </cell>
          <cell r="F917" t="str">
            <v>助理工程师</v>
          </cell>
          <cell r="G917" t="str">
            <v>助理工程师</v>
          </cell>
          <cell r="H917" t="str">
            <v>验证组</v>
          </cell>
          <cell r="I917" t="str">
            <v>常白</v>
          </cell>
        </row>
        <row r="918">
          <cell r="C918" t="str">
            <v>ALS11204</v>
          </cell>
          <cell r="D918" t="str">
            <v>TJ2</v>
          </cell>
          <cell r="E918">
            <v>44774</v>
          </cell>
          <cell r="F918" t="str">
            <v>助理工程师</v>
          </cell>
          <cell r="G918" t="str">
            <v>助理工程师</v>
          </cell>
          <cell r="H918" t="str">
            <v>验证组</v>
          </cell>
          <cell r="I918" t="str">
            <v>常白</v>
          </cell>
        </row>
        <row r="919">
          <cell r="C919" t="str">
            <v>ALS13720</v>
          </cell>
          <cell r="D919" t="str">
            <v>TJ2</v>
          </cell>
          <cell r="E919">
            <v>45644</v>
          </cell>
          <cell r="F919" t="str">
            <v>助理工程师</v>
          </cell>
          <cell r="G919" t="str">
            <v>助理工程师</v>
          </cell>
          <cell r="H919" t="str">
            <v>验证组</v>
          </cell>
          <cell r="I919" t="str">
            <v>常白</v>
          </cell>
        </row>
        <row r="920">
          <cell r="C920" t="str">
            <v>ALS15551</v>
          </cell>
          <cell r="D920" t="str">
            <v>TJ2</v>
          </cell>
          <cell r="E920">
            <v>45994</v>
          </cell>
          <cell r="F920" t="str">
            <v>助理工程师</v>
          </cell>
          <cell r="G920" t="str">
            <v>助理工程师</v>
          </cell>
          <cell r="H920" t="str">
            <v>验证组</v>
          </cell>
          <cell r="I920" t="str">
            <v>常白</v>
          </cell>
        </row>
        <row r="921">
          <cell r="C921" t="str">
            <v>ALS15765</v>
          </cell>
          <cell r="D921" t="str">
            <v>TJ2</v>
          </cell>
          <cell r="E921">
            <v>46015</v>
          </cell>
          <cell r="F921" t="str">
            <v>助理工程师</v>
          </cell>
          <cell r="G921" t="str">
            <v>助理工程师</v>
          </cell>
          <cell r="H921" t="str">
            <v>验证组</v>
          </cell>
          <cell r="I921" t="str">
            <v>常白</v>
          </cell>
        </row>
        <row r="922">
          <cell r="C922" t="str">
            <v>ALS16251</v>
          </cell>
          <cell r="D922" t="str">
            <v>TJ2</v>
          </cell>
          <cell r="E922">
            <v>46113</v>
          </cell>
          <cell r="F922" t="str">
            <v>助理工程师</v>
          </cell>
          <cell r="G922" t="str">
            <v>助理工程师</v>
          </cell>
          <cell r="H922" t="str">
            <v>验证组</v>
          </cell>
          <cell r="I922" t="str">
            <v>常白</v>
          </cell>
        </row>
        <row r="923">
          <cell r="C923" t="str">
            <v>ALS16310</v>
          </cell>
          <cell r="D923" t="str">
            <v>TJ2</v>
          </cell>
          <cell r="E923">
            <v>46120</v>
          </cell>
          <cell r="F923" t="str">
            <v>助理工程师</v>
          </cell>
          <cell r="G923" t="str">
            <v>助理工程师</v>
          </cell>
          <cell r="H923" t="str">
            <v>验证组</v>
          </cell>
          <cell r="I923" t="str">
            <v>常白</v>
          </cell>
        </row>
        <row r="924">
          <cell r="C924" t="str">
            <v>ALS16441</v>
          </cell>
          <cell r="D924" t="str">
            <v>TJ2</v>
          </cell>
          <cell r="E924">
            <v>46127</v>
          </cell>
          <cell r="F924" t="str">
            <v>助理工程师</v>
          </cell>
          <cell r="G924" t="str">
            <v>助理工程师</v>
          </cell>
          <cell r="H924" t="str">
            <v>验证组</v>
          </cell>
          <cell r="I924" t="str">
            <v>常白</v>
          </cell>
        </row>
        <row r="925">
          <cell r="C925" t="str">
            <v>ALS16468</v>
          </cell>
          <cell r="D925" t="str">
            <v>TJ2</v>
          </cell>
          <cell r="E925">
            <v>46134</v>
          </cell>
          <cell r="F925" t="str">
            <v>助理工程师</v>
          </cell>
          <cell r="G925" t="str">
            <v>助理工程师</v>
          </cell>
          <cell r="H925" t="str">
            <v>验证组</v>
          </cell>
          <cell r="I925" t="str">
            <v>常白</v>
          </cell>
        </row>
        <row r="926">
          <cell r="C926" t="str">
            <v>ALS16740</v>
          </cell>
          <cell r="D926" t="str">
            <v>TJ2</v>
          </cell>
          <cell r="E926">
            <v>46153</v>
          </cell>
          <cell r="F926" t="str">
            <v>助理工程师</v>
          </cell>
          <cell r="G926" t="str">
            <v>助理工程师</v>
          </cell>
          <cell r="H926" t="str">
            <v>验证组</v>
          </cell>
          <cell r="I926" t="str">
            <v>常白</v>
          </cell>
        </row>
        <row r="927">
          <cell r="C927" t="str">
            <v>ALS16769</v>
          </cell>
          <cell r="D927" t="str">
            <v>TJ2</v>
          </cell>
          <cell r="E927">
            <v>46153</v>
          </cell>
          <cell r="F927" t="str">
            <v>助理工程师</v>
          </cell>
          <cell r="G927" t="str">
            <v>助理工程师</v>
          </cell>
          <cell r="H927" t="str">
            <v>验证组</v>
          </cell>
          <cell r="I927" t="str">
            <v>常白</v>
          </cell>
        </row>
        <row r="928">
          <cell r="C928" t="str">
            <v>LFX779</v>
          </cell>
          <cell r="D928" t="str">
            <v>TJ2</v>
          </cell>
          <cell r="E928">
            <v>44617</v>
          </cell>
          <cell r="F928" t="str">
            <v>助理工程师</v>
          </cell>
          <cell r="G928" t="str">
            <v>助理工程师</v>
          </cell>
          <cell r="H928" t="str">
            <v>验证组</v>
          </cell>
          <cell r="I928" t="str">
            <v>常白</v>
          </cell>
        </row>
        <row r="929">
          <cell r="C929" t="str">
            <v>ALS13120</v>
          </cell>
          <cell r="D929" t="str">
            <v>TJ2</v>
          </cell>
          <cell r="E929">
            <v>45483</v>
          </cell>
          <cell r="F929" t="str">
            <v>助理工程师</v>
          </cell>
          <cell r="G929" t="str">
            <v>助理工程师</v>
          </cell>
          <cell r="H929" t="str">
            <v>验证组</v>
          </cell>
          <cell r="I929" t="str">
            <v>常白</v>
          </cell>
        </row>
        <row r="930">
          <cell r="C930" t="str">
            <v>ALS13745</v>
          </cell>
          <cell r="D930" t="str">
            <v>TJ2</v>
          </cell>
          <cell r="E930">
            <v>45651</v>
          </cell>
          <cell r="F930" t="str">
            <v>助理工程师</v>
          </cell>
          <cell r="G930" t="str">
            <v>助理工程师</v>
          </cell>
          <cell r="H930" t="str">
            <v>验证组</v>
          </cell>
          <cell r="I930" t="str">
            <v>常白</v>
          </cell>
        </row>
        <row r="931">
          <cell r="C931" t="str">
            <v>ALS15378</v>
          </cell>
          <cell r="D931" t="str">
            <v>TJ2</v>
          </cell>
          <cell r="E931">
            <v>45980</v>
          </cell>
          <cell r="F931" t="str">
            <v>助理工程师</v>
          </cell>
          <cell r="G931" t="str">
            <v>助理工程师</v>
          </cell>
          <cell r="H931" t="str">
            <v>验证组</v>
          </cell>
          <cell r="I931" t="str">
            <v>常白</v>
          </cell>
        </row>
        <row r="932">
          <cell r="C932" t="str">
            <v>ALS15694</v>
          </cell>
          <cell r="D932" t="str">
            <v>TJ2</v>
          </cell>
          <cell r="E932">
            <v>46008</v>
          </cell>
          <cell r="F932" t="str">
            <v>助理工程师</v>
          </cell>
          <cell r="G932" t="str">
            <v>助理工程师</v>
          </cell>
          <cell r="H932" t="str">
            <v>验证组</v>
          </cell>
          <cell r="I932" t="str">
            <v>常白</v>
          </cell>
        </row>
        <row r="933">
          <cell r="C933" t="str">
            <v>ALS16450</v>
          </cell>
          <cell r="D933" t="str">
            <v>TJ2</v>
          </cell>
          <cell r="E933">
            <v>46127</v>
          </cell>
          <cell r="F933" t="str">
            <v>助理工程师</v>
          </cell>
          <cell r="G933" t="str">
            <v>助理工程师</v>
          </cell>
          <cell r="H933" t="str">
            <v>验证组</v>
          </cell>
          <cell r="I933" t="str">
            <v>常白</v>
          </cell>
        </row>
        <row r="934">
          <cell r="C934" t="str">
            <v>ALS16428</v>
          </cell>
          <cell r="D934" t="str">
            <v>TJ2</v>
          </cell>
          <cell r="E934">
            <v>46127</v>
          </cell>
          <cell r="F934" t="str">
            <v>助理工程师</v>
          </cell>
          <cell r="G934" t="str">
            <v>助理工程师</v>
          </cell>
          <cell r="H934" t="str">
            <v>验证组</v>
          </cell>
          <cell r="I934" t="str">
            <v>常白</v>
          </cell>
        </row>
        <row r="935">
          <cell r="C935" t="str">
            <v>ALS16850</v>
          </cell>
          <cell r="D935" t="str">
            <v>TJ2</v>
          </cell>
          <cell r="E935">
            <v>46155</v>
          </cell>
          <cell r="F935" t="str">
            <v>助理工程师</v>
          </cell>
          <cell r="G935" t="str">
            <v>助理工程师</v>
          </cell>
          <cell r="H935" t="str">
            <v>验证组</v>
          </cell>
          <cell r="I935" t="str">
            <v>常白</v>
          </cell>
        </row>
        <row r="936">
          <cell r="C936" t="str">
            <v>ALS14999</v>
          </cell>
          <cell r="D936" t="str">
            <v>TJ2</v>
          </cell>
          <cell r="E936">
            <v>45952</v>
          </cell>
          <cell r="F936" t="str">
            <v>助理工程师</v>
          </cell>
          <cell r="G936" t="str">
            <v>助理工程师</v>
          </cell>
          <cell r="H936" t="str">
            <v>5号楼（验证组委培）</v>
          </cell>
          <cell r="I936" t="str">
            <v>常白</v>
          </cell>
        </row>
        <row r="937">
          <cell r="C937" t="str">
            <v>ALS17073</v>
          </cell>
          <cell r="D937" t="str">
            <v>TJ2</v>
          </cell>
          <cell r="E937">
            <v>46176</v>
          </cell>
          <cell r="F937" t="str">
            <v>助理工程师</v>
          </cell>
          <cell r="G937" t="str">
            <v>助理工程师</v>
          </cell>
          <cell r="H937" t="str">
            <v>5号楼（验证组委培）</v>
          </cell>
          <cell r="I937" t="str">
            <v>常白</v>
          </cell>
        </row>
        <row r="938">
          <cell r="C938" t="str">
            <v>ALS17057</v>
          </cell>
          <cell r="D938" t="str">
            <v>TJ2</v>
          </cell>
          <cell r="E938">
            <v>46176</v>
          </cell>
          <cell r="F938" t="str">
            <v>操作工</v>
          </cell>
          <cell r="G938" t="str">
            <v>操作工</v>
          </cell>
          <cell r="H938" t="str">
            <v>5号楼（验证组委培）</v>
          </cell>
          <cell r="I938" t="str">
            <v>常白</v>
          </cell>
        </row>
        <row r="939">
          <cell r="C939" t="str">
            <v>ALS14317</v>
          </cell>
          <cell r="D939" t="str">
            <v>TJ2</v>
          </cell>
          <cell r="E939">
            <v>45847</v>
          </cell>
          <cell r="F939" t="str">
            <v>助理工程师</v>
          </cell>
          <cell r="G939" t="str">
            <v>助理工程师</v>
          </cell>
          <cell r="H939" t="str">
            <v>12号楼（验证组委培）</v>
          </cell>
          <cell r="I939" t="str">
            <v>常白</v>
          </cell>
        </row>
        <row r="940">
          <cell r="C940" t="str">
            <v>ALS14636</v>
          </cell>
          <cell r="D940" t="str">
            <v>TJ2</v>
          </cell>
          <cell r="E940">
            <v>45882</v>
          </cell>
          <cell r="F940" t="str">
            <v>助理工程师</v>
          </cell>
          <cell r="G940" t="str">
            <v>助理工程师</v>
          </cell>
          <cell r="H940" t="str">
            <v>12号楼（验证组委培）</v>
          </cell>
          <cell r="I940" t="str">
            <v>常白</v>
          </cell>
        </row>
        <row r="941">
          <cell r="C941" t="str">
            <v>ALS15563</v>
          </cell>
          <cell r="D941" t="str">
            <v>TJ2</v>
          </cell>
          <cell r="E941">
            <v>45994</v>
          </cell>
          <cell r="F941" t="str">
            <v>助理工程师</v>
          </cell>
          <cell r="G941" t="str">
            <v>助理工程师</v>
          </cell>
          <cell r="H941" t="str">
            <v>12号楼（验证组委培）</v>
          </cell>
          <cell r="I941" t="str">
            <v>常白</v>
          </cell>
        </row>
        <row r="942">
          <cell r="C942" t="str">
            <v>ALS16501</v>
          </cell>
          <cell r="D942" t="str">
            <v>TJ2</v>
          </cell>
          <cell r="E942">
            <v>46134</v>
          </cell>
          <cell r="F942" t="str">
            <v>助理工程师</v>
          </cell>
          <cell r="G942" t="str">
            <v>助理工程师</v>
          </cell>
          <cell r="H942" t="str">
            <v>12号楼（验证组委培）</v>
          </cell>
          <cell r="I942" t="str">
            <v>常白</v>
          </cell>
        </row>
        <row r="943">
          <cell r="C943" t="str">
            <v>ALS16509</v>
          </cell>
          <cell r="D943" t="str">
            <v>TJ2</v>
          </cell>
          <cell r="E943">
            <v>46134</v>
          </cell>
          <cell r="F943" t="str">
            <v>助理工程师</v>
          </cell>
          <cell r="G943" t="str">
            <v>助理工程师</v>
          </cell>
          <cell r="H943" t="str">
            <v>12号楼（验证组委培）</v>
          </cell>
          <cell r="I943" t="str">
            <v>常白</v>
          </cell>
        </row>
        <row r="944">
          <cell r="C944" t="str">
            <v>ALS16511</v>
          </cell>
          <cell r="D944" t="str">
            <v>TJ2</v>
          </cell>
          <cell r="E944">
            <v>46134</v>
          </cell>
          <cell r="F944" t="str">
            <v>助理工程师</v>
          </cell>
          <cell r="G944" t="str">
            <v>助理工程师</v>
          </cell>
          <cell r="H944" t="str">
            <v>12号楼（验证组委培）</v>
          </cell>
          <cell r="I944" t="str">
            <v>常白</v>
          </cell>
        </row>
        <row r="945">
          <cell r="C945" t="str">
            <v>ALS16497</v>
          </cell>
          <cell r="D945" t="str">
            <v>TJ2</v>
          </cell>
          <cell r="E945">
            <v>46134</v>
          </cell>
          <cell r="F945" t="str">
            <v>助理工程师</v>
          </cell>
          <cell r="G945" t="str">
            <v>助理工程师</v>
          </cell>
          <cell r="H945" t="str">
            <v>12号楼（验证组委培）</v>
          </cell>
          <cell r="I945" t="str">
            <v>常白</v>
          </cell>
        </row>
        <row r="946">
          <cell r="C946" t="str">
            <v>ALS16514</v>
          </cell>
          <cell r="D946" t="str">
            <v>TJ2</v>
          </cell>
          <cell r="E946">
            <v>46139</v>
          </cell>
          <cell r="F946" t="str">
            <v>助理工程师</v>
          </cell>
          <cell r="G946" t="str">
            <v>助理工程师</v>
          </cell>
          <cell r="H946" t="str">
            <v>12号楼（验证组委培）</v>
          </cell>
          <cell r="I946" t="str">
            <v>常白</v>
          </cell>
        </row>
        <row r="947">
          <cell r="C947" t="str">
            <v>ALS14609</v>
          </cell>
          <cell r="D947" t="str">
            <v>TJ2</v>
          </cell>
          <cell r="E947">
            <v>45889</v>
          </cell>
          <cell r="F947" t="str">
            <v>助理工程师</v>
          </cell>
          <cell r="G947" t="str">
            <v>助理工程师</v>
          </cell>
          <cell r="H947" t="str">
            <v>12号楼（验证组委培）</v>
          </cell>
          <cell r="I947" t="str">
            <v>常白</v>
          </cell>
        </row>
        <row r="948">
          <cell r="C948" t="str">
            <v>ALS15437</v>
          </cell>
          <cell r="D948" t="str">
            <v>TJ2</v>
          </cell>
          <cell r="E948">
            <v>45987</v>
          </cell>
          <cell r="F948" t="str">
            <v>助理工程师</v>
          </cell>
          <cell r="G948" t="str">
            <v>助理工程师</v>
          </cell>
          <cell r="H948" t="str">
            <v>12号楼（验证组委培）</v>
          </cell>
          <cell r="I948" t="str">
            <v>常白</v>
          </cell>
        </row>
        <row r="949">
          <cell r="C949" t="str">
            <v>ALS14826</v>
          </cell>
          <cell r="D949" t="str">
            <v>TJ2</v>
          </cell>
          <cell r="E949">
            <v>45910</v>
          </cell>
          <cell r="F949" t="str">
            <v>助理工程师</v>
          </cell>
          <cell r="G949" t="str">
            <v>助理工程师</v>
          </cell>
          <cell r="H949" t="str">
            <v>12号楼（验证组委培）</v>
          </cell>
          <cell r="I949" t="str">
            <v>常白</v>
          </cell>
        </row>
        <row r="950">
          <cell r="C950" t="str">
            <v>ALS14565</v>
          </cell>
          <cell r="D950" t="str">
            <v>TJ2</v>
          </cell>
          <cell r="E950">
            <v>45875</v>
          </cell>
          <cell r="F950" t="str">
            <v>助理工程师</v>
          </cell>
          <cell r="G950" t="str">
            <v>助理工程师</v>
          </cell>
          <cell r="H950" t="str">
            <v>12号楼（验证组委培）</v>
          </cell>
          <cell r="I950" t="str">
            <v>常白</v>
          </cell>
        </row>
        <row r="951">
          <cell r="C951" t="str">
            <v>ALS17623</v>
          </cell>
          <cell r="D951" t="str">
            <v>TJ2</v>
          </cell>
          <cell r="E951">
            <v>46197</v>
          </cell>
          <cell r="F951" t="str">
            <v>助理工程师</v>
          </cell>
          <cell r="G951" t="str">
            <v>助理工程师</v>
          </cell>
          <cell r="H951" t="str">
            <v>12号楼（验证组委培）</v>
          </cell>
          <cell r="I951" t="str">
            <v>常白</v>
          </cell>
        </row>
        <row r="952">
          <cell r="C952" t="str">
            <v>ALS13371</v>
          </cell>
          <cell r="D952" t="str">
            <v>TJ2</v>
          </cell>
          <cell r="E952">
            <v>45537</v>
          </cell>
          <cell r="F952" t="str">
            <v>操作工</v>
          </cell>
          <cell r="G952" t="str">
            <v>操作工</v>
          </cell>
          <cell r="H952" t="str">
            <v>12号楼（验证组委培）</v>
          </cell>
          <cell r="I952" t="str">
            <v>常白</v>
          </cell>
        </row>
        <row r="953">
          <cell r="C953" t="str">
            <v>ALS14246</v>
          </cell>
          <cell r="D953" t="str">
            <v>TJ2</v>
          </cell>
          <cell r="E953">
            <v>45840</v>
          </cell>
          <cell r="F953" t="str">
            <v>操作工</v>
          </cell>
          <cell r="G953" t="str">
            <v>操作工</v>
          </cell>
          <cell r="H953" t="str">
            <v>12号楼（验证组委培）</v>
          </cell>
          <cell r="I953" t="str">
            <v>常白</v>
          </cell>
        </row>
        <row r="954">
          <cell r="C954" t="str">
            <v>ALS14605</v>
          </cell>
          <cell r="D954" t="str">
            <v>TJ2</v>
          </cell>
          <cell r="E954">
            <v>45889</v>
          </cell>
          <cell r="F954" t="str">
            <v>操作工</v>
          </cell>
          <cell r="G954" t="str">
            <v>操作工</v>
          </cell>
          <cell r="H954" t="str">
            <v>12号楼（验证组委培）</v>
          </cell>
          <cell r="I954" t="str">
            <v>常白</v>
          </cell>
        </row>
        <row r="955">
          <cell r="C955" t="str">
            <v>ALS15226</v>
          </cell>
          <cell r="D955" t="str">
            <v>TJ2</v>
          </cell>
          <cell r="E955">
            <v>45966</v>
          </cell>
          <cell r="F955" t="str">
            <v>操作工</v>
          </cell>
          <cell r="G955" t="str">
            <v>操作工</v>
          </cell>
          <cell r="H955" t="str">
            <v>12号楼（验证组委培）</v>
          </cell>
          <cell r="I955" t="str">
            <v>常白</v>
          </cell>
        </row>
        <row r="956">
          <cell r="C956" t="str">
            <v>ALS18102</v>
          </cell>
          <cell r="D956" t="str">
            <v>TJ2</v>
          </cell>
          <cell r="E956">
            <v>46225</v>
          </cell>
          <cell r="F956" t="str">
            <v>操作工</v>
          </cell>
          <cell r="G956" t="str">
            <v>实习生</v>
          </cell>
          <cell r="H956" t="str">
            <v>12号楼（验证组委培）</v>
          </cell>
          <cell r="I956" t="str">
            <v>常白</v>
          </cell>
        </row>
        <row r="957">
          <cell r="C957" t="str">
            <v>ALS18210</v>
          </cell>
          <cell r="D957" t="str">
            <v>TJ2</v>
          </cell>
          <cell r="E957">
            <v>46232</v>
          </cell>
          <cell r="F957" t="str">
            <v>操作工</v>
          </cell>
          <cell r="G957" t="str">
            <v>实习生</v>
          </cell>
          <cell r="H957" t="str">
            <v>12号楼（验证组委培）</v>
          </cell>
          <cell r="I957" t="str">
            <v>常白</v>
          </cell>
        </row>
        <row r="958">
          <cell r="C958" t="str">
            <v>ABT0067</v>
          </cell>
          <cell r="D958" t="str">
            <v>CSBT</v>
          </cell>
          <cell r="E958">
            <v>44018</v>
          </cell>
          <cell r="F958" t="str">
            <v>助理工程师</v>
          </cell>
          <cell r="G958" t="str">
            <v>助理工程师</v>
          </cell>
          <cell r="H958" t="str">
            <v>12号楼（验证组委培）</v>
          </cell>
          <cell r="I958" t="str">
            <v>常白</v>
          </cell>
        </row>
        <row r="959">
          <cell r="C959" t="str">
            <v>ALS16606</v>
          </cell>
          <cell r="D959" t="str">
            <v>TJ2</v>
          </cell>
          <cell r="E959">
            <v>46139</v>
          </cell>
          <cell r="F959" t="str">
            <v>助理工程师</v>
          </cell>
          <cell r="G959" t="str">
            <v>助理工程师</v>
          </cell>
          <cell r="H959" t="str">
            <v>13号楼（验证组委培）</v>
          </cell>
          <cell r="I959" t="str">
            <v>常白</v>
          </cell>
        </row>
        <row r="960">
          <cell r="C960" t="str">
            <v>ALS16609</v>
          </cell>
          <cell r="D960" t="str">
            <v>TJ2</v>
          </cell>
          <cell r="E960">
            <v>46139</v>
          </cell>
          <cell r="F960" t="str">
            <v>助理工程师</v>
          </cell>
          <cell r="G960" t="str">
            <v>助理工程师</v>
          </cell>
          <cell r="H960" t="str">
            <v>13号楼（验证组委培）</v>
          </cell>
          <cell r="I960" t="str">
            <v>常白</v>
          </cell>
        </row>
        <row r="961">
          <cell r="C961" t="str">
            <v>ALS16601</v>
          </cell>
          <cell r="D961" t="str">
            <v>TJ2</v>
          </cell>
          <cell r="E961">
            <v>46139</v>
          </cell>
          <cell r="F961" t="str">
            <v>助理工程师</v>
          </cell>
          <cell r="G961" t="str">
            <v>助理工程师</v>
          </cell>
          <cell r="H961" t="str">
            <v>13号楼（验证组委培）</v>
          </cell>
          <cell r="I961" t="str">
            <v>常白</v>
          </cell>
        </row>
        <row r="962">
          <cell r="C962" t="str">
            <v>ALS16623</v>
          </cell>
          <cell r="D962" t="str">
            <v>TJ2</v>
          </cell>
          <cell r="E962">
            <v>46139</v>
          </cell>
          <cell r="F962" t="str">
            <v>助理工程师</v>
          </cell>
          <cell r="G962" t="str">
            <v>助理工程师</v>
          </cell>
          <cell r="H962" t="str">
            <v>13号楼（验证组委培）</v>
          </cell>
          <cell r="I962" t="str">
            <v>常白</v>
          </cell>
        </row>
        <row r="963">
          <cell r="C963" t="str">
            <v>ALS16604</v>
          </cell>
          <cell r="D963" t="str">
            <v>TJ2</v>
          </cell>
          <cell r="E963">
            <v>46139</v>
          </cell>
          <cell r="F963" t="str">
            <v>助理工程师</v>
          </cell>
          <cell r="G963" t="str">
            <v>助理工程师</v>
          </cell>
          <cell r="H963" t="str">
            <v>13号楼（验证组委培）</v>
          </cell>
          <cell r="I963" t="str">
            <v>常白</v>
          </cell>
        </row>
        <row r="964">
          <cell r="C964" t="str">
            <v>ALS16952</v>
          </cell>
          <cell r="D964" t="str">
            <v>TJ2</v>
          </cell>
          <cell r="E964">
            <v>46167</v>
          </cell>
          <cell r="F964" t="str">
            <v>助理工程师</v>
          </cell>
          <cell r="G964" t="str">
            <v>助理工程师</v>
          </cell>
          <cell r="H964" t="str">
            <v>13号楼（验证组委培）</v>
          </cell>
          <cell r="I964" t="str">
            <v>常白</v>
          </cell>
        </row>
        <row r="965">
          <cell r="C965" t="str">
            <v>ALS16628</v>
          </cell>
          <cell r="D965" t="str">
            <v>TJ2</v>
          </cell>
          <cell r="E965">
            <v>46139</v>
          </cell>
          <cell r="F965" t="str">
            <v>助理工程师</v>
          </cell>
          <cell r="G965" t="str">
            <v>助理工程师</v>
          </cell>
          <cell r="H965" t="str">
            <v>13号楼（验证组委培）</v>
          </cell>
          <cell r="I965" t="str">
            <v>常白</v>
          </cell>
        </row>
        <row r="966">
          <cell r="C966" t="str">
            <v>ALS16617</v>
          </cell>
          <cell r="D966" t="str">
            <v>TJ2</v>
          </cell>
          <cell r="E966">
            <v>46139</v>
          </cell>
          <cell r="F966" t="str">
            <v>助理工程师</v>
          </cell>
          <cell r="G966" t="str">
            <v>助理工程师</v>
          </cell>
          <cell r="H966" t="str">
            <v>13号楼（验证组委培）</v>
          </cell>
          <cell r="I966" t="str">
            <v>常白</v>
          </cell>
        </row>
        <row r="967">
          <cell r="C967" t="str">
            <v>ALS16516</v>
          </cell>
          <cell r="D967" t="str">
            <v>TJ2</v>
          </cell>
          <cell r="E967">
            <v>46134</v>
          </cell>
          <cell r="F967" t="str">
            <v>助理工程师</v>
          </cell>
          <cell r="G967" t="str">
            <v>助理工程师</v>
          </cell>
          <cell r="H967" t="str">
            <v>13号楼（验证组委培）</v>
          </cell>
          <cell r="I967" t="str">
            <v>常白</v>
          </cell>
        </row>
        <row r="968">
          <cell r="C968" t="str">
            <v>ALS9244</v>
          </cell>
          <cell r="D968" t="str">
            <v>TJ2</v>
          </cell>
          <cell r="E968">
            <v>44629</v>
          </cell>
          <cell r="F968" t="str">
            <v>副主管</v>
          </cell>
          <cell r="G968" t="str">
            <v>副主管</v>
          </cell>
          <cell r="H968" t="str">
            <v>培训&amp;合规&amp;审计组</v>
          </cell>
          <cell r="I968" t="str">
            <v>常白</v>
          </cell>
        </row>
        <row r="969">
          <cell r="C969" t="str">
            <v>ALS13782</v>
          </cell>
          <cell r="D969" t="str">
            <v>TJ2</v>
          </cell>
          <cell r="E969">
            <v>45700</v>
          </cell>
          <cell r="F969" t="str">
            <v>助理工程师</v>
          </cell>
          <cell r="G969" t="str">
            <v>助理工程师</v>
          </cell>
          <cell r="H969" t="str">
            <v>培训&amp;合规&amp;审计组</v>
          </cell>
          <cell r="I969" t="str">
            <v>常白</v>
          </cell>
        </row>
        <row r="970">
          <cell r="C970" t="str">
            <v>ALS14723</v>
          </cell>
          <cell r="D970" t="str">
            <v>TJ2</v>
          </cell>
          <cell r="E970">
            <v>45896</v>
          </cell>
          <cell r="F970" t="str">
            <v>助理工程师</v>
          </cell>
          <cell r="G970" t="str">
            <v>助理工程师</v>
          </cell>
          <cell r="H970" t="str">
            <v>培训&amp;合规&amp;审计组</v>
          </cell>
          <cell r="I970" t="str">
            <v>常白</v>
          </cell>
        </row>
        <row r="971">
          <cell r="C971" t="str">
            <v>ALS14786</v>
          </cell>
          <cell r="D971" t="str">
            <v>TJ2</v>
          </cell>
          <cell r="E971">
            <v>45908</v>
          </cell>
          <cell r="F971" t="str">
            <v>助理工程师</v>
          </cell>
          <cell r="G971" t="str">
            <v>助理工程师</v>
          </cell>
          <cell r="H971" t="str">
            <v>培训&amp;合规&amp;审计组</v>
          </cell>
          <cell r="I971" t="str">
            <v>常白</v>
          </cell>
        </row>
        <row r="972">
          <cell r="C972" t="str">
            <v>ALS16625</v>
          </cell>
          <cell r="D972" t="str">
            <v>TJ2</v>
          </cell>
          <cell r="E972">
            <v>46139</v>
          </cell>
          <cell r="F972" t="str">
            <v>助理工程师</v>
          </cell>
          <cell r="G972" t="str">
            <v>助理工程师</v>
          </cell>
          <cell r="H972" t="str">
            <v>培训&amp;合规&amp;审计组</v>
          </cell>
          <cell r="I972" t="str">
            <v>常白</v>
          </cell>
        </row>
        <row r="973">
          <cell r="C973" t="str">
            <v>ALS14613</v>
          </cell>
          <cell r="D973" t="str">
            <v>TJ2</v>
          </cell>
          <cell r="E973">
            <v>45882</v>
          </cell>
          <cell r="F973" t="str">
            <v>操作工</v>
          </cell>
          <cell r="G973" t="str">
            <v>操作工</v>
          </cell>
          <cell r="H973" t="str">
            <v>培训&amp;合规&amp;审计组</v>
          </cell>
          <cell r="I973" t="str">
            <v>常白</v>
          </cell>
        </row>
        <row r="974">
          <cell r="C974" t="str">
            <v>ALS14898</v>
          </cell>
          <cell r="D974" t="str">
            <v>TJ2</v>
          </cell>
          <cell r="E974">
            <v>45924</v>
          </cell>
          <cell r="F974" t="str">
            <v>操作工</v>
          </cell>
          <cell r="G974" t="str">
            <v>操作工</v>
          </cell>
          <cell r="H974" t="str">
            <v>培训&amp;合规&amp;审计组</v>
          </cell>
          <cell r="I974" t="str">
            <v>常白</v>
          </cell>
        </row>
        <row r="975">
          <cell r="C975" t="str">
            <v>ALS18208</v>
          </cell>
          <cell r="D975" t="str">
            <v>TJ2</v>
          </cell>
          <cell r="E975">
            <v>46232</v>
          </cell>
          <cell r="F975" t="str">
            <v>操作工</v>
          </cell>
          <cell r="G975" t="str">
            <v>实习生</v>
          </cell>
          <cell r="H975" t="str">
            <v>培训&amp;合规&amp;审计组</v>
          </cell>
          <cell r="I975" t="str">
            <v>常白</v>
          </cell>
        </row>
        <row r="976">
          <cell r="C976" t="str">
            <v>ALS18211</v>
          </cell>
          <cell r="D976" t="str">
            <v>TJ2</v>
          </cell>
          <cell r="E976">
            <v>46232</v>
          </cell>
          <cell r="F976" t="str">
            <v>操作工</v>
          </cell>
          <cell r="G976" t="str">
            <v>实习生</v>
          </cell>
          <cell r="H976" t="str">
            <v>培训&amp;合规&amp;审计组</v>
          </cell>
          <cell r="I976" t="str">
            <v>常白</v>
          </cell>
        </row>
        <row r="977">
          <cell r="C977" t="str">
            <v>ALS16454</v>
          </cell>
          <cell r="D977" t="str">
            <v>TJ2</v>
          </cell>
          <cell r="E977">
            <v>46127</v>
          </cell>
          <cell r="F977" t="str">
            <v>助理工程师</v>
          </cell>
          <cell r="G977" t="str">
            <v>助理工程师</v>
          </cell>
          <cell r="H977" t="str">
            <v>11号楼（合规组委培）</v>
          </cell>
          <cell r="I977" t="str">
            <v>常白</v>
          </cell>
        </row>
        <row r="978">
          <cell r="C978" t="str">
            <v>ALS17005</v>
          </cell>
          <cell r="D978" t="str">
            <v>TJ2</v>
          </cell>
          <cell r="E978">
            <v>46174</v>
          </cell>
          <cell r="F978" t="str">
            <v>操作工</v>
          </cell>
          <cell r="G978" t="str">
            <v>操作工</v>
          </cell>
          <cell r="H978" t="str">
            <v>11号楼（合规组委培）</v>
          </cell>
          <cell r="I978" t="str">
            <v>常白</v>
          </cell>
        </row>
        <row r="979">
          <cell r="C979" t="str">
            <v>ALS8214</v>
          </cell>
          <cell r="D979" t="str">
            <v>TJ2</v>
          </cell>
          <cell r="E979">
            <v>44431</v>
          </cell>
          <cell r="F979" t="str">
            <v>副主管</v>
          </cell>
          <cell r="G979" t="str">
            <v>副主管</v>
          </cell>
          <cell r="H979" t="str">
            <v>计算机化设备保障组</v>
          </cell>
          <cell r="I979" t="str">
            <v>常白</v>
          </cell>
        </row>
        <row r="980">
          <cell r="C980" t="str">
            <v>ALS11237</v>
          </cell>
          <cell r="D980" t="str">
            <v>TJ2</v>
          </cell>
          <cell r="E980">
            <v>44774</v>
          </cell>
          <cell r="F980" t="str">
            <v>经理</v>
          </cell>
          <cell r="G980" t="str">
            <v>经理</v>
          </cell>
          <cell r="H980" t="str">
            <v>计算机化设备保障组（4&amp;5号楼）</v>
          </cell>
          <cell r="I980" t="str">
            <v>常白</v>
          </cell>
        </row>
        <row r="981">
          <cell r="C981" t="str">
            <v>ALS15492</v>
          </cell>
          <cell r="D981" t="str">
            <v>TJ2</v>
          </cell>
          <cell r="E981">
            <v>45992</v>
          </cell>
          <cell r="F981" t="str">
            <v>工程师</v>
          </cell>
          <cell r="G981" t="str">
            <v>工程师</v>
          </cell>
          <cell r="H981" t="str">
            <v>计算机化设备保障组（4&amp;5号楼）</v>
          </cell>
          <cell r="I981" t="str">
            <v>常白</v>
          </cell>
        </row>
        <row r="982">
          <cell r="C982" t="str">
            <v>ALS13489</v>
          </cell>
          <cell r="D982" t="str">
            <v>TJ2</v>
          </cell>
          <cell r="E982">
            <v>45560</v>
          </cell>
          <cell r="F982" t="str">
            <v>助理工程师</v>
          </cell>
          <cell r="G982" t="str">
            <v>助理工程师</v>
          </cell>
          <cell r="H982" t="str">
            <v>计算机化设备保障组（4&amp;5号楼）</v>
          </cell>
          <cell r="I982" t="str">
            <v>常白</v>
          </cell>
        </row>
        <row r="983">
          <cell r="C983" t="str">
            <v>ALS14820</v>
          </cell>
          <cell r="D983" t="str">
            <v>TJ2</v>
          </cell>
          <cell r="E983">
            <v>45910</v>
          </cell>
          <cell r="F983" t="str">
            <v>助理工程师</v>
          </cell>
          <cell r="G983" t="str">
            <v>助理工程师</v>
          </cell>
          <cell r="H983" t="str">
            <v>计算机化设备保障组（4&amp;5号楼）</v>
          </cell>
          <cell r="I983" t="str">
            <v>常白</v>
          </cell>
        </row>
        <row r="984">
          <cell r="C984" t="str">
            <v>ALS15724</v>
          </cell>
          <cell r="D984" t="str">
            <v>TJ2</v>
          </cell>
          <cell r="E984">
            <v>46013</v>
          </cell>
          <cell r="F984" t="str">
            <v>助理工程师</v>
          </cell>
          <cell r="G984" t="str">
            <v>助理工程师</v>
          </cell>
          <cell r="H984" t="str">
            <v>计算机化设备保障组（4&amp;5号楼）</v>
          </cell>
          <cell r="I984" t="str">
            <v>常白</v>
          </cell>
        </row>
        <row r="985">
          <cell r="C985" t="str">
            <v>ALS17368</v>
          </cell>
          <cell r="D985" t="str">
            <v>TJ2</v>
          </cell>
          <cell r="E985">
            <v>46208</v>
          </cell>
          <cell r="F985" t="str">
            <v>助理工程师</v>
          </cell>
          <cell r="G985" t="str">
            <v>助理工程师</v>
          </cell>
          <cell r="H985" t="str">
            <v>计算机化设备保障组（4&amp;5号楼）</v>
          </cell>
          <cell r="I985" t="str">
            <v>常白</v>
          </cell>
        </row>
        <row r="986">
          <cell r="C986" t="str">
            <v>ALS17420</v>
          </cell>
          <cell r="D986" t="str">
            <v>TJ2</v>
          </cell>
          <cell r="E986">
            <v>46215</v>
          </cell>
          <cell r="F986" t="str">
            <v>助理工程师</v>
          </cell>
          <cell r="G986" t="str">
            <v>助理工程师</v>
          </cell>
          <cell r="H986" t="str">
            <v>计算机化设备保障组（4&amp;5号楼）</v>
          </cell>
          <cell r="I986" t="str">
            <v>常白</v>
          </cell>
        </row>
        <row r="987">
          <cell r="C987" t="str">
            <v>ALS17469</v>
          </cell>
          <cell r="D987" t="str">
            <v>TJ2</v>
          </cell>
          <cell r="E987">
            <v>46215</v>
          </cell>
          <cell r="F987" t="str">
            <v>助理工程师</v>
          </cell>
          <cell r="G987" t="str">
            <v>助理工程师</v>
          </cell>
          <cell r="H987" t="str">
            <v>计算机化设备保障组（4&amp;5号楼）</v>
          </cell>
          <cell r="I987" t="str">
            <v>常白</v>
          </cell>
        </row>
        <row r="988">
          <cell r="C988" t="str">
            <v>ALS18033</v>
          </cell>
          <cell r="D988" t="str">
            <v>TJ2</v>
          </cell>
          <cell r="E988">
            <v>46225</v>
          </cell>
          <cell r="F988" t="str">
            <v>助理工程师</v>
          </cell>
          <cell r="G988" t="str">
            <v>助理工程师</v>
          </cell>
          <cell r="H988" t="str">
            <v>计算机化设备保障组（4&amp;5号楼）</v>
          </cell>
          <cell r="I988" t="str">
            <v>常白</v>
          </cell>
        </row>
        <row r="989">
          <cell r="C989" t="str">
            <v>ALS17766</v>
          </cell>
          <cell r="D989" t="str">
            <v>TJ2</v>
          </cell>
          <cell r="E989">
            <v>46204</v>
          </cell>
          <cell r="F989" t="str">
            <v>助理工程师</v>
          </cell>
          <cell r="G989" t="str">
            <v>助理工程师</v>
          </cell>
          <cell r="H989" t="str">
            <v>4号楼（计算机化设备保障组委培）</v>
          </cell>
          <cell r="I989" t="str">
            <v>常白</v>
          </cell>
        </row>
        <row r="990">
          <cell r="C990" t="str">
            <v>ALS17606</v>
          </cell>
          <cell r="D990" t="str">
            <v>TJ2</v>
          </cell>
          <cell r="E990">
            <v>46197</v>
          </cell>
          <cell r="F990" t="str">
            <v>助理工程师</v>
          </cell>
          <cell r="G990" t="str">
            <v>助理工程师</v>
          </cell>
          <cell r="H990" t="str">
            <v>4号楼（计算机化设备保障组委培）</v>
          </cell>
          <cell r="I990" t="str">
            <v>常白</v>
          </cell>
        </row>
        <row r="991">
          <cell r="C991" t="str">
            <v>ALS17388</v>
          </cell>
          <cell r="D991" t="str">
            <v>TJ2</v>
          </cell>
          <cell r="E991">
            <v>46215</v>
          </cell>
          <cell r="F991" t="str">
            <v>助理工程师</v>
          </cell>
          <cell r="G991" t="str">
            <v>助理工程师</v>
          </cell>
          <cell r="H991" t="str">
            <v>4号楼（计算机化设备保障组委培）</v>
          </cell>
          <cell r="I991" t="str">
            <v>常白</v>
          </cell>
        </row>
        <row r="992">
          <cell r="C992" t="str">
            <v>ALS17349</v>
          </cell>
          <cell r="D992" t="str">
            <v>TJ2</v>
          </cell>
          <cell r="E992">
            <v>46215</v>
          </cell>
          <cell r="F992" t="str">
            <v>助理工程师</v>
          </cell>
          <cell r="G992" t="str">
            <v>助理工程师</v>
          </cell>
          <cell r="H992" t="str">
            <v>5号楼（计算机化设备保障组委培）</v>
          </cell>
          <cell r="I992" t="str">
            <v>常白</v>
          </cell>
        </row>
        <row r="993">
          <cell r="C993" t="str">
            <v>ALS17472</v>
          </cell>
          <cell r="D993" t="str">
            <v>TJ2</v>
          </cell>
          <cell r="E993">
            <v>46215</v>
          </cell>
          <cell r="F993" t="str">
            <v>助理工程师</v>
          </cell>
          <cell r="G993" t="str">
            <v>助理工程师</v>
          </cell>
          <cell r="H993" t="str">
            <v>5号楼（计算机化设备保障组委培）</v>
          </cell>
          <cell r="I993" t="str">
            <v>常白</v>
          </cell>
        </row>
        <row r="994">
          <cell r="C994" t="str">
            <v>ALS17384</v>
          </cell>
          <cell r="D994" t="str">
            <v>TJ2</v>
          </cell>
          <cell r="E994">
            <v>46215</v>
          </cell>
          <cell r="F994" t="str">
            <v>助理工程师</v>
          </cell>
          <cell r="G994" t="str">
            <v>助理工程师</v>
          </cell>
          <cell r="H994" t="str">
            <v>5号楼（计算机化设备保障组委培）</v>
          </cell>
          <cell r="I994" t="str">
            <v>常白</v>
          </cell>
        </row>
        <row r="995">
          <cell r="C995" t="str">
            <v>ALS17382</v>
          </cell>
          <cell r="D995" t="str">
            <v>TJ2</v>
          </cell>
          <cell r="E995">
            <v>46215</v>
          </cell>
          <cell r="F995" t="str">
            <v>助理工程师</v>
          </cell>
          <cell r="G995" t="str">
            <v>助理工程师</v>
          </cell>
          <cell r="H995" t="str">
            <v>11号楼（计算机化设备保障组委培）</v>
          </cell>
          <cell r="I995" t="str">
            <v>常白</v>
          </cell>
        </row>
        <row r="996">
          <cell r="C996" t="str">
            <v>ALS17385</v>
          </cell>
          <cell r="D996" t="str">
            <v>TJ2</v>
          </cell>
          <cell r="E996">
            <v>46215</v>
          </cell>
          <cell r="F996" t="str">
            <v>助理工程师</v>
          </cell>
          <cell r="G996" t="str">
            <v>助理工程师</v>
          </cell>
          <cell r="H996" t="str">
            <v>12号楼（计算机化设备保障组委培）</v>
          </cell>
          <cell r="I996" t="str">
            <v>常白</v>
          </cell>
        </row>
        <row r="997">
          <cell r="C997" t="str">
            <v>ALS16622</v>
          </cell>
          <cell r="D997" t="str">
            <v>TJ2</v>
          </cell>
          <cell r="E997">
            <v>46139</v>
          </cell>
          <cell r="F997" t="str">
            <v>助理工程师</v>
          </cell>
          <cell r="G997" t="str">
            <v>助理工程师</v>
          </cell>
          <cell r="H997" t="str">
            <v>13号楼（计算机化设备保障组委培）</v>
          </cell>
          <cell r="I997" t="str">
            <v>常白</v>
          </cell>
        </row>
        <row r="998">
          <cell r="C998" t="str">
            <v>ALS10321</v>
          </cell>
          <cell r="D998" t="str">
            <v>TJ2</v>
          </cell>
          <cell r="E998">
            <v>44734</v>
          </cell>
          <cell r="F998" t="str">
            <v>经理</v>
          </cell>
          <cell r="G998" t="str">
            <v>经理</v>
          </cell>
          <cell r="H998" t="str">
            <v>计算机化设备保障组（11&amp;12号楼）</v>
          </cell>
          <cell r="I998" t="str">
            <v>常白</v>
          </cell>
        </row>
        <row r="999">
          <cell r="C999" t="str">
            <v>ALS14414</v>
          </cell>
          <cell r="D999" t="str">
            <v>TJ2</v>
          </cell>
          <cell r="E999">
            <v>45854</v>
          </cell>
          <cell r="F999" t="str">
            <v>助理工程师</v>
          </cell>
          <cell r="G999" t="str">
            <v>助理工程师</v>
          </cell>
          <cell r="H999" t="str">
            <v>计算机化设备保障组（11&amp;12号楼）</v>
          </cell>
          <cell r="I999" t="str">
            <v>常白</v>
          </cell>
        </row>
        <row r="1000">
          <cell r="C1000" t="str">
            <v>ALS14791</v>
          </cell>
          <cell r="D1000" t="str">
            <v>TJ2</v>
          </cell>
          <cell r="E1000">
            <v>45908</v>
          </cell>
          <cell r="F1000" t="str">
            <v>助理工程师</v>
          </cell>
          <cell r="G1000" t="str">
            <v>助理工程师</v>
          </cell>
          <cell r="H1000" t="str">
            <v>计算机化设备保障组（11&amp;12号楼）</v>
          </cell>
          <cell r="I1000" t="str">
            <v>常白</v>
          </cell>
        </row>
        <row r="1001">
          <cell r="C1001" t="str">
            <v>ALS15768</v>
          </cell>
          <cell r="D1001" t="str">
            <v>TJ2</v>
          </cell>
          <cell r="E1001">
            <v>46015</v>
          </cell>
          <cell r="F1001" t="str">
            <v>助理工程师</v>
          </cell>
          <cell r="G1001" t="str">
            <v>助理工程师</v>
          </cell>
          <cell r="H1001" t="str">
            <v>计算机化设备保障组（11&amp;12号楼）</v>
          </cell>
          <cell r="I1001" t="str">
            <v>常白</v>
          </cell>
        </row>
        <row r="1002">
          <cell r="C1002" t="str">
            <v>ALS16267</v>
          </cell>
          <cell r="D1002" t="str">
            <v>TJ2</v>
          </cell>
          <cell r="E1002">
            <v>46113</v>
          </cell>
          <cell r="F1002" t="str">
            <v>助理工程师</v>
          </cell>
          <cell r="G1002" t="str">
            <v>助理工程师</v>
          </cell>
          <cell r="H1002" t="str">
            <v>计算机化设备保障组（11&amp;12号楼）</v>
          </cell>
          <cell r="I1002" t="str">
            <v>常白</v>
          </cell>
        </row>
        <row r="1003">
          <cell r="C1003" t="str">
            <v>ALS17626</v>
          </cell>
          <cell r="D1003" t="str">
            <v>TJ2</v>
          </cell>
          <cell r="E1003">
            <v>46197</v>
          </cell>
          <cell r="F1003" t="str">
            <v>助理工程师</v>
          </cell>
          <cell r="G1003" t="str">
            <v>助理工程师</v>
          </cell>
          <cell r="H1003" t="str">
            <v>计算机化设备保障组（11&amp;12号楼）</v>
          </cell>
          <cell r="I1003" t="str">
            <v>常白</v>
          </cell>
        </row>
        <row r="1004">
          <cell r="C1004" t="str">
            <v>ALS17364</v>
          </cell>
          <cell r="D1004" t="str">
            <v>TJ2</v>
          </cell>
          <cell r="E1004">
            <v>46208</v>
          </cell>
          <cell r="F1004" t="str">
            <v>助理工程师</v>
          </cell>
          <cell r="G1004" t="str">
            <v>助理工程师</v>
          </cell>
          <cell r="H1004" t="str">
            <v>计算机化设备保障组（11&amp;12号楼）</v>
          </cell>
          <cell r="I1004" t="str">
            <v>常白</v>
          </cell>
        </row>
        <row r="1005">
          <cell r="C1005" t="str">
            <v>ALS18032</v>
          </cell>
          <cell r="D1005" t="str">
            <v>TJ2</v>
          </cell>
          <cell r="E1005">
            <v>46225</v>
          </cell>
          <cell r="F1005" t="str">
            <v>助理工程师</v>
          </cell>
          <cell r="G1005" t="str">
            <v>助理工程师</v>
          </cell>
          <cell r="H1005" t="str">
            <v>计算机化设备保障组（11&amp;12号楼）</v>
          </cell>
          <cell r="I1005" t="str">
            <v>常白</v>
          </cell>
        </row>
        <row r="1006">
          <cell r="C1006" t="str">
            <v>ALS7144</v>
          </cell>
          <cell r="D1006" t="str">
            <v>TJ2</v>
          </cell>
          <cell r="E1006">
            <v>44258</v>
          </cell>
          <cell r="F1006" t="str">
            <v>副主管</v>
          </cell>
          <cell r="G1006" t="str">
            <v>副主管</v>
          </cell>
          <cell r="H1006" t="str">
            <v>DCS&amp;仪表组</v>
          </cell>
          <cell r="I1006" t="str">
            <v>常白</v>
          </cell>
        </row>
        <row r="1007">
          <cell r="C1007" t="str">
            <v>ALS10164</v>
          </cell>
          <cell r="D1007" t="str">
            <v>TJ2</v>
          </cell>
          <cell r="E1007">
            <v>44755</v>
          </cell>
          <cell r="F1007" t="str">
            <v>经理</v>
          </cell>
          <cell r="G1007" t="str">
            <v>经理</v>
          </cell>
          <cell r="H1007" t="str">
            <v>DCS&amp;仪表组</v>
          </cell>
          <cell r="I1007" t="str">
            <v>常白</v>
          </cell>
        </row>
        <row r="1008">
          <cell r="C1008" t="str">
            <v>ALS17058</v>
          </cell>
          <cell r="D1008" t="str">
            <v>TJ2</v>
          </cell>
          <cell r="E1008">
            <v>46188</v>
          </cell>
          <cell r="F1008" t="str">
            <v>工程师</v>
          </cell>
          <cell r="G1008" t="str">
            <v>工程师</v>
          </cell>
          <cell r="H1008" t="str">
            <v>DCS&amp;仪表组</v>
          </cell>
          <cell r="I1008" t="str">
            <v>常白</v>
          </cell>
        </row>
        <row r="1009">
          <cell r="C1009" t="str">
            <v>ALS10177</v>
          </cell>
          <cell r="D1009" t="str">
            <v>TJ2</v>
          </cell>
          <cell r="E1009">
            <v>44755</v>
          </cell>
          <cell r="F1009" t="str">
            <v>助理工程师</v>
          </cell>
          <cell r="G1009" t="str">
            <v>助理工程师</v>
          </cell>
          <cell r="H1009" t="str">
            <v>DCS&amp;仪表组</v>
          </cell>
          <cell r="I1009" t="str">
            <v>常白</v>
          </cell>
        </row>
        <row r="1010">
          <cell r="C1010" t="str">
            <v>ALS14056</v>
          </cell>
          <cell r="D1010" t="str">
            <v>TJ2</v>
          </cell>
          <cell r="E1010">
            <v>45798</v>
          </cell>
          <cell r="F1010" t="str">
            <v>助理工程师</v>
          </cell>
          <cell r="G1010" t="str">
            <v>助理工程师</v>
          </cell>
          <cell r="H1010" t="str">
            <v>DCS&amp;仪表组</v>
          </cell>
          <cell r="I1010" t="str">
            <v>常白</v>
          </cell>
        </row>
        <row r="1011">
          <cell r="C1011" t="str">
            <v>ALS17140</v>
          </cell>
          <cell r="D1011" t="str">
            <v>TJ2</v>
          </cell>
          <cell r="E1011">
            <v>46183</v>
          </cell>
          <cell r="F1011" t="str">
            <v>助理工程师</v>
          </cell>
          <cell r="G1011" t="str">
            <v>助理工程师</v>
          </cell>
          <cell r="H1011" t="str">
            <v>DCS&amp;仪表组</v>
          </cell>
          <cell r="I1011" t="str">
            <v>常白</v>
          </cell>
        </row>
        <row r="1012">
          <cell r="C1012" t="str">
            <v>ALS17596</v>
          </cell>
          <cell r="D1012" t="str">
            <v>TJ2</v>
          </cell>
          <cell r="E1012">
            <v>46197</v>
          </cell>
          <cell r="F1012" t="str">
            <v>助理工程师</v>
          </cell>
          <cell r="G1012" t="str">
            <v>助理工程师</v>
          </cell>
          <cell r="H1012" t="str">
            <v>DCS&amp;仪表组</v>
          </cell>
          <cell r="I1012" t="str">
            <v>常白</v>
          </cell>
        </row>
        <row r="1013">
          <cell r="C1013" t="str">
            <v>ALS15601</v>
          </cell>
          <cell r="D1013" t="str">
            <v>TJ2</v>
          </cell>
          <cell r="E1013">
            <v>46001</v>
          </cell>
          <cell r="F1013" t="str">
            <v>工程师</v>
          </cell>
          <cell r="G1013" t="str">
            <v>工程师</v>
          </cell>
          <cell r="H1013" t="str">
            <v>DCS&amp;仪表组</v>
          </cell>
          <cell r="I1013" t="str">
            <v>常白</v>
          </cell>
        </row>
        <row r="1014">
          <cell r="C1014" t="str">
            <v>ALS16323</v>
          </cell>
          <cell r="D1014" t="str">
            <v>TJ2</v>
          </cell>
          <cell r="E1014">
            <v>46120</v>
          </cell>
          <cell r="F1014" t="str">
            <v>工程师</v>
          </cell>
          <cell r="G1014" t="str">
            <v>工程师</v>
          </cell>
          <cell r="H1014" t="str">
            <v>DCS&amp;仪表组</v>
          </cell>
          <cell r="I1014" t="str">
            <v>常白</v>
          </cell>
        </row>
        <row r="1015">
          <cell r="C1015" t="str">
            <v>ALS17054</v>
          </cell>
          <cell r="D1015" t="str">
            <v>TJ2</v>
          </cell>
          <cell r="E1015">
            <v>46176</v>
          </cell>
          <cell r="F1015" t="str">
            <v>工程师</v>
          </cell>
          <cell r="G1015" t="str">
            <v>工程师</v>
          </cell>
          <cell r="H1015" t="str">
            <v>DCS&amp;仪表组</v>
          </cell>
          <cell r="I1015" t="str">
            <v>常白</v>
          </cell>
        </row>
        <row r="1016">
          <cell r="C1016" t="str">
            <v>ALS18172</v>
          </cell>
          <cell r="D1016" t="str">
            <v>TJ2</v>
          </cell>
          <cell r="E1016">
            <v>46232</v>
          </cell>
          <cell r="F1016" t="str">
            <v>工程师</v>
          </cell>
          <cell r="G1016" t="str">
            <v>工程师</v>
          </cell>
          <cell r="H1016" t="str">
            <v>DCS&amp;仪表组</v>
          </cell>
          <cell r="I1016" t="str">
            <v>常白</v>
          </cell>
        </row>
        <row r="1017">
          <cell r="C1017" t="str">
            <v>ALS13365</v>
          </cell>
          <cell r="D1017" t="str">
            <v>TJ2</v>
          </cell>
          <cell r="E1017">
            <v>45532</v>
          </cell>
          <cell r="F1017" t="str">
            <v>操作工</v>
          </cell>
          <cell r="G1017" t="str">
            <v>操作工</v>
          </cell>
          <cell r="H1017" t="str">
            <v>DCS&amp;仪表组</v>
          </cell>
          <cell r="I1017" t="str">
            <v>倒班</v>
          </cell>
        </row>
        <row r="1018">
          <cell r="C1018" t="str">
            <v>ALS13372</v>
          </cell>
          <cell r="D1018" t="str">
            <v>TJ2</v>
          </cell>
          <cell r="E1018">
            <v>45537</v>
          </cell>
          <cell r="F1018" t="str">
            <v>操作工</v>
          </cell>
          <cell r="G1018" t="str">
            <v>操作工</v>
          </cell>
          <cell r="H1018" t="str">
            <v>DCS&amp;仪表组</v>
          </cell>
          <cell r="I1018" t="str">
            <v>倒班</v>
          </cell>
        </row>
        <row r="1019">
          <cell r="C1019" t="str">
            <v>ALS13556</v>
          </cell>
          <cell r="D1019" t="str">
            <v>TJ2</v>
          </cell>
          <cell r="E1019">
            <v>45593</v>
          </cell>
          <cell r="F1019" t="str">
            <v>操作工</v>
          </cell>
          <cell r="G1019" t="str">
            <v>操作工</v>
          </cell>
          <cell r="H1019" t="str">
            <v>DCS&amp;仪表组</v>
          </cell>
          <cell r="I1019" t="str">
            <v>倒班</v>
          </cell>
        </row>
        <row r="1020">
          <cell r="C1020" t="str">
            <v>ALS14822</v>
          </cell>
          <cell r="D1020" t="str">
            <v>TJ2</v>
          </cell>
          <cell r="E1020">
            <v>45910</v>
          </cell>
          <cell r="F1020" t="str">
            <v>操作工</v>
          </cell>
          <cell r="G1020" t="str">
            <v>操作工</v>
          </cell>
          <cell r="H1020" t="str">
            <v>DCS&amp;仪表组</v>
          </cell>
          <cell r="I1020" t="str">
            <v>倒班</v>
          </cell>
        </row>
        <row r="1021">
          <cell r="C1021" t="str">
            <v>ALS14823</v>
          </cell>
          <cell r="D1021" t="str">
            <v>TJ2</v>
          </cell>
          <cell r="E1021">
            <v>45910</v>
          </cell>
          <cell r="F1021" t="str">
            <v>操作工</v>
          </cell>
          <cell r="G1021" t="str">
            <v>操作工</v>
          </cell>
          <cell r="H1021" t="str">
            <v>DCS&amp;仪表组</v>
          </cell>
          <cell r="I1021" t="str">
            <v>倒班</v>
          </cell>
        </row>
        <row r="1022">
          <cell r="C1022" t="str">
            <v>ALS14872</v>
          </cell>
          <cell r="D1022" t="str">
            <v>TJ2</v>
          </cell>
          <cell r="E1022">
            <v>45917</v>
          </cell>
          <cell r="F1022" t="str">
            <v>操作工</v>
          </cell>
          <cell r="G1022" t="str">
            <v>操作工</v>
          </cell>
          <cell r="H1022" t="str">
            <v>DCS&amp;仪表组</v>
          </cell>
          <cell r="I1022" t="str">
            <v>倒班</v>
          </cell>
        </row>
        <row r="1023">
          <cell r="C1023" t="str">
            <v>ALS17621</v>
          </cell>
          <cell r="D1023" t="str">
            <v>TJ2</v>
          </cell>
          <cell r="E1023">
            <v>46197</v>
          </cell>
          <cell r="F1023" t="str">
            <v>操作工</v>
          </cell>
          <cell r="G1023" t="str">
            <v>操作工</v>
          </cell>
          <cell r="H1023" t="str">
            <v>DCS&amp;仪表组</v>
          </cell>
          <cell r="I1023" t="str">
            <v>常白</v>
          </cell>
        </row>
        <row r="1024">
          <cell r="C1024" t="str">
            <v>ALS16276</v>
          </cell>
          <cell r="D1024" t="str">
            <v>TJ2</v>
          </cell>
          <cell r="E1024">
            <v>46113</v>
          </cell>
          <cell r="F1024" t="str">
            <v>操作工</v>
          </cell>
          <cell r="G1024" t="str">
            <v>操作工</v>
          </cell>
          <cell r="H1024" t="str">
            <v>DCS&amp;仪表组</v>
          </cell>
          <cell r="I1024" t="str">
            <v>常白</v>
          </cell>
        </row>
        <row r="1025">
          <cell r="C1025" t="str">
            <v>ALS18048</v>
          </cell>
          <cell r="D1025" t="str">
            <v>TJ2</v>
          </cell>
          <cell r="E1025">
            <v>46225</v>
          </cell>
          <cell r="F1025" t="str">
            <v>操作工</v>
          </cell>
          <cell r="G1025" t="str">
            <v>操作工</v>
          </cell>
          <cell r="H1025" t="str">
            <v>DCS&amp;仪表组</v>
          </cell>
          <cell r="I1025" t="str">
            <v>常白</v>
          </cell>
        </row>
        <row r="1026">
          <cell r="C1026" t="str">
            <v>ALS18179</v>
          </cell>
          <cell r="D1026" t="str">
            <v>TJ2</v>
          </cell>
          <cell r="E1026">
            <v>46232</v>
          </cell>
          <cell r="F1026" t="str">
            <v>操作工</v>
          </cell>
          <cell r="G1026" t="str">
            <v>实习生</v>
          </cell>
          <cell r="H1026" t="str">
            <v>DCS&amp;仪表组</v>
          </cell>
          <cell r="I1026" t="str">
            <v>常白</v>
          </cell>
        </row>
        <row r="1027">
          <cell r="C1027" t="str">
            <v>ALS18180</v>
          </cell>
          <cell r="D1027" t="str">
            <v>TJ2</v>
          </cell>
          <cell r="E1027">
            <v>46232</v>
          </cell>
          <cell r="F1027" t="str">
            <v>操作工</v>
          </cell>
          <cell r="G1027" t="str">
            <v>实习生</v>
          </cell>
          <cell r="H1027" t="str">
            <v>DCS&amp;仪表组</v>
          </cell>
          <cell r="I1027" t="str">
            <v>常白</v>
          </cell>
        </row>
        <row r="1028">
          <cell r="C1028" t="str">
            <v>ALS18181</v>
          </cell>
          <cell r="D1028" t="str">
            <v>TJ2</v>
          </cell>
          <cell r="E1028">
            <v>46232</v>
          </cell>
          <cell r="F1028" t="str">
            <v>操作工</v>
          </cell>
          <cell r="G1028" t="str">
            <v>实习生</v>
          </cell>
          <cell r="H1028" t="str">
            <v>DCS&amp;仪表组</v>
          </cell>
          <cell r="I1028" t="str">
            <v>常白</v>
          </cell>
        </row>
        <row r="1029">
          <cell r="C1029" t="str">
            <v>ALS18287</v>
          </cell>
          <cell r="D1029" t="str">
            <v>TJ2</v>
          </cell>
          <cell r="E1029">
            <v>46246</v>
          </cell>
          <cell r="F1029" t="str">
            <v>操作工</v>
          </cell>
          <cell r="G1029" t="str">
            <v>实习生</v>
          </cell>
          <cell r="H1029" t="str">
            <v>DCS&amp;仪表组</v>
          </cell>
          <cell r="I1029" t="str">
            <v>常白</v>
          </cell>
        </row>
        <row r="1030">
          <cell r="C1030" t="str">
            <v>ALS15336</v>
          </cell>
          <cell r="D1030" t="str">
            <v>TJ2</v>
          </cell>
          <cell r="E1030">
            <v>45980</v>
          </cell>
          <cell r="F1030" t="str">
            <v>工程师</v>
          </cell>
          <cell r="G1030" t="str">
            <v>工程师</v>
          </cell>
          <cell r="H1030" t="str">
            <v>自控组</v>
          </cell>
          <cell r="I1030" t="str">
            <v>常白</v>
          </cell>
        </row>
        <row r="1031">
          <cell r="C1031" t="str">
            <v>AMT0020</v>
          </cell>
          <cell r="D1031" t="str">
            <v>TJ2</v>
          </cell>
          <cell r="E1031">
            <v>42914</v>
          </cell>
          <cell r="F1031" t="str">
            <v>工程师</v>
          </cell>
          <cell r="G1031" t="str">
            <v>工程师</v>
          </cell>
          <cell r="H1031" t="str">
            <v>自控组</v>
          </cell>
          <cell r="I1031" t="str">
            <v>常白</v>
          </cell>
        </row>
        <row r="1032">
          <cell r="C1032" t="str">
            <v>AMT0122</v>
          </cell>
          <cell r="D1032" t="str">
            <v>TJ2</v>
          </cell>
          <cell r="E1032">
            <v>44755</v>
          </cell>
          <cell r="F1032" t="str">
            <v>工程师</v>
          </cell>
          <cell r="G1032" t="str">
            <v>工程师</v>
          </cell>
          <cell r="H1032" t="str">
            <v>自控组</v>
          </cell>
          <cell r="I1032" t="str">
            <v>常白</v>
          </cell>
        </row>
        <row r="1033">
          <cell r="C1033" t="str">
            <v>ALS15769</v>
          </cell>
          <cell r="D1033" t="str">
            <v>TJ2</v>
          </cell>
          <cell r="E1033">
            <v>46015</v>
          </cell>
          <cell r="F1033" t="str">
            <v>工程师</v>
          </cell>
          <cell r="G1033" t="str">
            <v>工程师</v>
          </cell>
          <cell r="H1033" t="str">
            <v>自控组</v>
          </cell>
          <cell r="I1033" t="str">
            <v>常白</v>
          </cell>
        </row>
        <row r="1034">
          <cell r="C1034" t="str">
            <v>ALS16491</v>
          </cell>
          <cell r="D1034" t="str">
            <v>TJ2</v>
          </cell>
          <cell r="E1034">
            <v>46134</v>
          </cell>
          <cell r="F1034" t="str">
            <v>工程师</v>
          </cell>
          <cell r="G1034" t="str">
            <v>工程师</v>
          </cell>
          <cell r="H1034" t="str">
            <v>自控组</v>
          </cell>
          <cell r="I1034" t="str">
            <v>常白</v>
          </cell>
        </row>
        <row r="1035">
          <cell r="C1035" t="str">
            <v>ALS16969</v>
          </cell>
          <cell r="D1035" t="str">
            <v>TJ2</v>
          </cell>
          <cell r="E1035">
            <v>46169</v>
          </cell>
          <cell r="F1035" t="str">
            <v>工程师</v>
          </cell>
          <cell r="G1035" t="str">
            <v>工程师</v>
          </cell>
          <cell r="H1035" t="str">
            <v>自控组</v>
          </cell>
          <cell r="I1035" t="str">
            <v>常白</v>
          </cell>
        </row>
        <row r="1036">
          <cell r="C1036" t="str">
            <v>ALS18015</v>
          </cell>
          <cell r="D1036" t="str">
            <v>TJ2</v>
          </cell>
          <cell r="E1036">
            <v>46225</v>
          </cell>
          <cell r="F1036" t="str">
            <v>工程师</v>
          </cell>
          <cell r="G1036" t="str">
            <v>工程师</v>
          </cell>
          <cell r="H1036" t="str">
            <v>自控组</v>
          </cell>
          <cell r="I1036" t="str">
            <v>常白</v>
          </cell>
        </row>
        <row r="1037">
          <cell r="C1037" t="str">
            <v>ACT481</v>
          </cell>
          <cell r="D1037" t="str">
            <v>TJ2</v>
          </cell>
          <cell r="E1037">
            <v>38271</v>
          </cell>
          <cell r="F1037" t="str">
            <v>主管</v>
          </cell>
          <cell r="G1037" t="str">
            <v>主管</v>
          </cell>
          <cell r="H1037" t="str">
            <v>安全组（4号楼）</v>
          </cell>
          <cell r="I1037" t="str">
            <v>常白</v>
          </cell>
        </row>
        <row r="1038">
          <cell r="C1038" t="str">
            <v>ACT2667</v>
          </cell>
          <cell r="D1038" t="str">
            <v>TJ2</v>
          </cell>
          <cell r="E1038">
            <v>38411</v>
          </cell>
          <cell r="F1038" t="str">
            <v>工程师</v>
          </cell>
          <cell r="G1038" t="str">
            <v>工程师</v>
          </cell>
          <cell r="H1038" t="str">
            <v>安全组（11号楼）</v>
          </cell>
          <cell r="I1038" t="str">
            <v>常白</v>
          </cell>
        </row>
        <row r="1039">
          <cell r="C1039" t="str">
            <v>ALS16004</v>
          </cell>
          <cell r="D1039" t="str">
            <v>TJ2</v>
          </cell>
          <cell r="E1039">
            <v>46043</v>
          </cell>
          <cell r="F1039" t="str">
            <v>安全员</v>
          </cell>
          <cell r="G1039" t="str">
            <v>安全员</v>
          </cell>
          <cell r="H1039" t="str">
            <v>安全组（5号楼）</v>
          </cell>
          <cell r="I1039" t="str">
            <v>常白</v>
          </cell>
        </row>
        <row r="1040">
          <cell r="C1040" t="str">
            <v>ALS16090</v>
          </cell>
          <cell r="D1040" t="str">
            <v>TJ2</v>
          </cell>
          <cell r="E1040">
            <v>46085</v>
          </cell>
          <cell r="F1040" t="str">
            <v>安全员</v>
          </cell>
          <cell r="G1040" t="str">
            <v>安全员</v>
          </cell>
          <cell r="H1040" t="str">
            <v>安全组（12号楼）</v>
          </cell>
          <cell r="I1040" t="str">
            <v>常白</v>
          </cell>
        </row>
        <row r="1041">
          <cell r="C1041" t="str">
            <v>ALS16123</v>
          </cell>
          <cell r="D1041" t="str">
            <v>TJ2</v>
          </cell>
          <cell r="E1041">
            <v>46092</v>
          </cell>
          <cell r="F1041" t="str">
            <v>助理工程师</v>
          </cell>
          <cell r="G1041" t="str">
            <v>助理工程师</v>
          </cell>
          <cell r="H1041" t="str">
            <v>安全组（12号楼）</v>
          </cell>
          <cell r="I1041" t="str">
            <v>常白</v>
          </cell>
        </row>
        <row r="1042">
          <cell r="C1042" t="str">
            <v>ALS0084</v>
          </cell>
          <cell r="D1042" t="str">
            <v>TJ2</v>
          </cell>
          <cell r="E1042">
            <v>39065</v>
          </cell>
          <cell r="F1042" t="str">
            <v>车间主任</v>
          </cell>
          <cell r="G1042" t="str">
            <v>车间主任</v>
          </cell>
          <cell r="H1042" t="str">
            <v>清洗组（11号楼）</v>
          </cell>
          <cell r="I1042" t="str">
            <v>常白</v>
          </cell>
        </row>
        <row r="1043">
          <cell r="C1043" t="str">
            <v>ACT2128</v>
          </cell>
          <cell r="D1043" t="str">
            <v>TJ2</v>
          </cell>
          <cell r="E1043">
            <v>41487</v>
          </cell>
          <cell r="F1043" t="str">
            <v>班长</v>
          </cell>
          <cell r="G1043" t="str">
            <v>班长</v>
          </cell>
          <cell r="H1043" t="str">
            <v>清洗组（4号楼）</v>
          </cell>
          <cell r="I1043" t="str">
            <v>常白</v>
          </cell>
        </row>
        <row r="1044">
          <cell r="C1044" t="str">
            <v>ALS4400</v>
          </cell>
          <cell r="D1044" t="str">
            <v>TJ2</v>
          </cell>
          <cell r="E1044">
            <v>43271</v>
          </cell>
          <cell r="F1044" t="str">
            <v>助理工程师</v>
          </cell>
          <cell r="G1044" t="str">
            <v>助理工程师</v>
          </cell>
          <cell r="H1044" t="str">
            <v>清洗组（4号楼）</v>
          </cell>
          <cell r="I1044" t="str">
            <v>常白</v>
          </cell>
        </row>
        <row r="1045">
          <cell r="C1045" t="str">
            <v>ALS3661</v>
          </cell>
          <cell r="D1045" t="str">
            <v>TJ2</v>
          </cell>
          <cell r="E1045">
            <v>42949</v>
          </cell>
          <cell r="F1045" t="str">
            <v>操作工</v>
          </cell>
          <cell r="G1045" t="str">
            <v>保全工</v>
          </cell>
          <cell r="H1045" t="str">
            <v>清洗组（4号楼）</v>
          </cell>
          <cell r="I1045" t="str">
            <v>常白</v>
          </cell>
        </row>
        <row r="1046">
          <cell r="C1046" t="str">
            <v>ALS13708</v>
          </cell>
          <cell r="D1046" t="str">
            <v>TJ2</v>
          </cell>
          <cell r="E1046">
            <v>45642</v>
          </cell>
          <cell r="F1046" t="str">
            <v>清洗工</v>
          </cell>
          <cell r="G1046" t="str">
            <v>清洗工</v>
          </cell>
          <cell r="H1046" t="str">
            <v>清洗组（4号楼）</v>
          </cell>
          <cell r="I1046" t="str">
            <v>常白</v>
          </cell>
        </row>
        <row r="1047">
          <cell r="C1047" t="str">
            <v>ALS14336</v>
          </cell>
          <cell r="D1047" t="str">
            <v>TJ2</v>
          </cell>
          <cell r="E1047">
            <v>45847</v>
          </cell>
          <cell r="F1047" t="str">
            <v>操作工</v>
          </cell>
          <cell r="G1047" t="str">
            <v>操作工</v>
          </cell>
          <cell r="H1047" t="str">
            <v>清洗组（4号楼）</v>
          </cell>
          <cell r="I1047" t="str">
            <v>常白</v>
          </cell>
        </row>
        <row r="1048">
          <cell r="C1048" t="str">
            <v>ALS15129</v>
          </cell>
          <cell r="D1048" t="str">
            <v>TJ2</v>
          </cell>
          <cell r="E1048">
            <v>45959</v>
          </cell>
          <cell r="F1048" t="str">
            <v>操作工</v>
          </cell>
          <cell r="G1048" t="str">
            <v>操作工</v>
          </cell>
          <cell r="H1048" t="str">
            <v>清洗组（4号楼）</v>
          </cell>
          <cell r="I1048" t="str">
            <v>常白</v>
          </cell>
        </row>
        <row r="1049">
          <cell r="C1049" t="str">
            <v>ALS15906</v>
          </cell>
          <cell r="D1049" t="str">
            <v>TJ2</v>
          </cell>
          <cell r="E1049">
            <v>46029</v>
          </cell>
          <cell r="F1049" t="str">
            <v>操作工</v>
          </cell>
          <cell r="G1049" t="str">
            <v>操作工</v>
          </cell>
          <cell r="H1049" t="str">
            <v>清洗组（5号楼）</v>
          </cell>
          <cell r="I1049" t="str">
            <v>常白</v>
          </cell>
        </row>
        <row r="1050">
          <cell r="C1050" t="str">
            <v>ALS6553</v>
          </cell>
          <cell r="D1050" t="str">
            <v>TJ2</v>
          </cell>
          <cell r="E1050">
            <v>44013</v>
          </cell>
          <cell r="F1050" t="str">
            <v>班长</v>
          </cell>
          <cell r="G1050" t="str">
            <v>班长</v>
          </cell>
          <cell r="H1050" t="str">
            <v>清洗组（11号楼）</v>
          </cell>
          <cell r="I1050" t="str">
            <v>常白</v>
          </cell>
        </row>
        <row r="1051">
          <cell r="C1051" t="str">
            <v>ALS6046</v>
          </cell>
          <cell r="D1051" t="str">
            <v>TJ2</v>
          </cell>
          <cell r="E1051">
            <v>43935</v>
          </cell>
          <cell r="F1051" t="str">
            <v>操作工</v>
          </cell>
          <cell r="G1051" t="str">
            <v>清洗工</v>
          </cell>
          <cell r="H1051" t="str">
            <v>清洗组（11号楼）</v>
          </cell>
          <cell r="I1051" t="str">
            <v>常白</v>
          </cell>
        </row>
        <row r="1052">
          <cell r="C1052" t="str">
            <v>ALS11880</v>
          </cell>
          <cell r="D1052" t="str">
            <v>TJ2</v>
          </cell>
          <cell r="E1052">
            <v>45033</v>
          </cell>
          <cell r="F1052" t="str">
            <v>操作工</v>
          </cell>
          <cell r="G1052" t="str">
            <v>清洗工</v>
          </cell>
          <cell r="H1052" t="str">
            <v>清洗组（11号楼）</v>
          </cell>
          <cell r="I1052" t="str">
            <v>常白</v>
          </cell>
        </row>
        <row r="1053">
          <cell r="C1053" t="str">
            <v>ALS15152</v>
          </cell>
          <cell r="D1053" t="str">
            <v>TJ2</v>
          </cell>
          <cell r="E1053">
            <v>45964</v>
          </cell>
          <cell r="F1053" t="str">
            <v>操作工</v>
          </cell>
          <cell r="G1053" t="str">
            <v>操作工</v>
          </cell>
          <cell r="H1053" t="str">
            <v>清洗组（11号楼）</v>
          </cell>
          <cell r="I1053" t="str">
            <v>常白</v>
          </cell>
        </row>
        <row r="1054">
          <cell r="C1054" t="str">
            <v>ALS15218</v>
          </cell>
          <cell r="D1054" t="str">
            <v>TJ2</v>
          </cell>
          <cell r="E1054">
            <v>45966</v>
          </cell>
          <cell r="F1054" t="str">
            <v>清洗工</v>
          </cell>
          <cell r="G1054" t="str">
            <v>清洗工</v>
          </cell>
          <cell r="H1054" t="str">
            <v>清洗组（11号楼）</v>
          </cell>
          <cell r="I1054" t="str">
            <v>常白</v>
          </cell>
        </row>
        <row r="1055">
          <cell r="C1055" t="str">
            <v>AMM1476</v>
          </cell>
          <cell r="D1055" t="str">
            <v>TJ2</v>
          </cell>
          <cell r="E1055">
            <v>44433</v>
          </cell>
          <cell r="F1055" t="str">
            <v>清洗工</v>
          </cell>
          <cell r="G1055" t="str">
            <v>清洗工</v>
          </cell>
          <cell r="H1055" t="str">
            <v>清洗组（12号楼）</v>
          </cell>
          <cell r="I1055" t="str">
            <v>常白</v>
          </cell>
        </row>
        <row r="1056">
          <cell r="C1056" t="str">
            <v>ALS15220</v>
          </cell>
          <cell r="D1056" t="str">
            <v>TJ2</v>
          </cell>
          <cell r="E1056">
            <v>45966</v>
          </cell>
          <cell r="F1056" t="str">
            <v>清洗工</v>
          </cell>
          <cell r="G1056" t="str">
            <v>清洗工</v>
          </cell>
          <cell r="H1056" t="str">
            <v>清洗组（12号楼）</v>
          </cell>
          <cell r="I1056" t="str">
            <v>常白</v>
          </cell>
        </row>
        <row r="1057">
          <cell r="C1057" t="str">
            <v>ALS15248</v>
          </cell>
          <cell r="D1057" t="str">
            <v>TJ2</v>
          </cell>
          <cell r="E1057">
            <v>45971</v>
          </cell>
          <cell r="F1057" t="str">
            <v>清洗工</v>
          </cell>
          <cell r="G1057" t="str">
            <v>清洗工</v>
          </cell>
          <cell r="H1057" t="str">
            <v>清洗组（12号楼）</v>
          </cell>
          <cell r="I1057" t="str">
            <v>常白</v>
          </cell>
        </row>
        <row r="1058">
          <cell r="C1058" t="str">
            <v>ALS17098</v>
          </cell>
          <cell r="D1058" t="str">
            <v>TJ2</v>
          </cell>
          <cell r="E1058">
            <v>46181</v>
          </cell>
          <cell r="F1058" t="str">
            <v>清洗工</v>
          </cell>
          <cell r="G1058" t="str">
            <v>清洗工</v>
          </cell>
          <cell r="H1058" t="str">
            <v>清洗组（12号楼）</v>
          </cell>
          <cell r="I1058" t="str">
            <v>常白</v>
          </cell>
        </row>
        <row r="1059">
          <cell r="C1059" t="str">
            <v>ALS17790</v>
          </cell>
          <cell r="D1059" t="str">
            <v>TJ2</v>
          </cell>
          <cell r="E1059">
            <v>46204</v>
          </cell>
          <cell r="F1059" t="str">
            <v>清洗工</v>
          </cell>
          <cell r="G1059" t="str">
            <v>清洗工</v>
          </cell>
          <cell r="H1059" t="str">
            <v>清洗组（12号楼）</v>
          </cell>
          <cell r="I1059" t="str">
            <v>常白</v>
          </cell>
        </row>
        <row r="1060">
          <cell r="C1060" t="str">
            <v>ALS16590</v>
          </cell>
          <cell r="D1060" t="str">
            <v>TJ2</v>
          </cell>
          <cell r="E1060">
            <v>46139</v>
          </cell>
          <cell r="F1060" t="str">
            <v>操作工</v>
          </cell>
          <cell r="G1060" t="str">
            <v>操作工</v>
          </cell>
          <cell r="H1060" t="str">
            <v>清洗组（13号楼）</v>
          </cell>
          <cell r="I1060" t="str">
            <v>常白</v>
          </cell>
        </row>
        <row r="1061">
          <cell r="C1061" t="str">
            <v>ALS16592</v>
          </cell>
          <cell r="D1061" t="str">
            <v>TJ2</v>
          </cell>
          <cell r="E1061">
            <v>46139</v>
          </cell>
          <cell r="F1061" t="str">
            <v>操作工</v>
          </cell>
          <cell r="G1061" t="str">
            <v>操作工</v>
          </cell>
          <cell r="H1061" t="str">
            <v>清洗组（13号楼）</v>
          </cell>
          <cell r="I1061" t="str">
            <v>常白</v>
          </cell>
        </row>
        <row r="1062">
          <cell r="C1062" t="str">
            <v>ALS16855</v>
          </cell>
          <cell r="D1062" t="str">
            <v>TJ2</v>
          </cell>
          <cell r="E1062">
            <v>46155</v>
          </cell>
          <cell r="F1062" t="str">
            <v>操作工</v>
          </cell>
          <cell r="G1062" t="str">
            <v>操作工</v>
          </cell>
          <cell r="H1062" t="str">
            <v>清洗组（13号楼）</v>
          </cell>
          <cell r="I1062" t="str">
            <v>常白</v>
          </cell>
        </row>
        <row r="1063">
          <cell r="C1063" t="str">
            <v>ALS17607</v>
          </cell>
          <cell r="D1063" t="str">
            <v>TJ2</v>
          </cell>
          <cell r="E1063">
            <v>46197</v>
          </cell>
          <cell r="F1063" t="str">
            <v>操作工</v>
          </cell>
          <cell r="G1063" t="str">
            <v>操作工</v>
          </cell>
          <cell r="H1063" t="str">
            <v>清洗组（13号楼）</v>
          </cell>
          <cell r="I1063" t="str">
            <v>常白</v>
          </cell>
        </row>
        <row r="1064">
          <cell r="C1064" t="str">
            <v>ALS17755</v>
          </cell>
          <cell r="D1064" t="str">
            <v>TJ2</v>
          </cell>
          <cell r="E1064">
            <v>46204</v>
          </cell>
          <cell r="F1064" t="str">
            <v>清洗工</v>
          </cell>
          <cell r="G1064" t="str">
            <v>清洗工</v>
          </cell>
          <cell r="H1064" t="str">
            <v>清洗组（13号楼）</v>
          </cell>
          <cell r="I1064" t="str">
            <v>常白</v>
          </cell>
        </row>
        <row r="1065">
          <cell r="C1065" t="str">
            <v>ALS0705</v>
          </cell>
          <cell r="D1065" t="str">
            <v>TJ2</v>
          </cell>
          <cell r="E1065">
            <v>37613</v>
          </cell>
          <cell r="F1065" t="str">
            <v>副主管</v>
          </cell>
          <cell r="G1065" t="str">
            <v>副主管</v>
          </cell>
          <cell r="H1065" t="str">
            <v>外围/罐区组</v>
          </cell>
          <cell r="I1065" t="str">
            <v>常白</v>
          </cell>
        </row>
        <row r="1066">
          <cell r="C1066" t="str">
            <v>ALS14194</v>
          </cell>
          <cell r="D1066" t="str">
            <v>TJ2</v>
          </cell>
          <cell r="E1066">
            <v>45833</v>
          </cell>
          <cell r="F1066" t="str">
            <v>经理</v>
          </cell>
          <cell r="G1066" t="str">
            <v>经理</v>
          </cell>
          <cell r="H1066" t="str">
            <v>外围/罐区组</v>
          </cell>
          <cell r="I1066" t="str">
            <v>常白</v>
          </cell>
        </row>
        <row r="1067">
          <cell r="C1067" t="str">
            <v>AMM1607</v>
          </cell>
          <cell r="D1067" t="str">
            <v>TJ2</v>
          </cell>
          <cell r="E1067">
            <v>44454</v>
          </cell>
          <cell r="F1067" t="str">
            <v>助理工程师</v>
          </cell>
          <cell r="G1067" t="str">
            <v>助理工程师</v>
          </cell>
          <cell r="H1067" t="str">
            <v>外围/罐区组</v>
          </cell>
          <cell r="I1067" t="str">
            <v>常白</v>
          </cell>
        </row>
        <row r="1068">
          <cell r="C1068" t="str">
            <v>ALS16325</v>
          </cell>
          <cell r="D1068" t="str">
            <v>TJ2</v>
          </cell>
          <cell r="E1068">
            <v>46120</v>
          </cell>
          <cell r="F1068" t="str">
            <v>助理工程师</v>
          </cell>
          <cell r="G1068" t="str">
            <v>助理工程师</v>
          </cell>
          <cell r="H1068" t="str">
            <v>外围/罐区组</v>
          </cell>
          <cell r="I1068" t="str">
            <v>常白</v>
          </cell>
        </row>
        <row r="1069">
          <cell r="C1069" t="str">
            <v>ALS16990</v>
          </cell>
          <cell r="D1069" t="str">
            <v>TJ2</v>
          </cell>
          <cell r="E1069">
            <v>46169</v>
          </cell>
          <cell r="F1069" t="str">
            <v>助理工程师</v>
          </cell>
          <cell r="G1069" t="str">
            <v>助理工程师</v>
          </cell>
          <cell r="H1069" t="str">
            <v>外围/罐区组</v>
          </cell>
          <cell r="I1069" t="str">
            <v>常白</v>
          </cell>
        </row>
        <row r="1070">
          <cell r="C1070" t="str">
            <v>LFX167</v>
          </cell>
          <cell r="D1070" t="str">
            <v>FX2</v>
          </cell>
          <cell r="E1070">
            <v>43770</v>
          </cell>
          <cell r="F1070" t="str">
            <v>操作工</v>
          </cell>
          <cell r="G1070" t="str">
            <v>操作工</v>
          </cell>
          <cell r="H1070" t="str">
            <v>外围/罐区组</v>
          </cell>
          <cell r="I1070" t="str">
            <v>常白</v>
          </cell>
        </row>
        <row r="1071">
          <cell r="C1071" t="str">
            <v>AMM1208</v>
          </cell>
          <cell r="D1071" t="str">
            <v>TJ2</v>
          </cell>
          <cell r="E1071">
            <v>44363</v>
          </cell>
          <cell r="F1071" t="str">
            <v>操作工</v>
          </cell>
          <cell r="G1071" t="str">
            <v>操作工</v>
          </cell>
          <cell r="H1071" t="str">
            <v>外围/罐区组</v>
          </cell>
          <cell r="I1071" t="str">
            <v>常白</v>
          </cell>
        </row>
        <row r="1072">
          <cell r="C1072" t="str">
            <v>ALS11984</v>
          </cell>
          <cell r="D1072" t="str">
            <v>TJ2</v>
          </cell>
          <cell r="E1072">
            <v>45063</v>
          </cell>
          <cell r="F1072" t="str">
            <v>操作工</v>
          </cell>
          <cell r="G1072" t="str">
            <v>操作工</v>
          </cell>
          <cell r="H1072" t="str">
            <v>外围/罐区组</v>
          </cell>
          <cell r="I1072" t="str">
            <v>常白</v>
          </cell>
        </row>
        <row r="1073">
          <cell r="C1073" t="str">
            <v>ALS11985</v>
          </cell>
          <cell r="D1073" t="str">
            <v>TJ2</v>
          </cell>
          <cell r="E1073">
            <v>45063</v>
          </cell>
          <cell r="F1073" t="str">
            <v>操作工</v>
          </cell>
          <cell r="G1073" t="str">
            <v>操作工</v>
          </cell>
          <cell r="H1073" t="str">
            <v>外围/罐区组</v>
          </cell>
          <cell r="I1073" t="str">
            <v>常白</v>
          </cell>
        </row>
        <row r="1074">
          <cell r="C1074" t="str">
            <v>ALS13892</v>
          </cell>
          <cell r="D1074" t="str">
            <v>TJ2</v>
          </cell>
          <cell r="E1074">
            <v>45756</v>
          </cell>
          <cell r="F1074" t="str">
            <v>操作工</v>
          </cell>
          <cell r="G1074" t="str">
            <v>操作工</v>
          </cell>
          <cell r="H1074" t="str">
            <v>外围/罐区组</v>
          </cell>
          <cell r="I1074" t="str">
            <v>常白</v>
          </cell>
        </row>
        <row r="1075">
          <cell r="C1075" t="str">
            <v>ALS14501</v>
          </cell>
          <cell r="D1075" t="str">
            <v>TJ2</v>
          </cell>
          <cell r="E1075">
            <v>45868</v>
          </cell>
          <cell r="F1075" t="str">
            <v>清洗工</v>
          </cell>
          <cell r="G1075" t="str">
            <v>操作工</v>
          </cell>
          <cell r="H1075" t="str">
            <v>外围/罐区组</v>
          </cell>
          <cell r="I1075" t="str">
            <v>常白</v>
          </cell>
        </row>
        <row r="1076">
          <cell r="C1076" t="str">
            <v>ALS15553</v>
          </cell>
          <cell r="D1076" t="str">
            <v>TJ2</v>
          </cell>
          <cell r="E1076">
            <v>45994</v>
          </cell>
          <cell r="F1076" t="str">
            <v>操作工</v>
          </cell>
          <cell r="G1076" t="str">
            <v>操作工</v>
          </cell>
          <cell r="H1076" t="str">
            <v>外围/罐区组</v>
          </cell>
          <cell r="I1076" t="str">
            <v>常白</v>
          </cell>
        </row>
        <row r="1077">
          <cell r="C1077" t="str">
            <v>ALS15908</v>
          </cell>
          <cell r="D1077" t="str">
            <v>TJ2</v>
          </cell>
          <cell r="E1077">
            <v>46029</v>
          </cell>
          <cell r="F1077" t="str">
            <v>操作工</v>
          </cell>
          <cell r="G1077" t="str">
            <v>操作工</v>
          </cell>
          <cell r="H1077" t="str">
            <v>外围/罐区组</v>
          </cell>
          <cell r="I1077" t="str">
            <v>常白</v>
          </cell>
        </row>
        <row r="1078">
          <cell r="C1078" t="str">
            <v>ALS16979</v>
          </cell>
          <cell r="D1078" t="str">
            <v>TJ2</v>
          </cell>
          <cell r="E1078">
            <v>46169</v>
          </cell>
          <cell r="F1078" t="str">
            <v>操作工</v>
          </cell>
          <cell r="G1078" t="str">
            <v>操作工</v>
          </cell>
          <cell r="H1078" t="str">
            <v>外围/罐区组</v>
          </cell>
          <cell r="I1078" t="str">
            <v>常白</v>
          </cell>
        </row>
        <row r="1079">
          <cell r="C1079" t="str">
            <v>ALS6668</v>
          </cell>
          <cell r="D1079" t="str">
            <v>TJ2</v>
          </cell>
          <cell r="E1079">
            <v>42954</v>
          </cell>
          <cell r="F1079" t="str">
            <v>副主管</v>
          </cell>
          <cell r="G1079" t="str">
            <v>副主管</v>
          </cell>
          <cell r="H1079" t="str">
            <v>环保设备设施组</v>
          </cell>
          <cell r="I1079" t="str">
            <v>常白</v>
          </cell>
        </row>
        <row r="1080">
          <cell r="C1080" t="str">
            <v>ALS13677</v>
          </cell>
          <cell r="D1080" t="str">
            <v>TJ2</v>
          </cell>
          <cell r="E1080">
            <v>45635</v>
          </cell>
          <cell r="F1080" t="str">
            <v>经理</v>
          </cell>
          <cell r="G1080" t="str">
            <v>经理</v>
          </cell>
          <cell r="H1080" t="str">
            <v>环保设备设施组</v>
          </cell>
          <cell r="I1080" t="str">
            <v>常白</v>
          </cell>
        </row>
        <row r="1081">
          <cell r="C1081" t="str">
            <v>ALS13145</v>
          </cell>
          <cell r="D1081" t="str">
            <v>TJ2</v>
          </cell>
          <cell r="E1081">
            <v>45488</v>
          </cell>
          <cell r="F1081" t="str">
            <v>助理工程师</v>
          </cell>
          <cell r="G1081" t="str">
            <v>助理工程师</v>
          </cell>
          <cell r="H1081" t="str">
            <v>环保设备设施组</v>
          </cell>
          <cell r="I1081" t="str">
            <v>常白</v>
          </cell>
        </row>
        <row r="1082">
          <cell r="C1082" t="str">
            <v>ALS15586</v>
          </cell>
          <cell r="D1082" t="str">
            <v>TJ2</v>
          </cell>
          <cell r="E1082">
            <v>45999</v>
          </cell>
          <cell r="F1082" t="str">
            <v>助理工程师</v>
          </cell>
          <cell r="G1082" t="str">
            <v>助理工程师</v>
          </cell>
          <cell r="H1082" t="str">
            <v>环保设备设施组</v>
          </cell>
          <cell r="I1082" t="str">
            <v>常白</v>
          </cell>
        </row>
        <row r="1083">
          <cell r="C1083" t="str">
            <v>ALS11344</v>
          </cell>
          <cell r="D1083" t="str">
            <v>TJ2</v>
          </cell>
          <cell r="E1083">
            <v>44790</v>
          </cell>
          <cell r="F1083" t="str">
            <v>操作工</v>
          </cell>
          <cell r="G1083" t="str">
            <v>操作工</v>
          </cell>
          <cell r="H1083" t="str">
            <v>环保设备设施组</v>
          </cell>
          <cell r="I1083" t="str">
            <v>倒班</v>
          </cell>
        </row>
        <row r="1084">
          <cell r="C1084" t="str">
            <v>ALS11346</v>
          </cell>
          <cell r="D1084" t="str">
            <v>TJ2</v>
          </cell>
          <cell r="E1084">
            <v>44790</v>
          </cell>
          <cell r="F1084" t="str">
            <v>操作工</v>
          </cell>
          <cell r="G1084" t="str">
            <v>操作工</v>
          </cell>
          <cell r="H1084" t="str">
            <v>环保设备设施组</v>
          </cell>
          <cell r="I1084" t="str">
            <v>倒班</v>
          </cell>
        </row>
        <row r="1085">
          <cell r="C1085" t="str">
            <v>ALS11347</v>
          </cell>
          <cell r="D1085" t="str">
            <v>TJ2</v>
          </cell>
          <cell r="E1085">
            <v>44790</v>
          </cell>
          <cell r="F1085" t="str">
            <v>操作工</v>
          </cell>
          <cell r="G1085" t="str">
            <v>操作工</v>
          </cell>
          <cell r="H1085" t="str">
            <v>环保设备设施组</v>
          </cell>
          <cell r="I1085" t="str">
            <v>倒班</v>
          </cell>
        </row>
        <row r="1086">
          <cell r="C1086" t="str">
            <v>ADH5506</v>
          </cell>
          <cell r="D1086" t="str">
            <v>TJ2</v>
          </cell>
          <cell r="E1086">
            <v>44770</v>
          </cell>
          <cell r="F1086" t="str">
            <v>操作工</v>
          </cell>
          <cell r="G1086" t="str">
            <v>操作工</v>
          </cell>
          <cell r="H1086" t="str">
            <v>环保设备设施组</v>
          </cell>
          <cell r="I1086" t="str">
            <v>倒班</v>
          </cell>
        </row>
        <row r="1087">
          <cell r="C1087" t="str">
            <v>ACT2196</v>
          </cell>
          <cell r="D1087" t="str">
            <v>TJ2</v>
          </cell>
          <cell r="E1087">
            <v>41576</v>
          </cell>
          <cell r="F1087" t="str">
            <v>车间副主任</v>
          </cell>
          <cell r="G1087" t="str">
            <v>车间副主任</v>
          </cell>
          <cell r="H1087" t="str">
            <v>环保设备设施组</v>
          </cell>
          <cell r="I1087" t="str">
            <v>常白</v>
          </cell>
        </row>
        <row r="1088">
          <cell r="C1088" t="str">
            <v>ALS12471</v>
          </cell>
          <cell r="D1088" t="str">
            <v>TJ2</v>
          </cell>
          <cell r="E1088">
            <v>45168</v>
          </cell>
          <cell r="F1088" t="str">
            <v>经理</v>
          </cell>
          <cell r="G1088" t="str">
            <v>经理</v>
          </cell>
          <cell r="H1088" t="str">
            <v>环保设备设施组</v>
          </cell>
          <cell r="I1088" t="str">
            <v>常白</v>
          </cell>
        </row>
        <row r="1089">
          <cell r="C1089" t="str">
            <v>ACT438</v>
          </cell>
          <cell r="D1089" t="str">
            <v>TJ2</v>
          </cell>
          <cell r="E1089">
            <v>45457</v>
          </cell>
          <cell r="F1089" t="str">
            <v>工程师</v>
          </cell>
          <cell r="G1089" t="str">
            <v>工程师</v>
          </cell>
          <cell r="H1089" t="str">
            <v>环保设备设施组</v>
          </cell>
          <cell r="I1089" t="str">
            <v>常白</v>
          </cell>
        </row>
        <row r="1090">
          <cell r="C1090" t="str">
            <v>ALS12724</v>
          </cell>
          <cell r="D1090" t="str">
            <v>TJ2</v>
          </cell>
          <cell r="E1090">
            <v>45216</v>
          </cell>
          <cell r="F1090" t="str">
            <v>助理工程师</v>
          </cell>
          <cell r="G1090" t="str">
            <v>助理工程师</v>
          </cell>
          <cell r="H1090" t="str">
            <v>环保设备设施组</v>
          </cell>
          <cell r="I1090" t="str">
            <v>倒班</v>
          </cell>
        </row>
        <row r="1091">
          <cell r="C1091" t="str">
            <v>ALS10150</v>
          </cell>
          <cell r="D1091" t="str">
            <v>TJ2</v>
          </cell>
          <cell r="E1091">
            <v>44755</v>
          </cell>
          <cell r="F1091" t="str">
            <v>助理工程师</v>
          </cell>
          <cell r="G1091" t="str">
            <v>助理工程师</v>
          </cell>
          <cell r="H1091" t="str">
            <v>环保设备设施组</v>
          </cell>
          <cell r="I1091" t="str">
            <v>倒班</v>
          </cell>
        </row>
        <row r="1092">
          <cell r="C1092" t="str">
            <v>ALS11916</v>
          </cell>
          <cell r="D1092" t="str">
            <v>TJ2</v>
          </cell>
          <cell r="E1092">
            <v>45042</v>
          </cell>
          <cell r="F1092" t="str">
            <v>助理工程师</v>
          </cell>
          <cell r="G1092" t="str">
            <v>助理工程师</v>
          </cell>
          <cell r="H1092" t="str">
            <v>环保设备设施组</v>
          </cell>
          <cell r="I1092" t="str">
            <v>倒班</v>
          </cell>
        </row>
        <row r="1093">
          <cell r="C1093" t="str">
            <v>ALS14724</v>
          </cell>
          <cell r="D1093" t="str">
            <v>TJ2</v>
          </cell>
          <cell r="E1093">
            <v>45896</v>
          </cell>
          <cell r="F1093" t="str">
            <v>助理工程师</v>
          </cell>
          <cell r="G1093" t="str">
            <v>助理工程师</v>
          </cell>
          <cell r="H1093" t="str">
            <v>环保设备设施组</v>
          </cell>
          <cell r="I1093" t="str">
            <v>倒班</v>
          </cell>
        </row>
        <row r="1094">
          <cell r="C1094" t="str">
            <v>ALS15972</v>
          </cell>
          <cell r="D1094" t="str">
            <v>TJ2</v>
          </cell>
          <cell r="E1094">
            <v>46036</v>
          </cell>
          <cell r="F1094" t="str">
            <v>助理工程师</v>
          </cell>
          <cell r="G1094" t="str">
            <v>助理工程师</v>
          </cell>
          <cell r="H1094" t="str">
            <v>环保设备设施组</v>
          </cell>
          <cell r="I1094" t="str">
            <v>倒班</v>
          </cell>
        </row>
        <row r="1095">
          <cell r="C1095" t="str">
            <v>ALS18023</v>
          </cell>
          <cell r="D1095" t="str">
            <v>TJ2</v>
          </cell>
          <cell r="E1095">
            <v>46225</v>
          </cell>
          <cell r="F1095" t="str">
            <v>助理工程师</v>
          </cell>
          <cell r="G1095" t="str">
            <v>助理工程师</v>
          </cell>
          <cell r="H1095" t="str">
            <v>环保设备设施组</v>
          </cell>
          <cell r="I1095" t="str">
            <v>倒班</v>
          </cell>
        </row>
        <row r="1096">
          <cell r="C1096" t="str">
            <v>ALS18024</v>
          </cell>
          <cell r="D1096" t="str">
            <v>TJ2</v>
          </cell>
          <cell r="E1096">
            <v>46225</v>
          </cell>
          <cell r="F1096" t="str">
            <v>助理工程师</v>
          </cell>
          <cell r="G1096" t="str">
            <v>助理工程师</v>
          </cell>
          <cell r="H1096" t="str">
            <v>环保设备设施组</v>
          </cell>
          <cell r="I1096" t="str">
            <v>倒班</v>
          </cell>
        </row>
        <row r="1097">
          <cell r="C1097" t="str">
            <v>ALS18027</v>
          </cell>
          <cell r="D1097" t="str">
            <v>TJ2</v>
          </cell>
          <cell r="E1097">
            <v>46225</v>
          </cell>
          <cell r="F1097" t="str">
            <v>助理工程师</v>
          </cell>
          <cell r="G1097" t="str">
            <v>助理工程师</v>
          </cell>
          <cell r="H1097" t="str">
            <v>环保设备设施组</v>
          </cell>
          <cell r="I1097" t="str">
            <v>倒班</v>
          </cell>
        </row>
        <row r="1098">
          <cell r="C1098" t="str">
            <v>ALS11983</v>
          </cell>
          <cell r="D1098" t="str">
            <v>TJ2</v>
          </cell>
          <cell r="E1098">
            <v>45063</v>
          </cell>
          <cell r="F1098" t="str">
            <v>操作工</v>
          </cell>
          <cell r="G1098" t="str">
            <v>操作工</v>
          </cell>
          <cell r="H1098" t="str">
            <v>环保设备设施组</v>
          </cell>
          <cell r="I1098" t="str">
            <v>倒班</v>
          </cell>
        </row>
        <row r="1099">
          <cell r="C1099" t="str">
            <v>ALS4678</v>
          </cell>
          <cell r="D1099" t="str">
            <v>TJ2</v>
          </cell>
          <cell r="E1099">
            <v>43334</v>
          </cell>
          <cell r="F1099" t="str">
            <v>副主管</v>
          </cell>
          <cell r="G1099" t="str">
            <v>副主管</v>
          </cell>
          <cell r="H1099" t="str">
            <v>文员组</v>
          </cell>
          <cell r="I1099" t="str">
            <v>常白</v>
          </cell>
        </row>
        <row r="1100">
          <cell r="C1100" t="str">
            <v>ALS0916</v>
          </cell>
          <cell r="D1100" t="str">
            <v>TJ2</v>
          </cell>
          <cell r="E1100">
            <v>40751</v>
          </cell>
          <cell r="F1100" t="str">
            <v>专员</v>
          </cell>
          <cell r="G1100" t="str">
            <v>专员</v>
          </cell>
          <cell r="H1100" t="str">
            <v>文员组</v>
          </cell>
          <cell r="I1100" t="str">
            <v>常白</v>
          </cell>
        </row>
        <row r="1101">
          <cell r="C1101" t="str">
            <v>ALS0149</v>
          </cell>
          <cell r="D1101" t="str">
            <v>TJ2</v>
          </cell>
          <cell r="E1101">
            <v>39450</v>
          </cell>
          <cell r="F1101" t="str">
            <v>专员</v>
          </cell>
          <cell r="G1101" t="str">
            <v>专员</v>
          </cell>
          <cell r="H1101" t="str">
            <v>文员组</v>
          </cell>
          <cell r="I1101" t="str">
            <v>常白</v>
          </cell>
        </row>
        <row r="1102">
          <cell r="C1102" t="str">
            <v>ALS2206</v>
          </cell>
          <cell r="D1102" t="str">
            <v>TJ2</v>
          </cell>
          <cell r="E1102">
            <v>42186</v>
          </cell>
          <cell r="F1102" t="str">
            <v>专员</v>
          </cell>
          <cell r="G1102" t="str">
            <v>专员</v>
          </cell>
          <cell r="H1102" t="str">
            <v>文员组</v>
          </cell>
          <cell r="I1102" t="str">
            <v>常白</v>
          </cell>
        </row>
        <row r="1103">
          <cell r="C1103" t="str">
            <v>ALS2546</v>
          </cell>
          <cell r="D1103" t="str">
            <v>TJ2</v>
          </cell>
          <cell r="E1103">
            <v>42305</v>
          </cell>
          <cell r="F1103" t="str">
            <v>专员</v>
          </cell>
          <cell r="G1103" t="str">
            <v>专员</v>
          </cell>
          <cell r="H1103" t="str">
            <v>文员组</v>
          </cell>
          <cell r="I1103" t="str">
            <v>常白</v>
          </cell>
        </row>
        <row r="1104">
          <cell r="C1104" t="str">
            <v>ADH1482</v>
          </cell>
          <cell r="D1104" t="str">
            <v>DH1</v>
          </cell>
          <cell r="E1104">
            <v>43262</v>
          </cell>
          <cell r="F1104" t="str">
            <v>专员</v>
          </cell>
          <cell r="G1104" t="str">
            <v>专员</v>
          </cell>
          <cell r="H1104" t="str">
            <v>文员组</v>
          </cell>
          <cell r="I1104" t="str">
            <v>常白</v>
          </cell>
        </row>
        <row r="1105">
          <cell r="C1105" t="str">
            <v>AMM0549</v>
          </cell>
          <cell r="D1105" t="str">
            <v>TJ2</v>
          </cell>
          <cell r="E1105">
            <v>43992</v>
          </cell>
          <cell r="F1105" t="str">
            <v>助理专员</v>
          </cell>
          <cell r="G1105" t="str">
            <v>助理专员</v>
          </cell>
          <cell r="H1105" t="str">
            <v>文员组</v>
          </cell>
          <cell r="I1105" t="str">
            <v>常白</v>
          </cell>
        </row>
        <row r="1106">
          <cell r="C1106" t="str">
            <v>ALS6933</v>
          </cell>
          <cell r="D1106" t="str">
            <v>TJ2</v>
          </cell>
          <cell r="E1106">
            <v>44179</v>
          </cell>
          <cell r="F1106" t="str">
            <v>文员</v>
          </cell>
          <cell r="G1106" t="str">
            <v>文员</v>
          </cell>
          <cell r="H1106" t="str">
            <v>文员组</v>
          </cell>
          <cell r="I1106" t="str">
            <v>常白</v>
          </cell>
        </row>
        <row r="1107">
          <cell r="C1107" t="str">
            <v>ALS9438</v>
          </cell>
          <cell r="D1107" t="str">
            <v>TJ2</v>
          </cell>
          <cell r="E1107">
            <v>44657</v>
          </cell>
          <cell r="F1107" t="str">
            <v>文员</v>
          </cell>
          <cell r="G1107" t="str">
            <v>文员</v>
          </cell>
          <cell r="H1107" t="str">
            <v>文员组</v>
          </cell>
          <cell r="I1107" t="str">
            <v>常白</v>
          </cell>
        </row>
        <row r="1108">
          <cell r="C1108" t="str">
            <v>ALS8391</v>
          </cell>
          <cell r="D1108" t="str">
            <v>TJ2</v>
          </cell>
          <cell r="E1108">
            <v>44461</v>
          </cell>
          <cell r="F1108" t="str">
            <v>专员</v>
          </cell>
          <cell r="G1108" t="str">
            <v>专员</v>
          </cell>
          <cell r="H1108" t="str">
            <v>文员组（培训&amp;合规&amp;审计组）</v>
          </cell>
          <cell r="I1108" t="str">
            <v>常白</v>
          </cell>
        </row>
        <row r="1109">
          <cell r="C1109" t="str">
            <v>ALS4369</v>
          </cell>
          <cell r="D1109" t="str">
            <v>TJ2</v>
          </cell>
          <cell r="E1109">
            <v>43250</v>
          </cell>
          <cell r="F1109" t="str">
            <v>专员</v>
          </cell>
          <cell r="G1109" t="str">
            <v>专员</v>
          </cell>
          <cell r="H1109" t="str">
            <v>文员组（4号楼）</v>
          </cell>
          <cell r="I1109" t="str">
            <v>常白</v>
          </cell>
        </row>
        <row r="1110">
          <cell r="C1110" t="str">
            <v>ACT2035</v>
          </cell>
          <cell r="D1110" t="str">
            <v>TJ2</v>
          </cell>
          <cell r="E1110">
            <v>41359</v>
          </cell>
          <cell r="F1110" t="str">
            <v>文员</v>
          </cell>
          <cell r="G1110" t="str">
            <v>文员</v>
          </cell>
          <cell r="H1110" t="str">
            <v>文员组（5号楼）</v>
          </cell>
          <cell r="I1110" t="str">
            <v>常白</v>
          </cell>
        </row>
        <row r="1111">
          <cell r="C1111" t="str">
            <v>ALS3239</v>
          </cell>
          <cell r="D1111" t="str">
            <v>TJ2</v>
          </cell>
          <cell r="E1111">
            <v>42800</v>
          </cell>
          <cell r="F1111" t="str">
            <v>助理专员</v>
          </cell>
          <cell r="G1111" t="str">
            <v>助理专员</v>
          </cell>
          <cell r="H1111" t="str">
            <v>文员组（11号楼）</v>
          </cell>
          <cell r="I1111" t="str">
            <v>常白</v>
          </cell>
        </row>
        <row r="1112">
          <cell r="C1112" t="str">
            <v>ALS15384</v>
          </cell>
          <cell r="D1112" t="str">
            <v>TJ2</v>
          </cell>
          <cell r="E1112">
            <v>45980</v>
          </cell>
          <cell r="F1112" t="str">
            <v>助理专员</v>
          </cell>
          <cell r="G1112" t="str">
            <v>助理专员</v>
          </cell>
          <cell r="H1112" t="str">
            <v>文员组（12号楼）</v>
          </cell>
          <cell r="I1112" t="str">
            <v>常白</v>
          </cell>
        </row>
        <row r="1113">
          <cell r="C1113" t="str">
            <v>AMM2115</v>
          </cell>
          <cell r="D1113" t="str">
            <v>TJ2</v>
          </cell>
          <cell r="E1113">
            <v>44692</v>
          </cell>
          <cell r="F1113" t="str">
            <v>操作工</v>
          </cell>
          <cell r="G1113" t="str">
            <v>文员</v>
          </cell>
          <cell r="H1113" t="str">
            <v>文员组（13号楼）</v>
          </cell>
          <cell r="I1113" t="str">
            <v>常白</v>
          </cell>
        </row>
        <row r="1114">
          <cell r="C1114" t="str">
            <v>ALS13898</v>
          </cell>
          <cell r="D1114" t="str">
            <v>TJ2</v>
          </cell>
          <cell r="E1114">
            <v>45756</v>
          </cell>
          <cell r="F1114" t="str">
            <v>操作工</v>
          </cell>
          <cell r="G1114" t="str">
            <v>操作工</v>
          </cell>
          <cell r="H1114" t="str">
            <v>在其他厂区/部门人员（4号楼）</v>
          </cell>
          <cell r="I1114" t="str">
            <v>常白</v>
          </cell>
        </row>
        <row r="1115">
          <cell r="C1115" t="str">
            <v>ALS17631</v>
          </cell>
          <cell r="D1115" t="str">
            <v>TJ2</v>
          </cell>
          <cell r="E1115">
            <v>46197</v>
          </cell>
          <cell r="F1115" t="str">
            <v>助理工程师</v>
          </cell>
          <cell r="G1115" t="str">
            <v>助理工程师</v>
          </cell>
          <cell r="H1115" t="str">
            <v>在其他厂区/部门人员（12号楼）</v>
          </cell>
          <cell r="I1115" t="str">
            <v>常白</v>
          </cell>
        </row>
        <row r="1116">
          <cell r="C1116" t="str">
            <v>ALS17393</v>
          </cell>
          <cell r="D1116" t="str">
            <v>TJ2</v>
          </cell>
          <cell r="E1116">
            <v>46215</v>
          </cell>
          <cell r="F1116" t="str">
            <v>助理工程师</v>
          </cell>
          <cell r="G1116" t="str">
            <v>助理工程师</v>
          </cell>
          <cell r="H1116" t="str">
            <v>在其他厂区/部门人员（4号楼）</v>
          </cell>
          <cell r="I1116" t="str">
            <v>常白</v>
          </cell>
        </row>
        <row r="1117">
          <cell r="C1117" t="str">
            <v>ALS17390</v>
          </cell>
          <cell r="D1117" t="str">
            <v>TJ2</v>
          </cell>
          <cell r="E1117">
            <v>46215</v>
          </cell>
          <cell r="F1117" t="str">
            <v>助理工程师</v>
          </cell>
          <cell r="G1117" t="str">
            <v>助理工程师</v>
          </cell>
          <cell r="H1117" t="str">
            <v>在其他厂区/部门人员（4号楼）</v>
          </cell>
          <cell r="I1117" t="str">
            <v>常白</v>
          </cell>
        </row>
        <row r="1118">
          <cell r="C1118" t="str">
            <v>ALS17761</v>
          </cell>
          <cell r="D1118" t="str">
            <v>TJ2</v>
          </cell>
          <cell r="E1118">
            <v>46204</v>
          </cell>
          <cell r="F1118" t="str">
            <v>助理工程师</v>
          </cell>
          <cell r="G1118" t="str">
            <v>助理工程师</v>
          </cell>
          <cell r="H1118" t="str">
            <v>在其他厂区/部门人员（4号楼）</v>
          </cell>
          <cell r="I1118" t="str">
            <v>常白</v>
          </cell>
        </row>
        <row r="1119">
          <cell r="C1119" t="str">
            <v>ALS17361</v>
          </cell>
          <cell r="D1119" t="str">
            <v>TJ2</v>
          </cell>
          <cell r="E1119">
            <v>46208</v>
          </cell>
          <cell r="F1119" t="str">
            <v>助理工程师</v>
          </cell>
          <cell r="G1119" t="str">
            <v>助理工程师</v>
          </cell>
          <cell r="H1119" t="str">
            <v>在其他厂区/部门人员（11号楼）</v>
          </cell>
          <cell r="I1119" t="str">
            <v>常白</v>
          </cell>
        </row>
        <row r="1120">
          <cell r="C1120" t="str">
            <v>ALS14740</v>
          </cell>
          <cell r="D1120" t="str">
            <v>TJ2</v>
          </cell>
          <cell r="E1120">
            <v>45896</v>
          </cell>
          <cell r="F1120" t="str">
            <v>助理工程师</v>
          </cell>
          <cell r="G1120" t="str">
            <v>助理工程师</v>
          </cell>
          <cell r="H1120" t="str">
            <v>在其他厂区/部门人员（5号楼）</v>
          </cell>
          <cell r="I1120" t="str">
            <v>常白</v>
          </cell>
        </row>
        <row r="1121">
          <cell r="C1121" t="str">
            <v>ALS14743</v>
          </cell>
          <cell r="D1121" t="str">
            <v>TJ2</v>
          </cell>
          <cell r="E1121">
            <v>45896</v>
          </cell>
          <cell r="F1121" t="str">
            <v>助理工程师</v>
          </cell>
          <cell r="G1121" t="str">
            <v>助理工程师</v>
          </cell>
          <cell r="H1121" t="str">
            <v>在其他厂区/部门人员（5号楼）</v>
          </cell>
          <cell r="I1121" t="str">
            <v>常白</v>
          </cell>
        </row>
        <row r="1122">
          <cell r="C1122" t="str">
            <v>ALS17768</v>
          </cell>
          <cell r="D1122" t="str">
            <v>TJ2</v>
          </cell>
          <cell r="E1122">
            <v>46204</v>
          </cell>
          <cell r="F1122" t="str">
            <v>助理工程师</v>
          </cell>
          <cell r="G1122" t="str">
            <v>助理工程师</v>
          </cell>
          <cell r="H1122" t="str">
            <v>在其他厂区/部门人员（4号楼）</v>
          </cell>
          <cell r="I1122" t="str">
            <v>常白</v>
          </cell>
        </row>
        <row r="1123">
          <cell r="C1123" t="str">
            <v>ALS17777</v>
          </cell>
          <cell r="D1123" t="str">
            <v>TJ2</v>
          </cell>
          <cell r="E1123">
            <v>46204</v>
          </cell>
          <cell r="F1123" t="str">
            <v>助理工程师</v>
          </cell>
          <cell r="G1123" t="str">
            <v>助理工程师</v>
          </cell>
          <cell r="H1123" t="str">
            <v>在其他厂区/部门人员（5号楼）</v>
          </cell>
          <cell r="I1123" t="str">
            <v>常白</v>
          </cell>
        </row>
        <row r="1124">
          <cell r="C1124" t="str">
            <v>ALS17796</v>
          </cell>
          <cell r="D1124" t="str">
            <v>TJ2</v>
          </cell>
          <cell r="E1124">
            <v>46204</v>
          </cell>
          <cell r="F1124" t="str">
            <v>助理工程师</v>
          </cell>
          <cell r="G1124" t="str">
            <v>助理工程师</v>
          </cell>
          <cell r="H1124" t="str">
            <v>在其他厂区/部门人员（13号楼）</v>
          </cell>
          <cell r="I1124" t="str">
            <v>常白</v>
          </cell>
        </row>
        <row r="1125">
          <cell r="C1125" t="str">
            <v>ALS16781</v>
          </cell>
          <cell r="D1125" t="str">
            <v>TJ2</v>
          </cell>
          <cell r="E1125">
            <v>46153</v>
          </cell>
          <cell r="F1125" t="str">
            <v>助理工程师</v>
          </cell>
          <cell r="G1125" t="str">
            <v>助理工程师</v>
          </cell>
          <cell r="H1125" t="str">
            <v>在其他厂区/部门人员（13号楼）</v>
          </cell>
          <cell r="I1125" t="str">
            <v>常白</v>
          </cell>
        </row>
        <row r="1126">
          <cell r="C1126" t="str">
            <v>ALS15286</v>
          </cell>
          <cell r="D1126" t="str">
            <v>TJ2</v>
          </cell>
          <cell r="E1126">
            <v>45973</v>
          </cell>
          <cell r="F1126" t="str">
            <v>助理工程师</v>
          </cell>
          <cell r="G1126" t="str">
            <v>助理工程师</v>
          </cell>
          <cell r="H1126" t="str">
            <v>12号楼</v>
          </cell>
          <cell r="I1126" t="str">
            <v>常白</v>
          </cell>
        </row>
        <row r="1127">
          <cell r="C1127" t="str">
            <v>ALS17386</v>
          </cell>
          <cell r="D1127" t="str">
            <v>TJ2</v>
          </cell>
          <cell r="E1127">
            <v>46215</v>
          </cell>
          <cell r="F1127" t="str">
            <v>助理工程师</v>
          </cell>
          <cell r="G1127" t="str">
            <v>助理工程师</v>
          </cell>
          <cell r="H1127" t="str">
            <v>13号楼</v>
          </cell>
          <cell r="I1127" t="str">
            <v>常白</v>
          </cell>
        </row>
        <row r="1128">
          <cell r="C1128" t="str">
            <v>ALS13513</v>
          </cell>
          <cell r="D1128" t="str">
            <v>TJ2</v>
          </cell>
          <cell r="E1128">
            <v>45574</v>
          </cell>
          <cell r="F1128" t="str">
            <v>操作工</v>
          </cell>
          <cell r="G1128" t="str">
            <v>操作工</v>
          </cell>
          <cell r="H1128" t="str">
            <v>11号楼</v>
          </cell>
          <cell r="I1128" t="str">
            <v>常白</v>
          </cell>
        </row>
        <row r="1129">
          <cell r="C1129" t="str">
            <v>ALS15572</v>
          </cell>
          <cell r="D1129" t="str">
            <v>TJ2</v>
          </cell>
          <cell r="E1129">
            <v>45994</v>
          </cell>
          <cell r="F1129" t="str">
            <v>助理工程师</v>
          </cell>
          <cell r="G1129" t="str">
            <v>助理工程师</v>
          </cell>
          <cell r="H1129" t="str">
            <v>5号楼</v>
          </cell>
          <cell r="I1129" t="str">
            <v>常白</v>
          </cell>
        </row>
        <row r="1130">
          <cell r="C1130" t="str">
            <v>ALS18338</v>
          </cell>
          <cell r="D1130" t="str">
            <v>TJ2</v>
          </cell>
          <cell r="E1130">
            <v>46246</v>
          </cell>
          <cell r="F1130" t="str">
            <v>助理工程师</v>
          </cell>
          <cell r="G1130" t="str">
            <v>助理工程师</v>
          </cell>
          <cell r="H1130" t="str">
            <v>12号楼</v>
          </cell>
          <cell r="I1130" t="str">
            <v>常白</v>
          </cell>
        </row>
        <row r="1131">
          <cell r="C1131" t="str">
            <v>ALS18129</v>
          </cell>
          <cell r="D1131" t="str">
            <v>TJ2</v>
          </cell>
          <cell r="E1131">
            <v>46251</v>
          </cell>
          <cell r="F1131" t="str">
            <v>工程师</v>
          </cell>
          <cell r="G1131" t="str">
            <v>工程师</v>
          </cell>
          <cell r="H1131" t="str">
            <v>4号楼</v>
          </cell>
          <cell r="I1131" t="str">
            <v>常白</v>
          </cell>
        </row>
        <row r="1132">
          <cell r="C1132" t="str">
            <v>ALS18233</v>
          </cell>
          <cell r="D1132" t="str">
            <v>TJ2</v>
          </cell>
          <cell r="E1132">
            <v>46253</v>
          </cell>
          <cell r="F1132" t="str">
            <v>助理工程师</v>
          </cell>
          <cell r="G1132" t="str">
            <v>助理工程师</v>
          </cell>
          <cell r="H1132" t="str">
            <v>12号楼</v>
          </cell>
          <cell r="I1132" t="str">
            <v>常白</v>
          </cell>
        </row>
        <row r="1133">
          <cell r="C1133" t="str">
            <v>ASH2635</v>
          </cell>
          <cell r="D1133" t="str">
            <v>TJ2</v>
          </cell>
          <cell r="E1133">
            <v>46253</v>
          </cell>
          <cell r="F1133" t="str">
            <v>高级主管</v>
          </cell>
          <cell r="G1133" t="str">
            <v>高级主管</v>
          </cell>
          <cell r="H1133" t="str">
            <v>5号楼</v>
          </cell>
          <cell r="I1133" t="str">
            <v>常白</v>
          </cell>
        </row>
        <row r="1134">
          <cell r="C1134" t="str">
            <v>ALS18404</v>
          </cell>
          <cell r="D1134" t="str">
            <v>TJ2</v>
          </cell>
          <cell r="E1134">
            <v>46253</v>
          </cell>
          <cell r="F1134" t="str">
            <v>车间副主任</v>
          </cell>
          <cell r="G1134" t="str">
            <v>车间副主任</v>
          </cell>
          <cell r="H1134" t="str">
            <v>4号楼</v>
          </cell>
          <cell r="I1134" t="str">
            <v>常白</v>
          </cell>
        </row>
        <row r="1135">
          <cell r="C1135" t="str">
            <v>ALS18420</v>
          </cell>
          <cell r="D1135" t="str">
            <v>TJ2</v>
          </cell>
          <cell r="E1135">
            <v>46253</v>
          </cell>
          <cell r="F1135" t="str">
            <v>工程师</v>
          </cell>
          <cell r="G1135" t="str">
            <v>工程师</v>
          </cell>
          <cell r="H1135" t="str">
            <v>13号楼</v>
          </cell>
          <cell r="I1135" t="str">
            <v>常白</v>
          </cell>
        </row>
        <row r="1136">
          <cell r="C1136" t="str">
            <v>ALS18421</v>
          </cell>
          <cell r="D1136" t="str">
            <v>TJ2</v>
          </cell>
          <cell r="E1136">
            <v>46253</v>
          </cell>
          <cell r="F1136" t="str">
            <v>工程师</v>
          </cell>
          <cell r="G1136" t="str">
            <v>工程师</v>
          </cell>
          <cell r="H1136" t="str">
            <v>4号楼</v>
          </cell>
          <cell r="I1136" t="str">
            <v>常白</v>
          </cell>
        </row>
        <row r="1137">
          <cell r="C1137" t="str">
            <v>ALS18422</v>
          </cell>
          <cell r="D1137" t="str">
            <v>TJ2</v>
          </cell>
          <cell r="E1137">
            <v>46253</v>
          </cell>
          <cell r="F1137" t="str">
            <v>工程师</v>
          </cell>
          <cell r="G1137" t="str">
            <v>工程师</v>
          </cell>
          <cell r="H1137" t="str">
            <v>11号楼</v>
          </cell>
          <cell r="I1137" t="str">
            <v>常白</v>
          </cell>
        </row>
        <row r="1138">
          <cell r="C1138" t="str">
            <v>ALS15644</v>
          </cell>
          <cell r="D1138" t="str">
            <v>TJ2</v>
          </cell>
          <cell r="E1138">
            <v>46001</v>
          </cell>
          <cell r="F1138" t="str">
            <v>助理工程师</v>
          </cell>
          <cell r="G1138" t="str">
            <v>助理工程师</v>
          </cell>
          <cell r="H1138" t="str">
            <v>12号楼CNC区域</v>
          </cell>
          <cell r="I1138" t="str">
            <v>班组</v>
          </cell>
        </row>
        <row r="1139">
          <cell r="C1139"/>
          <cell r="D1139"/>
          <cell r="E1139"/>
          <cell r="F1139"/>
          <cell r="G1139"/>
          <cell r="H1139"/>
          <cell r="I1139"/>
        </row>
        <row r="1140">
          <cell r="C1140"/>
          <cell r="D1140"/>
          <cell r="E1140"/>
          <cell r="F1140"/>
          <cell r="G1140"/>
          <cell r="H1140"/>
          <cell r="I1140"/>
        </row>
        <row r="1141">
          <cell r="C1141"/>
          <cell r="D1141"/>
          <cell r="E1141"/>
          <cell r="F1141"/>
          <cell r="G1141"/>
          <cell r="H1141"/>
          <cell r="I1141"/>
        </row>
        <row r="1142">
          <cell r="C1142"/>
          <cell r="D1142"/>
          <cell r="E1142"/>
          <cell r="F1142"/>
          <cell r="G1142"/>
          <cell r="H1142"/>
          <cell r="I1142"/>
        </row>
        <row r="1143">
          <cell r="C1143"/>
          <cell r="D1143"/>
          <cell r="E1143"/>
          <cell r="F1143"/>
          <cell r="G1143"/>
          <cell r="H1143"/>
          <cell r="I1143"/>
        </row>
        <row r="1144">
          <cell r="C1144"/>
          <cell r="D1144"/>
          <cell r="E1144"/>
          <cell r="F1144"/>
          <cell r="G1144"/>
          <cell r="H1144"/>
          <cell r="I1144"/>
        </row>
        <row r="1145">
          <cell r="C1145"/>
          <cell r="D1145"/>
          <cell r="E1145"/>
          <cell r="F1145"/>
          <cell r="G1145"/>
          <cell r="H1145"/>
          <cell r="I1145"/>
        </row>
        <row r="1146">
          <cell r="C1146"/>
          <cell r="D1146"/>
          <cell r="E1146"/>
          <cell r="F1146"/>
          <cell r="G1146"/>
          <cell r="H1146"/>
          <cell r="I1146"/>
        </row>
        <row r="1147">
          <cell r="C1147"/>
          <cell r="D1147"/>
          <cell r="E1147"/>
          <cell r="F1147"/>
          <cell r="G1147"/>
          <cell r="H1147"/>
          <cell r="I1147"/>
        </row>
        <row r="1148">
          <cell r="C1148"/>
          <cell r="D1148"/>
          <cell r="E1148"/>
          <cell r="F1148"/>
          <cell r="G1148"/>
          <cell r="H1148"/>
          <cell r="I1148"/>
        </row>
        <row r="1149">
          <cell r="C1149"/>
          <cell r="D1149"/>
          <cell r="E1149"/>
          <cell r="F1149"/>
          <cell r="G1149"/>
          <cell r="H1149"/>
          <cell r="I1149"/>
        </row>
        <row r="1150">
          <cell r="C1150"/>
          <cell r="D1150"/>
          <cell r="E1150"/>
          <cell r="F1150"/>
          <cell r="G1150"/>
          <cell r="H1150"/>
          <cell r="I1150"/>
        </row>
        <row r="1151">
          <cell r="C1151"/>
          <cell r="D1151"/>
          <cell r="E1151"/>
          <cell r="F1151"/>
          <cell r="G1151"/>
          <cell r="H1151"/>
          <cell r="I1151"/>
        </row>
        <row r="1152">
          <cell r="C1152"/>
          <cell r="D1152"/>
          <cell r="E1152"/>
          <cell r="F1152"/>
          <cell r="G1152"/>
          <cell r="H1152"/>
          <cell r="I1152"/>
        </row>
        <row r="1153">
          <cell r="C1153"/>
          <cell r="D1153"/>
          <cell r="E1153"/>
          <cell r="F1153"/>
          <cell r="G1153"/>
          <cell r="H1153"/>
          <cell r="I1153"/>
        </row>
        <row r="1154">
          <cell r="C1154"/>
          <cell r="D1154"/>
          <cell r="E1154"/>
          <cell r="F1154"/>
          <cell r="G1154"/>
          <cell r="H1154"/>
          <cell r="I1154"/>
        </row>
        <row r="1155">
          <cell r="C1155"/>
          <cell r="D1155"/>
          <cell r="E1155"/>
          <cell r="F1155"/>
          <cell r="G1155"/>
          <cell r="H1155"/>
          <cell r="I1155"/>
        </row>
        <row r="1156">
          <cell r="C1156"/>
          <cell r="D1156"/>
          <cell r="E1156"/>
          <cell r="F1156"/>
          <cell r="G1156"/>
          <cell r="H1156"/>
          <cell r="I1156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产部"/>
      <sheetName val="Sheet1"/>
      <sheetName val="Sheet2"/>
      <sheetName val="生产部编制汇总"/>
      <sheetName val="生产设备部"/>
      <sheetName val="离职人员&amp;调出人员"/>
      <sheetName val="人员变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C1" t="str">
            <v>员工编号</v>
          </cell>
        </row>
        <row r="2">
          <cell r="C2" t="str">
            <v>ALS2489</v>
          </cell>
        </row>
        <row r="3">
          <cell r="C3" t="str">
            <v>ALS2912</v>
          </cell>
        </row>
        <row r="4">
          <cell r="C4" t="str">
            <v>ALS7005</v>
          </cell>
        </row>
        <row r="5">
          <cell r="C5" t="str">
            <v>ALS4548</v>
          </cell>
        </row>
        <row r="6">
          <cell r="C6" t="str">
            <v>ALS4704</v>
          </cell>
        </row>
        <row r="7">
          <cell r="C7" t="str">
            <v>ALS4953</v>
          </cell>
        </row>
        <row r="8">
          <cell r="C8" t="str">
            <v>ALS4956</v>
          </cell>
        </row>
        <row r="9">
          <cell r="C9" t="str">
            <v>ALS4957</v>
          </cell>
        </row>
        <row r="10">
          <cell r="C10" t="str">
            <v>ALS5523</v>
          </cell>
        </row>
        <row r="11">
          <cell r="C11" t="str">
            <v>ALS6539</v>
          </cell>
        </row>
        <row r="12">
          <cell r="C12" t="str">
            <v>ALS6944</v>
          </cell>
        </row>
        <row r="13">
          <cell r="C13" t="str">
            <v>ALS7891</v>
          </cell>
        </row>
        <row r="14">
          <cell r="C14" t="str">
            <v>ALS9093</v>
          </cell>
        </row>
        <row r="15">
          <cell r="C15" t="str">
            <v>ALS10312</v>
          </cell>
        </row>
        <row r="16">
          <cell r="C16" t="str">
            <v>ALS11239</v>
          </cell>
        </row>
        <row r="17">
          <cell r="C17" t="str">
            <v>ALS5935</v>
          </cell>
        </row>
        <row r="18">
          <cell r="C18" t="str">
            <v>ALS7010</v>
          </cell>
        </row>
        <row r="19">
          <cell r="C19" t="str">
            <v>ALS10313</v>
          </cell>
        </row>
        <row r="20">
          <cell r="C20" t="str">
            <v>ALS9642</v>
          </cell>
        </row>
        <row r="21">
          <cell r="C21" t="str">
            <v>ACT2195</v>
          </cell>
        </row>
        <row r="22">
          <cell r="C22" t="str">
            <v>ALS8496</v>
          </cell>
        </row>
        <row r="23">
          <cell r="C23" t="str">
            <v>ALS10309</v>
          </cell>
        </row>
        <row r="24">
          <cell r="C24" t="str">
            <v>ALS6210</v>
          </cell>
        </row>
        <row r="25">
          <cell r="C25" t="str">
            <v>ALS9643</v>
          </cell>
        </row>
        <row r="26">
          <cell r="C26" t="str">
            <v>ALS10324</v>
          </cell>
        </row>
        <row r="27">
          <cell r="C27" t="str">
            <v>ALS10180</v>
          </cell>
        </row>
        <row r="28">
          <cell r="C28" t="str">
            <v>ALS10162</v>
          </cell>
        </row>
        <row r="29">
          <cell r="C29" t="str">
            <v>ALS5620</v>
          </cell>
        </row>
        <row r="30">
          <cell r="C30" t="str">
            <v>ALS8974</v>
          </cell>
        </row>
        <row r="31">
          <cell r="C31" t="str">
            <v>ALS3662</v>
          </cell>
        </row>
        <row r="32">
          <cell r="C32" t="str">
            <v>ALS6551</v>
          </cell>
        </row>
        <row r="33">
          <cell r="C33" t="str">
            <v>ALS6604</v>
          </cell>
        </row>
        <row r="34">
          <cell r="C34" t="str">
            <v>ALS3997</v>
          </cell>
        </row>
        <row r="35">
          <cell r="C35" t="str">
            <v>ALS6966</v>
          </cell>
        </row>
        <row r="36">
          <cell r="C36" t="str">
            <v>ALS10411</v>
          </cell>
        </row>
        <row r="37">
          <cell r="C37" t="str">
            <v>PRM0070</v>
          </cell>
        </row>
        <row r="38">
          <cell r="C38" t="str">
            <v>PRM0037</v>
          </cell>
        </row>
        <row r="39">
          <cell r="C39" t="str">
            <v>ALS4483</v>
          </cell>
        </row>
        <row r="40">
          <cell r="C40" t="str">
            <v>ALS6538</v>
          </cell>
        </row>
        <row r="41">
          <cell r="C41" t="str">
            <v>ALS2915</v>
          </cell>
        </row>
        <row r="42">
          <cell r="C42" t="str">
            <v>ALS11231</v>
          </cell>
        </row>
        <row r="43">
          <cell r="C43" t="str">
            <v>LFX671</v>
          </cell>
        </row>
        <row r="44">
          <cell r="C44" t="str">
            <v>ALS10163</v>
          </cell>
        </row>
        <row r="45">
          <cell r="C45" t="str">
            <v>ALS10168</v>
          </cell>
        </row>
        <row r="46">
          <cell r="C46" t="str">
            <v>ALS10337</v>
          </cell>
        </row>
        <row r="47">
          <cell r="C47" t="str">
            <v>ALS10322</v>
          </cell>
        </row>
        <row r="48">
          <cell r="C48" t="str">
            <v>ALS10310</v>
          </cell>
        </row>
        <row r="49">
          <cell r="C49" t="str">
            <v>ALS10173</v>
          </cell>
        </row>
        <row r="50">
          <cell r="C50" t="str">
            <v>PRM0068</v>
          </cell>
        </row>
        <row r="51">
          <cell r="C51" t="str">
            <v>PRM0067</v>
          </cell>
        </row>
        <row r="52">
          <cell r="C52" t="str">
            <v>ALS10326</v>
          </cell>
        </row>
        <row r="53">
          <cell r="C53" t="str">
            <v>ALS10140</v>
          </cell>
        </row>
        <row r="54">
          <cell r="C54" t="str">
            <v>ALS11848</v>
          </cell>
        </row>
        <row r="55">
          <cell r="C55" t="str">
            <v>ALS6519</v>
          </cell>
        </row>
        <row r="56">
          <cell r="C56" t="str">
            <v>FX2902</v>
          </cell>
        </row>
        <row r="57">
          <cell r="C57" t="str">
            <v>AMM2387</v>
          </cell>
        </row>
        <row r="58">
          <cell r="C58" t="str">
            <v>ADH4212</v>
          </cell>
        </row>
        <row r="59">
          <cell r="C59" t="str">
            <v>ACT2635</v>
          </cell>
        </row>
        <row r="60">
          <cell r="C60" t="str">
            <v>ACT2555</v>
          </cell>
        </row>
        <row r="61">
          <cell r="C61" t="str">
            <v>ADH4130</v>
          </cell>
        </row>
        <row r="62">
          <cell r="C62" t="str">
            <v>ACT2627</v>
          </cell>
        </row>
        <row r="63">
          <cell r="C63" t="str">
            <v>ALS10521</v>
          </cell>
        </row>
        <row r="64">
          <cell r="C64" t="str">
            <v>ALS10329</v>
          </cell>
        </row>
        <row r="65">
          <cell r="C65" t="str">
            <v>ALS11754</v>
          </cell>
        </row>
        <row r="66">
          <cell r="C66" t="str">
            <v>ALS11917</v>
          </cell>
        </row>
        <row r="67">
          <cell r="C67" t="str">
            <v>ALS11845</v>
          </cell>
        </row>
        <row r="68">
          <cell r="C68" t="str">
            <v>ALS10141</v>
          </cell>
        </row>
        <row r="69">
          <cell r="C69" t="str">
            <v>ALS11790</v>
          </cell>
        </row>
        <row r="70">
          <cell r="C70" t="str">
            <v>LFX870</v>
          </cell>
        </row>
        <row r="71">
          <cell r="C71" t="str">
            <v>ADH5548</v>
          </cell>
        </row>
        <row r="72">
          <cell r="C72" t="str">
            <v>LFX293</v>
          </cell>
        </row>
        <row r="73">
          <cell r="C73" t="str">
            <v>ACT438</v>
          </cell>
        </row>
        <row r="74">
          <cell r="C74" t="str">
            <v>ALS11787</v>
          </cell>
        </row>
        <row r="75">
          <cell r="C75" t="str">
            <v>ACT2551</v>
          </cell>
        </row>
        <row r="76">
          <cell r="C76" t="str">
            <v>ALS9670</v>
          </cell>
        </row>
        <row r="77">
          <cell r="C77" t="str">
            <v>ALS9780</v>
          </cell>
        </row>
        <row r="78">
          <cell r="C78" t="str">
            <v>ALS6859</v>
          </cell>
        </row>
        <row r="79">
          <cell r="C79" t="str">
            <v>ALS11227</v>
          </cell>
        </row>
        <row r="80">
          <cell r="C80" t="str">
            <v>ALS9299</v>
          </cell>
        </row>
        <row r="81">
          <cell r="C81" t="str">
            <v>ADH5398</v>
          </cell>
        </row>
        <row r="82">
          <cell r="C82" t="str">
            <v>ADH4509</v>
          </cell>
        </row>
        <row r="83">
          <cell r="C83" t="str">
            <v>ADH4908</v>
          </cell>
        </row>
        <row r="84">
          <cell r="C84" t="str">
            <v>BDH0653</v>
          </cell>
        </row>
        <row r="85">
          <cell r="C85" t="str">
            <v>BDH0515</v>
          </cell>
        </row>
        <row r="86">
          <cell r="C86" t="str">
            <v>ADH4777</v>
          </cell>
        </row>
        <row r="87">
          <cell r="C87" t="str">
            <v>ADH5274</v>
          </cell>
        </row>
        <row r="88">
          <cell r="C88" t="str">
            <v>ADH5199</v>
          </cell>
        </row>
        <row r="89">
          <cell r="C89" t="str">
            <v>ADH5241</v>
          </cell>
        </row>
        <row r="90">
          <cell r="C90" t="str">
            <v>ADH4688</v>
          </cell>
        </row>
        <row r="91">
          <cell r="C91" t="str">
            <v>ADH4755</v>
          </cell>
        </row>
        <row r="92">
          <cell r="C92" t="str">
            <v>ALS8656</v>
          </cell>
        </row>
        <row r="93">
          <cell r="C93" t="str">
            <v>ALS8617</v>
          </cell>
        </row>
        <row r="94">
          <cell r="C94" t="str">
            <v>ALS10178</v>
          </cell>
        </row>
        <row r="95">
          <cell r="C95" t="str">
            <v>ALS6134</v>
          </cell>
        </row>
        <row r="96">
          <cell r="C96" t="str">
            <v>ALS9155</v>
          </cell>
        </row>
        <row r="97">
          <cell r="C97" t="str">
            <v>ALS11899</v>
          </cell>
        </row>
        <row r="98">
          <cell r="C98" t="str">
            <v>ALS11969</v>
          </cell>
        </row>
        <row r="99">
          <cell r="C99" t="str">
            <v>ALS11949</v>
          </cell>
        </row>
        <row r="100">
          <cell r="C100" t="str">
            <v>ALS10315</v>
          </cell>
        </row>
        <row r="101">
          <cell r="C101" t="str">
            <v>ALS11947</v>
          </cell>
        </row>
        <row r="102">
          <cell r="C102" t="str">
            <v>ALS10144</v>
          </cell>
        </row>
        <row r="103">
          <cell r="C103" t="str">
            <v>ALS11948</v>
          </cell>
        </row>
        <row r="104">
          <cell r="C104" t="str">
            <v>ALS11970</v>
          </cell>
        </row>
        <row r="105">
          <cell r="C105" t="str">
            <v>ALS10149</v>
          </cell>
        </row>
        <row r="106">
          <cell r="C106" t="str">
            <v>ALS10319</v>
          </cell>
        </row>
        <row r="107">
          <cell r="C107" t="str">
            <v>ALS8614</v>
          </cell>
        </row>
        <row r="108">
          <cell r="C108" t="str">
            <v>ALS11946</v>
          </cell>
        </row>
        <row r="109">
          <cell r="C109" t="str">
            <v>ALS8891</v>
          </cell>
        </row>
        <row r="110">
          <cell r="C110" t="str">
            <v>ALS10318</v>
          </cell>
        </row>
        <row r="111">
          <cell r="C111" t="str">
            <v>ALS11951</v>
          </cell>
        </row>
        <row r="112">
          <cell r="C112" t="str">
            <v>ALS11915</v>
          </cell>
        </row>
        <row r="113">
          <cell r="C113" t="str">
            <v>ADH3409</v>
          </cell>
        </row>
        <row r="114">
          <cell r="C114" t="str">
            <v>ALS8244</v>
          </cell>
        </row>
        <row r="115">
          <cell r="C115" t="str">
            <v>ALS11973</v>
          </cell>
        </row>
        <row r="116">
          <cell r="C116" t="str">
            <v>ALS11972</v>
          </cell>
        </row>
        <row r="117">
          <cell r="C117" t="str">
            <v>ALS11792</v>
          </cell>
        </row>
        <row r="118">
          <cell r="C118" t="str">
            <v>ALS11885</v>
          </cell>
        </row>
        <row r="119">
          <cell r="C119" t="str">
            <v>ALS3095</v>
          </cell>
        </row>
        <row r="120">
          <cell r="C120" t="str">
            <v>ALS12308</v>
          </cell>
        </row>
        <row r="121">
          <cell r="C121" t="str">
            <v>ALS10156</v>
          </cell>
        </row>
        <row r="122">
          <cell r="C122" t="str">
            <v>ALS11224</v>
          </cell>
        </row>
        <row r="123">
          <cell r="C123" t="str">
            <v>ALS12529</v>
          </cell>
        </row>
        <row r="124">
          <cell r="C124" t="str">
            <v>ALS11844</v>
          </cell>
        </row>
        <row r="125">
          <cell r="C125" t="str">
            <v>ALS12309</v>
          </cell>
        </row>
        <row r="126">
          <cell r="C126" t="str">
            <v>ALS12563</v>
          </cell>
        </row>
        <row r="127">
          <cell r="C127" t="str">
            <v>ALS11214</v>
          </cell>
        </row>
        <row r="128">
          <cell r="C128" t="str">
            <v>ADH4764</v>
          </cell>
        </row>
        <row r="129">
          <cell r="C129" t="str">
            <v>ALS12310</v>
          </cell>
        </row>
        <row r="130">
          <cell r="C130" t="str">
            <v>ALS12526</v>
          </cell>
        </row>
        <row r="131">
          <cell r="C131" t="str">
            <v>ALS12600</v>
          </cell>
        </row>
        <row r="132">
          <cell r="C132" t="str">
            <v>ALS12208</v>
          </cell>
        </row>
        <row r="133">
          <cell r="C133" t="str">
            <v>ALS12665</v>
          </cell>
        </row>
        <row r="134">
          <cell r="C134" t="str">
            <v>ALS12666</v>
          </cell>
        </row>
        <row r="135">
          <cell r="C135" t="str">
            <v>ALS12662</v>
          </cell>
        </row>
        <row r="136">
          <cell r="C136" t="str">
            <v>ALS11696</v>
          </cell>
        </row>
        <row r="137">
          <cell r="C137" t="str">
            <v>ALS10145</v>
          </cell>
        </row>
        <row r="138">
          <cell r="C138" t="str">
            <v>ALS11900</v>
          </cell>
        </row>
        <row r="139">
          <cell r="C139" t="str">
            <v>LFX866</v>
          </cell>
        </row>
        <row r="140">
          <cell r="C140" t="str">
            <v>ALS11998</v>
          </cell>
        </row>
        <row r="141">
          <cell r="C141" t="str">
            <v>ALS12303</v>
          </cell>
        </row>
        <row r="142">
          <cell r="C142" t="str">
            <v>ALS12663</v>
          </cell>
        </row>
        <row r="143">
          <cell r="C143" t="str">
            <v>ALS12750</v>
          </cell>
        </row>
        <row r="144">
          <cell r="C144" t="str">
            <v>LFX578</v>
          </cell>
        </row>
        <row r="145">
          <cell r="C145" t="str">
            <v>ALS12661</v>
          </cell>
        </row>
        <row r="146">
          <cell r="C146" t="str">
            <v>ALS12751</v>
          </cell>
        </row>
        <row r="147">
          <cell r="C147" t="str">
            <v>ALS12752</v>
          </cell>
        </row>
        <row r="148">
          <cell r="C148" t="str">
            <v>ADH2889</v>
          </cell>
        </row>
        <row r="149">
          <cell r="C149" t="str">
            <v>ALS12415</v>
          </cell>
        </row>
        <row r="150">
          <cell r="C150" t="str">
            <v>ALS12744</v>
          </cell>
        </row>
        <row r="151">
          <cell r="C151" t="str">
            <v>ALS12703</v>
          </cell>
        </row>
        <row r="152">
          <cell r="C152" t="str">
            <v>ALS12668</v>
          </cell>
        </row>
        <row r="153">
          <cell r="C153" t="str">
            <v>LFX873</v>
          </cell>
        </row>
        <row r="154">
          <cell r="C154" t="str">
            <v>ADH0800</v>
          </cell>
        </row>
        <row r="155">
          <cell r="C155" t="str">
            <v>ADH0738</v>
          </cell>
        </row>
        <row r="156">
          <cell r="C156" t="str">
            <v>BDH0008</v>
          </cell>
        </row>
        <row r="157">
          <cell r="C157" t="str">
            <v>ALS12843</v>
          </cell>
        </row>
        <row r="158">
          <cell r="C158" t="str">
            <v>ALS12805</v>
          </cell>
        </row>
        <row r="159">
          <cell r="C159" t="str">
            <v>ALS12807</v>
          </cell>
        </row>
        <row r="160">
          <cell r="C160" t="str">
            <v>ALS12771</v>
          </cell>
        </row>
        <row r="161">
          <cell r="C161" t="str">
            <v>ALS12748</v>
          </cell>
        </row>
        <row r="162">
          <cell r="C162" t="str">
            <v>ALS12667</v>
          </cell>
        </row>
        <row r="163">
          <cell r="C163" t="str">
            <v>BDH0403</v>
          </cell>
        </row>
        <row r="164">
          <cell r="C164" t="str">
            <v>ADH3583</v>
          </cell>
        </row>
        <row r="165">
          <cell r="C165" t="str">
            <v>ALS12776</v>
          </cell>
        </row>
        <row r="166">
          <cell r="C166" t="str">
            <v>ALS12824</v>
          </cell>
        </row>
        <row r="167">
          <cell r="C167" t="str">
            <v>ALS12774</v>
          </cell>
        </row>
        <row r="168">
          <cell r="C168" t="str">
            <v>ALS12775</v>
          </cell>
        </row>
        <row r="169">
          <cell r="C169" t="str">
            <v>ADH5444</v>
          </cell>
        </row>
        <row r="170">
          <cell r="C170" t="str">
            <v>ADH3270</v>
          </cell>
        </row>
        <row r="171">
          <cell r="C171" t="str">
            <v>ADH2378</v>
          </cell>
        </row>
        <row r="172">
          <cell r="C172" t="str">
            <v>ALS6285</v>
          </cell>
        </row>
        <row r="173">
          <cell r="C173" t="str">
            <v>ALS9124</v>
          </cell>
        </row>
        <row r="174">
          <cell r="C174" t="str">
            <v>ALS9944</v>
          </cell>
        </row>
        <row r="175">
          <cell r="C175" t="str">
            <v>ALS12659</v>
          </cell>
        </row>
        <row r="176">
          <cell r="C176" t="str">
            <v>ALS12869</v>
          </cell>
        </row>
        <row r="177">
          <cell r="C177" t="str">
            <v>ALS12599</v>
          </cell>
        </row>
        <row r="178">
          <cell r="C178" t="str">
            <v>ALS12660</v>
          </cell>
        </row>
        <row r="179">
          <cell r="C179" t="str">
            <v>ALS12305</v>
          </cell>
        </row>
        <row r="180">
          <cell r="C180" t="str">
            <v>ALS12564</v>
          </cell>
        </row>
        <row r="181">
          <cell r="C181" t="str">
            <v>ALS12704</v>
          </cell>
        </row>
        <row r="182">
          <cell r="C182" t="str">
            <v>ALS12770</v>
          </cell>
        </row>
        <row r="183">
          <cell r="C183" t="str">
            <v>ALS12664</v>
          </cell>
        </row>
        <row r="184">
          <cell r="C184" t="str">
            <v>ACT2575</v>
          </cell>
        </row>
        <row r="185">
          <cell r="C185" t="str">
            <v>ALS12312</v>
          </cell>
        </row>
        <row r="186">
          <cell r="C186" t="str">
            <v>ALS10316</v>
          </cell>
        </row>
        <row r="187">
          <cell r="C187" t="str">
            <v>ALS11971</v>
          </cell>
        </row>
        <row r="188">
          <cell r="C188" t="str">
            <v>ALS11901</v>
          </cell>
        </row>
        <row r="189">
          <cell r="C189" t="str">
            <v>ALS4438</v>
          </cell>
        </row>
        <row r="190">
          <cell r="C190" t="str">
            <v>BDH0642</v>
          </cell>
        </row>
        <row r="191">
          <cell r="C191" t="str">
            <v>LFX868</v>
          </cell>
        </row>
        <row r="192">
          <cell r="C192" t="str">
            <v>ALS12307</v>
          </cell>
        </row>
        <row r="193">
          <cell r="C193" t="str">
            <v>FX1695</v>
          </cell>
        </row>
        <row r="194">
          <cell r="C194" t="str">
            <v>ALS11999</v>
          </cell>
        </row>
        <row r="195">
          <cell r="C195" t="str">
            <v>ALS8308</v>
          </cell>
        </row>
        <row r="196">
          <cell r="C196" t="str">
            <v>ALS6280</v>
          </cell>
        </row>
        <row r="197">
          <cell r="C197" t="str">
            <v>ALS11950</v>
          </cell>
        </row>
        <row r="198">
          <cell r="C198" t="str">
            <v>ALS12128</v>
          </cell>
        </row>
        <row r="199">
          <cell r="C199" t="str">
            <v>ALS12528</v>
          </cell>
        </row>
        <row r="200">
          <cell r="C200" t="str">
            <v>ALS12747</v>
          </cell>
        </row>
        <row r="201">
          <cell r="C201" t="str">
            <v>ALS11788</v>
          </cell>
        </row>
        <row r="202">
          <cell r="C202" t="str">
            <v>ALS10160</v>
          </cell>
        </row>
        <row r="203">
          <cell r="C203" t="str">
            <v>ALS10169</v>
          </cell>
        </row>
        <row r="204">
          <cell r="C204" t="str">
            <v>ALS13029</v>
          </cell>
        </row>
        <row r="205">
          <cell r="C205" t="str">
            <v>ALS12306</v>
          </cell>
        </row>
        <row r="206">
          <cell r="C206" t="str">
            <v>ALS13115</v>
          </cell>
        </row>
        <row r="207">
          <cell r="C207" t="str">
            <v>ALS12991</v>
          </cell>
        </row>
        <row r="208">
          <cell r="C208" t="str">
            <v>ALS13066</v>
          </cell>
        </row>
        <row r="209">
          <cell r="C209" t="str">
            <v>ALS11693</v>
          </cell>
        </row>
        <row r="210">
          <cell r="C210" t="str">
            <v>ALS13114</v>
          </cell>
        </row>
        <row r="211">
          <cell r="C211" t="str">
            <v>ALS13116</v>
          </cell>
        </row>
        <row r="212">
          <cell r="C212" t="str">
            <v>ALS13119</v>
          </cell>
        </row>
        <row r="213">
          <cell r="C213" t="str">
            <v>ALS10342</v>
          </cell>
        </row>
        <row r="214">
          <cell r="C214" t="str">
            <v>ALS10147</v>
          </cell>
        </row>
        <row r="215">
          <cell r="C215" t="str">
            <v>ALS13171</v>
          </cell>
        </row>
        <row r="216">
          <cell r="C216" t="str">
            <v>ALS12749</v>
          </cell>
        </row>
        <row r="217">
          <cell r="C217" t="str">
            <v>ADH0736</v>
          </cell>
        </row>
        <row r="218">
          <cell r="C218" t="str">
            <v>ALS13253</v>
          </cell>
        </row>
        <row r="219">
          <cell r="C219" t="str">
            <v>ALS13070</v>
          </cell>
        </row>
        <row r="220">
          <cell r="C220" t="str">
            <v>ALS13031</v>
          </cell>
        </row>
        <row r="221">
          <cell r="C221" t="str">
            <v>ALS13374</v>
          </cell>
        </row>
        <row r="222">
          <cell r="C222" t="str">
            <v>ALS13064</v>
          </cell>
        </row>
        <row r="223">
          <cell r="C223" t="str">
            <v>ACT2596</v>
          </cell>
        </row>
        <row r="224">
          <cell r="C224" t="str">
            <v>ALS13032</v>
          </cell>
        </row>
        <row r="225">
          <cell r="C225" t="str">
            <v>ALS13030</v>
          </cell>
        </row>
        <row r="226">
          <cell r="C226" t="str">
            <v>ALS10341</v>
          </cell>
        </row>
        <row r="227">
          <cell r="C227" t="str">
            <v>ALS12953</v>
          </cell>
        </row>
        <row r="228">
          <cell r="C228" t="str">
            <v>ALS4910</v>
          </cell>
        </row>
        <row r="229">
          <cell r="C229" t="str">
            <v>ALS8165</v>
          </cell>
        </row>
        <row r="230">
          <cell r="C230" t="str">
            <v>ALS13026</v>
          </cell>
        </row>
        <row r="231">
          <cell r="C231" t="str">
            <v>ALS13174</v>
          </cell>
        </row>
        <row r="232">
          <cell r="C232" t="str">
            <v>ALS13443</v>
          </cell>
        </row>
        <row r="233">
          <cell r="C233" t="str">
            <v>ALS13444</v>
          </cell>
        </row>
        <row r="234">
          <cell r="C234" t="str">
            <v>ALS9243</v>
          </cell>
        </row>
        <row r="235">
          <cell r="C235" t="str">
            <v>ALS11543</v>
          </cell>
        </row>
        <row r="236">
          <cell r="C236" t="str">
            <v>ALS10154</v>
          </cell>
        </row>
        <row r="237">
          <cell r="C237" t="str">
            <v>ALS13494</v>
          </cell>
        </row>
        <row r="238">
          <cell r="C238" t="str">
            <v>ALS10167</v>
          </cell>
        </row>
        <row r="239">
          <cell r="C239" t="str">
            <v>ALS13524</v>
          </cell>
        </row>
        <row r="240">
          <cell r="C240" t="str">
            <v>ALS13179</v>
          </cell>
        </row>
        <row r="241">
          <cell r="C241" t="str">
            <v>ALS13526</v>
          </cell>
        </row>
        <row r="242">
          <cell r="C242" t="str">
            <v>ALS13548</v>
          </cell>
        </row>
        <row r="243">
          <cell r="C243" t="str">
            <v>ALS13565</v>
          </cell>
        </row>
        <row r="244">
          <cell r="C244" t="str">
            <v>ALS10172</v>
          </cell>
        </row>
        <row r="245">
          <cell r="C245" t="str">
            <v>ALS8140</v>
          </cell>
        </row>
        <row r="246">
          <cell r="C246" t="str">
            <v>ALS9125</v>
          </cell>
        </row>
        <row r="247">
          <cell r="C247" t="str">
            <v>ALS12633</v>
          </cell>
        </row>
        <row r="248">
          <cell r="C248" t="str">
            <v>ALS8616</v>
          </cell>
        </row>
        <row r="249">
          <cell r="C249" t="str">
            <v>ALS13357</v>
          </cell>
        </row>
        <row r="250">
          <cell r="C250" t="str">
            <v>ALS12768</v>
          </cell>
        </row>
        <row r="251">
          <cell r="C251" t="str">
            <v>ALS12773</v>
          </cell>
        </row>
        <row r="252">
          <cell r="C252" t="str">
            <v>ALS13593</v>
          </cell>
        </row>
        <row r="253">
          <cell r="C253" t="str">
            <v>FX3271</v>
          </cell>
        </row>
        <row r="254">
          <cell r="C254" t="str">
            <v>ALS13599</v>
          </cell>
        </row>
        <row r="255">
          <cell r="C255" t="str">
            <v>ALS13536</v>
          </cell>
        </row>
        <row r="256">
          <cell r="C256" t="str">
            <v>ALS13439</v>
          </cell>
        </row>
        <row r="257">
          <cell r="C257" t="str">
            <v>ALS13445</v>
          </cell>
        </row>
        <row r="258">
          <cell r="C258" t="str">
            <v>ALS13594</v>
          </cell>
        </row>
        <row r="259">
          <cell r="C259" t="str">
            <v>ALS13597</v>
          </cell>
        </row>
        <row r="260">
          <cell r="C260" t="str">
            <v>ALS13609</v>
          </cell>
        </row>
        <row r="261">
          <cell r="C261" t="str">
            <v>ALS13662</v>
          </cell>
        </row>
        <row r="262">
          <cell r="C262" t="str">
            <v>ALS6522</v>
          </cell>
        </row>
        <row r="263">
          <cell r="C263" t="str">
            <v>ALS13024</v>
          </cell>
        </row>
        <row r="264">
          <cell r="C264" t="str">
            <v>ALS13419</v>
          </cell>
        </row>
        <row r="265">
          <cell r="C265" t="str">
            <v>ADH5650</v>
          </cell>
        </row>
        <row r="266">
          <cell r="C266" t="str">
            <v>ADH5823</v>
          </cell>
        </row>
        <row r="267">
          <cell r="C267" t="str">
            <v>ADH3799</v>
          </cell>
        </row>
        <row r="268">
          <cell r="C268" t="str">
            <v>ALS13671</v>
          </cell>
        </row>
        <row r="269">
          <cell r="C269" t="str">
            <v>ALS13664</v>
          </cell>
        </row>
        <row r="270">
          <cell r="C270" t="str">
            <v>ALS13370</v>
          </cell>
        </row>
        <row r="271">
          <cell r="C271" t="str">
            <v>ADH5798</v>
          </cell>
        </row>
        <row r="272">
          <cell r="C272" t="str">
            <v>ALS13612</v>
          </cell>
        </row>
        <row r="273">
          <cell r="C273" t="str">
            <v>ALS13596</v>
          </cell>
        </row>
        <row r="274">
          <cell r="C274" t="str">
            <v>ALS13660</v>
          </cell>
        </row>
        <row r="275">
          <cell r="C275" t="str">
            <v>ALS13680</v>
          </cell>
        </row>
        <row r="276">
          <cell r="C276" t="str">
            <v>ALS13590</v>
          </cell>
        </row>
        <row r="277">
          <cell r="C277" t="str">
            <v>ALS13634</v>
          </cell>
        </row>
        <row r="278">
          <cell r="C278" t="str">
            <v>ALS13704</v>
          </cell>
        </row>
        <row r="279">
          <cell r="C279" t="str">
            <v>ALS13709</v>
          </cell>
        </row>
        <row r="280">
          <cell r="C280" t="str">
            <v>ALS13711</v>
          </cell>
        </row>
        <row r="281">
          <cell r="C281" t="str">
            <v>ALS13713</v>
          </cell>
        </row>
        <row r="282">
          <cell r="C282" t="str">
            <v>ALS13710</v>
          </cell>
        </row>
        <row r="283">
          <cell r="C283" t="str">
            <v>ALS13606</v>
          </cell>
        </row>
        <row r="284">
          <cell r="C284" t="str">
            <v>ALS13173</v>
          </cell>
        </row>
        <row r="285">
          <cell r="C285" t="str">
            <v>ALS13661</v>
          </cell>
        </row>
        <row r="286">
          <cell r="C286" t="str">
            <v>ALS13736</v>
          </cell>
        </row>
        <row r="287">
          <cell r="C287" t="str">
            <v>ALS13737</v>
          </cell>
        </row>
        <row r="288">
          <cell r="C288" t="str">
            <v>ALS13595</v>
          </cell>
        </row>
        <row r="289">
          <cell r="C289" t="str">
            <v>ALS13650</v>
          </cell>
        </row>
        <row r="290">
          <cell r="C290" t="str">
            <v>ALS13640</v>
          </cell>
        </row>
        <row r="291">
          <cell r="C291" t="str">
            <v>ALS13719</v>
          </cell>
        </row>
        <row r="292">
          <cell r="C292" t="str">
            <v>ADH0231</v>
          </cell>
        </row>
        <row r="293">
          <cell r="C293" t="str">
            <v>ALS13552</v>
          </cell>
        </row>
        <row r="294">
          <cell r="C294" t="str">
            <v>ALS13734</v>
          </cell>
        </row>
        <row r="295">
          <cell r="C295" t="str">
            <v>FX2444</v>
          </cell>
        </row>
        <row r="296">
          <cell r="C296" t="str">
            <v>ADH4908</v>
          </cell>
        </row>
        <row r="297">
          <cell r="C297" t="str">
            <v>ADH5747</v>
          </cell>
        </row>
        <row r="298">
          <cell r="C298" t="str">
            <v>ADH3492</v>
          </cell>
        </row>
        <row r="299">
          <cell r="C299" t="str">
            <v>ADH5617</v>
          </cell>
        </row>
        <row r="300">
          <cell r="C300" t="str">
            <v>ADH3355</v>
          </cell>
        </row>
        <row r="301">
          <cell r="C301" t="str">
            <v>ADH5528</v>
          </cell>
        </row>
        <row r="302">
          <cell r="C302" t="str">
            <v>ADH3360</v>
          </cell>
        </row>
        <row r="303">
          <cell r="C303" t="str">
            <v>FX606</v>
          </cell>
        </row>
        <row r="304">
          <cell r="C304" t="str">
            <v>ADH5609</v>
          </cell>
        </row>
        <row r="305">
          <cell r="C305" t="str">
            <v>ADH5633</v>
          </cell>
        </row>
        <row r="306">
          <cell r="C306" t="str">
            <v>ADH5751</v>
          </cell>
        </row>
        <row r="307">
          <cell r="C307" t="str">
            <v>ADH5657</v>
          </cell>
        </row>
        <row r="308">
          <cell r="C308" t="str">
            <v>LFX569</v>
          </cell>
        </row>
        <row r="309">
          <cell r="C309" t="str">
            <v>FX2828</v>
          </cell>
        </row>
        <row r="310">
          <cell r="C310" t="str">
            <v>ALS13625</v>
          </cell>
        </row>
        <row r="311">
          <cell r="C311" t="str">
            <v>ALS13608</v>
          </cell>
        </row>
        <row r="312">
          <cell r="C312" t="str">
            <v>ALS13375</v>
          </cell>
        </row>
        <row r="313">
          <cell r="C313" t="str">
            <v>ALS12769</v>
          </cell>
        </row>
        <row r="314">
          <cell r="C314" t="str">
            <v>LFX879</v>
          </cell>
        </row>
        <row r="315">
          <cell r="C315" t="str">
            <v>ALS13792</v>
          </cell>
        </row>
        <row r="316">
          <cell r="C316" t="str">
            <v>ALS13795</v>
          </cell>
        </row>
        <row r="317">
          <cell r="C317" t="str">
            <v>ALS13659</v>
          </cell>
        </row>
        <row r="318">
          <cell r="C318" t="str">
            <v>ACT2623</v>
          </cell>
        </row>
        <row r="319">
          <cell r="C319" t="str">
            <v>ALS13067</v>
          </cell>
        </row>
        <row r="320">
          <cell r="C320" t="str">
            <v>ALS11217</v>
          </cell>
        </row>
        <row r="321">
          <cell r="C321" t="str">
            <v>ALS13490</v>
          </cell>
        </row>
        <row r="322">
          <cell r="C322" t="str">
            <v>ALS13539</v>
          </cell>
        </row>
        <row r="323">
          <cell r="C323" t="str">
            <v>ALS13775</v>
          </cell>
        </row>
        <row r="324">
          <cell r="C324" t="str">
            <v>ALS7014</v>
          </cell>
        </row>
        <row r="325">
          <cell r="C325" t="str">
            <v>ALS13771</v>
          </cell>
        </row>
        <row r="326">
          <cell r="C326" t="str">
            <v>ALS13703</v>
          </cell>
        </row>
        <row r="327">
          <cell r="C327" t="str">
            <v>ALS13068</v>
          </cell>
        </row>
        <row r="328">
          <cell r="C328" t="str">
            <v>ALS13779</v>
          </cell>
        </row>
        <row r="329">
          <cell r="C329" t="str">
            <v>LFX725</v>
          </cell>
        </row>
        <row r="330">
          <cell r="C330" t="str">
            <v>ALS13791</v>
          </cell>
        </row>
        <row r="331">
          <cell r="C331" t="str">
            <v>ALS13827</v>
          </cell>
        </row>
        <row r="332">
          <cell r="C332" t="str">
            <v>ALS13817</v>
          </cell>
        </row>
        <row r="333">
          <cell r="C333" t="str">
            <v>ALS13823</v>
          </cell>
        </row>
        <row r="334">
          <cell r="C334" t="str">
            <v>ALS13824</v>
          </cell>
        </row>
        <row r="335">
          <cell r="C335" t="str">
            <v>ALS13828</v>
          </cell>
        </row>
        <row r="336">
          <cell r="C336" t="str">
            <v>ALS11208</v>
          </cell>
        </row>
        <row r="337">
          <cell r="C337" t="str">
            <v>ALS13778</v>
          </cell>
        </row>
        <row r="338">
          <cell r="C338" t="str">
            <v>ALS12447</v>
          </cell>
        </row>
        <row r="339">
          <cell r="C339" t="str">
            <v>ALS12580</v>
          </cell>
        </row>
        <row r="340">
          <cell r="C340" t="str">
            <v>ALS13781</v>
          </cell>
        </row>
        <row r="341">
          <cell r="C341" t="str">
            <v>ALS9989</v>
          </cell>
        </row>
        <row r="342">
          <cell r="C342" t="str">
            <v>ALS13856</v>
          </cell>
        </row>
        <row r="343">
          <cell r="C343" t="str">
            <v>ALS13726</v>
          </cell>
        </row>
        <row r="344">
          <cell r="C344" t="str">
            <v>ALS13783</v>
          </cell>
        </row>
        <row r="345">
          <cell r="C345" t="str">
            <v>ALS13826</v>
          </cell>
        </row>
        <row r="346">
          <cell r="C346" t="str">
            <v>ALS13525</v>
          </cell>
        </row>
        <row r="347">
          <cell r="C347" t="str">
            <v>ALS13788</v>
          </cell>
        </row>
        <row r="348">
          <cell r="C348" t="str">
            <v>ALS13815</v>
          </cell>
        </row>
        <row r="349">
          <cell r="C349" t="str">
            <v>ALS13860</v>
          </cell>
        </row>
        <row r="350">
          <cell r="C350" t="str">
            <v>ALS13766</v>
          </cell>
        </row>
        <row r="351">
          <cell r="C351" t="str">
            <v>ALS13598</v>
          </cell>
        </row>
        <row r="352">
          <cell r="C352" t="str">
            <v>ALS13777</v>
          </cell>
        </row>
        <row r="353">
          <cell r="C353" t="str">
            <v>ALS13864</v>
          </cell>
        </row>
        <row r="354">
          <cell r="C354" t="str">
            <v>ALS13894</v>
          </cell>
        </row>
        <row r="355">
          <cell r="C355" t="str">
            <v>ALS13820</v>
          </cell>
        </row>
        <row r="356">
          <cell r="C356" t="str">
            <v>ALS8723</v>
          </cell>
        </row>
        <row r="357">
          <cell r="C357" t="str">
            <v>ALS13822</v>
          </cell>
        </row>
        <row r="358">
          <cell r="C358" t="str">
            <v>ALS13858</v>
          </cell>
        </row>
        <row r="359">
          <cell r="C359" t="str">
            <v>ALS13751</v>
          </cell>
        </row>
        <row r="360">
          <cell r="C360" t="str">
            <v>ALS13440</v>
          </cell>
        </row>
        <row r="361">
          <cell r="C361" t="str">
            <v>ALS13816</v>
          </cell>
        </row>
        <row r="362">
          <cell r="C362" t="str">
            <v>ALS13033</v>
          </cell>
        </row>
        <row r="363">
          <cell r="C363" t="str">
            <v>ALS13663</v>
          </cell>
        </row>
        <row r="364">
          <cell r="C364" t="str">
            <v>ALS12966</v>
          </cell>
        </row>
        <row r="365">
          <cell r="C365" t="str">
            <v>ALS13933</v>
          </cell>
        </row>
        <row r="366">
          <cell r="C366" t="str">
            <v>ALS9241</v>
          </cell>
        </row>
        <row r="367">
          <cell r="C367" t="str">
            <v>ALS13896</v>
          </cell>
        </row>
        <row r="368">
          <cell r="C368" t="str">
            <v>ALS13180</v>
          </cell>
        </row>
        <row r="369">
          <cell r="C369" t="str">
            <v>ALS13953</v>
          </cell>
        </row>
        <row r="370">
          <cell r="C370" t="str">
            <v>ALS14022</v>
          </cell>
        </row>
        <row r="371">
          <cell r="C371" t="str">
            <v>ALS13821</v>
          </cell>
        </row>
        <row r="372">
          <cell r="C372" t="str">
            <v>ALS13818</v>
          </cell>
        </row>
        <row r="373">
          <cell r="C373" t="str">
            <v>ADH5605</v>
          </cell>
        </row>
        <row r="374">
          <cell r="C374" t="str">
            <v>ALS12993</v>
          </cell>
        </row>
        <row r="375">
          <cell r="C375" t="str">
            <v>ALS13825</v>
          </cell>
        </row>
        <row r="376">
          <cell r="C376" t="str">
            <v>ALS14078</v>
          </cell>
        </row>
        <row r="377">
          <cell r="C377" t="str">
            <v>ALS14081</v>
          </cell>
        </row>
        <row r="378">
          <cell r="C378" t="str">
            <v>ALS8593</v>
          </cell>
        </row>
        <row r="379">
          <cell r="C379" t="str">
            <v>ALS13765</v>
          </cell>
        </row>
        <row r="380">
          <cell r="C380" t="str">
            <v>ALS14079</v>
          </cell>
        </row>
        <row r="381">
          <cell r="C381" t="str">
            <v>ALS13512</v>
          </cell>
        </row>
        <row r="382">
          <cell r="C382" t="str">
            <v>ALS13814</v>
          </cell>
        </row>
        <row r="383">
          <cell r="C383" t="str">
            <v>ALS13707</v>
          </cell>
        </row>
        <row r="384">
          <cell r="C384" t="str">
            <v>ALS13557</v>
          </cell>
        </row>
        <row r="385">
          <cell r="C385" t="str">
            <v>ALS14080</v>
          </cell>
        </row>
        <row r="386">
          <cell r="C386" t="str">
            <v>ALS14099</v>
          </cell>
        </row>
        <row r="387">
          <cell r="C387" t="str">
            <v>ALS8005</v>
          </cell>
        </row>
        <row r="388">
          <cell r="C388" t="str">
            <v>ALS13373</v>
          </cell>
        </row>
        <row r="389">
          <cell r="C389" t="str">
            <v>ALS13551</v>
          </cell>
        </row>
        <row r="390">
          <cell r="C390" t="str">
            <v>ALS13950</v>
          </cell>
        </row>
        <row r="391">
          <cell r="C391" t="str">
            <v>ALS14055</v>
          </cell>
        </row>
        <row r="392">
          <cell r="C392" t="str">
            <v>ADH5443</v>
          </cell>
        </row>
        <row r="393">
          <cell r="C393" t="str">
            <v>ALS14019</v>
          </cell>
        </row>
        <row r="394">
          <cell r="C394" t="str">
            <v>ALS14032</v>
          </cell>
        </row>
        <row r="395">
          <cell r="C395" t="str">
            <v>ALS10331</v>
          </cell>
        </row>
        <row r="396">
          <cell r="C396" t="str">
            <v>ALS13952</v>
          </cell>
        </row>
        <row r="397">
          <cell r="C397" t="str">
            <v>ALS11216</v>
          </cell>
        </row>
        <row r="398">
          <cell r="C398" t="str">
            <v>ALS13172</v>
          </cell>
        </row>
        <row r="399">
          <cell r="C399" t="str">
            <v>ALS14316</v>
          </cell>
        </row>
        <row r="400">
          <cell r="C400" t="str">
            <v>ALS14239</v>
          </cell>
        </row>
        <row r="401">
          <cell r="C401" t="str">
            <v>ALS14329</v>
          </cell>
        </row>
        <row r="402">
          <cell r="C402" t="str">
            <v>ALS14417</v>
          </cell>
        </row>
        <row r="403">
          <cell r="C403" t="str">
            <v>ALS14153</v>
          </cell>
        </row>
        <row r="404">
          <cell r="C404" t="str">
            <v>ALS14059</v>
          </cell>
        </row>
        <row r="405">
          <cell r="C405" t="str">
            <v>ALS14327</v>
          </cell>
        </row>
        <row r="406">
          <cell r="C406" t="str">
            <v>ALS8692</v>
          </cell>
        </row>
        <row r="407">
          <cell r="C407" t="str">
            <v>ALS12525</v>
          </cell>
        </row>
        <row r="408">
          <cell r="C408" t="str">
            <v>ALS13929</v>
          </cell>
        </row>
        <row r="409">
          <cell r="C409" t="str">
            <v>ALS13932</v>
          </cell>
        </row>
        <row r="410">
          <cell r="C410" t="str">
            <v>ALS14423</v>
          </cell>
        </row>
        <row r="411">
          <cell r="C411" t="str">
            <v>ALS14513</v>
          </cell>
        </row>
        <row r="412">
          <cell r="C412" t="str">
            <v>ALS13549</v>
          </cell>
        </row>
        <row r="413">
          <cell r="C413" t="str">
            <v>ALS14572</v>
          </cell>
        </row>
        <row r="414">
          <cell r="C414" t="str">
            <v>ALS14511</v>
          </cell>
        </row>
        <row r="415">
          <cell r="C415" t="str">
            <v>ALS13790</v>
          </cell>
        </row>
        <row r="416">
          <cell r="C416" t="str">
            <v>ALS12764</v>
          </cell>
        </row>
        <row r="417">
          <cell r="C417" t="str">
            <v>ALS14238</v>
          </cell>
        </row>
        <row r="418">
          <cell r="C418" t="str">
            <v>ALS13255</v>
          </cell>
        </row>
        <row r="419">
          <cell r="C419" t="str">
            <v>ALS14247</v>
          </cell>
        </row>
        <row r="420">
          <cell r="C420" t="str">
            <v>ALS14674</v>
          </cell>
        </row>
        <row r="421">
          <cell r="C421" t="str">
            <v>ALS14680</v>
          </cell>
        </row>
        <row r="422">
          <cell r="C422" t="str">
            <v>ALS14318</v>
          </cell>
        </row>
        <row r="423">
          <cell r="C423" t="str">
            <v>ALS13571</v>
          </cell>
        </row>
        <row r="424">
          <cell r="C424" t="str">
            <v>ALS14734</v>
          </cell>
        </row>
        <row r="425">
          <cell r="C425" t="str">
            <v>ALS14722</v>
          </cell>
        </row>
        <row r="426">
          <cell r="C426" t="str">
            <v>ALS14739</v>
          </cell>
        </row>
        <row r="427">
          <cell r="C427" t="str">
            <v>ALS13841</v>
          </cell>
        </row>
        <row r="428">
          <cell r="C428" t="str">
            <v>ALS14128</v>
          </cell>
        </row>
        <row r="429">
          <cell r="C429" t="str">
            <v>ALS14732</v>
          </cell>
        </row>
        <row r="430">
          <cell r="C430" t="str">
            <v>ALS14634</v>
          </cell>
        </row>
        <row r="431">
          <cell r="C431" t="str">
            <v>ALS14509</v>
          </cell>
        </row>
        <row r="432">
          <cell r="C432" t="str">
            <v>ALS14727</v>
          </cell>
        </row>
        <row r="433">
          <cell r="C433" t="str">
            <v>ALS14785</v>
          </cell>
        </row>
        <row r="434">
          <cell r="C434" t="str">
            <v>ALS13793</v>
          </cell>
        </row>
        <row r="435">
          <cell r="C435" t="str">
            <v>ALS13972</v>
          </cell>
        </row>
        <row r="436">
          <cell r="C436" t="str">
            <v>ALS14628</v>
          </cell>
        </row>
        <row r="437">
          <cell r="C437" t="str">
            <v>ALS14726</v>
          </cell>
        </row>
        <row r="438">
          <cell r="C438" t="str">
            <v>ALS14855</v>
          </cell>
        </row>
        <row r="439">
          <cell r="C439" t="str">
            <v>ALS14020</v>
          </cell>
        </row>
        <row r="440">
          <cell r="C440" t="str">
            <v>ALS14570</v>
          </cell>
        </row>
        <row r="441">
          <cell r="C441" t="str">
            <v>ALS14827</v>
          </cell>
        </row>
        <row r="442">
          <cell r="C442" t="str">
            <v>ALS14320</v>
          </cell>
        </row>
        <row r="443">
          <cell r="C443" t="str">
            <v>ALS14682</v>
          </cell>
        </row>
        <row r="444">
          <cell r="C444" t="str">
            <v>ALS14024</v>
          </cell>
        </row>
        <row r="445">
          <cell r="C445" t="str">
            <v>ALS14567</v>
          </cell>
        </row>
        <row r="446">
          <cell r="C446" t="str">
            <v>ALS14505</v>
          </cell>
        </row>
        <row r="447">
          <cell r="C447" t="str">
            <v>ALS14931</v>
          </cell>
        </row>
        <row r="448">
          <cell r="C448" t="str">
            <v>ALS13780</v>
          </cell>
        </row>
        <row r="449">
          <cell r="C449" t="str">
            <v>ALS14678</v>
          </cell>
        </row>
        <row r="450">
          <cell r="C450" t="str">
            <v>ALS14469</v>
          </cell>
        </row>
        <row r="451">
          <cell r="C451" t="str">
            <v>ALS13937</v>
          </cell>
        </row>
        <row r="452">
          <cell r="C452" t="str">
            <v>ALS5501</v>
          </cell>
        </row>
        <row r="453">
          <cell r="C453" t="str">
            <v>ALS14512</v>
          </cell>
        </row>
        <row r="454">
          <cell r="C454" t="str">
            <v>ALS14241</v>
          </cell>
        </row>
        <row r="455">
          <cell r="C455" t="str">
            <v>ALS14575</v>
          </cell>
        </row>
        <row r="456">
          <cell r="C456" t="str">
            <v>ALS6534</v>
          </cell>
        </row>
        <row r="457">
          <cell r="C457" t="str">
            <v>ALS13670</v>
          </cell>
        </row>
        <row r="458">
          <cell r="C458" t="str">
            <v>ALS14639</v>
          </cell>
        </row>
        <row r="459">
          <cell r="C459" t="str">
            <v>ALS14986</v>
          </cell>
        </row>
        <row r="460">
          <cell r="C460" t="str">
            <v>ALS14768</v>
          </cell>
        </row>
        <row r="461">
          <cell r="C461" t="str">
            <v>ABT0062</v>
          </cell>
        </row>
        <row r="462">
          <cell r="C462" t="str">
            <v>ALS14681</v>
          </cell>
        </row>
        <row r="463">
          <cell r="C463" t="str">
            <v>ALS14587</v>
          </cell>
        </row>
        <row r="464">
          <cell r="C464" t="str">
            <v>ALS15225</v>
          </cell>
        </row>
        <row r="465">
          <cell r="C465" t="str">
            <v>ALS14418</v>
          </cell>
        </row>
        <row r="466">
          <cell r="C466" t="str">
            <v>FX2420</v>
          </cell>
        </row>
        <row r="467">
          <cell r="C467" t="str">
            <v>ALS14419</v>
          </cell>
        </row>
        <row r="468">
          <cell r="C468" t="str">
            <v>ALS8212</v>
          </cell>
        </row>
        <row r="469">
          <cell r="C469" t="str">
            <v>ALS13819</v>
          </cell>
        </row>
        <row r="470">
          <cell r="C470" t="str">
            <v>ALS15288</v>
          </cell>
        </row>
        <row r="471">
          <cell r="C471" t="str">
            <v>ALS15294</v>
          </cell>
        </row>
        <row r="472">
          <cell r="C472" t="str">
            <v>ALS14191</v>
          </cell>
        </row>
        <row r="473">
          <cell r="C473" t="str">
            <v>ALS14873</v>
          </cell>
        </row>
        <row r="474">
          <cell r="C474" t="str">
            <v>ALS14789</v>
          </cell>
        </row>
        <row r="475">
          <cell r="C475" t="str">
            <v>ALS13233</v>
          </cell>
        </row>
        <row r="476">
          <cell r="C476" t="str">
            <v>ALS15085</v>
          </cell>
        </row>
        <row r="477">
          <cell r="C477" t="str">
            <v>ALS14332</v>
          </cell>
        </row>
        <row r="478">
          <cell r="C478" t="str">
            <v>ALS15381</v>
          </cell>
        </row>
        <row r="479">
          <cell r="C479" t="str">
            <v>ALS15083</v>
          </cell>
        </row>
        <row r="480">
          <cell r="C480" t="str">
            <v>ALS15480</v>
          </cell>
        </row>
        <row r="481">
          <cell r="C481" t="str">
            <v>ALS14784</v>
          </cell>
        </row>
        <row r="482">
          <cell r="C482" t="str">
            <v>ALS14765</v>
          </cell>
        </row>
        <row r="483">
          <cell r="C483" t="str">
            <v>ALS14725</v>
          </cell>
        </row>
        <row r="484">
          <cell r="C484" t="str">
            <v>ALS15416</v>
          </cell>
        </row>
        <row r="485">
          <cell r="C485" t="str">
            <v>ALS15379</v>
          </cell>
        </row>
        <row r="486">
          <cell r="C486" t="str">
            <v>ALS14829</v>
          </cell>
        </row>
        <row r="487">
          <cell r="C487" t="str">
            <v>ALS15560</v>
          </cell>
        </row>
        <row r="488">
          <cell r="C488" t="str">
            <v>ALS15570</v>
          </cell>
        </row>
        <row r="489">
          <cell r="C489" t="str">
            <v>ALS8957</v>
          </cell>
        </row>
        <row r="490">
          <cell r="C490" t="str">
            <v>ALS15289</v>
          </cell>
        </row>
        <row r="491">
          <cell r="C491" t="str">
            <v>ALS14831</v>
          </cell>
        </row>
        <row r="492">
          <cell r="C492" t="str">
            <v>ALS15477</v>
          </cell>
        </row>
        <row r="493">
          <cell r="C493" t="str">
            <v>ALS14630</v>
          </cell>
        </row>
        <row r="494">
          <cell r="C494" t="str">
            <v>ALS14309</v>
          </cell>
        </row>
        <row r="495">
          <cell r="C495" t="str">
            <v>ALS14249</v>
          </cell>
        </row>
        <row r="496">
          <cell r="C496" t="str">
            <v>ADH6178</v>
          </cell>
        </row>
        <row r="497">
          <cell r="C497" t="str">
            <v>ALS15557</v>
          </cell>
        </row>
        <row r="498">
          <cell r="C498" t="str">
            <v>ALS15558</v>
          </cell>
        </row>
        <row r="499">
          <cell r="C499" t="str">
            <v>ALS15648</v>
          </cell>
        </row>
        <row r="500">
          <cell r="C500" t="str">
            <v>ALS15645</v>
          </cell>
        </row>
        <row r="501">
          <cell r="C501" t="str">
            <v>ALS15633</v>
          </cell>
        </row>
        <row r="502">
          <cell r="C502" t="str">
            <v>ALS14315</v>
          </cell>
        </row>
        <row r="503">
          <cell r="C503" t="str">
            <v>ALS15671</v>
          </cell>
        </row>
        <row r="504">
          <cell r="C504" t="str">
            <v>ALS15699</v>
          </cell>
        </row>
        <row r="505">
          <cell r="C505" t="str">
            <v>ALS14427</v>
          </cell>
        </row>
        <row r="506">
          <cell r="C506" t="str">
            <v>ALS15565</v>
          </cell>
        </row>
        <row r="507">
          <cell r="C507" t="str">
            <v>ALS15662</v>
          </cell>
        </row>
        <row r="508">
          <cell r="C508" t="str">
            <v>ALS15393</v>
          </cell>
        </row>
        <row r="509">
          <cell r="C509" t="str">
            <v>ALS14425</v>
          </cell>
        </row>
        <row r="510">
          <cell r="C510" t="str">
            <v>ALS15387</v>
          </cell>
        </row>
        <row r="511">
          <cell r="C511" t="str">
            <v>ALS15725</v>
          </cell>
        </row>
        <row r="512">
          <cell r="C512" t="str">
            <v>ALS15701</v>
          </cell>
        </row>
        <row r="513">
          <cell r="C513" t="str">
            <v>ALS15767</v>
          </cell>
        </row>
        <row r="514">
          <cell r="C514" t="str">
            <v>ALS15251</v>
          </cell>
        </row>
        <row r="515">
          <cell r="C515" t="str">
            <v>ALS15478</v>
          </cell>
        </row>
        <row r="516">
          <cell r="C516" t="str">
            <v>ALS14688</v>
          </cell>
        </row>
        <row r="517">
          <cell r="C517" t="str">
            <v>ALS14698</v>
          </cell>
        </row>
        <row r="518">
          <cell r="C518" t="str">
            <v>ALS15418</v>
          </cell>
        </row>
        <row r="519">
          <cell r="C519" t="str">
            <v>ALS15573</v>
          </cell>
        </row>
        <row r="520">
          <cell r="C520" t="str">
            <v>ALS15417</v>
          </cell>
        </row>
        <row r="521">
          <cell r="C521" t="str">
            <v>ALS15297</v>
          </cell>
        </row>
        <row r="522">
          <cell r="C522" t="str">
            <v>ALS15252</v>
          </cell>
        </row>
        <row r="523">
          <cell r="C523" t="str">
            <v>ALS15253</v>
          </cell>
        </row>
        <row r="524">
          <cell r="C524" t="str">
            <v>ALS15481</v>
          </cell>
        </row>
        <row r="525">
          <cell r="C525" t="str">
            <v>ALS14245</v>
          </cell>
        </row>
        <row r="526">
          <cell r="C526" t="str">
            <v>ALS15019</v>
          </cell>
        </row>
        <row r="527">
          <cell r="C527" t="str">
            <v>ALS14736</v>
          </cell>
        </row>
        <row r="528">
          <cell r="C528" t="str">
            <v>ALS14929</v>
          </cell>
        </row>
        <row r="529">
          <cell r="C529" t="str">
            <v>ALS15018</v>
          </cell>
        </row>
        <row r="530">
          <cell r="C530" t="str">
            <v>ALS15422</v>
          </cell>
        </row>
        <row r="531">
          <cell r="C531" t="str">
            <v>ALS15951</v>
          </cell>
        </row>
        <row r="532">
          <cell r="C532" t="str">
            <v>ALS15636</v>
          </cell>
        </row>
        <row r="533">
          <cell r="C533" t="str">
            <v>ALS14510</v>
          </cell>
        </row>
        <row r="534">
          <cell r="C534" t="str">
            <v>ADH3710</v>
          </cell>
        </row>
        <row r="535">
          <cell r="C535" t="str">
            <v>ALS15436</v>
          </cell>
        </row>
        <row r="536">
          <cell r="C536" t="str">
            <v>ALS15291</v>
          </cell>
        </row>
        <row r="537">
          <cell r="C537" t="str">
            <v>ALS15388</v>
          </cell>
        </row>
        <row r="538">
          <cell r="C538" t="str">
            <v>ALS15217</v>
          </cell>
        </row>
        <row r="539">
          <cell r="C539" t="str">
            <v>ALS14788</v>
          </cell>
        </row>
        <row r="540">
          <cell r="C540" t="str">
            <v>ALS16006</v>
          </cell>
        </row>
        <row r="541">
          <cell r="C541" t="str">
            <v>ALS13113</v>
          </cell>
        </row>
        <row r="542">
          <cell r="C542" t="str">
            <v>ALS14697</v>
          </cell>
        </row>
        <row r="543">
          <cell r="C543" t="str">
            <v>ADH5489</v>
          </cell>
        </row>
        <row r="544">
          <cell r="C544" t="str">
            <v>ADH6307</v>
          </cell>
        </row>
        <row r="545">
          <cell r="C545" t="str">
            <v>ADH0979</v>
          </cell>
        </row>
        <row r="546">
          <cell r="C546" t="str">
            <v>ADH3683</v>
          </cell>
        </row>
        <row r="547">
          <cell r="C547" t="str">
            <v>ADH6414</v>
          </cell>
        </row>
        <row r="548">
          <cell r="C548" t="str">
            <v>ADH6081</v>
          </cell>
        </row>
        <row r="549">
          <cell r="C549" t="str">
            <v>ADH6199</v>
          </cell>
        </row>
        <row r="550">
          <cell r="C550" t="str">
            <v>ADH6348</v>
          </cell>
        </row>
        <row r="551">
          <cell r="C551" t="str">
            <v>CDH0095</v>
          </cell>
        </row>
        <row r="552">
          <cell r="C552" t="str">
            <v>AMM4227</v>
          </cell>
        </row>
        <row r="553">
          <cell r="C553" t="str">
            <v>ADH4212</v>
          </cell>
        </row>
        <row r="554">
          <cell r="C554" t="str">
            <v>ADH6519</v>
          </cell>
        </row>
        <row r="555">
          <cell r="C555" t="str">
            <v>AMM0795</v>
          </cell>
        </row>
        <row r="556">
          <cell r="C556" t="str">
            <v>ALS15295</v>
          </cell>
        </row>
        <row r="557">
          <cell r="C557" t="str">
            <v>ALS15320</v>
          </cell>
        </row>
        <row r="558">
          <cell r="C558" t="str">
            <v>ALS15757</v>
          </cell>
        </row>
        <row r="559">
          <cell r="C559" t="str">
            <v>AMT0137</v>
          </cell>
        </row>
        <row r="560">
          <cell r="C560" t="str">
            <v>ALS15219</v>
          </cell>
        </row>
        <row r="561">
          <cell r="C561" t="str">
            <v>ALS15561</v>
          </cell>
        </row>
        <row r="562">
          <cell r="C562" t="str">
            <v>ALS15760</v>
          </cell>
        </row>
        <row r="563">
          <cell r="C563" t="str">
            <v>ALS14821</v>
          </cell>
        </row>
        <row r="564">
          <cell r="C564" t="str">
            <v>ALS15020</v>
          </cell>
        </row>
        <row r="565">
          <cell r="C565" t="str">
            <v>ADH2242</v>
          </cell>
        </row>
        <row r="566">
          <cell r="C566" t="str">
            <v>ALS15759</v>
          </cell>
        </row>
        <row r="567">
          <cell r="C567" t="str">
            <v>ALS15758</v>
          </cell>
        </row>
        <row r="568">
          <cell r="C568" t="str">
            <v>ALS13175</v>
          </cell>
        </row>
        <row r="569">
          <cell r="C569" t="str">
            <v>ALS14321</v>
          </cell>
        </row>
        <row r="570">
          <cell r="C570" t="str">
            <v>ALS14733</v>
          </cell>
        </row>
        <row r="571">
          <cell r="C571" t="str">
            <v>ACT2786</v>
          </cell>
        </row>
        <row r="572">
          <cell r="C572" t="str">
            <v>ALS15919</v>
          </cell>
        </row>
        <row r="573">
          <cell r="C573" t="str">
            <v>ALS14834</v>
          </cell>
        </row>
        <row r="574">
          <cell r="C574" t="str">
            <v>ALS15394</v>
          </cell>
        </row>
        <row r="575">
          <cell r="C575" t="str">
            <v>ALS15382</v>
          </cell>
        </row>
        <row r="576">
          <cell r="C576" t="str">
            <v>ALS14631</v>
          </cell>
        </row>
        <row r="577">
          <cell r="C577" t="str">
            <v>ALS13645</v>
          </cell>
        </row>
        <row r="578">
          <cell r="C578" t="str">
            <v>ALS14737</v>
          </cell>
        </row>
        <row r="579">
          <cell r="C579" t="str">
            <v>ALS14578</v>
          </cell>
        </row>
        <row r="580">
          <cell r="C580" t="str">
            <v>ALS15794</v>
          </cell>
        </row>
        <row r="581">
          <cell r="C581" t="str">
            <v>ALS15574</v>
          </cell>
        </row>
        <row r="582">
          <cell r="C582" t="str">
            <v>ALS15567</v>
          </cell>
        </row>
        <row r="583">
          <cell r="C583" t="str">
            <v>ALS15420</v>
          </cell>
        </row>
        <row r="584">
          <cell r="C584" t="str">
            <v>ALS15568</v>
          </cell>
        </row>
        <row r="585">
          <cell r="C585" t="str">
            <v>ALS15569</v>
          </cell>
        </row>
        <row r="586">
          <cell r="C586" t="str">
            <v>ALS14508</v>
          </cell>
        </row>
        <row r="587">
          <cell r="C587" t="str">
            <v>ALS15472</v>
          </cell>
        </row>
        <row r="588">
          <cell r="C588" t="str">
            <v>ALS15287</v>
          </cell>
        </row>
        <row r="589">
          <cell r="C589" t="str">
            <v>ALS15493</v>
          </cell>
        </row>
        <row r="590">
          <cell r="C590" t="str">
            <v>ALS15435</v>
          </cell>
        </row>
        <row r="591">
          <cell r="C591" t="str">
            <v>ALS14607</v>
          </cell>
        </row>
        <row r="592">
          <cell r="C592" t="str">
            <v>ALS13857</v>
          </cell>
        </row>
        <row r="593">
          <cell r="C593" t="str">
            <v>ALS15380</v>
          </cell>
        </row>
        <row r="594">
          <cell r="C594" t="str">
            <v>ALS15292</v>
          </cell>
        </row>
        <row r="595">
          <cell r="C595" t="str">
            <v>ALS16259</v>
          </cell>
        </row>
        <row r="596">
          <cell r="C596" t="str">
            <v>ALS14633</v>
          </cell>
        </row>
        <row r="597">
          <cell r="C597" t="str">
            <v>ALS15397</v>
          </cell>
        </row>
        <row r="598">
          <cell r="C598" t="str">
            <v>ALS13776</v>
          </cell>
        </row>
        <row r="599">
          <cell r="C599" t="str">
            <v>ALS14689</v>
          </cell>
        </row>
        <row r="600">
          <cell r="C600" t="str">
            <v>ALS13893</v>
          </cell>
        </row>
        <row r="601">
          <cell r="C601" t="str">
            <v>ADH6646</v>
          </cell>
        </row>
        <row r="602">
          <cell r="C602" t="str">
            <v>ALS13619</v>
          </cell>
        </row>
        <row r="603">
          <cell r="C603" t="str">
            <v>ALS14699</v>
          </cell>
        </row>
        <row r="604">
          <cell r="C604" t="str">
            <v>ALS16432</v>
          </cell>
        </row>
        <row r="605">
          <cell r="C605" t="str">
            <v>ALS16431</v>
          </cell>
        </row>
        <row r="606">
          <cell r="C606" t="str">
            <v>ALS16350</v>
          </cell>
        </row>
        <row r="607">
          <cell r="C607" t="str">
            <v>ALS16301</v>
          </cell>
        </row>
        <row r="608">
          <cell r="C608" t="str">
            <v>ALS16315</v>
          </cell>
        </row>
        <row r="609">
          <cell r="C609" t="str">
            <v>ALS14421</v>
          </cell>
        </row>
        <row r="610">
          <cell r="C610" t="str">
            <v>ALS14638</v>
          </cell>
        </row>
        <row r="611">
          <cell r="C611" t="str">
            <v>ADH3032</v>
          </cell>
        </row>
        <row r="612">
          <cell r="C612" t="str">
            <v>ALS15704</v>
          </cell>
        </row>
        <row r="613">
          <cell r="C613" t="str">
            <v>ALS16451</v>
          </cell>
        </row>
        <row r="614">
          <cell r="C614" t="str">
            <v>ALS14746</v>
          </cell>
        </row>
        <row r="615">
          <cell r="C615" t="str">
            <v>ALS14675</v>
          </cell>
        </row>
        <row r="616">
          <cell r="C616" t="str">
            <v>ALS15886</v>
          </cell>
        </row>
        <row r="617">
          <cell r="C617" t="str">
            <v>ALS16447</v>
          </cell>
        </row>
        <row r="618">
          <cell r="C618" t="str">
            <v>ALS16295</v>
          </cell>
        </row>
        <row r="619">
          <cell r="C619" t="str">
            <v>ALS16311</v>
          </cell>
        </row>
        <row r="620">
          <cell r="C620" t="str">
            <v>ALS13752</v>
          </cell>
        </row>
        <row r="621">
          <cell r="C621" t="str">
            <v>ALS15697</v>
          </cell>
        </row>
        <row r="622">
          <cell r="C622" t="str">
            <v>ALS14742</v>
          </cell>
        </row>
        <row r="623">
          <cell r="C623" t="str">
            <v>ALS16449</v>
          </cell>
        </row>
        <row r="624">
          <cell r="C624" t="str">
            <v>ALS14783</v>
          </cell>
        </row>
        <row r="625">
          <cell r="C625" t="str">
            <v>ALS13852</v>
          </cell>
        </row>
        <row r="626">
          <cell r="C626" t="str">
            <v>ALS14023</v>
          </cell>
        </row>
        <row r="627">
          <cell r="C627" t="str">
            <v>ALS14190</v>
          </cell>
        </row>
        <row r="628">
          <cell r="C628" t="str">
            <v>ALS12950</v>
          </cell>
        </row>
        <row r="629">
          <cell r="C629" t="str">
            <v>ALS13735</v>
          </cell>
        </row>
        <row r="630">
          <cell r="C630" t="str">
            <v>LFX144</v>
          </cell>
        </row>
        <row r="631">
          <cell r="C631" t="str">
            <v>ABT0257</v>
          </cell>
        </row>
        <row r="632">
          <cell r="C632" t="str">
            <v>ABT0629</v>
          </cell>
        </row>
        <row r="633">
          <cell r="C633" t="str">
            <v>ABT0314</v>
          </cell>
        </row>
        <row r="634">
          <cell r="C634" t="str">
            <v>ABT0383</v>
          </cell>
        </row>
        <row r="635">
          <cell r="C635" t="str">
            <v>ABT0458</v>
          </cell>
        </row>
        <row r="636">
          <cell r="C636" t="str">
            <v>AMM4686</v>
          </cell>
        </row>
        <row r="637">
          <cell r="C637" t="str">
            <v>ALS15421</v>
          </cell>
        </row>
        <row r="638">
          <cell r="C638" t="str">
            <v>ALS16448</v>
          </cell>
        </row>
        <row r="639">
          <cell r="C639" t="str">
            <v>ALS16630</v>
          </cell>
        </row>
        <row r="640">
          <cell r="C640" t="str">
            <v>ALS16540</v>
          </cell>
        </row>
        <row r="641">
          <cell r="C641" t="str">
            <v>ALS15763</v>
          </cell>
        </row>
        <row r="642">
          <cell r="C642" t="str">
            <v>ALS15766</v>
          </cell>
        </row>
        <row r="643">
          <cell r="C643" t="str">
            <v>ALS15395</v>
          </cell>
        </row>
        <row r="644">
          <cell r="C644" t="str">
            <v>ALS15029</v>
          </cell>
        </row>
        <row r="645">
          <cell r="C645" t="str">
            <v>ALS13035</v>
          </cell>
        </row>
        <row r="646">
          <cell r="C646" t="str">
            <v>ALS15635</v>
          </cell>
        </row>
        <row r="647">
          <cell r="C647" t="str">
            <v>ALS11753</v>
          </cell>
        </row>
        <row r="648">
          <cell r="C648" t="str">
            <v>ALS13648</v>
          </cell>
        </row>
        <row r="649">
          <cell r="C649" t="str">
            <v>ALS14874</v>
          </cell>
        </row>
        <row r="650">
          <cell r="C650" t="str">
            <v>LFX501</v>
          </cell>
        </row>
        <row r="651">
          <cell r="C651" t="str">
            <v>AMM4683</v>
          </cell>
        </row>
        <row r="652">
          <cell r="C652" t="str">
            <v>ALS14660</v>
          </cell>
        </row>
        <row r="653">
          <cell r="C653" t="str">
            <v>ALS16856</v>
          </cell>
        </row>
        <row r="654">
          <cell r="C654" t="str">
            <v>LFX438</v>
          </cell>
        </row>
        <row r="655">
          <cell r="C655" t="str">
            <v>ALS16914</v>
          </cell>
        </row>
        <row r="656">
          <cell r="C656" t="str">
            <v>ALS13624</v>
          </cell>
        </row>
        <row r="657">
          <cell r="C657" t="str">
            <v>ALS13859</v>
          </cell>
        </row>
        <row r="658">
          <cell r="C658" t="str">
            <v>ALS16800</v>
          </cell>
        </row>
        <row r="659">
          <cell r="C659" t="str">
            <v>ALS16746</v>
          </cell>
        </row>
        <row r="660">
          <cell r="C660" t="str">
            <v>ALS16457</v>
          </cell>
        </row>
        <row r="661">
          <cell r="C661" t="str">
            <v>ALS16466</v>
          </cell>
        </row>
        <row r="662">
          <cell r="C662" t="str">
            <v>ALS11203</v>
          </cell>
        </row>
        <row r="663">
          <cell r="C663" t="str">
            <v>ALS15642</v>
          </cell>
        </row>
        <row r="664">
          <cell r="C664" t="str">
            <v>ALS16433</v>
          </cell>
        </row>
        <row r="665">
          <cell r="C665" t="str">
            <v>ALS16416</v>
          </cell>
        </row>
        <row r="666">
          <cell r="C666" t="str">
            <v>ALS16459</v>
          </cell>
        </row>
        <row r="667">
          <cell r="C667" t="str">
            <v>ALS13639</v>
          </cell>
        </row>
        <row r="668">
          <cell r="C668" t="str">
            <v>ALS14498</v>
          </cell>
        </row>
        <row r="669">
          <cell r="C669" t="str">
            <v>ALS16916</v>
          </cell>
        </row>
        <row r="670">
          <cell r="C670" t="str">
            <v>ALS15795</v>
          </cell>
        </row>
        <row r="671">
          <cell r="C671" t="str">
            <v>ALS16543</v>
          </cell>
        </row>
        <row r="672">
          <cell r="C672" t="str">
            <v>ALS14741</v>
          </cell>
        </row>
        <row r="673">
          <cell r="C673" t="str">
            <v>ALS16798</v>
          </cell>
        </row>
        <row r="674">
          <cell r="C674" t="str">
            <v>ALS15383</v>
          </cell>
        </row>
        <row r="675">
          <cell r="C675" t="str">
            <v>ALS16549</v>
          </cell>
        </row>
        <row r="676">
          <cell r="C676" t="str">
            <v>ALS16420</v>
          </cell>
        </row>
        <row r="677">
          <cell r="C677" t="str">
            <v>ALS16256</v>
          </cell>
        </row>
        <row r="678">
          <cell r="C678" t="str">
            <v>ALS15727</v>
          </cell>
        </row>
        <row r="679">
          <cell r="C679" t="str">
            <v>ALS15695</v>
          </cell>
        </row>
        <row r="680">
          <cell r="C680" t="str">
            <v>ALS16817</v>
          </cell>
        </row>
        <row r="681">
          <cell r="C681" t="str">
            <v>ALS16917</v>
          </cell>
        </row>
        <row r="682">
          <cell r="C682" t="str">
            <v>ALS16627</v>
          </cell>
        </row>
        <row r="683">
          <cell r="C683" t="str">
            <v>AMT0289</v>
          </cell>
        </row>
        <row r="684">
          <cell r="C684" t="str">
            <v>ALS16247</v>
          </cell>
        </row>
        <row r="685">
          <cell r="C685" t="str">
            <v>ALS15562</v>
          </cell>
        </row>
        <row r="686">
          <cell r="C686" t="str">
            <v>ALS15476</v>
          </cell>
        </row>
        <row r="687">
          <cell r="C687" t="str">
            <v>ALS15564</v>
          </cell>
        </row>
        <row r="688">
          <cell r="C688" t="str">
            <v>ALS16912</v>
          </cell>
        </row>
        <row r="689">
          <cell r="C689" t="str">
            <v>ALS16545</v>
          </cell>
        </row>
        <row r="690">
          <cell r="C690" t="str">
            <v>ALS16313</v>
          </cell>
        </row>
        <row r="691">
          <cell r="C691" t="str">
            <v>ALS16411</v>
          </cell>
        </row>
        <row r="692">
          <cell r="C692" t="str">
            <v>ALS16269</v>
          </cell>
        </row>
        <row r="693">
          <cell r="C693" t="str">
            <v>ALS16372</v>
          </cell>
        </row>
        <row r="694">
          <cell r="C694" t="str">
            <v>FX2750</v>
          </cell>
        </row>
        <row r="695">
          <cell r="C695" t="str">
            <v>ALS16554</v>
          </cell>
        </row>
        <row r="696">
          <cell r="C696" t="str">
            <v>ALS16614</v>
          </cell>
        </row>
        <row r="697">
          <cell r="C697" t="str">
            <v>ALS16322</v>
          </cell>
        </row>
        <row r="698">
          <cell r="C698" t="str">
            <v>ALS15700</v>
          </cell>
        </row>
        <row r="699">
          <cell r="C699" t="str">
            <v>ALS14833</v>
          </cell>
        </row>
        <row r="700">
          <cell r="C700" t="str">
            <v>ALS16975</v>
          </cell>
        </row>
        <row r="701">
          <cell r="C701" t="str">
            <v>FX2828</v>
          </cell>
        </row>
        <row r="702">
          <cell r="C702" t="str">
            <v>LFX493</v>
          </cell>
        </row>
        <row r="703">
          <cell r="C703" t="str">
            <v>ALS15909</v>
          </cell>
        </row>
        <row r="704">
          <cell r="C704" t="str">
            <v>ALS13678</v>
          </cell>
        </row>
        <row r="705">
          <cell r="C705" t="str">
            <v>ALS14669</v>
          </cell>
        </row>
        <row r="706">
          <cell r="C706" t="str">
            <v>ACT2856</v>
          </cell>
        </row>
        <row r="707">
          <cell r="C707" t="str">
            <v>ACT2901</v>
          </cell>
        </row>
        <row r="708">
          <cell r="C708" t="str">
            <v>ACT2948</v>
          </cell>
        </row>
        <row r="709">
          <cell r="C709" t="str">
            <v>ALS17577</v>
          </cell>
        </row>
        <row r="710">
          <cell r="C710" t="str">
            <v>ALS17535</v>
          </cell>
        </row>
        <row r="711">
          <cell r="C711" t="str">
            <v>ALS13441</v>
          </cell>
        </row>
        <row r="712">
          <cell r="C712" t="str">
            <v>ALS17017</v>
          </cell>
        </row>
        <row r="713">
          <cell r="C713" t="str">
            <v>ALS16599</v>
          </cell>
        </row>
        <row r="714">
          <cell r="C714" t="str">
            <v>ALS16389</v>
          </cell>
        </row>
        <row r="715">
          <cell r="C715" t="str">
            <v>ALS13498</v>
          </cell>
        </row>
        <row r="716">
          <cell r="C716" t="str">
            <v>ALS14250</v>
          </cell>
        </row>
        <row r="717">
          <cell r="C717" t="str">
            <v>ALS16375</v>
          </cell>
        </row>
        <row r="718">
          <cell r="C718" t="str">
            <v>ALS16537</v>
          </cell>
        </row>
        <row r="719">
          <cell r="C719" t="str">
            <v>ALS15468</v>
          </cell>
        </row>
        <row r="720">
          <cell r="C720" t="str">
            <v>ALS16737</v>
          </cell>
        </row>
        <row r="721">
          <cell r="C721" t="str">
            <v>ALS16632</v>
          </cell>
        </row>
        <row r="722">
          <cell r="C722" t="str">
            <v>ALS16421</v>
          </cell>
        </row>
        <row r="723">
          <cell r="C723" t="str">
            <v>ALS16815</v>
          </cell>
        </row>
        <row r="724">
          <cell r="C724" t="str">
            <v>ALS16467</v>
          </cell>
        </row>
        <row r="725">
          <cell r="C725" t="str">
            <v>ALS16566</v>
          </cell>
        </row>
        <row r="726">
          <cell r="C726" t="str">
            <v>ALS17031</v>
          </cell>
        </row>
        <row r="727">
          <cell r="C727" t="str">
            <v>ALS7661</v>
          </cell>
        </row>
        <row r="728">
          <cell r="C728" t="str">
            <v>ALS16779</v>
          </cell>
        </row>
        <row r="729">
          <cell r="C729" t="str">
            <v>ALS17517</v>
          </cell>
        </row>
        <row r="730">
          <cell r="C730" t="str">
            <v>ALS17757</v>
          </cell>
        </row>
        <row r="731">
          <cell r="C731" t="str">
            <v>ALS17608</v>
          </cell>
        </row>
        <row r="732">
          <cell r="C732" t="str">
            <v>ALS17775</v>
          </cell>
        </row>
        <row r="733">
          <cell r="C733" t="str">
            <v>ALS17786</v>
          </cell>
        </row>
        <row r="734">
          <cell r="C734" t="str">
            <v>ALS16546</v>
          </cell>
        </row>
        <row r="735">
          <cell r="C735" t="str">
            <v>ALS16965</v>
          </cell>
        </row>
        <row r="736">
          <cell r="C736" t="str">
            <v>ALS16425</v>
          </cell>
        </row>
        <row r="737">
          <cell r="C737" t="str">
            <v>ALS14606</v>
          </cell>
        </row>
        <row r="738">
          <cell r="C738" t="str">
            <v>ALS14502</v>
          </cell>
        </row>
        <row r="739">
          <cell r="C739" t="str">
            <v>ALS15896</v>
          </cell>
        </row>
        <row r="740">
          <cell r="C740" t="str">
            <v>ALS15913</v>
          </cell>
        </row>
        <row r="741">
          <cell r="C741" t="str">
            <v>ALS12825</v>
          </cell>
        </row>
        <row r="742">
          <cell r="C742" t="str">
            <v>ALS17003</v>
          </cell>
        </row>
        <row r="743">
          <cell r="C743" t="str">
            <v>ALS14325</v>
          </cell>
        </row>
        <row r="744">
          <cell r="C744" t="str">
            <v>ALS14027</v>
          </cell>
        </row>
        <row r="745">
          <cell r="C745" t="str">
            <v>ALS17124</v>
          </cell>
        </row>
        <row r="746">
          <cell r="C746" t="str">
            <v>ALS14313</v>
          </cell>
        </row>
        <row r="747">
          <cell r="C747" t="str">
            <v>ALS17603</v>
          </cell>
        </row>
        <row r="748">
          <cell r="C748" t="str">
            <v>ALS17021</v>
          </cell>
        </row>
        <row r="749">
          <cell r="C749" t="str">
            <v>ALS16844</v>
          </cell>
        </row>
        <row r="750">
          <cell r="C750" t="str">
            <v>ALS17081</v>
          </cell>
        </row>
        <row r="751">
          <cell r="C751" t="str">
            <v>ALS17531</v>
          </cell>
        </row>
        <row r="752">
          <cell r="C752" t="str">
            <v>ALS16995</v>
          </cell>
        </row>
        <row r="753">
          <cell r="C753" t="str">
            <v>ALS16336</v>
          </cell>
        </row>
        <row r="754">
          <cell r="C754" t="str">
            <v>ALS14240</v>
          </cell>
        </row>
        <row r="755">
          <cell r="C755" t="str">
            <v>ALS16380</v>
          </cell>
        </row>
        <row r="756">
          <cell r="C756" t="str">
            <v>ALS17534</v>
          </cell>
        </row>
        <row r="757">
          <cell r="C757" t="str">
            <v>ALS16299</v>
          </cell>
        </row>
        <row r="758">
          <cell r="C758" t="str">
            <v>ALS16551</v>
          </cell>
        </row>
        <row r="759">
          <cell r="C759" t="str">
            <v>ALS16507</v>
          </cell>
        </row>
        <row r="760">
          <cell r="C760" t="str">
            <v>ALS16991</v>
          </cell>
        </row>
        <row r="761">
          <cell r="C761" t="str">
            <v>ALS12954</v>
          </cell>
        </row>
        <row r="762">
          <cell r="C762" t="str">
            <v>ALS16455</v>
          </cell>
        </row>
        <row r="763">
          <cell r="C763" t="str">
            <v>ALS15223</v>
          </cell>
        </row>
        <row r="764">
          <cell r="C764" t="str">
            <v>ALS16426</v>
          </cell>
        </row>
        <row r="765">
          <cell r="C765" t="str">
            <v>ALS15475</v>
          </cell>
        </row>
        <row r="766">
          <cell r="C766" t="str">
            <v>ALS16824</v>
          </cell>
        </row>
        <row r="767">
          <cell r="C767" t="str">
            <v>ALS15646</v>
          </cell>
        </row>
        <row r="768">
          <cell r="C768" t="str">
            <v>ALS14415</v>
          </cell>
        </row>
        <row r="769">
          <cell r="C769" t="str">
            <v>ALS16690</v>
          </cell>
        </row>
        <row r="770">
          <cell r="C770" t="str">
            <v>AMM4333</v>
          </cell>
        </row>
        <row r="771">
          <cell r="C771" t="str">
            <v>ALS17573</v>
          </cell>
        </row>
        <row r="772">
          <cell r="C772" t="str">
            <v>ALS17609</v>
          </cell>
        </row>
        <row r="773">
          <cell r="C773" t="str">
            <v>ALS17774</v>
          </cell>
        </row>
        <row r="774">
          <cell r="C774" t="str">
            <v>ALS16997</v>
          </cell>
        </row>
        <row r="775">
          <cell r="C775" t="str">
            <v>ALS17550</v>
          </cell>
        </row>
        <row r="776">
          <cell r="C776" t="str">
            <v>ALS17538</v>
          </cell>
        </row>
        <row r="777">
          <cell r="C777" t="str">
            <v>ALS17782</v>
          </cell>
        </row>
        <row r="778">
          <cell r="C778" t="str">
            <v>ALS17779</v>
          </cell>
        </row>
        <row r="779">
          <cell r="C779" t="str">
            <v>ALS17793</v>
          </cell>
        </row>
        <row r="780">
          <cell r="C780" t="str">
            <v>ALS16535</v>
          </cell>
        </row>
        <row r="781">
          <cell r="C781" t="str">
            <v>ALS16620</v>
          </cell>
        </row>
        <row r="782">
          <cell r="C782" t="str">
            <v>ALS15247</v>
          </cell>
        </row>
        <row r="783">
          <cell r="C783" t="str">
            <v>ALS17629</v>
          </cell>
        </row>
        <row r="784">
          <cell r="C784" t="str">
            <v>ALS17570</v>
          </cell>
        </row>
        <row r="785">
          <cell r="C785" t="str">
            <v>ALS17591</v>
          </cell>
        </row>
        <row r="786">
          <cell r="C786" t="str">
            <v>ALS15419</v>
          </cell>
        </row>
        <row r="787">
          <cell r="C787" t="str">
            <v>ALS17756</v>
          </cell>
        </row>
        <row r="788">
          <cell r="C788" t="str">
            <v>ALS17540</v>
          </cell>
        </row>
        <row r="789">
          <cell r="C789" t="str">
            <v>ALS16843</v>
          </cell>
        </row>
        <row r="790">
          <cell r="C790" t="str">
            <v>ALS16105</v>
          </cell>
        </row>
        <row r="791">
          <cell r="C791" t="str">
            <v>ALS16502</v>
          </cell>
        </row>
        <row r="792">
          <cell r="C792" t="str">
            <v>ALS17771</v>
          </cell>
        </row>
        <row r="793">
          <cell r="C793" t="str">
            <v>ALS17628</v>
          </cell>
        </row>
        <row r="794">
          <cell r="C794" t="str">
            <v>ALS17773</v>
          </cell>
        </row>
        <row r="795">
          <cell r="C795" t="str">
            <v>ALS17747</v>
          </cell>
        </row>
        <row r="796">
          <cell r="C796" t="str">
            <v>ALS17574</v>
          </cell>
        </row>
        <row r="797">
          <cell r="C797" t="str">
            <v>ALS17370</v>
          </cell>
        </row>
        <row r="798">
          <cell r="C798" t="str">
            <v>FX2885</v>
          </cell>
        </row>
        <row r="799">
          <cell r="C799" t="str">
            <v>ALS17417</v>
          </cell>
        </row>
        <row r="800">
          <cell r="C800" t="str">
            <v>ALS13618</v>
          </cell>
        </row>
        <row r="801">
          <cell r="C801" t="str">
            <v>ALS17427</v>
          </cell>
        </row>
        <row r="802">
          <cell r="C802" t="str">
            <v>ALS16296</v>
          </cell>
        </row>
        <row r="803">
          <cell r="C803" t="str">
            <v>ALS13511</v>
          </cell>
        </row>
        <row r="804">
          <cell r="C804" t="str">
            <v>ALS12753</v>
          </cell>
        </row>
        <row r="805">
          <cell r="C805" t="str">
            <v>ALS13538</v>
          </cell>
        </row>
        <row r="806">
          <cell r="C806" t="str">
            <v>ALS13516</v>
          </cell>
        </row>
        <row r="807">
          <cell r="C807" t="str">
            <v>ALS13515</v>
          </cell>
        </row>
        <row r="808">
          <cell r="C808" t="str">
            <v>ALS13178</v>
          </cell>
        </row>
        <row r="809">
          <cell r="C809" t="str">
            <v>ALS13572</v>
          </cell>
        </row>
        <row r="810">
          <cell r="C810" t="str">
            <v>ALS17434</v>
          </cell>
        </row>
        <row r="811">
          <cell r="C811" t="str">
            <v>ALS16968</v>
          </cell>
        </row>
        <row r="812">
          <cell r="C812" t="str">
            <v>ALS17409</v>
          </cell>
        </row>
        <row r="813">
          <cell r="C813" t="str">
            <v>ALS17744</v>
          </cell>
        </row>
        <row r="814">
          <cell r="C814" t="str">
            <v>ALS17751</v>
          </cell>
        </row>
        <row r="815">
          <cell r="C815" t="str">
            <v>ALS17749</v>
          </cell>
        </row>
        <row r="816">
          <cell r="C816" t="str">
            <v>LFX452</v>
          </cell>
        </row>
        <row r="817">
          <cell r="C817" t="str">
            <v>ALS15224</v>
          </cell>
        </row>
        <row r="818">
          <cell r="C818" t="str">
            <v>ALS17433</v>
          </cell>
        </row>
        <row r="819">
          <cell r="C819" t="str">
            <v>ALS17359</v>
          </cell>
        </row>
        <row r="820">
          <cell r="C820" t="str">
            <v>ALS17381</v>
          </cell>
        </row>
        <row r="821">
          <cell r="C821" t="str">
            <v>ALS17405</v>
          </cell>
        </row>
        <row r="822">
          <cell r="C822" t="str">
            <v>ALS17348</v>
          </cell>
        </row>
        <row r="823">
          <cell r="C823" t="str">
            <v>ALS18071</v>
          </cell>
        </row>
        <row r="824">
          <cell r="C824" t="str">
            <v>ALS18073</v>
          </cell>
        </row>
        <row r="825">
          <cell r="C825" t="str">
            <v>ALS17604</v>
          </cell>
        </row>
        <row r="826">
          <cell r="C826" t="str">
            <v>ALS17004</v>
          </cell>
        </row>
        <row r="827">
          <cell r="C827" t="str">
            <v>ALS17358</v>
          </cell>
        </row>
        <row r="828">
          <cell r="C828" t="str">
            <v>ALS17309</v>
          </cell>
        </row>
        <row r="829">
          <cell r="C829" t="str">
            <v>ALS17419</v>
          </cell>
        </row>
        <row r="830">
          <cell r="C830" t="str">
            <v>ALS15643</v>
          </cell>
        </row>
        <row r="831">
          <cell r="C831" t="str">
            <v>ALS17780</v>
          </cell>
        </row>
        <row r="832">
          <cell r="C832" t="str">
            <v>ALS17759</v>
          </cell>
        </row>
        <row r="833">
          <cell r="C833" t="str">
            <v>ALS15911</v>
          </cell>
        </row>
        <row r="834">
          <cell r="C834" t="str">
            <v>ALS15391</v>
          </cell>
        </row>
        <row r="835">
          <cell r="C835" t="str">
            <v>ALS17446</v>
          </cell>
        </row>
        <row r="836">
          <cell r="C836" t="str">
            <v>ALS15995</v>
          </cell>
        </row>
        <row r="837">
          <cell r="C837" t="str">
            <v>ALS17587</v>
          </cell>
        </row>
        <row r="838">
          <cell r="C838" t="str">
            <v>ALS17424</v>
          </cell>
        </row>
        <row r="839">
          <cell r="C839" t="str">
            <v>ALS16602</v>
          </cell>
        </row>
        <row r="840">
          <cell r="C840" t="str">
            <v>ALS17622</v>
          </cell>
        </row>
        <row r="841">
          <cell r="C841" t="str">
            <v>ALS18178</v>
          </cell>
        </row>
        <row r="842">
          <cell r="C842" t="str">
            <v>ALS17834</v>
          </cell>
        </row>
        <row r="843">
          <cell r="C843" t="str">
            <v>ALS18075</v>
          </cell>
        </row>
        <row r="844">
          <cell r="C844" t="str">
            <v>ALS16559</v>
          </cell>
        </row>
        <row r="845">
          <cell r="C845" t="str">
            <v>ALS16544</v>
          </cell>
        </row>
        <row r="846">
          <cell r="C846" t="str">
            <v>ALS17426</v>
          </cell>
        </row>
        <row r="847">
          <cell r="C847" t="str">
            <v>ALS18081</v>
          </cell>
        </row>
        <row r="848">
          <cell r="C848" t="str">
            <v>ALS16530</v>
          </cell>
        </row>
        <row r="849">
          <cell r="C849" t="str">
            <v>ALS16558</v>
          </cell>
        </row>
        <row r="850">
          <cell r="C850" t="str">
            <v>ALS17745</v>
          </cell>
        </row>
        <row r="851">
          <cell r="C851" t="str">
            <v>ALS16838</v>
          </cell>
        </row>
        <row r="852">
          <cell r="C852" t="str">
            <v>ALS16950</v>
          </cell>
        </row>
        <row r="853">
          <cell r="C853" t="str">
            <v>ALS16567</v>
          </cell>
        </row>
        <row r="854">
          <cell r="C854" t="str">
            <v>ALS18099</v>
          </cell>
        </row>
        <row r="855">
          <cell r="C855" t="str">
            <v>ALS17112</v>
          </cell>
        </row>
        <row r="856">
          <cell r="C856" t="str">
            <v>ALS16106</v>
          </cell>
        </row>
        <row r="857">
          <cell r="C857" t="str">
            <v>ALS16784</v>
          </cell>
        </row>
        <row r="858">
          <cell r="C858" t="str">
            <v>ALS18058</v>
          </cell>
        </row>
        <row r="859">
          <cell r="C859" t="str">
            <v>ALS17440</v>
          </cell>
        </row>
        <row r="860">
          <cell r="C860" t="str">
            <v>ALS17742</v>
          </cell>
        </row>
        <row r="861">
          <cell r="C861" t="str">
            <v>ALS17398</v>
          </cell>
        </row>
        <row r="862">
          <cell r="C862" t="str">
            <v>ALS14243</v>
          </cell>
        </row>
        <row r="863">
          <cell r="C863" t="str">
            <v>ALS15126</v>
          </cell>
        </row>
        <row r="864">
          <cell r="C864" t="str">
            <v>ALS18088</v>
          </cell>
        </row>
        <row r="865">
          <cell r="C865" t="str">
            <v>ALS16553</v>
          </cell>
        </row>
        <row r="866">
          <cell r="C866" t="str">
            <v>ALS18076</v>
          </cell>
        </row>
        <row r="867">
          <cell r="C867" t="str">
            <v>ALS18057</v>
          </cell>
        </row>
        <row r="868">
          <cell r="C868" t="str">
            <v>ALS17442</v>
          </cell>
        </row>
        <row r="869">
          <cell r="C869" t="str">
            <v>ALS18055</v>
          </cell>
        </row>
        <row r="870">
          <cell r="C870" t="str">
            <v>ALS17353</v>
          </cell>
        </row>
        <row r="871">
          <cell r="C871" t="str">
            <v>ALS18096</v>
          </cell>
        </row>
        <row r="872">
          <cell r="C872" t="str">
            <v>ALS16326</v>
          </cell>
        </row>
        <row r="873">
          <cell r="C873" t="str">
            <v>ALS16654</v>
          </cell>
        </row>
        <row r="874">
          <cell r="C874" t="str">
            <v>ALS17926</v>
          </cell>
        </row>
        <row r="875">
          <cell r="C875" t="str">
            <v>ALS16489</v>
          </cell>
        </row>
        <row r="876">
          <cell r="C876" t="str">
            <v>ALS16035</v>
          </cell>
        </row>
        <row r="877">
          <cell r="C877" t="str">
            <v>ALS18325</v>
          </cell>
        </row>
        <row r="878">
          <cell r="C878" t="str">
            <v>ALS16921</v>
          </cell>
        </row>
        <row r="879">
          <cell r="C879" t="str">
            <v>ALS17613</v>
          </cell>
        </row>
        <row r="880">
          <cell r="C880" t="str">
            <v>ALS17611</v>
          </cell>
        </row>
        <row r="881">
          <cell r="C881" t="str">
            <v>ALS18183</v>
          </cell>
        </row>
        <row r="882">
          <cell r="C882" t="str">
            <v>ALS13806</v>
          </cell>
        </row>
        <row r="883">
          <cell r="C883" t="str">
            <v>ALS17430</v>
          </cell>
        </row>
        <row r="884">
          <cell r="C884" t="str">
            <v>ALS18105</v>
          </cell>
        </row>
        <row r="885">
          <cell r="C885" t="str">
            <v>ALS16729</v>
          </cell>
        </row>
        <row r="886">
          <cell r="C886" t="str">
            <v>ALS17346</v>
          </cell>
        </row>
        <row r="887">
          <cell r="C887" t="str">
            <v>ALS16984</v>
          </cell>
        </row>
        <row r="888">
          <cell r="C888" t="str">
            <v>ALS16982</v>
          </cell>
        </row>
        <row r="889">
          <cell r="C889" t="str">
            <v>ALS17923</v>
          </cell>
        </row>
        <row r="890">
          <cell r="C890" t="str">
            <v>ALS16382</v>
          </cell>
        </row>
        <row r="891">
          <cell r="C891" t="str">
            <v>LFX592</v>
          </cell>
        </row>
        <row r="892">
          <cell r="C892" t="str">
            <v>ALS18266</v>
          </cell>
        </row>
        <row r="893">
          <cell r="C893" t="str">
            <v>ALS17582</v>
          </cell>
        </row>
        <row r="894">
          <cell r="C894" t="str">
            <v>ALS17572</v>
          </cell>
        </row>
        <row r="895">
          <cell r="C895" t="str">
            <v>ALS16399</v>
          </cell>
        </row>
        <row r="896">
          <cell r="C896" t="str">
            <v>ALS16986</v>
          </cell>
        </row>
        <row r="897">
          <cell r="C897" t="str">
            <v>ALS18184</v>
          </cell>
        </row>
        <row r="898">
          <cell r="C898" t="str">
            <v>ALS17601</v>
          </cell>
        </row>
        <row r="899">
          <cell r="C899" t="str">
            <v>ALS16429</v>
          </cell>
        </row>
        <row r="900">
          <cell r="C900" t="str">
            <v>ALS18062</v>
          </cell>
        </row>
        <row r="901">
          <cell r="C901" t="str">
            <v>ALS17764</v>
          </cell>
        </row>
        <row r="902">
          <cell r="C902" t="str">
            <v>ALS17588</v>
          </cell>
        </row>
        <row r="903">
          <cell r="C903" t="str">
            <v>ALS17408</v>
          </cell>
        </row>
        <row r="904">
          <cell r="C904" t="str">
            <v>ALS18232</v>
          </cell>
        </row>
        <row r="905">
          <cell r="C905" t="str">
            <v>ALS15439</v>
          </cell>
        </row>
        <row r="906">
          <cell r="C906" t="str">
            <v>ALS15644</v>
          </cell>
        </row>
        <row r="907">
          <cell r="C907" t="str">
            <v>ALS18093</v>
          </cell>
        </row>
        <row r="908">
          <cell r="C908" t="str">
            <v>ALS15392</v>
          </cell>
        </row>
        <row r="909">
          <cell r="C909" t="str">
            <v>ALS15299</v>
          </cell>
        </row>
        <row r="910">
          <cell r="C910" t="str">
            <v>ALS18196</v>
          </cell>
        </row>
        <row r="911">
          <cell r="C911" t="str">
            <v>ALS18153</v>
          </cell>
        </row>
        <row r="912">
          <cell r="C912" t="str">
            <v>ALS18006</v>
          </cell>
        </row>
        <row r="913">
          <cell r="C913" t="str">
            <v>ALS14998</v>
          </cell>
        </row>
        <row r="914">
          <cell r="C914" t="str">
            <v>ALS18068</v>
          </cell>
        </row>
        <row r="915">
          <cell r="C915" t="str">
            <v>ALS17412</v>
          </cell>
        </row>
        <row r="916">
          <cell r="C916" t="str">
            <v>ALS17165</v>
          </cell>
        </row>
        <row r="917">
          <cell r="C917" t="str">
            <v>ALS18082</v>
          </cell>
        </row>
        <row r="918">
          <cell r="C918" t="str">
            <v>ALS18104</v>
          </cell>
        </row>
        <row r="919">
          <cell r="C919" t="str">
            <v>ALS17767</v>
          </cell>
        </row>
        <row r="920">
          <cell r="C920" t="str">
            <v>ALS17765</v>
          </cell>
        </row>
        <row r="921">
          <cell r="C921" t="str">
            <v>ALS18098</v>
          </cell>
        </row>
        <row r="922">
          <cell r="C922" t="str">
            <v>ALS18077</v>
          </cell>
        </row>
        <row r="923">
          <cell r="C923" t="str">
            <v>ALS17761</v>
          </cell>
        </row>
        <row r="924">
          <cell r="C924" t="str">
            <v>ALS17527</v>
          </cell>
        </row>
        <row r="925">
          <cell r="C925" t="str">
            <v>ALS17595</v>
          </cell>
        </row>
        <row r="926">
          <cell r="C926" t="str">
            <v>ALS17614</v>
          </cell>
        </row>
        <row r="927">
          <cell r="C927" t="str">
            <v>ALS18084</v>
          </cell>
        </row>
        <row r="928">
          <cell r="C928" t="str">
            <v>ALS18101</v>
          </cell>
        </row>
        <row r="929">
          <cell r="C929" t="str">
            <v>ALS16919</v>
          </cell>
        </row>
        <row r="930">
          <cell r="C930" t="str">
            <v>ALS17330</v>
          </cell>
        </row>
        <row r="931">
          <cell r="C931" t="str">
            <v>ALS18083</v>
          </cell>
        </row>
        <row r="932">
          <cell r="C932" t="str">
            <v>ALS17343</v>
          </cell>
        </row>
        <row r="933">
          <cell r="C933" t="str">
            <v>ALS18051</v>
          </cell>
        </row>
        <row r="934">
          <cell r="C934" t="str">
            <v>ALS18095</v>
          </cell>
        </row>
        <row r="935">
          <cell r="C935" t="str">
            <v>ALS18067</v>
          </cell>
        </row>
        <row r="936">
          <cell r="C936" t="str">
            <v>ALS18013</v>
          </cell>
        </row>
        <row r="937">
          <cell r="C937" t="str">
            <v>ALS14763</v>
          </cell>
        </row>
        <row r="938">
          <cell r="C938" t="str">
            <v>ALS13787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206"/>
  <sheetViews>
    <sheetView zoomScaleNormal="100" workbookViewId="0">
      <pane xSplit="6" ySplit="1" topLeftCell="G107" activePane="bottomRight" state="frozen"/>
      <selection pane="topRight"/>
      <selection pane="bottomLeft"/>
      <selection pane="bottomRight" activeCell="Q117" sqref="Q117"/>
    </sheetView>
  </sheetViews>
  <sheetFormatPr defaultColWidth="9" defaultRowHeight="16.5"/>
  <cols>
    <col min="1" max="1" width="27.375" style="67" customWidth="1"/>
    <col min="2" max="2" width="13.375" style="132" customWidth="1"/>
    <col min="3" max="3" width="10.875" style="132" customWidth="1"/>
    <col min="4" max="4" width="10.125" style="132" customWidth="1"/>
    <col min="5" max="5" width="10.5" style="132" customWidth="1"/>
    <col min="6" max="6" width="16.375" style="141" customWidth="1"/>
    <col min="7" max="7" width="9.25" style="143" hidden="1" customWidth="1"/>
    <col min="8" max="8" width="9.875" style="143" hidden="1" customWidth="1"/>
    <col min="9" max="9" width="13.75" style="143" hidden="1" customWidth="1"/>
    <col min="10" max="10" width="12.625" style="143" hidden="1" customWidth="1"/>
    <col min="11" max="11" width="8.25" style="143" customWidth="1"/>
    <col min="12" max="12" width="8.125" style="144" customWidth="1"/>
    <col min="13" max="13" width="11.875" style="143" customWidth="1"/>
    <col min="14" max="16" width="12" style="143" customWidth="1"/>
    <col min="17" max="17" width="26.75" style="140" customWidth="1"/>
    <col min="18" max="18" width="14.375" style="67" customWidth="1"/>
    <col min="19" max="19" width="9.625" style="67" bestFit="1" customWidth="1"/>
    <col min="20" max="16384" width="9" style="67"/>
  </cols>
  <sheetData>
    <row r="1" spans="1:20" ht="49.15" customHeight="1">
      <c r="A1" s="106" t="s">
        <v>1018</v>
      </c>
      <c r="B1" s="107" t="s">
        <v>1</v>
      </c>
      <c r="C1" s="107" t="s">
        <v>1019</v>
      </c>
      <c r="D1" s="107" t="s">
        <v>3</v>
      </c>
      <c r="E1" s="107" t="s">
        <v>1020</v>
      </c>
      <c r="F1" s="108" t="s">
        <v>1021</v>
      </c>
      <c r="G1" s="109" t="s">
        <v>1022</v>
      </c>
      <c r="H1" s="109" t="s">
        <v>4</v>
      </c>
      <c r="I1" s="109" t="s">
        <v>1023</v>
      </c>
      <c r="J1" s="109" t="s">
        <v>5</v>
      </c>
      <c r="K1" s="109" t="s">
        <v>6</v>
      </c>
      <c r="L1" s="110" t="s">
        <v>7</v>
      </c>
      <c r="M1" s="111" t="s">
        <v>8</v>
      </c>
      <c r="N1" s="109" t="s">
        <v>9</v>
      </c>
      <c r="O1" s="112" t="s">
        <v>50</v>
      </c>
      <c r="P1" s="109" t="s">
        <v>10</v>
      </c>
      <c r="Q1" s="109" t="s">
        <v>1380</v>
      </c>
    </row>
    <row r="2" spans="1:20" ht="19.5" customHeight="1">
      <c r="A2" s="47" t="s">
        <v>2108</v>
      </c>
      <c r="B2" s="47" t="s">
        <v>56</v>
      </c>
      <c r="C2" s="45" t="s">
        <v>155</v>
      </c>
      <c r="D2" s="52" t="s">
        <v>20</v>
      </c>
      <c r="E2" s="46">
        <v>42073</v>
      </c>
      <c r="F2" s="113">
        <f t="shared" ref="F2:F66" si="0">(L2*K2+G2+H2+I2-J2)</f>
        <v>600</v>
      </c>
      <c r="G2" s="114">
        <f>SUMIF(积分汇总!$B:$B,'副主任&amp;工艺组长及其他'!C2,积分汇总!$E:$E)</f>
        <v>0</v>
      </c>
      <c r="H2" s="114">
        <f>SUMIF(记录巡查问题条数汇总!$B:$B,'副主任&amp;工艺组长及其他'!C2,记录巡查问题条数汇总!$E:$E)</f>
        <v>0</v>
      </c>
      <c r="I2" s="115"/>
      <c r="J2" s="114">
        <f>SUMIF(安全质量事故!$B:$B,'副主任&amp;工艺组长及其他'!C2,安全质量事故!$G:$G)</f>
        <v>0</v>
      </c>
      <c r="K2" s="116">
        <v>1</v>
      </c>
      <c r="L2" s="117">
        <f>HLOOKUP(M2,$A$143:$H$144,2)</f>
        <v>600</v>
      </c>
      <c r="M2" s="221" t="s">
        <v>12</v>
      </c>
      <c r="N2" s="268" t="s">
        <v>2106</v>
      </c>
      <c r="O2" s="272">
        <v>201.08</v>
      </c>
      <c r="P2" s="268">
        <v>0.53900000000000003</v>
      </c>
      <c r="Q2" s="119"/>
      <c r="T2" s="120"/>
    </row>
    <row r="3" spans="1:20" ht="15.75" customHeight="1">
      <c r="A3" s="47" t="s">
        <v>2108</v>
      </c>
      <c r="B3" s="47" t="s">
        <v>56</v>
      </c>
      <c r="C3" s="45" t="s">
        <v>1918</v>
      </c>
      <c r="D3" s="52" t="s">
        <v>876</v>
      </c>
      <c r="E3" s="46">
        <v>44431</v>
      </c>
      <c r="F3" s="113">
        <f t="shared" si="0"/>
        <v>600</v>
      </c>
      <c r="G3" s="114">
        <f>SUMIF(积分汇总!$B:$B,'副主任&amp;工艺组长及其他'!C3,积分汇总!$E:$E)</f>
        <v>0</v>
      </c>
      <c r="H3" s="114">
        <f>SUMIF(记录巡查问题条数汇总!$B:$B,'副主任&amp;工艺组长及其他'!C3,记录巡查问题条数汇总!$E:$E)</f>
        <v>0</v>
      </c>
      <c r="I3" s="115"/>
      <c r="J3" s="114">
        <f>SUMIF(安全质量事故!$B:$B,'副主任&amp;工艺组长及其他'!C3,安全质量事故!$G:$G)</f>
        <v>0</v>
      </c>
      <c r="K3" s="116">
        <v>1</v>
      </c>
      <c r="L3" s="117">
        <f>HLOOKUP(M3,$A$143:$H$144,2)</f>
        <v>600</v>
      </c>
      <c r="M3" s="221" t="s">
        <v>12</v>
      </c>
      <c r="N3" s="269"/>
      <c r="O3" s="273"/>
      <c r="P3" s="269"/>
      <c r="Q3" s="119"/>
      <c r="T3" s="120"/>
    </row>
    <row r="4" spans="1:20" ht="15.75" customHeight="1">
      <c r="A4" s="47" t="s">
        <v>2108</v>
      </c>
      <c r="B4" s="47" t="s">
        <v>1923</v>
      </c>
      <c r="C4" s="45" t="s">
        <v>149</v>
      </c>
      <c r="D4" s="52" t="s">
        <v>71</v>
      </c>
      <c r="E4" s="46">
        <v>44755</v>
      </c>
      <c r="F4" s="113">
        <f t="shared" si="0"/>
        <v>400</v>
      </c>
      <c r="G4" s="114">
        <f>SUMIF(积分汇总!$B:$B,'副主任&amp;工艺组长及其他'!C4,积分汇总!$E:$E)</f>
        <v>0</v>
      </c>
      <c r="H4" s="114">
        <f>SUMIF(记录巡查问题条数汇总!$B:$B,'副主任&amp;工艺组长及其他'!C4,记录巡查问题条数汇总!$E:$E)</f>
        <v>0</v>
      </c>
      <c r="I4" s="115"/>
      <c r="J4" s="114">
        <f>SUMIF(安全质量事故!$B:$B,'副主任&amp;工艺组长及其他'!C4,安全质量事故!$G:$G)</f>
        <v>0</v>
      </c>
      <c r="K4" s="116">
        <v>1</v>
      </c>
      <c r="L4" s="117">
        <f>HLOOKUP(M4,$A$143:$H$144,2)</f>
        <v>400</v>
      </c>
      <c r="M4" s="118" t="s">
        <v>11</v>
      </c>
      <c r="N4" s="269"/>
      <c r="O4" s="273"/>
      <c r="P4" s="269"/>
      <c r="Q4" s="119"/>
      <c r="T4" s="120"/>
    </row>
    <row r="5" spans="1:20" ht="19.5" customHeight="1">
      <c r="A5" s="47" t="s">
        <v>2108</v>
      </c>
      <c r="B5" s="47" t="s">
        <v>79</v>
      </c>
      <c r="C5" s="47" t="s">
        <v>284</v>
      </c>
      <c r="D5" s="52" t="s">
        <v>86</v>
      </c>
      <c r="E5" s="46">
        <v>42933</v>
      </c>
      <c r="F5" s="113">
        <f t="shared" si="0"/>
        <v>600</v>
      </c>
      <c r="G5" s="114">
        <f>SUMIF(积分汇总!$B:$B,'副主任&amp;工艺组长及其他'!C5,积分汇总!$E:$E)</f>
        <v>0</v>
      </c>
      <c r="H5" s="114">
        <f>SUMIF(记录巡查问题条数汇总!$B:$B,'副主任&amp;工艺组长及其他'!C5,记录巡查问题条数汇总!$E:$E)</f>
        <v>0</v>
      </c>
      <c r="I5" s="115"/>
      <c r="J5" s="114">
        <f>SUMIF(安全质量事故!$B:$B,'副主任&amp;工艺组长及其他'!C5,安全质量事故!$G:$G)</f>
        <v>0</v>
      </c>
      <c r="K5" s="116">
        <v>1</v>
      </c>
      <c r="L5" s="117">
        <f>HLOOKUP(M5,$A$143:$H$144,2)</f>
        <v>600</v>
      </c>
      <c r="M5" s="221" t="s">
        <v>12</v>
      </c>
      <c r="N5" s="269"/>
      <c r="O5" s="273"/>
      <c r="P5" s="269"/>
      <c r="Q5" s="119"/>
    </row>
    <row r="6" spans="1:20" ht="19.5" customHeight="1">
      <c r="A6" s="47" t="s">
        <v>2108</v>
      </c>
      <c r="B6" s="47" t="s">
        <v>79</v>
      </c>
      <c r="C6" s="47" t="s">
        <v>381</v>
      </c>
      <c r="D6" s="52" t="s">
        <v>382</v>
      </c>
      <c r="E6" s="46">
        <v>44677</v>
      </c>
      <c r="F6" s="113">
        <f t="shared" si="0"/>
        <v>600</v>
      </c>
      <c r="G6" s="114">
        <f>SUMIF(积分汇总!$B:$B,'副主任&amp;工艺组长及其他'!C6,积分汇总!$E:$E)</f>
        <v>0</v>
      </c>
      <c r="H6" s="114">
        <f>SUMIF(记录巡查问题条数汇总!$B:$B,'副主任&amp;工艺组长及其他'!C6,记录巡查问题条数汇总!$E:$E)</f>
        <v>0</v>
      </c>
      <c r="I6" s="115"/>
      <c r="J6" s="114">
        <f>SUMIF(安全质量事故!$B:$B,'副主任&amp;工艺组长及其他'!C6,安全质量事故!$G:$G)</f>
        <v>0</v>
      </c>
      <c r="K6" s="116">
        <v>1</v>
      </c>
      <c r="L6" s="117">
        <f>HLOOKUP(M6,$A$143:$H$144,2)</f>
        <v>600</v>
      </c>
      <c r="M6" s="221" t="s">
        <v>12</v>
      </c>
      <c r="N6" s="269"/>
      <c r="O6" s="273"/>
      <c r="P6" s="269"/>
      <c r="Q6" s="119"/>
    </row>
    <row r="7" spans="1:20" ht="19.5" customHeight="1">
      <c r="A7" s="47" t="s">
        <v>2108</v>
      </c>
      <c r="B7" s="47" t="s">
        <v>79</v>
      </c>
      <c r="C7" s="47" t="s">
        <v>400</v>
      </c>
      <c r="D7" s="52" t="s">
        <v>70</v>
      </c>
      <c r="E7" s="46">
        <v>44755</v>
      </c>
      <c r="F7" s="113">
        <f t="shared" si="0"/>
        <v>400</v>
      </c>
      <c r="G7" s="114">
        <f>SUMIF(积分汇总!$B:$B,'副主任&amp;工艺组长及其他'!C7,积分汇总!$E:$E)</f>
        <v>0</v>
      </c>
      <c r="H7" s="114">
        <f>SUMIF(记录巡查问题条数汇总!$B:$B,'副主任&amp;工艺组长及其他'!C7,记录巡查问题条数汇总!$E:$E)</f>
        <v>0</v>
      </c>
      <c r="I7" s="115"/>
      <c r="J7" s="114">
        <f>SUMIF(安全质量事故!$B:$B,'副主任&amp;工艺组长及其他'!C7,安全质量事故!$G:$G)</f>
        <v>0</v>
      </c>
      <c r="K7" s="116">
        <v>1</v>
      </c>
      <c r="L7" s="117">
        <f>HLOOKUP(M7,$A$143:$H$144,2)</f>
        <v>400</v>
      </c>
      <c r="M7" s="118" t="s">
        <v>11</v>
      </c>
      <c r="N7" s="269"/>
      <c r="O7" s="273"/>
      <c r="P7" s="269"/>
      <c r="Q7" s="119"/>
    </row>
    <row r="8" spans="1:20" ht="19.5" customHeight="1">
      <c r="A8" s="47" t="s">
        <v>2108</v>
      </c>
      <c r="B8" s="47" t="s">
        <v>79</v>
      </c>
      <c r="C8" s="47" t="s">
        <v>160</v>
      </c>
      <c r="D8" s="52" t="s">
        <v>85</v>
      </c>
      <c r="E8" s="46">
        <v>44732</v>
      </c>
      <c r="F8" s="113">
        <f t="shared" si="0"/>
        <v>400</v>
      </c>
      <c r="G8" s="114">
        <f>SUMIF(积分汇总!$B:$B,'副主任&amp;工艺组长及其他'!C8,积分汇总!$E:$E)</f>
        <v>0</v>
      </c>
      <c r="H8" s="114">
        <f>SUMIF(记录巡查问题条数汇总!$B:$B,'副主任&amp;工艺组长及其他'!C8,记录巡查问题条数汇总!$E:$E)</f>
        <v>0</v>
      </c>
      <c r="I8" s="115"/>
      <c r="J8" s="114">
        <f>SUMIF(安全质量事故!$B:$B,'副主任&amp;工艺组长及其他'!C8,安全质量事故!$G:$G)</f>
        <v>0</v>
      </c>
      <c r="K8" s="116">
        <v>1</v>
      </c>
      <c r="L8" s="117">
        <f>HLOOKUP(M8,$A$143:$H$144,2)</f>
        <v>400</v>
      </c>
      <c r="M8" s="118" t="s">
        <v>11</v>
      </c>
      <c r="N8" s="269"/>
      <c r="O8" s="273"/>
      <c r="P8" s="269"/>
      <c r="Q8" s="119"/>
    </row>
    <row r="9" spans="1:20" ht="19.5" customHeight="1">
      <c r="A9" s="47" t="s">
        <v>2108</v>
      </c>
      <c r="B9" s="47" t="s">
        <v>79</v>
      </c>
      <c r="C9" s="47" t="s">
        <v>970</v>
      </c>
      <c r="D9" s="52" t="s">
        <v>947</v>
      </c>
      <c r="E9" s="46">
        <v>46057</v>
      </c>
      <c r="F9" s="113">
        <f t="shared" si="0"/>
        <v>400</v>
      </c>
      <c r="G9" s="114">
        <f>SUMIF(积分汇总!$B:$B,'副主任&amp;工艺组长及其他'!C9,积分汇总!$E:$E)</f>
        <v>0</v>
      </c>
      <c r="H9" s="114">
        <f>SUMIF(记录巡查问题条数汇总!$B:$B,'副主任&amp;工艺组长及其他'!C9,记录巡查问题条数汇总!$E:$E)</f>
        <v>0</v>
      </c>
      <c r="I9" s="115"/>
      <c r="J9" s="114">
        <f>SUMIF(安全质量事故!$B:$B,'副主任&amp;工艺组长及其他'!C9,安全质量事故!$G:$G)</f>
        <v>0</v>
      </c>
      <c r="K9" s="116">
        <v>1</v>
      </c>
      <c r="L9" s="117">
        <f>HLOOKUP(M9,$A$143:$H$144,2)</f>
        <v>400</v>
      </c>
      <c r="M9" s="118" t="s">
        <v>11</v>
      </c>
      <c r="N9" s="269"/>
      <c r="O9" s="273"/>
      <c r="P9" s="269"/>
      <c r="Q9" s="119"/>
    </row>
    <row r="10" spans="1:20" ht="19.5" customHeight="1">
      <c r="A10" s="47" t="s">
        <v>2108</v>
      </c>
      <c r="B10" s="47" t="s">
        <v>79</v>
      </c>
      <c r="C10" s="45" t="s">
        <v>142</v>
      </c>
      <c r="D10" s="52" t="s">
        <v>57</v>
      </c>
      <c r="E10" s="46">
        <v>44389</v>
      </c>
      <c r="F10" s="113">
        <f t="shared" si="0"/>
        <v>400</v>
      </c>
      <c r="G10" s="114">
        <f>SUMIF(积分汇总!$B:$B,'副主任&amp;工艺组长及其他'!C10,积分汇总!$E:$E)</f>
        <v>0</v>
      </c>
      <c r="H10" s="114">
        <f>SUMIF(记录巡查问题条数汇总!$B:$B,'副主任&amp;工艺组长及其他'!C10,记录巡查问题条数汇总!$E:$E)</f>
        <v>0</v>
      </c>
      <c r="I10" s="115"/>
      <c r="J10" s="114">
        <f>SUMIF(安全质量事故!$B:$B,'副主任&amp;工艺组长及其他'!C10,安全质量事故!$G:$G)</f>
        <v>0</v>
      </c>
      <c r="K10" s="116">
        <v>1</v>
      </c>
      <c r="L10" s="117">
        <f>HLOOKUP(M10,$A$143:$H$144,2)</f>
        <v>400</v>
      </c>
      <c r="M10" s="118" t="s">
        <v>11</v>
      </c>
      <c r="N10" s="269"/>
      <c r="O10" s="273"/>
      <c r="P10" s="269"/>
      <c r="Q10" s="119"/>
    </row>
    <row r="11" spans="1:20" ht="19.5" customHeight="1">
      <c r="A11" s="47" t="s">
        <v>2109</v>
      </c>
      <c r="B11" s="47" t="s">
        <v>56</v>
      </c>
      <c r="C11" s="45" t="s">
        <v>132</v>
      </c>
      <c r="D11" s="52" t="s">
        <v>23</v>
      </c>
      <c r="E11" s="46">
        <v>44125</v>
      </c>
      <c r="F11" s="113">
        <f t="shared" si="0"/>
        <v>600</v>
      </c>
      <c r="G11" s="114">
        <f>SUMIF(积分汇总!$B:$B,'副主任&amp;工艺组长及其他'!C11,积分汇总!$E:$E)</f>
        <v>0</v>
      </c>
      <c r="H11" s="114">
        <f>SUMIF(记录巡查问题条数汇总!$B:$B,'副主任&amp;工艺组长及其他'!C11,记录巡查问题条数汇总!$E:$E)</f>
        <v>0</v>
      </c>
      <c r="I11" s="115"/>
      <c r="J11" s="114">
        <f>SUMIF(安全质量事故!$B:$B,'副主任&amp;工艺组长及其他'!C11,安全质量事故!$G:$G)</f>
        <v>0</v>
      </c>
      <c r="K11" s="116">
        <v>1</v>
      </c>
      <c r="L11" s="117">
        <f>HLOOKUP(M11,$A$143:$H$144,2)</f>
        <v>600</v>
      </c>
      <c r="M11" s="221" t="s">
        <v>12</v>
      </c>
      <c r="N11" s="269"/>
      <c r="O11" s="273"/>
      <c r="P11" s="269"/>
      <c r="Q11" s="119"/>
      <c r="T11" s="120"/>
    </row>
    <row r="12" spans="1:20" ht="19.5" customHeight="1">
      <c r="A12" s="47" t="s">
        <v>2109</v>
      </c>
      <c r="B12" s="47" t="s">
        <v>56</v>
      </c>
      <c r="C12" s="45" t="s">
        <v>1919</v>
      </c>
      <c r="D12" s="52" t="s">
        <v>51</v>
      </c>
      <c r="E12" s="46">
        <v>44272</v>
      </c>
      <c r="F12" s="113">
        <f t="shared" si="0"/>
        <v>400</v>
      </c>
      <c r="G12" s="114">
        <f>SUMIF(积分汇总!$B:$B,'副主任&amp;工艺组长及其他'!C12,积分汇总!$E:$E)</f>
        <v>0</v>
      </c>
      <c r="H12" s="114">
        <f>SUMIF(记录巡查问题条数汇总!$B:$B,'副主任&amp;工艺组长及其他'!C12,记录巡查问题条数汇总!$E:$E)</f>
        <v>0</v>
      </c>
      <c r="I12" s="115"/>
      <c r="J12" s="114">
        <f>SUMIF(安全质量事故!$B:$B,'副主任&amp;工艺组长及其他'!C12,安全质量事故!$G:$G)</f>
        <v>0</v>
      </c>
      <c r="K12" s="116">
        <v>1</v>
      </c>
      <c r="L12" s="117">
        <f>HLOOKUP(M12,$A$143:$H$144,2)</f>
        <v>400</v>
      </c>
      <c r="M12" s="118" t="s">
        <v>11</v>
      </c>
      <c r="N12" s="269"/>
      <c r="O12" s="273"/>
      <c r="P12" s="269"/>
      <c r="Q12" s="119"/>
      <c r="T12" s="120"/>
    </row>
    <row r="13" spans="1:20" ht="19.5" customHeight="1">
      <c r="A13" s="47" t="s">
        <v>2109</v>
      </c>
      <c r="B13" s="47" t="s">
        <v>56</v>
      </c>
      <c r="C13" s="45" t="s">
        <v>133</v>
      </c>
      <c r="D13" s="52" t="s">
        <v>22</v>
      </c>
      <c r="E13" s="46">
        <v>44139</v>
      </c>
      <c r="F13" s="113">
        <f t="shared" si="0"/>
        <v>600</v>
      </c>
      <c r="G13" s="114">
        <f>SUMIF(积分汇总!$B:$B,'副主任&amp;工艺组长及其他'!C13,积分汇总!$E:$E)</f>
        <v>0</v>
      </c>
      <c r="H13" s="114">
        <f>SUMIF(记录巡查问题条数汇总!$B:$B,'副主任&amp;工艺组长及其他'!C13,记录巡查问题条数汇总!$E:$E)</f>
        <v>0</v>
      </c>
      <c r="I13" s="115"/>
      <c r="J13" s="114">
        <f>SUMIF(安全质量事故!$B:$B,'副主任&amp;工艺组长及其他'!C13,安全质量事故!$G:$G)</f>
        <v>0</v>
      </c>
      <c r="K13" s="116">
        <v>1</v>
      </c>
      <c r="L13" s="117">
        <f>HLOOKUP(M13,$A$143:$H$144,2)</f>
        <v>600</v>
      </c>
      <c r="M13" s="221" t="s">
        <v>12</v>
      </c>
      <c r="N13" s="269"/>
      <c r="O13" s="273"/>
      <c r="P13" s="269"/>
      <c r="Q13" s="119"/>
      <c r="T13" s="120"/>
    </row>
    <row r="14" spans="1:20" ht="15.75" customHeight="1">
      <c r="A14" s="47" t="s">
        <v>2109</v>
      </c>
      <c r="B14" s="47" t="s">
        <v>1923</v>
      </c>
      <c r="C14" s="45" t="s">
        <v>1924</v>
      </c>
      <c r="D14" s="52" t="s">
        <v>1925</v>
      </c>
      <c r="E14" s="46">
        <v>46253</v>
      </c>
      <c r="F14" s="113">
        <f t="shared" si="0"/>
        <v>77.41935483870968</v>
      </c>
      <c r="G14" s="114">
        <f>SUMIF(积分汇总!$B:$B,'副主任&amp;工艺组长及其他'!C14,积分汇总!$E:$E)</f>
        <v>0</v>
      </c>
      <c r="H14" s="114">
        <f>SUMIF(记录巡查问题条数汇总!$B:$B,'副主任&amp;工艺组长及其他'!C14,记录巡查问题条数汇总!$E:$E)</f>
        <v>0</v>
      </c>
      <c r="I14" s="115"/>
      <c r="J14" s="114">
        <f>SUMIF(安全质量事故!$B:$B,'副主任&amp;工艺组长及其他'!C14,安全质量事故!$G:$G)</f>
        <v>0</v>
      </c>
      <c r="K14" s="210">
        <f>12/31</f>
        <v>0.38709677419354838</v>
      </c>
      <c r="L14" s="117">
        <f>HLOOKUP(M14,$A$143:$H$144,2)</f>
        <v>200</v>
      </c>
      <c r="M14" s="118" t="s">
        <v>15</v>
      </c>
      <c r="N14" s="269"/>
      <c r="O14" s="273"/>
      <c r="P14" s="269"/>
      <c r="Q14" s="119"/>
      <c r="T14" s="120"/>
    </row>
    <row r="15" spans="1:20" ht="19.5" customHeight="1">
      <c r="A15" s="47" t="s">
        <v>2109</v>
      </c>
      <c r="B15" s="47" t="s">
        <v>185</v>
      </c>
      <c r="C15" s="45" t="s">
        <v>196</v>
      </c>
      <c r="D15" s="52" t="s">
        <v>197</v>
      </c>
      <c r="E15" s="46">
        <v>42926</v>
      </c>
      <c r="F15" s="113">
        <f t="shared" si="0"/>
        <v>600</v>
      </c>
      <c r="G15" s="114">
        <f>SUMIF(积分汇总!$B:$B,'副主任&amp;工艺组长及其他'!C15,积分汇总!$E:$E)</f>
        <v>0</v>
      </c>
      <c r="H15" s="114">
        <f>SUMIF(记录巡查问题条数汇总!$B:$B,'副主任&amp;工艺组长及其他'!C15,记录巡查问题条数汇总!$E:$E)</f>
        <v>0</v>
      </c>
      <c r="I15" s="115"/>
      <c r="J15" s="114">
        <f>SUMIF(安全质量事故!$B:$B,'副主任&amp;工艺组长及其他'!C15,安全质量事故!$G:$G)</f>
        <v>0</v>
      </c>
      <c r="K15" s="116">
        <v>1</v>
      </c>
      <c r="L15" s="117">
        <f>HLOOKUP(M15,$A$143:$H$144,2)</f>
        <v>600</v>
      </c>
      <c r="M15" s="221" t="s">
        <v>12</v>
      </c>
      <c r="N15" s="269"/>
      <c r="O15" s="273"/>
      <c r="P15" s="269"/>
      <c r="Q15" s="119"/>
    </row>
    <row r="16" spans="1:20" ht="19.5" customHeight="1">
      <c r="A16" s="47" t="s">
        <v>2109</v>
      </c>
      <c r="B16" s="47" t="s">
        <v>79</v>
      </c>
      <c r="C16" s="45" t="s">
        <v>285</v>
      </c>
      <c r="D16" s="52" t="s">
        <v>202</v>
      </c>
      <c r="E16" s="46">
        <v>42972</v>
      </c>
      <c r="F16" s="113">
        <f t="shared" si="0"/>
        <v>400</v>
      </c>
      <c r="G16" s="114">
        <f>SUMIF(积分汇总!$B:$B,'副主任&amp;工艺组长及其他'!C16,积分汇总!$E:$E)</f>
        <v>0</v>
      </c>
      <c r="H16" s="114">
        <f>SUMIF(记录巡查问题条数汇总!$B:$B,'副主任&amp;工艺组长及其他'!C16,记录巡查问题条数汇总!$E:$E)</f>
        <v>0</v>
      </c>
      <c r="I16" s="115"/>
      <c r="J16" s="114">
        <f>SUMIF(安全质量事故!$B:$B,'副主任&amp;工艺组长及其他'!C16,安全质量事故!$G:$G)</f>
        <v>0</v>
      </c>
      <c r="K16" s="116">
        <v>1</v>
      </c>
      <c r="L16" s="117">
        <f>HLOOKUP(M16,$A$143:$H$144,2)</f>
        <v>400</v>
      </c>
      <c r="M16" s="118" t="s">
        <v>11</v>
      </c>
      <c r="N16" s="269"/>
      <c r="O16" s="273"/>
      <c r="P16" s="269"/>
      <c r="Q16" s="119"/>
    </row>
    <row r="17" spans="1:17" ht="19.5" customHeight="1">
      <c r="A17" s="47" t="s">
        <v>2109</v>
      </c>
      <c r="B17" s="47" t="s">
        <v>79</v>
      </c>
      <c r="C17" s="45" t="s">
        <v>130</v>
      </c>
      <c r="D17" s="52" t="s">
        <v>66</v>
      </c>
      <c r="E17" s="46">
        <v>44755</v>
      </c>
      <c r="F17" s="113">
        <f t="shared" si="0"/>
        <v>600</v>
      </c>
      <c r="G17" s="114">
        <f>SUMIF(积分汇总!$B:$B,'副主任&amp;工艺组长及其他'!C17,积分汇总!$E:$E)</f>
        <v>0</v>
      </c>
      <c r="H17" s="114">
        <f>SUMIF(记录巡查问题条数汇总!$B:$B,'副主任&amp;工艺组长及其他'!C17,记录巡查问题条数汇总!$E:$E)</f>
        <v>0</v>
      </c>
      <c r="I17" s="115"/>
      <c r="J17" s="114">
        <f>SUMIF(安全质量事故!$B:$B,'副主任&amp;工艺组长及其他'!C17,安全质量事故!$G:$G)</f>
        <v>0</v>
      </c>
      <c r="K17" s="116">
        <v>1</v>
      </c>
      <c r="L17" s="117">
        <f>HLOOKUP(M17,$A$143:$H$144,2)</f>
        <v>600</v>
      </c>
      <c r="M17" s="221" t="s">
        <v>12</v>
      </c>
      <c r="N17" s="269"/>
      <c r="O17" s="273"/>
      <c r="P17" s="269"/>
      <c r="Q17" s="119"/>
    </row>
    <row r="18" spans="1:17" ht="19.5" customHeight="1">
      <c r="A18" s="47" t="s">
        <v>2109</v>
      </c>
      <c r="B18" s="47" t="s">
        <v>79</v>
      </c>
      <c r="C18" s="45" t="s">
        <v>135</v>
      </c>
      <c r="D18" s="52" t="s">
        <v>63</v>
      </c>
      <c r="E18" s="46">
        <v>44734</v>
      </c>
      <c r="F18" s="113">
        <f t="shared" si="0"/>
        <v>400</v>
      </c>
      <c r="G18" s="114">
        <f>SUMIF(积分汇总!$B:$B,'副主任&amp;工艺组长及其他'!C18,积分汇总!$E:$E)</f>
        <v>0</v>
      </c>
      <c r="H18" s="114">
        <f>SUMIF(记录巡查问题条数汇总!$B:$B,'副主任&amp;工艺组长及其他'!C18,记录巡查问题条数汇总!$E:$E)</f>
        <v>0</v>
      </c>
      <c r="I18" s="115"/>
      <c r="J18" s="114">
        <f>SUMIF(安全质量事故!$B:$B,'副主任&amp;工艺组长及其他'!C18,安全质量事故!$G:$G)</f>
        <v>0</v>
      </c>
      <c r="K18" s="116">
        <v>1</v>
      </c>
      <c r="L18" s="117">
        <f>HLOOKUP(M18,$A$143:$H$144,2)</f>
        <v>400</v>
      </c>
      <c r="M18" s="118" t="s">
        <v>11</v>
      </c>
      <c r="N18" s="269"/>
      <c r="O18" s="273"/>
      <c r="P18" s="269"/>
      <c r="Q18" s="119"/>
    </row>
    <row r="19" spans="1:17" ht="19.5" customHeight="1">
      <c r="A19" s="47" t="s">
        <v>2109</v>
      </c>
      <c r="B19" s="47" t="s">
        <v>79</v>
      </c>
      <c r="C19" s="45" t="s">
        <v>136</v>
      </c>
      <c r="D19" s="52" t="s">
        <v>67</v>
      </c>
      <c r="E19" s="46">
        <v>44755</v>
      </c>
      <c r="F19" s="113">
        <f t="shared" si="0"/>
        <v>600</v>
      </c>
      <c r="G19" s="114">
        <f>SUMIF(积分汇总!$B:$B,'副主任&amp;工艺组长及其他'!C19,积分汇总!$E:$E)</f>
        <v>0</v>
      </c>
      <c r="H19" s="114">
        <f>SUMIF(记录巡查问题条数汇总!$B:$B,'副主任&amp;工艺组长及其他'!C19,记录巡查问题条数汇总!$E:$E)</f>
        <v>0</v>
      </c>
      <c r="I19" s="115"/>
      <c r="J19" s="114">
        <f>SUMIF(安全质量事故!$B:$B,'副主任&amp;工艺组长及其他'!C19,安全质量事故!$G:$G)</f>
        <v>0</v>
      </c>
      <c r="K19" s="116">
        <v>1</v>
      </c>
      <c r="L19" s="117">
        <f>HLOOKUP(M19,$A$143:$H$144,2)</f>
        <v>600</v>
      </c>
      <c r="M19" s="221" t="s">
        <v>12</v>
      </c>
      <c r="N19" s="269"/>
      <c r="O19" s="273"/>
      <c r="P19" s="269"/>
      <c r="Q19" s="119"/>
    </row>
    <row r="20" spans="1:17" ht="19.5" customHeight="1">
      <c r="A20" s="47" t="s">
        <v>2109</v>
      </c>
      <c r="B20" s="47" t="s">
        <v>79</v>
      </c>
      <c r="C20" s="45" t="s">
        <v>143</v>
      </c>
      <c r="D20" s="52" t="s">
        <v>54</v>
      </c>
      <c r="E20" s="46">
        <v>44433</v>
      </c>
      <c r="F20" s="113">
        <f t="shared" si="0"/>
        <v>400</v>
      </c>
      <c r="G20" s="114">
        <f>SUMIF(积分汇总!$B:$B,'副主任&amp;工艺组长及其他'!C20,积分汇总!$E:$E)</f>
        <v>0</v>
      </c>
      <c r="H20" s="114">
        <f>SUMIF(记录巡查问题条数汇总!$B:$B,'副主任&amp;工艺组长及其他'!C20,记录巡查问题条数汇总!$E:$E)</f>
        <v>0</v>
      </c>
      <c r="I20" s="115"/>
      <c r="J20" s="114">
        <f>SUMIF(安全质量事故!$B:$B,'副主任&amp;工艺组长及其他'!C20,安全质量事故!$G:$G)</f>
        <v>0</v>
      </c>
      <c r="K20" s="116">
        <v>1</v>
      </c>
      <c r="L20" s="117">
        <f>HLOOKUP(M20,$A$143:$H$144,2)</f>
        <v>400</v>
      </c>
      <c r="M20" s="118" t="s">
        <v>11</v>
      </c>
      <c r="N20" s="269"/>
      <c r="O20" s="273"/>
      <c r="P20" s="269"/>
      <c r="Q20" s="119"/>
    </row>
    <row r="21" spans="1:17" ht="19.5" customHeight="1">
      <c r="A21" s="47" t="s">
        <v>2109</v>
      </c>
      <c r="B21" s="47" t="s">
        <v>79</v>
      </c>
      <c r="C21" s="45" t="s">
        <v>186</v>
      </c>
      <c r="D21" s="52" t="s">
        <v>182</v>
      </c>
      <c r="E21" s="46">
        <v>44755</v>
      </c>
      <c r="F21" s="113">
        <f t="shared" si="0"/>
        <v>400</v>
      </c>
      <c r="G21" s="114">
        <f>SUMIF(积分汇总!$B:$B,'副主任&amp;工艺组长及其他'!C21,积分汇总!$E:$E)</f>
        <v>0</v>
      </c>
      <c r="H21" s="114">
        <f>SUMIF(记录巡查问题条数汇总!$B:$B,'副主任&amp;工艺组长及其他'!C21,记录巡查问题条数汇总!$E:$E)</f>
        <v>0</v>
      </c>
      <c r="I21" s="115"/>
      <c r="J21" s="114">
        <f>SUMIF(安全质量事故!$B:$B,'副主任&amp;工艺组长及其他'!C21,安全质量事故!$G:$G)</f>
        <v>0</v>
      </c>
      <c r="K21" s="116">
        <v>1</v>
      </c>
      <c r="L21" s="117">
        <f>HLOOKUP(M21,$A$143:$H$144,2)</f>
        <v>400</v>
      </c>
      <c r="M21" s="118" t="s">
        <v>11</v>
      </c>
      <c r="N21" s="269"/>
      <c r="O21" s="273"/>
      <c r="P21" s="269"/>
      <c r="Q21" s="119"/>
    </row>
    <row r="22" spans="1:17" ht="19.149999999999999" customHeight="1">
      <c r="A22" s="47" t="s">
        <v>2109</v>
      </c>
      <c r="B22" s="47" t="s">
        <v>79</v>
      </c>
      <c r="C22" s="47" t="s">
        <v>538</v>
      </c>
      <c r="D22" s="52" t="s">
        <v>502</v>
      </c>
      <c r="E22" s="46">
        <v>45889</v>
      </c>
      <c r="F22" s="113">
        <f t="shared" si="0"/>
        <v>400</v>
      </c>
      <c r="G22" s="114">
        <f>SUMIF(积分汇总!$B:$B,'副主任&amp;工艺组长及其他'!C22,积分汇总!$E:$E)</f>
        <v>0</v>
      </c>
      <c r="H22" s="114">
        <f>SUMIF(记录巡查问题条数汇总!$B:$B,'副主任&amp;工艺组长及其他'!C22,记录巡查问题条数汇总!$E:$E)</f>
        <v>0</v>
      </c>
      <c r="I22" s="115"/>
      <c r="J22" s="114">
        <f>SUMIF(安全质量事故!$B:$B,'副主任&amp;工艺组长及其他'!C22,安全质量事故!$G:$G)</f>
        <v>0</v>
      </c>
      <c r="K22" s="116">
        <v>1</v>
      </c>
      <c r="L22" s="117">
        <f>HLOOKUP(M22,$A$143:$H$144,2)</f>
        <v>400</v>
      </c>
      <c r="M22" s="118" t="s">
        <v>11</v>
      </c>
      <c r="N22" s="269"/>
      <c r="O22" s="273"/>
      <c r="P22" s="269"/>
      <c r="Q22" s="119"/>
    </row>
    <row r="23" spans="1:17" ht="19.5" customHeight="1">
      <c r="A23" s="47" t="s">
        <v>2109</v>
      </c>
      <c r="B23" s="47" t="s">
        <v>79</v>
      </c>
      <c r="C23" s="47" t="s">
        <v>971</v>
      </c>
      <c r="D23" s="52" t="s">
        <v>946</v>
      </c>
      <c r="E23" s="46">
        <v>46050</v>
      </c>
      <c r="F23" s="113">
        <f t="shared" si="0"/>
        <v>400</v>
      </c>
      <c r="G23" s="114">
        <f>SUMIF(积分汇总!$B:$B,'副主任&amp;工艺组长及其他'!C23,积分汇总!$E:$E)</f>
        <v>0</v>
      </c>
      <c r="H23" s="114">
        <f>SUMIF(记录巡查问题条数汇总!$B:$B,'副主任&amp;工艺组长及其他'!C23,记录巡查问题条数汇总!$E:$E)</f>
        <v>0</v>
      </c>
      <c r="I23" s="115"/>
      <c r="J23" s="114">
        <f>SUMIF(安全质量事故!$B:$B,'副主任&amp;工艺组长及其他'!C23,安全质量事故!$G:$G)</f>
        <v>0</v>
      </c>
      <c r="K23" s="116">
        <v>1</v>
      </c>
      <c r="L23" s="117">
        <f>HLOOKUP(M23,$A$143:$H$144,2)</f>
        <v>400</v>
      </c>
      <c r="M23" s="118" t="s">
        <v>11</v>
      </c>
      <c r="N23" s="269"/>
      <c r="O23" s="273"/>
      <c r="P23" s="269"/>
      <c r="Q23" s="119"/>
    </row>
    <row r="24" spans="1:17" ht="19.149999999999999" customHeight="1">
      <c r="A24" s="47" t="s">
        <v>2111</v>
      </c>
      <c r="B24" s="47" t="s">
        <v>56</v>
      </c>
      <c r="C24" s="47" t="s">
        <v>28</v>
      </c>
      <c r="D24" s="52" t="s">
        <v>18</v>
      </c>
      <c r="E24" s="46">
        <v>38803</v>
      </c>
      <c r="F24" s="113">
        <f t="shared" si="0"/>
        <v>400</v>
      </c>
      <c r="G24" s="114">
        <f>SUMIF(积分汇总!$B:$B,'副主任&amp;工艺组长及其他'!C24,积分汇总!$E:$E)</f>
        <v>0</v>
      </c>
      <c r="H24" s="114">
        <f>SUMIF(记录巡查问题条数汇总!$B:$B,'副主任&amp;工艺组长及其他'!C24,记录巡查问题条数汇总!$E:$E)</f>
        <v>0</v>
      </c>
      <c r="I24" s="115"/>
      <c r="J24" s="114">
        <f>SUMIF(安全质量事故!$B:$B,'副主任&amp;工艺组长及其他'!C24,安全质量事故!$G:$G)</f>
        <v>0</v>
      </c>
      <c r="K24" s="116">
        <v>1</v>
      </c>
      <c r="L24" s="117">
        <f>HLOOKUP(M24,$A$143:$H$144,2)</f>
        <v>400</v>
      </c>
      <c r="M24" s="118" t="s">
        <v>11</v>
      </c>
      <c r="N24" s="268" t="s">
        <v>2106</v>
      </c>
      <c r="O24" s="272">
        <v>95.26</v>
      </c>
      <c r="P24" s="268">
        <v>0.52300000000000002</v>
      </c>
      <c r="Q24" s="119"/>
    </row>
    <row r="25" spans="1:17" ht="19.149999999999999" customHeight="1">
      <c r="A25" s="47" t="s">
        <v>2111</v>
      </c>
      <c r="B25" s="47" t="s">
        <v>56</v>
      </c>
      <c r="C25" s="47" t="s">
        <v>1637</v>
      </c>
      <c r="D25" s="52" t="s">
        <v>1638</v>
      </c>
      <c r="E25" s="46">
        <v>46213</v>
      </c>
      <c r="F25" s="113">
        <f t="shared" si="0"/>
        <v>200</v>
      </c>
      <c r="G25" s="114">
        <f>SUMIF(积分汇总!$B:$B,'副主任&amp;工艺组长及其他'!C25,积分汇总!$E:$E)</f>
        <v>0</v>
      </c>
      <c r="H25" s="114">
        <f>SUMIF(记录巡查问题条数汇总!$B:$B,'副主任&amp;工艺组长及其他'!C25,记录巡查问题条数汇总!$E:$E)</f>
        <v>0</v>
      </c>
      <c r="I25" s="115"/>
      <c r="J25" s="114">
        <f>SUMIF(安全质量事故!$B:$B,'副主任&amp;工艺组长及其他'!C25,安全质量事故!$G:$G)</f>
        <v>0</v>
      </c>
      <c r="K25" s="116">
        <v>1</v>
      </c>
      <c r="L25" s="117">
        <f>HLOOKUP(M25,$A$143:$H$144,2)</f>
        <v>200</v>
      </c>
      <c r="M25" s="118" t="s">
        <v>15</v>
      </c>
      <c r="N25" s="269"/>
      <c r="O25" s="273"/>
      <c r="P25" s="269"/>
      <c r="Q25" s="119"/>
    </row>
    <row r="26" spans="1:17" ht="19.149999999999999" customHeight="1">
      <c r="A26" s="47" t="s">
        <v>2111</v>
      </c>
      <c r="B26" s="47" t="s">
        <v>185</v>
      </c>
      <c r="C26" s="47" t="s">
        <v>318</v>
      </c>
      <c r="D26" s="52" t="s">
        <v>302</v>
      </c>
      <c r="E26" s="46">
        <v>44774</v>
      </c>
      <c r="F26" s="113">
        <f t="shared" si="0"/>
        <v>400</v>
      </c>
      <c r="G26" s="114">
        <f>SUMIF(积分汇总!$B:$B,'副主任&amp;工艺组长及其他'!C26,积分汇总!$E:$E)</f>
        <v>0</v>
      </c>
      <c r="H26" s="114">
        <f>SUMIF(记录巡查问题条数汇总!$B:$B,'副主任&amp;工艺组长及其他'!C26,记录巡查问题条数汇总!$E:$E)</f>
        <v>0</v>
      </c>
      <c r="I26" s="115"/>
      <c r="J26" s="114">
        <f>SUMIF(安全质量事故!$B:$B,'副主任&amp;工艺组长及其他'!C26,安全质量事故!$G:$G)</f>
        <v>0</v>
      </c>
      <c r="K26" s="116">
        <v>1</v>
      </c>
      <c r="L26" s="117">
        <f>HLOOKUP(M26,$A$143:$H$144,2)</f>
        <v>400</v>
      </c>
      <c r="M26" s="118" t="s">
        <v>11</v>
      </c>
      <c r="N26" s="269"/>
      <c r="O26" s="273"/>
      <c r="P26" s="269"/>
      <c r="Q26" s="119"/>
    </row>
    <row r="27" spans="1:17" ht="19.149999999999999" customHeight="1">
      <c r="A27" s="47" t="s">
        <v>2111</v>
      </c>
      <c r="B27" s="47" t="s">
        <v>79</v>
      </c>
      <c r="C27" s="47" t="s">
        <v>1926</v>
      </c>
      <c r="D27" s="52" t="s">
        <v>1927</v>
      </c>
      <c r="E27" s="46">
        <v>46246</v>
      </c>
      <c r="F27" s="113">
        <f t="shared" si="0"/>
        <v>122.58064516129032</v>
      </c>
      <c r="G27" s="114">
        <f>SUMIF(积分汇总!$B:$B,'副主任&amp;工艺组长及其他'!C27,积分汇总!$E:$E)</f>
        <v>0</v>
      </c>
      <c r="H27" s="114">
        <f>SUMIF(记录巡查问题条数汇总!$B:$B,'副主任&amp;工艺组长及其他'!C27,记录巡查问题条数汇总!$E:$E)</f>
        <v>0</v>
      </c>
      <c r="I27" s="115"/>
      <c r="J27" s="114">
        <f>SUMIF(安全质量事故!$B:$B,'副主任&amp;工艺组长及其他'!C27,安全质量事故!$G:$G)</f>
        <v>0</v>
      </c>
      <c r="K27" s="210">
        <f>19/31</f>
        <v>0.61290322580645162</v>
      </c>
      <c r="L27" s="117">
        <f>HLOOKUP(M27,$A$143:$H$144,2)</f>
        <v>200</v>
      </c>
      <c r="M27" s="118" t="s">
        <v>15</v>
      </c>
      <c r="N27" s="269"/>
      <c r="O27" s="273"/>
      <c r="P27" s="269"/>
      <c r="Q27" s="119"/>
    </row>
    <row r="28" spans="1:17" ht="19.149999999999999" customHeight="1">
      <c r="A28" s="47" t="s">
        <v>2111</v>
      </c>
      <c r="B28" s="47" t="s">
        <v>79</v>
      </c>
      <c r="C28" s="47" t="s">
        <v>1928</v>
      </c>
      <c r="D28" s="52" t="s">
        <v>1929</v>
      </c>
      <c r="E28" s="46">
        <v>46239</v>
      </c>
      <c r="F28" s="113">
        <f t="shared" si="0"/>
        <v>167.74193548387098</v>
      </c>
      <c r="G28" s="114">
        <f>SUMIF(积分汇总!$B:$B,'副主任&amp;工艺组长及其他'!C28,积分汇总!$E:$E)</f>
        <v>0</v>
      </c>
      <c r="H28" s="114">
        <f>SUMIF(记录巡查问题条数汇总!$B:$B,'副主任&amp;工艺组长及其他'!C28,记录巡查问题条数汇总!$E:$E)</f>
        <v>0</v>
      </c>
      <c r="I28" s="115"/>
      <c r="J28" s="114">
        <f>SUMIF(安全质量事故!$B:$B,'副主任&amp;工艺组长及其他'!C28,安全质量事故!$G:$G)</f>
        <v>0</v>
      </c>
      <c r="K28" s="210">
        <f>26/31</f>
        <v>0.83870967741935487</v>
      </c>
      <c r="L28" s="117">
        <f>HLOOKUP(M28,$A$143:$H$144,2)</f>
        <v>200</v>
      </c>
      <c r="M28" s="118" t="s">
        <v>15</v>
      </c>
      <c r="N28" s="269"/>
      <c r="O28" s="273"/>
      <c r="P28" s="269"/>
      <c r="Q28" s="119"/>
    </row>
    <row r="29" spans="1:17" ht="19.5" customHeight="1">
      <c r="A29" s="47" t="s">
        <v>2111</v>
      </c>
      <c r="B29" s="98" t="s">
        <v>13</v>
      </c>
      <c r="C29" s="98" t="s">
        <v>1900</v>
      </c>
      <c r="D29" s="98" t="s">
        <v>1901</v>
      </c>
      <c r="E29" s="295">
        <v>46215</v>
      </c>
      <c r="F29" s="113">
        <f t="shared" si="0"/>
        <v>200</v>
      </c>
      <c r="G29" s="114">
        <f>SUMIF(积分汇总!$B:$B,'副主任&amp;工艺组长及其他'!C29,积分汇总!$E:$E)</f>
        <v>0</v>
      </c>
      <c r="H29" s="114">
        <f>SUMIF(记录巡查问题条数汇总!$B:$B,'副主任&amp;工艺组长及其他'!C29,记录巡查问题条数汇总!$E:$E)</f>
        <v>0</v>
      </c>
      <c r="I29" s="115"/>
      <c r="J29" s="114">
        <f>SUMIF(安全质量事故!$B:$B,'副主任&amp;工艺组长及其他'!C29,安全质量事故!$G:$G)</f>
        <v>0</v>
      </c>
      <c r="K29" s="116">
        <v>1</v>
      </c>
      <c r="L29" s="117">
        <f>HLOOKUP(M29,$A$143:$H$144,2)</f>
        <v>200</v>
      </c>
      <c r="M29" s="118" t="s">
        <v>15</v>
      </c>
      <c r="N29" s="269"/>
      <c r="O29" s="273"/>
      <c r="P29" s="269"/>
      <c r="Q29" s="119"/>
    </row>
    <row r="30" spans="1:17" ht="19.5" customHeight="1">
      <c r="A30" s="47" t="s">
        <v>2111</v>
      </c>
      <c r="B30" s="98" t="s">
        <v>1092</v>
      </c>
      <c r="C30" s="98" t="s">
        <v>666</v>
      </c>
      <c r="D30" s="98" t="s">
        <v>658</v>
      </c>
      <c r="E30" s="295">
        <v>45847</v>
      </c>
      <c r="F30" s="113">
        <f t="shared" si="0"/>
        <v>400</v>
      </c>
      <c r="G30" s="114">
        <f>SUMIF(积分汇总!$B:$B,'副主任&amp;工艺组长及其他'!C30,积分汇总!$E:$E)</f>
        <v>0</v>
      </c>
      <c r="H30" s="114">
        <f>SUMIF(记录巡查问题条数汇总!$B:$B,'副主任&amp;工艺组长及其他'!C30,记录巡查问题条数汇总!$E:$E)</f>
        <v>0</v>
      </c>
      <c r="I30" s="115"/>
      <c r="J30" s="114">
        <f>SUMIF(安全质量事故!$B:$B,'副主任&amp;工艺组长及其他'!C30,安全质量事故!$G:$G)</f>
        <v>0</v>
      </c>
      <c r="K30" s="116">
        <v>1</v>
      </c>
      <c r="L30" s="117">
        <f>HLOOKUP(M30,$A$143:$H$144,2)</f>
        <v>400</v>
      </c>
      <c r="M30" s="118" t="s">
        <v>11</v>
      </c>
      <c r="N30" s="269"/>
      <c r="O30" s="273"/>
      <c r="P30" s="269"/>
      <c r="Q30" s="121"/>
    </row>
    <row r="31" spans="1:17" ht="19.149999999999999" customHeight="1">
      <c r="A31" s="47" t="s">
        <v>2112</v>
      </c>
      <c r="B31" s="47" t="s">
        <v>56</v>
      </c>
      <c r="C31" s="47" t="s">
        <v>719</v>
      </c>
      <c r="D31" s="52" t="s">
        <v>688</v>
      </c>
      <c r="E31" s="46">
        <v>45980</v>
      </c>
      <c r="F31" s="113">
        <f t="shared" si="0"/>
        <v>400</v>
      </c>
      <c r="G31" s="114">
        <f>SUMIF(积分汇总!$B:$B,'副主任&amp;工艺组长及其他'!C31,积分汇总!$E:$E)</f>
        <v>0</v>
      </c>
      <c r="H31" s="114">
        <f>SUMIF(记录巡查问题条数汇总!$B:$B,'副主任&amp;工艺组长及其他'!C31,记录巡查问题条数汇总!$E:$E)</f>
        <v>0</v>
      </c>
      <c r="I31" s="115"/>
      <c r="J31" s="114">
        <f>SUMIF(安全质量事故!$B:$B,'副主任&amp;工艺组长及其他'!C31,安全质量事故!$G:$G)</f>
        <v>0</v>
      </c>
      <c r="K31" s="116">
        <v>1</v>
      </c>
      <c r="L31" s="117">
        <f>HLOOKUP(M31,$A$143:$H$144,2)</f>
        <v>400</v>
      </c>
      <c r="M31" s="118" t="s">
        <v>11</v>
      </c>
      <c r="N31" s="269"/>
      <c r="O31" s="273"/>
      <c r="P31" s="269"/>
      <c r="Q31" s="119"/>
    </row>
    <row r="32" spans="1:17" ht="19.149999999999999" customHeight="1">
      <c r="A32" s="47" t="s">
        <v>2112</v>
      </c>
      <c r="B32" s="47" t="s">
        <v>56</v>
      </c>
      <c r="C32" s="47" t="s">
        <v>816</v>
      </c>
      <c r="D32" s="52" t="s">
        <v>775</v>
      </c>
      <c r="E32" s="46">
        <v>46001</v>
      </c>
      <c r="F32" s="113">
        <f t="shared" si="0"/>
        <v>400</v>
      </c>
      <c r="G32" s="114">
        <f>SUMIF(积分汇总!$B:$B,'副主任&amp;工艺组长及其他'!C32,积分汇总!$E:$E)</f>
        <v>0</v>
      </c>
      <c r="H32" s="114">
        <f>SUMIF(记录巡查问题条数汇总!$B:$B,'副主任&amp;工艺组长及其他'!C32,记录巡查问题条数汇总!$E:$E)</f>
        <v>0</v>
      </c>
      <c r="I32" s="115"/>
      <c r="J32" s="114">
        <f>SUMIF(安全质量事故!$B:$B,'副主任&amp;工艺组长及其他'!C32,安全质量事故!$G:$G)</f>
        <v>0</v>
      </c>
      <c r="K32" s="116">
        <v>1</v>
      </c>
      <c r="L32" s="117">
        <f>HLOOKUP(M32,$A$143:$H$144,2)</f>
        <v>400</v>
      </c>
      <c r="M32" s="118" t="s">
        <v>11</v>
      </c>
      <c r="N32" s="269"/>
      <c r="O32" s="273"/>
      <c r="P32" s="269"/>
      <c r="Q32" s="119"/>
    </row>
    <row r="33" spans="1:19" ht="19.149999999999999" customHeight="1">
      <c r="A33" s="47" t="s">
        <v>2112</v>
      </c>
      <c r="B33" s="47" t="s">
        <v>56</v>
      </c>
      <c r="C33" s="47" t="s">
        <v>1443</v>
      </c>
      <c r="D33" s="52" t="s">
        <v>1444</v>
      </c>
      <c r="E33" s="46">
        <v>46162</v>
      </c>
      <c r="F33" s="113">
        <f t="shared" si="0"/>
        <v>400</v>
      </c>
      <c r="G33" s="114">
        <f>SUMIF(积分汇总!$B:$B,'副主任&amp;工艺组长及其他'!C33,积分汇总!$E:$E)</f>
        <v>0</v>
      </c>
      <c r="H33" s="114">
        <f>SUMIF(记录巡查问题条数汇总!$B:$B,'副主任&amp;工艺组长及其他'!C33,记录巡查问题条数汇总!$E:$E)</f>
        <v>0</v>
      </c>
      <c r="I33" s="115"/>
      <c r="J33" s="114">
        <f>SUMIF(安全质量事故!$B:$B,'副主任&amp;工艺组长及其他'!C33,安全质量事故!$G:$G)</f>
        <v>0</v>
      </c>
      <c r="K33" s="116">
        <v>1</v>
      </c>
      <c r="L33" s="117">
        <f>HLOOKUP(M33,$A$143:$H$144,2)</f>
        <v>400</v>
      </c>
      <c r="M33" s="118" t="s">
        <v>11</v>
      </c>
      <c r="N33" s="269"/>
      <c r="O33" s="273"/>
      <c r="P33" s="269"/>
      <c r="Q33" s="119"/>
    </row>
    <row r="34" spans="1:19" ht="19.149999999999999" customHeight="1">
      <c r="A34" s="47" t="s">
        <v>2112</v>
      </c>
      <c r="B34" s="47" t="s">
        <v>56</v>
      </c>
      <c r="C34" s="47" t="s">
        <v>1680</v>
      </c>
      <c r="D34" s="52" t="s">
        <v>1681</v>
      </c>
      <c r="E34" s="46">
        <v>46204</v>
      </c>
      <c r="F34" s="113">
        <f t="shared" si="0"/>
        <v>200</v>
      </c>
      <c r="G34" s="114">
        <f>SUMIF(积分汇总!$B:$B,'副主任&amp;工艺组长及其他'!C34,积分汇总!$E:$E)</f>
        <v>0</v>
      </c>
      <c r="H34" s="114">
        <f>SUMIF(记录巡查问题条数汇总!$B:$B,'副主任&amp;工艺组长及其他'!C34,记录巡查问题条数汇总!$E:$E)</f>
        <v>0</v>
      </c>
      <c r="I34" s="115"/>
      <c r="J34" s="114">
        <f>SUMIF(安全质量事故!$B:$B,'副主任&amp;工艺组长及其他'!C34,安全质量事故!$G:$G)</f>
        <v>0</v>
      </c>
      <c r="K34" s="116">
        <v>1</v>
      </c>
      <c r="L34" s="117">
        <f>HLOOKUP(M34,$A$143:$H$144,2)</f>
        <v>200</v>
      </c>
      <c r="M34" s="118" t="s">
        <v>15</v>
      </c>
      <c r="N34" s="269"/>
      <c r="O34" s="273"/>
      <c r="P34" s="269"/>
      <c r="Q34" s="119"/>
    </row>
    <row r="35" spans="1:19" ht="19.149999999999999" customHeight="1">
      <c r="A35" s="47" t="s">
        <v>2112</v>
      </c>
      <c r="B35" s="47" t="s">
        <v>1923</v>
      </c>
      <c r="C35" s="47" t="s">
        <v>1932</v>
      </c>
      <c r="D35" s="52" t="s">
        <v>1933</v>
      </c>
      <c r="E35" s="46">
        <v>46232</v>
      </c>
      <c r="F35" s="113">
        <f t="shared" si="0"/>
        <v>200</v>
      </c>
      <c r="G35" s="114">
        <f>SUMIF(积分汇总!$B:$B,'副主任&amp;工艺组长及其他'!C35,积分汇总!$E:$E)</f>
        <v>0</v>
      </c>
      <c r="H35" s="114">
        <f>SUMIF(记录巡查问题条数汇总!$B:$B,'副主任&amp;工艺组长及其他'!C35,记录巡查问题条数汇总!$E:$E)</f>
        <v>0</v>
      </c>
      <c r="I35" s="115"/>
      <c r="J35" s="114">
        <f>SUMIF(安全质量事故!$B:$B,'副主任&amp;工艺组长及其他'!C35,安全质量事故!$G:$G)</f>
        <v>0</v>
      </c>
      <c r="K35" s="116">
        <v>1</v>
      </c>
      <c r="L35" s="117">
        <f>HLOOKUP(M35,$A$143:$H$144,2)</f>
        <v>200</v>
      </c>
      <c r="M35" s="118" t="s">
        <v>15</v>
      </c>
      <c r="N35" s="269"/>
      <c r="O35" s="273"/>
      <c r="P35" s="269"/>
      <c r="Q35" s="119"/>
    </row>
    <row r="36" spans="1:19" ht="19.149999999999999" customHeight="1">
      <c r="A36" s="47" t="s">
        <v>2112</v>
      </c>
      <c r="B36" s="47" t="s">
        <v>185</v>
      </c>
      <c r="C36" s="296" t="s">
        <v>1682</v>
      </c>
      <c r="D36" s="52" t="s">
        <v>1683</v>
      </c>
      <c r="E36" s="46">
        <v>46213</v>
      </c>
      <c r="F36" s="113">
        <f t="shared" si="0"/>
        <v>200</v>
      </c>
      <c r="G36" s="114">
        <f>SUMIF(积分汇总!$B:$B,'副主任&amp;工艺组长及其他'!C36,积分汇总!$E:$E)</f>
        <v>0</v>
      </c>
      <c r="H36" s="114">
        <f>SUMIF(记录巡查问题条数汇总!$B:$B,'副主任&amp;工艺组长及其他'!C36,记录巡查问题条数汇总!$E:$E)</f>
        <v>0</v>
      </c>
      <c r="I36" s="115"/>
      <c r="J36" s="114">
        <f>SUMIF(安全质量事故!$B:$B,'副主任&amp;工艺组长及其他'!C36,安全质量事故!$G:$G)</f>
        <v>0</v>
      </c>
      <c r="K36" s="116">
        <v>1</v>
      </c>
      <c r="L36" s="117">
        <f>HLOOKUP(M36,$A$143:$H$144,2)</f>
        <v>200</v>
      </c>
      <c r="M36" s="118" t="s">
        <v>15</v>
      </c>
      <c r="N36" s="269"/>
      <c r="O36" s="273"/>
      <c r="P36" s="269"/>
      <c r="Q36" s="119"/>
    </row>
    <row r="37" spans="1:19" ht="19.149999999999999" customHeight="1">
      <c r="A37" s="47" t="s">
        <v>2112</v>
      </c>
      <c r="B37" s="47" t="s">
        <v>79</v>
      </c>
      <c r="C37" s="47" t="s">
        <v>116</v>
      </c>
      <c r="D37" s="52" t="s">
        <v>1934</v>
      </c>
      <c r="E37" s="46">
        <v>45194</v>
      </c>
      <c r="F37" s="113">
        <f t="shared" si="0"/>
        <v>400</v>
      </c>
      <c r="G37" s="114">
        <f>SUMIF(积分汇总!$B:$B,'副主任&amp;工艺组长及其他'!C37,积分汇总!$E:$E)</f>
        <v>0</v>
      </c>
      <c r="H37" s="114">
        <f>SUMIF(记录巡查问题条数汇总!$B:$B,'副主任&amp;工艺组长及其他'!C37,记录巡查问题条数汇总!$E:$E)</f>
        <v>0</v>
      </c>
      <c r="I37" s="115"/>
      <c r="J37" s="114">
        <f>SUMIF(安全质量事故!$B:$B,'副主任&amp;工艺组长及其他'!C37,安全质量事故!$G:$G)</f>
        <v>0</v>
      </c>
      <c r="K37" s="116">
        <v>1</v>
      </c>
      <c r="L37" s="117">
        <f>HLOOKUP(M37,$A$143:$H$144,2)</f>
        <v>400</v>
      </c>
      <c r="M37" s="118" t="s">
        <v>11</v>
      </c>
      <c r="N37" s="269"/>
      <c r="O37" s="273"/>
      <c r="P37" s="269"/>
      <c r="Q37" s="119"/>
    </row>
    <row r="38" spans="1:19" ht="19.149999999999999" customHeight="1">
      <c r="A38" s="47" t="s">
        <v>2112</v>
      </c>
      <c r="B38" s="47" t="s">
        <v>2105</v>
      </c>
      <c r="C38" s="47" t="s">
        <v>2140</v>
      </c>
      <c r="D38" s="52" t="s">
        <v>776</v>
      </c>
      <c r="E38" s="46">
        <v>45992</v>
      </c>
      <c r="F38" s="113">
        <f t="shared" si="0"/>
        <v>400</v>
      </c>
      <c r="G38" s="114">
        <f>SUMIF(积分汇总!$B:$B,'副主任&amp;工艺组长及其他'!C38,积分汇总!$E:$E)</f>
        <v>0</v>
      </c>
      <c r="H38" s="114">
        <f>SUMIF(记录巡查问题条数汇总!$B:$B,'副主任&amp;工艺组长及其他'!C38,记录巡查问题条数汇总!$E:$E)</f>
        <v>0</v>
      </c>
      <c r="I38" s="115"/>
      <c r="J38" s="114">
        <f>SUMIF(安全质量事故!$B:$B,'副主任&amp;工艺组长及其他'!C38,安全质量事故!$G:$G)</f>
        <v>0</v>
      </c>
      <c r="K38" s="116">
        <v>1</v>
      </c>
      <c r="L38" s="117">
        <f>HLOOKUP(M38,$A$143:$H$144,2)</f>
        <v>400</v>
      </c>
      <c r="M38" s="118" t="s">
        <v>11</v>
      </c>
      <c r="N38" s="269"/>
      <c r="O38" s="273"/>
      <c r="P38" s="269"/>
      <c r="Q38" s="119"/>
    </row>
    <row r="39" spans="1:19" ht="19.149999999999999" customHeight="1">
      <c r="A39" s="47" t="s">
        <v>2112</v>
      </c>
      <c r="B39" s="47" t="s">
        <v>1092</v>
      </c>
      <c r="C39" s="73" t="s">
        <v>926</v>
      </c>
      <c r="D39" s="74" t="s">
        <v>904</v>
      </c>
      <c r="E39" s="75">
        <v>45469</v>
      </c>
      <c r="F39" s="113">
        <f t="shared" si="0"/>
        <v>400</v>
      </c>
      <c r="G39" s="114">
        <f>SUMIF(积分汇总!$B:$B,'副主任&amp;工艺组长及其他'!C39,积分汇总!$E:$E)</f>
        <v>0</v>
      </c>
      <c r="H39" s="114">
        <f>SUMIF(记录巡查问题条数汇总!$B:$B,'副主任&amp;工艺组长及其他'!C39,记录巡查问题条数汇总!$E:$E)</f>
        <v>0</v>
      </c>
      <c r="I39" s="115"/>
      <c r="J39" s="114">
        <f>SUMIF(安全质量事故!$B:$B,'副主任&amp;工艺组长及其他'!C39,安全质量事故!$G:$G)</f>
        <v>0</v>
      </c>
      <c r="K39" s="116">
        <v>1</v>
      </c>
      <c r="L39" s="117">
        <f>HLOOKUP(M39,$A$143:$H$144,2)</f>
        <v>400</v>
      </c>
      <c r="M39" s="118" t="s">
        <v>11</v>
      </c>
      <c r="N39" s="269"/>
      <c r="O39" s="273"/>
      <c r="P39" s="269"/>
      <c r="Q39" s="88" t="s">
        <v>1421</v>
      </c>
    </row>
    <row r="40" spans="1:19" ht="19.149999999999999" customHeight="1">
      <c r="A40" s="47" t="s">
        <v>2112</v>
      </c>
      <c r="B40" s="47" t="s">
        <v>1092</v>
      </c>
      <c r="C40" s="73" t="s">
        <v>1666</v>
      </c>
      <c r="D40" s="73" t="s">
        <v>1419</v>
      </c>
      <c r="E40" s="78">
        <v>46134</v>
      </c>
      <c r="F40" s="113">
        <f t="shared" si="0"/>
        <v>400</v>
      </c>
      <c r="G40" s="114">
        <f>SUMIF(积分汇总!$B:$B,'副主任&amp;工艺组长及其他'!C40,积分汇总!$E:$E)</f>
        <v>0</v>
      </c>
      <c r="H40" s="114">
        <f>SUMIF(记录巡查问题条数汇总!$B:$B,'副主任&amp;工艺组长及其他'!C40,记录巡查问题条数汇总!$E:$E)</f>
        <v>0</v>
      </c>
      <c r="I40" s="115"/>
      <c r="J40" s="114">
        <f>SUMIF(安全质量事故!$B:$B,'副主任&amp;工艺组长及其他'!C40,安全质量事故!$G:$G)</f>
        <v>0</v>
      </c>
      <c r="K40" s="116">
        <v>1</v>
      </c>
      <c r="L40" s="117">
        <f>HLOOKUP(M40,$A$143:$H$144,2)</f>
        <v>400</v>
      </c>
      <c r="M40" s="118" t="s">
        <v>11</v>
      </c>
      <c r="N40" s="269"/>
      <c r="O40" s="273"/>
      <c r="P40" s="269"/>
      <c r="Q40" s="123" t="s">
        <v>1667</v>
      </c>
    </row>
    <row r="41" spans="1:19" ht="19.149999999999999" customHeight="1">
      <c r="A41" s="47" t="s">
        <v>2112</v>
      </c>
      <c r="B41" s="47" t="s">
        <v>1092</v>
      </c>
      <c r="C41" s="73" t="s">
        <v>1668</v>
      </c>
      <c r="D41" s="73" t="s">
        <v>1420</v>
      </c>
      <c r="E41" s="78">
        <v>46134</v>
      </c>
      <c r="F41" s="113">
        <f t="shared" si="0"/>
        <v>400</v>
      </c>
      <c r="G41" s="114">
        <f>SUMIF(积分汇总!$B:$B,'副主任&amp;工艺组长及其他'!C41,积分汇总!$E:$E)</f>
        <v>0</v>
      </c>
      <c r="H41" s="114">
        <f>SUMIF(记录巡查问题条数汇总!$B:$B,'副主任&amp;工艺组长及其他'!C41,记录巡查问题条数汇总!$E:$E)</f>
        <v>0</v>
      </c>
      <c r="I41" s="115"/>
      <c r="J41" s="114">
        <f>SUMIF(安全质量事故!$B:$B,'副主任&amp;工艺组长及其他'!C41,安全质量事故!$G:$G)</f>
        <v>0</v>
      </c>
      <c r="K41" s="116">
        <v>1</v>
      </c>
      <c r="L41" s="117">
        <f>HLOOKUP(M41,$A$143:$H$144,2)</f>
        <v>400</v>
      </c>
      <c r="M41" s="118" t="s">
        <v>11</v>
      </c>
      <c r="N41" s="269"/>
      <c r="O41" s="273"/>
      <c r="P41" s="269"/>
      <c r="Q41" s="123" t="s">
        <v>1669</v>
      </c>
    </row>
    <row r="42" spans="1:19" ht="19.149999999999999" customHeight="1">
      <c r="A42" s="47" t="s">
        <v>2150</v>
      </c>
      <c r="B42" s="47" t="s">
        <v>79</v>
      </c>
      <c r="C42" s="47" t="s">
        <v>1930</v>
      </c>
      <c r="D42" s="52" t="s">
        <v>1931</v>
      </c>
      <c r="E42" s="46">
        <v>46239</v>
      </c>
      <c r="F42" s="113">
        <f t="shared" si="0"/>
        <v>167.74193548387098</v>
      </c>
      <c r="G42" s="114">
        <f>SUMIF(积分汇总!$B:$B,'副主任&amp;工艺组长及其他'!C42,积分汇总!$E:$E)</f>
        <v>0</v>
      </c>
      <c r="H42" s="114">
        <f>SUMIF(记录巡查问题条数汇总!$B:$B,'副主任&amp;工艺组长及其他'!C42,记录巡查问题条数汇总!$E:$E)</f>
        <v>0</v>
      </c>
      <c r="I42" s="115"/>
      <c r="J42" s="114">
        <f>SUMIF(安全质量事故!$B:$B,'副主任&amp;工艺组长及其他'!C42,安全质量事故!$G:$G)</f>
        <v>0</v>
      </c>
      <c r="K42" s="210">
        <f>26/31</f>
        <v>0.83870967741935487</v>
      </c>
      <c r="L42" s="117">
        <f>HLOOKUP(M42,$A$143:$H$144,2)</f>
        <v>200</v>
      </c>
      <c r="M42" s="118" t="s">
        <v>15</v>
      </c>
      <c r="N42" s="269"/>
      <c r="O42" s="273"/>
      <c r="P42" s="269"/>
      <c r="Q42" s="119"/>
    </row>
    <row r="43" spans="1:19" ht="19.149999999999999" customHeight="1">
      <c r="A43" s="47" t="s">
        <v>2150</v>
      </c>
      <c r="B43" s="47" t="s">
        <v>185</v>
      </c>
      <c r="C43" s="47" t="s">
        <v>668</v>
      </c>
      <c r="D43" s="52" t="s">
        <v>651</v>
      </c>
      <c r="E43" s="46">
        <v>45922</v>
      </c>
      <c r="F43" s="113">
        <f t="shared" ref="F43:F44" si="1">(L43*K43+G43+H43+I43-J43)</f>
        <v>400</v>
      </c>
      <c r="G43" s="114">
        <f>SUMIF(积分汇总!$B:$B,'副主任&amp;工艺组长及其他'!C43,积分汇总!$E:$E)</f>
        <v>0</v>
      </c>
      <c r="H43" s="114">
        <f>SUMIF(记录巡查问题条数汇总!$B:$B,'副主任&amp;工艺组长及其他'!C43,记录巡查问题条数汇总!$E:$E)</f>
        <v>0</v>
      </c>
      <c r="I43" s="115"/>
      <c r="J43" s="114">
        <f>SUMIF(安全质量事故!$B:$B,'副主任&amp;工艺组长及其他'!C43,安全质量事故!$G:$G)</f>
        <v>0</v>
      </c>
      <c r="K43" s="116">
        <v>1</v>
      </c>
      <c r="L43" s="117">
        <f>HLOOKUP(M43,$A$143:$H$144,2)</f>
        <v>400</v>
      </c>
      <c r="M43" s="118" t="s">
        <v>11</v>
      </c>
      <c r="N43" s="269"/>
      <c r="O43" s="273"/>
      <c r="P43" s="269"/>
      <c r="Q43" s="119"/>
      <c r="S43" s="179"/>
    </row>
    <row r="44" spans="1:19" ht="19.149999999999999" customHeight="1">
      <c r="A44" s="47" t="s">
        <v>2150</v>
      </c>
      <c r="B44" s="47" t="s">
        <v>185</v>
      </c>
      <c r="C44" s="47" t="s">
        <v>817</v>
      </c>
      <c r="D44" s="52" t="s">
        <v>793</v>
      </c>
      <c r="E44" s="46">
        <v>43963</v>
      </c>
      <c r="F44" s="113">
        <f t="shared" si="1"/>
        <v>400</v>
      </c>
      <c r="G44" s="114">
        <f>SUMIF(积分汇总!$B:$B,'副主任&amp;工艺组长及其他'!C44,积分汇总!$E:$E)</f>
        <v>0</v>
      </c>
      <c r="H44" s="114">
        <f>SUMIF(记录巡查问题条数汇总!$B:$B,'副主任&amp;工艺组长及其他'!C44,记录巡查问题条数汇总!$E:$E)</f>
        <v>0</v>
      </c>
      <c r="I44" s="115"/>
      <c r="J44" s="114">
        <f>SUMIF(安全质量事故!$B:$B,'副主任&amp;工艺组长及其他'!C44,安全质量事故!$G:$G)</f>
        <v>0</v>
      </c>
      <c r="K44" s="116">
        <v>1</v>
      </c>
      <c r="L44" s="117">
        <f>HLOOKUP(M44,$A$143:$H$144,2)</f>
        <v>400</v>
      </c>
      <c r="M44" s="118" t="s">
        <v>11</v>
      </c>
      <c r="N44" s="269"/>
      <c r="O44" s="273"/>
      <c r="P44" s="269"/>
      <c r="Q44" s="119"/>
      <c r="S44" s="179"/>
    </row>
    <row r="45" spans="1:19" ht="19.149999999999999" customHeight="1">
      <c r="A45" s="47" t="s">
        <v>2150</v>
      </c>
      <c r="B45" s="45" t="s">
        <v>81</v>
      </c>
      <c r="C45" s="47" t="s">
        <v>1629</v>
      </c>
      <c r="D45" s="52" t="s">
        <v>1630</v>
      </c>
      <c r="E45" s="46">
        <v>46208</v>
      </c>
      <c r="F45" s="113">
        <f t="shared" si="0"/>
        <v>200</v>
      </c>
      <c r="G45" s="114">
        <f>SUMIF(积分汇总!$B:$B,'副主任&amp;工艺组长及其他'!C45,积分汇总!$E:$E)</f>
        <v>0</v>
      </c>
      <c r="H45" s="114">
        <f>SUMIF(记录巡查问题条数汇总!$B:$B,'副主任&amp;工艺组长及其他'!C45,记录巡查问题条数汇总!$E:$E)</f>
        <v>0</v>
      </c>
      <c r="I45" s="115"/>
      <c r="J45" s="114">
        <f>SUMIF(安全质量事故!$B:$B,'副主任&amp;工艺组长及其他'!C45,安全质量事故!$G:$G)</f>
        <v>0</v>
      </c>
      <c r="K45" s="116">
        <v>1</v>
      </c>
      <c r="L45" s="117">
        <f>HLOOKUP(M45,$A$143:$H$144,2)</f>
        <v>200</v>
      </c>
      <c r="M45" s="118" t="s">
        <v>15</v>
      </c>
      <c r="N45" s="269"/>
      <c r="O45" s="273"/>
      <c r="P45" s="269"/>
      <c r="Q45" s="119"/>
    </row>
    <row r="46" spans="1:19" ht="19.149999999999999" customHeight="1">
      <c r="A46" s="47" t="s">
        <v>2150</v>
      </c>
      <c r="B46" s="45" t="s">
        <v>14</v>
      </c>
      <c r="C46" s="46" t="s">
        <v>127</v>
      </c>
      <c r="D46" s="47" t="s">
        <v>128</v>
      </c>
      <c r="E46" s="48">
        <v>45238</v>
      </c>
      <c r="F46" s="113">
        <f t="shared" si="0"/>
        <v>400</v>
      </c>
      <c r="G46" s="114">
        <f>SUMIF(积分汇总!$B:$B,'副主任&amp;工艺组长及其他'!C46,积分汇总!$E:$E)</f>
        <v>0</v>
      </c>
      <c r="H46" s="114">
        <f>SUMIF(记录巡查问题条数汇总!$B:$B,'副主任&amp;工艺组长及其他'!C46,记录巡查问题条数汇总!$E:$E)</f>
        <v>0</v>
      </c>
      <c r="I46" s="115"/>
      <c r="J46" s="114">
        <f>SUMIF(安全质量事故!$B:$B,'副主任&amp;工艺组长及其他'!C46,安全质量事故!$G:$G)</f>
        <v>0</v>
      </c>
      <c r="K46" s="116">
        <v>1</v>
      </c>
      <c r="L46" s="117">
        <f>HLOOKUP(M46,$A$143:$H$144,2)</f>
        <v>400</v>
      </c>
      <c r="M46" s="118" t="s">
        <v>11</v>
      </c>
      <c r="N46" s="269"/>
      <c r="O46" s="273"/>
      <c r="P46" s="269"/>
      <c r="Q46" s="119"/>
    </row>
    <row r="47" spans="1:19" ht="19.149999999999999" customHeight="1">
      <c r="A47" s="47" t="s">
        <v>2150</v>
      </c>
      <c r="B47" s="45" t="s">
        <v>14</v>
      </c>
      <c r="C47" s="46" t="s">
        <v>1631</v>
      </c>
      <c r="D47" s="52" t="s">
        <v>1632</v>
      </c>
      <c r="E47" s="46">
        <v>46208</v>
      </c>
      <c r="F47" s="113">
        <f t="shared" si="0"/>
        <v>400</v>
      </c>
      <c r="G47" s="114">
        <f>SUMIF(积分汇总!$B:$B,'副主任&amp;工艺组长及其他'!C47,积分汇总!$E:$E)</f>
        <v>0</v>
      </c>
      <c r="H47" s="114">
        <f>SUMIF(记录巡查问题条数汇总!$B:$B,'副主任&amp;工艺组长及其他'!C47,记录巡查问题条数汇总!$E:$E)</f>
        <v>0</v>
      </c>
      <c r="I47" s="115"/>
      <c r="J47" s="114">
        <f>SUMIF(安全质量事故!$B:$B,'副主任&amp;工艺组长及其他'!C47,安全质量事故!$G:$G)</f>
        <v>0</v>
      </c>
      <c r="K47" s="116">
        <v>1</v>
      </c>
      <c r="L47" s="117">
        <f>HLOOKUP(M47,$A$143:$H$144,2)</f>
        <v>400</v>
      </c>
      <c r="M47" s="118" t="s">
        <v>11</v>
      </c>
      <c r="N47" s="269"/>
      <c r="O47" s="273"/>
      <c r="P47" s="269"/>
      <c r="Q47" s="119"/>
    </row>
    <row r="48" spans="1:19" ht="19.149999999999999" customHeight="1">
      <c r="A48" s="47" t="s">
        <v>2150</v>
      </c>
      <c r="B48" s="45" t="s">
        <v>14</v>
      </c>
      <c r="C48" s="46" t="s">
        <v>218</v>
      </c>
      <c r="D48" s="47" t="s">
        <v>219</v>
      </c>
      <c r="E48" s="48">
        <v>45469</v>
      </c>
      <c r="F48" s="113">
        <f t="shared" si="0"/>
        <v>400</v>
      </c>
      <c r="G48" s="114">
        <f>SUMIF(积分汇总!$B:$B,'副主任&amp;工艺组长及其他'!C48,积分汇总!$E:$E)</f>
        <v>0</v>
      </c>
      <c r="H48" s="114">
        <f>SUMIF(记录巡查问题条数汇总!$B:$B,'副主任&amp;工艺组长及其他'!C48,记录巡查问题条数汇总!$E:$E)</f>
        <v>0</v>
      </c>
      <c r="I48" s="115"/>
      <c r="J48" s="114">
        <f>SUMIF(安全质量事故!$B:$B,'副主任&amp;工艺组长及其他'!C48,安全质量事故!$G:$G)</f>
        <v>0</v>
      </c>
      <c r="K48" s="116">
        <v>1</v>
      </c>
      <c r="L48" s="117">
        <f>HLOOKUP(M48,$A$143:$H$144,2)</f>
        <v>400</v>
      </c>
      <c r="M48" s="118" t="s">
        <v>11</v>
      </c>
      <c r="N48" s="269"/>
      <c r="O48" s="273"/>
      <c r="P48" s="269"/>
      <c r="Q48" s="119"/>
    </row>
    <row r="49" spans="1:17" ht="19.149999999999999" customHeight="1">
      <c r="A49" s="47" t="s">
        <v>2150</v>
      </c>
      <c r="B49" s="45" t="s">
        <v>14</v>
      </c>
      <c r="C49" s="46" t="s">
        <v>301</v>
      </c>
      <c r="D49" s="47" t="s">
        <v>288</v>
      </c>
      <c r="E49" s="48">
        <v>45586</v>
      </c>
      <c r="F49" s="113">
        <f t="shared" si="0"/>
        <v>400</v>
      </c>
      <c r="G49" s="114">
        <f>SUMIF(积分汇总!$B:$B,'副主任&amp;工艺组长及其他'!C49,积分汇总!$E:$E)</f>
        <v>0</v>
      </c>
      <c r="H49" s="114">
        <f>SUMIF(记录巡查问题条数汇总!$B:$B,'副主任&amp;工艺组长及其他'!C49,记录巡查问题条数汇总!$E:$E)</f>
        <v>0</v>
      </c>
      <c r="I49" s="115"/>
      <c r="J49" s="114">
        <f>SUMIF(安全质量事故!$B:$B,'副主任&amp;工艺组长及其他'!C49,安全质量事故!$G:$G)</f>
        <v>0</v>
      </c>
      <c r="K49" s="116">
        <v>1</v>
      </c>
      <c r="L49" s="117">
        <f>HLOOKUP(M49,$A$143:$H$144,2)</f>
        <v>400</v>
      </c>
      <c r="M49" s="118" t="s">
        <v>11</v>
      </c>
      <c r="N49" s="269"/>
      <c r="O49" s="273"/>
      <c r="P49" s="269"/>
      <c r="Q49" s="119"/>
    </row>
    <row r="50" spans="1:17" ht="19.149999999999999" customHeight="1">
      <c r="A50" s="47" t="s">
        <v>2150</v>
      </c>
      <c r="B50" s="45" t="s">
        <v>14</v>
      </c>
      <c r="C50" s="46" t="s">
        <v>408</v>
      </c>
      <c r="D50" s="47" t="s">
        <v>404</v>
      </c>
      <c r="E50" s="48">
        <v>44396</v>
      </c>
      <c r="F50" s="113">
        <f t="shared" si="0"/>
        <v>400</v>
      </c>
      <c r="G50" s="114">
        <f>SUMIF(积分汇总!$B:$B,'副主任&amp;工艺组长及其他'!C50,积分汇总!$E:$E)</f>
        <v>0</v>
      </c>
      <c r="H50" s="114">
        <f>SUMIF(记录巡查问题条数汇总!$B:$B,'副主任&amp;工艺组长及其他'!C50,记录巡查问题条数汇总!$E:$E)</f>
        <v>0</v>
      </c>
      <c r="I50" s="115"/>
      <c r="J50" s="114">
        <f>SUMIF(安全质量事故!$B:$B,'副主任&amp;工艺组长及其他'!C50,安全质量事故!$G:$G)</f>
        <v>0</v>
      </c>
      <c r="K50" s="116">
        <v>1</v>
      </c>
      <c r="L50" s="117">
        <f>HLOOKUP(M50,$A$143:$H$144,2)</f>
        <v>400</v>
      </c>
      <c r="M50" s="118" t="s">
        <v>11</v>
      </c>
      <c r="N50" s="278"/>
      <c r="O50" s="279"/>
      <c r="P50" s="278"/>
      <c r="Q50" s="119"/>
    </row>
    <row r="51" spans="1:17" ht="19.149999999999999" customHeight="1">
      <c r="A51" s="47" t="s">
        <v>2116</v>
      </c>
      <c r="B51" s="47" t="s">
        <v>56</v>
      </c>
      <c r="C51" s="47" t="s">
        <v>568</v>
      </c>
      <c r="D51" s="52" t="s">
        <v>421</v>
      </c>
      <c r="E51" s="46">
        <v>43985</v>
      </c>
      <c r="F51" s="113">
        <f t="shared" si="0"/>
        <v>400</v>
      </c>
      <c r="G51" s="114">
        <f>SUMIF(积分汇总!$B:$B,'副主任&amp;工艺组长及其他'!C51,积分汇总!$E:$E)</f>
        <v>0</v>
      </c>
      <c r="H51" s="114">
        <f>SUMIF(记录巡查问题条数汇总!$B:$B,'副主任&amp;工艺组长及其他'!C51,记录巡查问题条数汇总!$E:$E)</f>
        <v>0</v>
      </c>
      <c r="I51" s="115"/>
      <c r="J51" s="114">
        <f>SUMIF(安全质量事故!$B:$B,'副主任&amp;工艺组长及其他'!C51,安全质量事故!$G:$G)</f>
        <v>0</v>
      </c>
      <c r="K51" s="116">
        <v>1</v>
      </c>
      <c r="L51" s="117">
        <f>HLOOKUP(M51,$A$143:$H$144,2)</f>
        <v>400</v>
      </c>
      <c r="M51" s="118" t="s">
        <v>11</v>
      </c>
      <c r="N51" s="276" t="s">
        <v>2106</v>
      </c>
      <c r="O51" s="276">
        <v>16.079999999999998</v>
      </c>
      <c r="P51" s="268">
        <v>0.58099999999999996</v>
      </c>
      <c r="Q51" s="119"/>
    </row>
    <row r="52" spans="1:17" ht="19.149999999999999" customHeight="1">
      <c r="A52" s="47" t="s">
        <v>2116</v>
      </c>
      <c r="B52" s="47" t="s">
        <v>56</v>
      </c>
      <c r="C52" s="296" t="s">
        <v>718</v>
      </c>
      <c r="D52" s="52" t="s">
        <v>681</v>
      </c>
      <c r="E52" s="46">
        <v>45980</v>
      </c>
      <c r="F52" s="113">
        <f t="shared" si="0"/>
        <v>400</v>
      </c>
      <c r="G52" s="114">
        <f>SUMIF(积分汇总!$B:$B,'副主任&amp;工艺组长及其他'!C52,积分汇总!$E:$E)</f>
        <v>0</v>
      </c>
      <c r="H52" s="114">
        <f>SUMIF(记录巡查问题条数汇总!$B:$B,'副主任&amp;工艺组长及其他'!C52,记录巡查问题条数汇总!$E:$E)</f>
        <v>0</v>
      </c>
      <c r="I52" s="115"/>
      <c r="J52" s="114">
        <f>SUMIF(安全质量事故!$B:$B,'副主任&amp;工艺组长及其他'!C52,安全质量事故!$G:$G)</f>
        <v>0</v>
      </c>
      <c r="K52" s="116">
        <v>1</v>
      </c>
      <c r="L52" s="117">
        <f>HLOOKUP(M52,$A$143:$H$144,2)</f>
        <v>400</v>
      </c>
      <c r="M52" s="118" t="s">
        <v>11</v>
      </c>
      <c r="N52" s="277"/>
      <c r="O52" s="277"/>
      <c r="P52" s="269"/>
      <c r="Q52" s="119"/>
    </row>
    <row r="53" spans="1:17" ht="19.149999999999999" customHeight="1">
      <c r="A53" s="47" t="s">
        <v>2116</v>
      </c>
      <c r="B53" s="47" t="s">
        <v>79</v>
      </c>
      <c r="C53" s="47" t="s">
        <v>1938</v>
      </c>
      <c r="D53" s="52" t="s">
        <v>1939</v>
      </c>
      <c r="E53" s="46">
        <v>46239</v>
      </c>
      <c r="F53" s="113">
        <f t="shared" si="0"/>
        <v>167.74193548387098</v>
      </c>
      <c r="G53" s="114">
        <f>SUMIF(积分汇总!$B:$B,'副主任&amp;工艺组长及其他'!C53,积分汇总!$E:$E)</f>
        <v>0</v>
      </c>
      <c r="H53" s="114">
        <f>SUMIF(记录巡查问题条数汇总!$B:$B,'副主任&amp;工艺组长及其他'!C53,记录巡查问题条数汇总!$E:$E)</f>
        <v>0</v>
      </c>
      <c r="I53" s="115"/>
      <c r="J53" s="114">
        <f>SUMIF(安全质量事故!$B:$B,'副主任&amp;工艺组长及其他'!C53,安全质量事故!$G:$G)</f>
        <v>0</v>
      </c>
      <c r="K53" s="210">
        <f>26/31</f>
        <v>0.83870967741935487</v>
      </c>
      <c r="L53" s="117">
        <f>HLOOKUP(M53,$A$143:$H$144,2)</f>
        <v>200</v>
      </c>
      <c r="M53" s="118" t="s">
        <v>15</v>
      </c>
      <c r="N53" s="277"/>
      <c r="O53" s="277"/>
      <c r="P53" s="269"/>
      <c r="Q53" s="119"/>
    </row>
    <row r="54" spans="1:17" ht="19.149999999999999" customHeight="1">
      <c r="A54" s="47" t="s">
        <v>2115</v>
      </c>
      <c r="B54" s="47" t="s">
        <v>56</v>
      </c>
      <c r="C54" s="47" t="s">
        <v>500</v>
      </c>
      <c r="D54" s="52" t="s">
        <v>454</v>
      </c>
      <c r="E54" s="46">
        <v>45840</v>
      </c>
      <c r="F54" s="113">
        <f t="shared" si="0"/>
        <v>400</v>
      </c>
      <c r="G54" s="114">
        <f>SUMIF(积分汇总!$B:$B,'副主任&amp;工艺组长及其他'!C54,积分汇总!$E:$E)</f>
        <v>0</v>
      </c>
      <c r="H54" s="114">
        <f>SUMIF(记录巡查问题条数汇总!$B:$B,'副主任&amp;工艺组长及其他'!C54,记录巡查问题条数汇总!$E:$E)</f>
        <v>0</v>
      </c>
      <c r="I54" s="115"/>
      <c r="J54" s="114">
        <f>SUMIF(安全质量事故!$B:$B,'副主任&amp;工艺组长及其他'!C54,安全质量事故!$G:$G)</f>
        <v>0</v>
      </c>
      <c r="K54" s="116">
        <v>1</v>
      </c>
      <c r="L54" s="117">
        <f>HLOOKUP(M54,$A$143:$H$144,2)</f>
        <v>400</v>
      </c>
      <c r="M54" s="118" t="s">
        <v>11</v>
      </c>
      <c r="N54" s="268" t="s">
        <v>2106</v>
      </c>
      <c r="O54" s="272">
        <v>55.3</v>
      </c>
      <c r="P54" s="268">
        <v>0.66300000000000003</v>
      </c>
      <c r="Q54" s="119"/>
    </row>
    <row r="55" spans="1:17" ht="19.149999999999999" customHeight="1">
      <c r="A55" s="47" t="s">
        <v>2115</v>
      </c>
      <c r="B55" s="47" t="s">
        <v>56</v>
      </c>
      <c r="C55" s="47" t="s">
        <v>559</v>
      </c>
      <c r="D55" s="52" t="s">
        <v>520</v>
      </c>
      <c r="E55" s="46">
        <v>45875</v>
      </c>
      <c r="F55" s="113">
        <f t="shared" si="0"/>
        <v>400</v>
      </c>
      <c r="G55" s="114">
        <f>SUMIF(积分汇总!$B:$B,'副主任&amp;工艺组长及其他'!C55,积分汇总!$E:$E)</f>
        <v>0</v>
      </c>
      <c r="H55" s="114">
        <f>SUMIF(记录巡查问题条数汇总!$B:$B,'副主任&amp;工艺组长及其他'!C55,记录巡查问题条数汇总!$E:$E)</f>
        <v>0</v>
      </c>
      <c r="I55" s="115"/>
      <c r="J55" s="114">
        <f>SUMIF(安全质量事故!$B:$B,'副主任&amp;工艺组长及其他'!C55,安全质量事故!$G:$G)</f>
        <v>0</v>
      </c>
      <c r="K55" s="116">
        <v>1</v>
      </c>
      <c r="L55" s="117">
        <f>HLOOKUP(M55,$A$143:$H$144,2)</f>
        <v>400</v>
      </c>
      <c r="M55" s="118" t="s">
        <v>11</v>
      </c>
      <c r="N55" s="269"/>
      <c r="O55" s="273"/>
      <c r="P55" s="269"/>
      <c r="Q55" s="119"/>
    </row>
    <row r="56" spans="1:17" ht="19.149999999999999" customHeight="1">
      <c r="A56" s="47" t="s">
        <v>2117</v>
      </c>
      <c r="B56" s="47" t="s">
        <v>56</v>
      </c>
      <c r="C56" s="47" t="s">
        <v>610</v>
      </c>
      <c r="D56" s="52" t="s">
        <v>587</v>
      </c>
      <c r="E56" s="46">
        <v>45903</v>
      </c>
      <c r="F56" s="113">
        <f t="shared" si="0"/>
        <v>400</v>
      </c>
      <c r="G56" s="114">
        <f>SUMIF(积分汇总!$B:$B,'副主任&amp;工艺组长及其他'!C56,积分汇总!$E:$E)</f>
        <v>0</v>
      </c>
      <c r="H56" s="114">
        <f>SUMIF(记录巡查问题条数汇总!$B:$B,'副主任&amp;工艺组长及其他'!C56,记录巡查问题条数汇总!$E:$E)</f>
        <v>0</v>
      </c>
      <c r="I56" s="115"/>
      <c r="J56" s="114">
        <f>SUMIF(安全质量事故!$B:$B,'副主任&amp;工艺组长及其他'!C56,安全质量事故!$G:$G)</f>
        <v>0</v>
      </c>
      <c r="K56" s="116">
        <v>1</v>
      </c>
      <c r="L56" s="117">
        <f>HLOOKUP(M56,$A$143:$H$144,2)</f>
        <v>400</v>
      </c>
      <c r="M56" s="118" t="s">
        <v>11</v>
      </c>
      <c r="N56" s="269"/>
      <c r="O56" s="273"/>
      <c r="P56" s="269"/>
      <c r="Q56" s="119"/>
    </row>
    <row r="57" spans="1:17" ht="19.149999999999999" customHeight="1">
      <c r="A57" s="47" t="s">
        <v>2115</v>
      </c>
      <c r="B57" s="47" t="s">
        <v>56</v>
      </c>
      <c r="C57" s="47" t="s">
        <v>660</v>
      </c>
      <c r="D57" s="52" t="s">
        <v>652</v>
      </c>
      <c r="E57" s="46">
        <v>45945</v>
      </c>
      <c r="F57" s="113">
        <f t="shared" si="0"/>
        <v>400</v>
      </c>
      <c r="G57" s="114">
        <f>SUMIF(积分汇总!$B:$B,'副主任&amp;工艺组长及其他'!C57,积分汇总!$E:$E)</f>
        <v>0</v>
      </c>
      <c r="H57" s="114">
        <f>SUMIF(记录巡查问题条数汇总!$B:$B,'副主任&amp;工艺组长及其他'!C57,记录巡查问题条数汇总!$E:$E)</f>
        <v>0</v>
      </c>
      <c r="I57" s="115"/>
      <c r="J57" s="114">
        <f>SUMIF(安全质量事故!$B:$B,'副主任&amp;工艺组长及其他'!C57,安全质量事故!$G:$G)</f>
        <v>0</v>
      </c>
      <c r="K57" s="116">
        <v>1</v>
      </c>
      <c r="L57" s="117">
        <f>HLOOKUP(M57,$A$143:$H$144,2)</f>
        <v>400</v>
      </c>
      <c r="M57" s="118" t="s">
        <v>11</v>
      </c>
      <c r="N57" s="269"/>
      <c r="O57" s="273"/>
      <c r="P57" s="269"/>
      <c r="Q57" s="119"/>
    </row>
    <row r="58" spans="1:17" ht="19.149999999999999" customHeight="1">
      <c r="A58" s="47" t="s">
        <v>2115</v>
      </c>
      <c r="B58" s="47" t="s">
        <v>56</v>
      </c>
      <c r="C58" s="47" t="s">
        <v>661</v>
      </c>
      <c r="D58" s="52" t="s">
        <v>654</v>
      </c>
      <c r="E58" s="46">
        <v>45945</v>
      </c>
      <c r="F58" s="113">
        <f t="shared" si="0"/>
        <v>400</v>
      </c>
      <c r="G58" s="114">
        <f>SUMIF(积分汇总!$B:$B,'副主任&amp;工艺组长及其他'!C58,积分汇总!$E:$E)</f>
        <v>0</v>
      </c>
      <c r="H58" s="114">
        <f>SUMIF(记录巡查问题条数汇总!$B:$B,'副主任&amp;工艺组长及其他'!C58,记录巡查问题条数汇总!$E:$E)</f>
        <v>0</v>
      </c>
      <c r="I58" s="115"/>
      <c r="J58" s="114">
        <f>SUMIF(安全质量事故!$B:$B,'副主任&amp;工艺组长及其他'!C58,安全质量事故!$G:$G)</f>
        <v>0</v>
      </c>
      <c r="K58" s="116">
        <v>1</v>
      </c>
      <c r="L58" s="117">
        <f>HLOOKUP(M58,$A$143:$H$144,2)</f>
        <v>400</v>
      </c>
      <c r="M58" s="118" t="s">
        <v>11</v>
      </c>
      <c r="N58" s="269"/>
      <c r="O58" s="273"/>
      <c r="P58" s="269"/>
      <c r="Q58" s="119"/>
    </row>
    <row r="59" spans="1:17" ht="19.149999999999999" customHeight="1">
      <c r="A59" s="47" t="s">
        <v>2117</v>
      </c>
      <c r="B59" s="47" t="s">
        <v>56</v>
      </c>
      <c r="C59" s="47" t="s">
        <v>662</v>
      </c>
      <c r="D59" s="52" t="s">
        <v>655</v>
      </c>
      <c r="E59" s="46">
        <v>45950</v>
      </c>
      <c r="F59" s="113">
        <f t="shared" si="0"/>
        <v>400</v>
      </c>
      <c r="G59" s="114">
        <f>SUMIF(积分汇总!$B:$B,'副主任&amp;工艺组长及其他'!C59,积分汇总!$E:$E)</f>
        <v>0</v>
      </c>
      <c r="H59" s="114">
        <f>SUMIF(记录巡查问题条数汇总!$B:$B,'副主任&amp;工艺组长及其他'!C59,记录巡查问题条数汇总!$E:$E)</f>
        <v>0</v>
      </c>
      <c r="I59" s="115"/>
      <c r="J59" s="114">
        <f>SUMIF(安全质量事故!$B:$B,'副主任&amp;工艺组长及其他'!C59,安全质量事故!$G:$G)</f>
        <v>0</v>
      </c>
      <c r="K59" s="116">
        <v>1</v>
      </c>
      <c r="L59" s="117">
        <f>HLOOKUP(M59,$A$143:$H$144,2)</f>
        <v>400</v>
      </c>
      <c r="M59" s="118" t="s">
        <v>11</v>
      </c>
      <c r="N59" s="269"/>
      <c r="O59" s="273"/>
      <c r="P59" s="269"/>
      <c r="Q59" s="119"/>
    </row>
    <row r="60" spans="1:17" ht="19.149999999999999" customHeight="1">
      <c r="A60" s="47" t="s">
        <v>2115</v>
      </c>
      <c r="B60" s="47" t="s">
        <v>56</v>
      </c>
      <c r="C60" s="47" t="s">
        <v>720</v>
      </c>
      <c r="D60" s="52" t="s">
        <v>706</v>
      </c>
      <c r="E60" s="46">
        <v>45957</v>
      </c>
      <c r="F60" s="113">
        <f t="shared" si="0"/>
        <v>400</v>
      </c>
      <c r="G60" s="114">
        <f>SUMIF(积分汇总!$B:$B,'副主任&amp;工艺组长及其他'!C60,积分汇总!$E:$E)</f>
        <v>0</v>
      </c>
      <c r="H60" s="114">
        <f>SUMIF(记录巡查问题条数汇总!$B:$B,'副主任&amp;工艺组长及其他'!C60,记录巡查问题条数汇总!$E:$E)</f>
        <v>0</v>
      </c>
      <c r="I60" s="115"/>
      <c r="J60" s="114">
        <f>SUMIF(安全质量事故!$B:$B,'副主任&amp;工艺组长及其他'!C60,安全质量事故!$G:$G)</f>
        <v>0</v>
      </c>
      <c r="K60" s="116">
        <v>1</v>
      </c>
      <c r="L60" s="117">
        <f>HLOOKUP(M60,$A$143:$H$144,2)</f>
        <v>400</v>
      </c>
      <c r="M60" s="118" t="s">
        <v>11</v>
      </c>
      <c r="N60" s="269"/>
      <c r="O60" s="273"/>
      <c r="P60" s="269"/>
      <c r="Q60" s="119"/>
    </row>
    <row r="61" spans="1:17" ht="19.149999999999999" customHeight="1">
      <c r="A61" s="47" t="s">
        <v>2115</v>
      </c>
      <c r="B61" s="47" t="s">
        <v>56</v>
      </c>
      <c r="C61" s="47" t="s">
        <v>611</v>
      </c>
      <c r="D61" s="52" t="s">
        <v>600</v>
      </c>
      <c r="E61" s="46">
        <v>45910</v>
      </c>
      <c r="F61" s="113">
        <f t="shared" si="0"/>
        <v>400</v>
      </c>
      <c r="G61" s="114">
        <f>SUMIF(积分汇总!$B:$B,'副主任&amp;工艺组长及其他'!C61,积分汇总!$E:$E)</f>
        <v>0</v>
      </c>
      <c r="H61" s="114">
        <f>SUMIF(记录巡查问题条数汇总!$B:$B,'副主任&amp;工艺组长及其他'!C61,记录巡查问题条数汇总!$E:$E)</f>
        <v>0</v>
      </c>
      <c r="I61" s="115"/>
      <c r="J61" s="114">
        <f>SUMIF(安全质量事故!$B:$B,'副主任&amp;工艺组长及其他'!C61,安全质量事故!$G:$G)</f>
        <v>0</v>
      </c>
      <c r="K61" s="116">
        <v>1</v>
      </c>
      <c r="L61" s="117">
        <f>HLOOKUP(M61,$A$143:$H$144,2)</f>
        <v>400</v>
      </c>
      <c r="M61" s="118" t="s">
        <v>11</v>
      </c>
      <c r="N61" s="269"/>
      <c r="O61" s="273"/>
      <c r="P61" s="269"/>
      <c r="Q61" s="119"/>
    </row>
    <row r="62" spans="1:17" ht="19.149999999999999" customHeight="1">
      <c r="A62" s="47" t="s">
        <v>2115</v>
      </c>
      <c r="B62" s="47" t="s">
        <v>56</v>
      </c>
      <c r="C62" s="47" t="s">
        <v>118</v>
      </c>
      <c r="D62" s="52" t="s">
        <v>1560</v>
      </c>
      <c r="E62" s="46">
        <v>45217</v>
      </c>
      <c r="F62" s="113">
        <f t="shared" si="0"/>
        <v>600</v>
      </c>
      <c r="G62" s="114">
        <f>SUMIF(积分汇总!$B:$B,'副主任&amp;工艺组长及其他'!C62,积分汇总!$E:$E)</f>
        <v>0</v>
      </c>
      <c r="H62" s="114">
        <f>SUMIF(记录巡查问题条数汇总!$B:$B,'副主任&amp;工艺组长及其他'!C62,记录巡查问题条数汇总!$E:$E)</f>
        <v>0</v>
      </c>
      <c r="I62" s="115"/>
      <c r="J62" s="114">
        <f>SUMIF(安全质量事故!$B:$B,'副主任&amp;工艺组长及其他'!C62,安全质量事故!$G:$G)</f>
        <v>0</v>
      </c>
      <c r="K62" s="116">
        <v>1</v>
      </c>
      <c r="L62" s="117">
        <f>HLOOKUP(M62,$A$143:$H$144,2)</f>
        <v>600</v>
      </c>
      <c r="M62" s="221" t="s">
        <v>12</v>
      </c>
      <c r="N62" s="269"/>
      <c r="O62" s="273"/>
      <c r="P62" s="269"/>
      <c r="Q62" s="119"/>
    </row>
    <row r="63" spans="1:17" ht="19.149999999999999" customHeight="1">
      <c r="A63" s="47" t="s">
        <v>2115</v>
      </c>
      <c r="B63" s="47" t="s">
        <v>1923</v>
      </c>
      <c r="C63" s="47" t="s">
        <v>1941</v>
      </c>
      <c r="D63" s="52" t="s">
        <v>222</v>
      </c>
      <c r="E63" s="46">
        <v>44446</v>
      </c>
      <c r="F63" s="113">
        <f t="shared" si="0"/>
        <v>400</v>
      </c>
      <c r="G63" s="114">
        <f>SUMIF(积分汇总!$B:$B,'副主任&amp;工艺组长及其他'!C63,积分汇总!$E:$E)</f>
        <v>0</v>
      </c>
      <c r="H63" s="114">
        <f>SUMIF(记录巡查问题条数汇总!$B:$B,'副主任&amp;工艺组长及其他'!C63,记录巡查问题条数汇总!$E:$E)</f>
        <v>0</v>
      </c>
      <c r="I63" s="115"/>
      <c r="J63" s="114">
        <f>SUMIF(安全质量事故!$B:$B,'副主任&amp;工艺组长及其他'!C63,安全质量事故!$G:$G)</f>
        <v>0</v>
      </c>
      <c r="K63" s="116">
        <v>1</v>
      </c>
      <c r="L63" s="117">
        <f>HLOOKUP(M63,$A$143:$H$144,2)</f>
        <v>400</v>
      </c>
      <c r="M63" s="118" t="s">
        <v>11</v>
      </c>
      <c r="N63" s="269"/>
      <c r="O63" s="273"/>
      <c r="P63" s="269"/>
      <c r="Q63" s="119"/>
    </row>
    <row r="64" spans="1:17" ht="19.149999999999999" customHeight="1">
      <c r="A64" s="47" t="s">
        <v>2115</v>
      </c>
      <c r="B64" s="47" t="s">
        <v>1923</v>
      </c>
      <c r="C64" s="47" t="s">
        <v>279</v>
      </c>
      <c r="D64" s="52" t="s">
        <v>268</v>
      </c>
      <c r="E64" s="46">
        <v>45539</v>
      </c>
      <c r="F64" s="113">
        <f t="shared" si="0"/>
        <v>200</v>
      </c>
      <c r="G64" s="114">
        <f>SUMIF(积分汇总!$B:$B,'副主任&amp;工艺组长及其他'!C64,积分汇总!$E:$E)</f>
        <v>0</v>
      </c>
      <c r="H64" s="114">
        <f>SUMIF(记录巡查问题条数汇总!$B:$B,'副主任&amp;工艺组长及其他'!C64,记录巡查问题条数汇总!$E:$E)</f>
        <v>0</v>
      </c>
      <c r="I64" s="115"/>
      <c r="J64" s="114">
        <f>SUMIF(安全质量事故!$B:$B,'副主任&amp;工艺组长及其他'!C64,安全质量事故!$G:$G)</f>
        <v>0</v>
      </c>
      <c r="K64" s="116">
        <v>1</v>
      </c>
      <c r="L64" s="117">
        <f>HLOOKUP(M64,$A$143:$H$144,2)</f>
        <v>200</v>
      </c>
      <c r="M64" s="221" t="s">
        <v>15</v>
      </c>
      <c r="N64" s="269"/>
      <c r="O64" s="273"/>
      <c r="P64" s="269"/>
      <c r="Q64" s="119"/>
    </row>
    <row r="65" spans="1:17" ht="19.5" customHeight="1">
      <c r="A65" s="47" t="s">
        <v>2115</v>
      </c>
      <c r="B65" s="47" t="s">
        <v>1377</v>
      </c>
      <c r="C65" s="47" t="s">
        <v>1375</v>
      </c>
      <c r="D65" s="47" t="s">
        <v>1376</v>
      </c>
      <c r="E65" s="48">
        <v>46148</v>
      </c>
      <c r="F65" s="113">
        <f t="shared" si="0"/>
        <v>400</v>
      </c>
      <c r="G65" s="114">
        <f>SUMIF(积分汇总!$B:$B,'副主任&amp;工艺组长及其他'!C65,积分汇总!$E:$E)</f>
        <v>0</v>
      </c>
      <c r="H65" s="114">
        <f>SUMIF(记录巡查问题条数汇总!$B:$B,'副主任&amp;工艺组长及其他'!C65,记录巡查问题条数汇总!$E:$E)</f>
        <v>0</v>
      </c>
      <c r="I65" s="115"/>
      <c r="J65" s="114">
        <f>SUMIF(安全质量事故!$B:$B,'副主任&amp;工艺组长及其他'!C65,安全质量事故!$G:$G)</f>
        <v>0</v>
      </c>
      <c r="K65" s="116">
        <v>1</v>
      </c>
      <c r="L65" s="117">
        <f>HLOOKUP(M65,$A$143:$H$144,2)</f>
        <v>400</v>
      </c>
      <c r="M65" s="118" t="s">
        <v>11</v>
      </c>
      <c r="N65" s="269"/>
      <c r="O65" s="273"/>
      <c r="P65" s="269"/>
      <c r="Q65" s="119"/>
    </row>
    <row r="66" spans="1:17" ht="19.149999999999999" customHeight="1">
      <c r="A66" s="47" t="s">
        <v>2117</v>
      </c>
      <c r="B66" s="47" t="s">
        <v>1923</v>
      </c>
      <c r="C66" s="47" t="s">
        <v>1942</v>
      </c>
      <c r="D66" s="52" t="s">
        <v>1943</v>
      </c>
      <c r="E66" s="46">
        <v>46253</v>
      </c>
      <c r="F66" s="113">
        <f t="shared" si="0"/>
        <v>77.41935483870968</v>
      </c>
      <c r="G66" s="114">
        <f>SUMIF(积分汇总!$B:$B,'副主任&amp;工艺组长及其他'!C66,积分汇总!$E:$E)</f>
        <v>0</v>
      </c>
      <c r="H66" s="114">
        <f>SUMIF(记录巡查问题条数汇总!$B:$B,'副主任&amp;工艺组长及其他'!C66,记录巡查问题条数汇总!$E:$E)</f>
        <v>0</v>
      </c>
      <c r="I66" s="115"/>
      <c r="J66" s="114">
        <f>SUMIF(安全质量事故!$B:$B,'副主任&amp;工艺组长及其他'!C66,安全质量事故!$G:$G)</f>
        <v>0</v>
      </c>
      <c r="K66" s="210">
        <f>12/31</f>
        <v>0.38709677419354838</v>
      </c>
      <c r="L66" s="117">
        <f>HLOOKUP(M66,$A$143:$H$144,2)</f>
        <v>200</v>
      </c>
      <c r="M66" s="118" t="s">
        <v>15</v>
      </c>
      <c r="N66" s="269"/>
      <c r="O66" s="273"/>
      <c r="P66" s="269"/>
      <c r="Q66" s="119"/>
    </row>
    <row r="67" spans="1:17" ht="19.149999999999999" customHeight="1">
      <c r="A67" s="47" t="s">
        <v>2115</v>
      </c>
      <c r="B67" s="47" t="s">
        <v>79</v>
      </c>
      <c r="C67" s="47" t="s">
        <v>332</v>
      </c>
      <c r="D67" s="52" t="s">
        <v>19</v>
      </c>
      <c r="E67" s="46">
        <v>44025</v>
      </c>
      <c r="F67" s="113">
        <f t="shared" ref="F67:F121" si="2">(L67*K67+G67+H67+I67-J67)</f>
        <v>400</v>
      </c>
      <c r="G67" s="114">
        <f>SUMIF(积分汇总!$B:$B,'副主任&amp;工艺组长及其他'!C67,积分汇总!$E:$E)</f>
        <v>0</v>
      </c>
      <c r="H67" s="114">
        <f>SUMIF(记录巡查问题条数汇总!$B:$B,'副主任&amp;工艺组长及其他'!C67,记录巡查问题条数汇总!$E:$E)</f>
        <v>0</v>
      </c>
      <c r="I67" s="115"/>
      <c r="J67" s="114">
        <f>SUMIF(安全质量事故!$B:$B,'副主任&amp;工艺组长及其他'!C67,安全质量事故!$G:$G)</f>
        <v>0</v>
      </c>
      <c r="K67" s="116">
        <v>1</v>
      </c>
      <c r="L67" s="117">
        <f>HLOOKUP(M67,$A$143:$H$144,2)</f>
        <v>400</v>
      </c>
      <c r="M67" s="118" t="s">
        <v>11</v>
      </c>
      <c r="N67" s="269"/>
      <c r="O67" s="273"/>
      <c r="P67" s="269"/>
      <c r="Q67" s="119"/>
    </row>
    <row r="68" spans="1:17" ht="19.149999999999999" customHeight="1">
      <c r="A68" s="47" t="s">
        <v>2115</v>
      </c>
      <c r="B68" s="47" t="s">
        <v>185</v>
      </c>
      <c r="C68" s="47" t="s">
        <v>609</v>
      </c>
      <c r="D68" s="52" t="s">
        <v>581</v>
      </c>
      <c r="E68" s="46" t="s">
        <v>1038</v>
      </c>
      <c r="F68" s="113">
        <f t="shared" si="2"/>
        <v>400</v>
      </c>
      <c r="G68" s="114">
        <f>SUMIF(积分汇总!$B:$B,'副主任&amp;工艺组长及其他'!C68,积分汇总!$E:$E)</f>
        <v>0</v>
      </c>
      <c r="H68" s="114">
        <f>SUMIF(记录巡查问题条数汇总!$B:$B,'副主任&amp;工艺组长及其他'!C68,记录巡查问题条数汇总!$E:$E)</f>
        <v>0</v>
      </c>
      <c r="I68" s="115"/>
      <c r="J68" s="114">
        <f>SUMIF(安全质量事故!$B:$B,'副主任&amp;工艺组长及其他'!C68,安全质量事故!$G:$G)</f>
        <v>0</v>
      </c>
      <c r="K68" s="116">
        <v>1</v>
      </c>
      <c r="L68" s="117">
        <f>HLOOKUP(M68,$A$143:$H$144,2)</f>
        <v>400</v>
      </c>
      <c r="M68" s="118" t="s">
        <v>11</v>
      </c>
      <c r="N68" s="269"/>
      <c r="O68" s="273"/>
      <c r="P68" s="269"/>
      <c r="Q68" s="119"/>
    </row>
    <row r="69" spans="1:17" ht="19.149999999999999" customHeight="1">
      <c r="A69" s="47" t="s">
        <v>2115</v>
      </c>
      <c r="B69" s="47" t="s">
        <v>185</v>
      </c>
      <c r="C69" s="47" t="s">
        <v>944</v>
      </c>
      <c r="D69" s="52" t="s">
        <v>882</v>
      </c>
      <c r="E69" s="46">
        <v>43661</v>
      </c>
      <c r="F69" s="113">
        <f t="shared" si="2"/>
        <v>400</v>
      </c>
      <c r="G69" s="114">
        <f>SUMIF(积分汇总!$B:$B,'副主任&amp;工艺组长及其他'!C69,积分汇总!$E:$E)</f>
        <v>0</v>
      </c>
      <c r="H69" s="114">
        <f>SUMIF(记录巡查问题条数汇总!$B:$B,'副主任&amp;工艺组长及其他'!C69,记录巡查问题条数汇总!$E:$E)</f>
        <v>0</v>
      </c>
      <c r="I69" s="115"/>
      <c r="J69" s="114">
        <f>SUMIF(安全质量事故!$B:$B,'副主任&amp;工艺组长及其他'!C69,安全质量事故!$G:$G)</f>
        <v>0</v>
      </c>
      <c r="K69" s="116">
        <v>1</v>
      </c>
      <c r="L69" s="117">
        <f>HLOOKUP(M69,$A$143:$H$144,2)</f>
        <v>400</v>
      </c>
      <c r="M69" s="118" t="s">
        <v>11</v>
      </c>
      <c r="N69" s="269"/>
      <c r="O69" s="273"/>
      <c r="P69" s="269"/>
      <c r="Q69" s="119"/>
    </row>
    <row r="70" spans="1:17" ht="19.149999999999999" customHeight="1">
      <c r="A70" s="47" t="s">
        <v>2117</v>
      </c>
      <c r="B70" s="47" t="s">
        <v>185</v>
      </c>
      <c r="C70" s="47" t="s">
        <v>264</v>
      </c>
      <c r="D70" s="52" t="s">
        <v>260</v>
      </c>
      <c r="E70" s="46">
        <v>45525</v>
      </c>
      <c r="F70" s="113">
        <f t="shared" si="2"/>
        <v>400</v>
      </c>
      <c r="G70" s="114">
        <f>SUMIF(积分汇总!$B:$B,'副主任&amp;工艺组长及其他'!C70,积分汇总!$E:$E)</f>
        <v>0</v>
      </c>
      <c r="H70" s="114">
        <f>SUMIF(记录巡查问题条数汇总!$B:$B,'副主任&amp;工艺组长及其他'!C70,记录巡查问题条数汇总!$E:$E)</f>
        <v>0</v>
      </c>
      <c r="I70" s="115"/>
      <c r="J70" s="114">
        <f>SUMIF(安全质量事故!$B:$B,'副主任&amp;工艺组长及其他'!C70,安全质量事故!$G:$G)</f>
        <v>0</v>
      </c>
      <c r="K70" s="116">
        <v>1</v>
      </c>
      <c r="L70" s="117">
        <f>HLOOKUP(M70,$A$143:$H$144,2)</f>
        <v>400</v>
      </c>
      <c r="M70" s="118" t="s">
        <v>11</v>
      </c>
      <c r="N70" s="269"/>
      <c r="O70" s="273"/>
      <c r="P70" s="269"/>
      <c r="Q70" s="119"/>
    </row>
    <row r="71" spans="1:17" ht="19.149999999999999" customHeight="1">
      <c r="A71" s="47" t="s">
        <v>2117</v>
      </c>
      <c r="B71" s="47" t="s">
        <v>185</v>
      </c>
      <c r="C71" s="47" t="s">
        <v>549</v>
      </c>
      <c r="D71" s="52" t="s">
        <v>518</v>
      </c>
      <c r="E71" s="46">
        <v>45138</v>
      </c>
      <c r="F71" s="113">
        <f t="shared" si="2"/>
        <v>400</v>
      </c>
      <c r="G71" s="114">
        <f>SUMIF(积分汇总!$B:$B,'副主任&amp;工艺组长及其他'!C71,积分汇总!$E:$E)</f>
        <v>0</v>
      </c>
      <c r="H71" s="114">
        <f>SUMIF(记录巡查问题条数汇总!$B:$B,'副主任&amp;工艺组长及其他'!C71,记录巡查问题条数汇总!$E:$E)</f>
        <v>0</v>
      </c>
      <c r="I71" s="115"/>
      <c r="J71" s="114">
        <f>SUMIF(安全质量事故!$B:$B,'副主任&amp;工艺组长及其他'!C71,安全质量事故!$G:$G)</f>
        <v>0</v>
      </c>
      <c r="K71" s="116">
        <v>1</v>
      </c>
      <c r="L71" s="117">
        <f>HLOOKUP(M71,$A$143:$H$144,2)</f>
        <v>400</v>
      </c>
      <c r="M71" s="118" t="s">
        <v>11</v>
      </c>
      <c r="N71" s="269"/>
      <c r="O71" s="273"/>
      <c r="P71" s="269"/>
      <c r="Q71" s="119"/>
    </row>
    <row r="72" spans="1:17" ht="19.5" customHeight="1">
      <c r="A72" s="47" t="s">
        <v>2117</v>
      </c>
      <c r="B72" s="47" t="s">
        <v>79</v>
      </c>
      <c r="C72" s="45" t="s">
        <v>1475</v>
      </c>
      <c r="D72" s="52" t="s">
        <v>1476</v>
      </c>
      <c r="E72" s="46">
        <v>46160</v>
      </c>
      <c r="F72" s="113">
        <f t="shared" si="2"/>
        <v>400</v>
      </c>
      <c r="G72" s="114">
        <f>SUMIF(积分汇总!$B:$B,'副主任&amp;工艺组长及其他'!C72,积分汇总!$E:$E)</f>
        <v>0</v>
      </c>
      <c r="H72" s="114">
        <f>SUMIF(记录巡查问题条数汇总!$B:$B,'副主任&amp;工艺组长及其他'!C72,记录巡查问题条数汇总!$E:$E)</f>
        <v>0</v>
      </c>
      <c r="I72" s="115"/>
      <c r="J72" s="114">
        <f>SUMIF(安全质量事故!$B:$B,'副主任&amp;工艺组长及其他'!C72,安全质量事故!$G:$G)</f>
        <v>0</v>
      </c>
      <c r="K72" s="116">
        <v>1</v>
      </c>
      <c r="L72" s="117">
        <f>HLOOKUP(M72,$A$143:$H$144,2)</f>
        <v>400</v>
      </c>
      <c r="M72" s="118" t="s">
        <v>11</v>
      </c>
      <c r="N72" s="269"/>
      <c r="O72" s="273"/>
      <c r="P72" s="269"/>
      <c r="Q72" s="119"/>
    </row>
    <row r="73" spans="1:17" ht="19.5" customHeight="1">
      <c r="A73" s="47" t="s">
        <v>2115</v>
      </c>
      <c r="B73" s="47" t="s">
        <v>79</v>
      </c>
      <c r="C73" s="45" t="s">
        <v>1944</v>
      </c>
      <c r="D73" s="52" t="s">
        <v>1945</v>
      </c>
      <c r="E73" s="46">
        <v>46225</v>
      </c>
      <c r="F73" s="113">
        <f t="shared" si="2"/>
        <v>200</v>
      </c>
      <c r="G73" s="114">
        <f>SUMIF(积分汇总!$B:$B,'副主任&amp;工艺组长及其他'!C73,积分汇总!$E:$E)</f>
        <v>0</v>
      </c>
      <c r="H73" s="114">
        <f>SUMIF(记录巡查问题条数汇总!$B:$B,'副主任&amp;工艺组长及其他'!C73,记录巡查问题条数汇总!$E:$E)</f>
        <v>0</v>
      </c>
      <c r="I73" s="115"/>
      <c r="J73" s="114">
        <f>SUMIF(安全质量事故!$B:$B,'副主任&amp;工艺组长及其他'!C73,安全质量事故!$G:$G)</f>
        <v>0</v>
      </c>
      <c r="K73" s="116">
        <v>1</v>
      </c>
      <c r="L73" s="117">
        <f>HLOOKUP(M73,$A$143:$H$144,2)</f>
        <v>200</v>
      </c>
      <c r="M73" s="118" t="s">
        <v>15</v>
      </c>
      <c r="N73" s="269"/>
      <c r="O73" s="273"/>
      <c r="P73" s="269"/>
      <c r="Q73" s="119"/>
    </row>
    <row r="74" spans="1:17" ht="19.5" customHeight="1">
      <c r="A74" s="47" t="s">
        <v>2115</v>
      </c>
      <c r="B74" s="47" t="s">
        <v>79</v>
      </c>
      <c r="C74" s="45" t="s">
        <v>1946</v>
      </c>
      <c r="D74" s="52" t="s">
        <v>1947</v>
      </c>
      <c r="E74" s="46">
        <v>46232</v>
      </c>
      <c r="F74" s="113">
        <f t="shared" si="2"/>
        <v>200</v>
      </c>
      <c r="G74" s="114">
        <f>SUMIF(积分汇总!$B:$B,'副主任&amp;工艺组长及其他'!C74,积分汇总!$E:$E)</f>
        <v>0</v>
      </c>
      <c r="H74" s="114">
        <f>SUMIF(记录巡查问题条数汇总!$B:$B,'副主任&amp;工艺组长及其他'!C74,记录巡查问题条数汇总!$E:$E)</f>
        <v>0</v>
      </c>
      <c r="I74" s="115"/>
      <c r="J74" s="114">
        <f>SUMIF(安全质量事故!$B:$B,'副主任&amp;工艺组长及其他'!C74,安全质量事故!$G:$G)</f>
        <v>0</v>
      </c>
      <c r="K74" s="116">
        <v>1</v>
      </c>
      <c r="L74" s="117">
        <f>HLOOKUP(M74,$A$143:$H$144,2)</f>
        <v>200</v>
      </c>
      <c r="M74" s="118" t="s">
        <v>15</v>
      </c>
      <c r="N74" s="269"/>
      <c r="O74" s="273"/>
      <c r="P74" s="269"/>
      <c r="Q74" s="119"/>
    </row>
    <row r="75" spans="1:17" ht="19.5" customHeight="1">
      <c r="A75" s="47" t="s">
        <v>2119</v>
      </c>
      <c r="B75" s="47" t="s">
        <v>1670</v>
      </c>
      <c r="C75" s="296" t="s">
        <v>1671</v>
      </c>
      <c r="D75" s="73" t="s">
        <v>1381</v>
      </c>
      <c r="E75" s="78">
        <v>46134</v>
      </c>
      <c r="F75" s="113">
        <f t="shared" si="2"/>
        <v>400</v>
      </c>
      <c r="G75" s="114">
        <f>SUMIF(积分汇总!$B:$B,'副主任&amp;工艺组长及其他'!C75,积分汇总!$E:$E)</f>
        <v>0</v>
      </c>
      <c r="H75" s="114">
        <f>SUMIF(记录巡查问题条数汇总!$B:$B,'副主任&amp;工艺组长及其他'!C75,记录巡查问题条数汇总!$E:$E)</f>
        <v>0</v>
      </c>
      <c r="I75" s="115"/>
      <c r="J75" s="114">
        <f>SUMIF(安全质量事故!$B:$B,'副主任&amp;工艺组长及其他'!C75,安全质量事故!$G:$G)</f>
        <v>0</v>
      </c>
      <c r="K75" s="116">
        <v>1</v>
      </c>
      <c r="L75" s="117">
        <f>HLOOKUP(M75,$A$143:$H$144,2)</f>
        <v>400</v>
      </c>
      <c r="M75" s="118" t="s">
        <v>11</v>
      </c>
      <c r="N75" s="269"/>
      <c r="O75" s="273"/>
      <c r="P75" s="269"/>
      <c r="Q75" s="123" t="s">
        <v>1672</v>
      </c>
    </row>
    <row r="76" spans="1:17" ht="19.5" customHeight="1">
      <c r="A76" s="47" t="s">
        <v>2119</v>
      </c>
      <c r="B76" s="47" t="s">
        <v>1377</v>
      </c>
      <c r="C76" s="45" t="s">
        <v>1373</v>
      </c>
      <c r="D76" s="52" t="s">
        <v>1374</v>
      </c>
      <c r="E76" s="48">
        <v>46134</v>
      </c>
      <c r="F76" s="113">
        <f t="shared" si="2"/>
        <v>400</v>
      </c>
      <c r="G76" s="114">
        <f>SUMIF(积分汇总!$B:$B,'副主任&amp;工艺组长及其他'!C76,积分汇总!$E:$E)</f>
        <v>0</v>
      </c>
      <c r="H76" s="114">
        <f>SUMIF(记录巡查问题条数汇总!$B:$B,'副主任&amp;工艺组长及其他'!C76,记录巡查问题条数汇总!$E:$E)</f>
        <v>0</v>
      </c>
      <c r="I76" s="115"/>
      <c r="J76" s="114">
        <f>SUMIF(安全质量事故!$B:$B,'副主任&amp;工艺组长及其他'!C76,安全质量事故!$G:$G)</f>
        <v>0</v>
      </c>
      <c r="K76" s="116">
        <v>1</v>
      </c>
      <c r="L76" s="117">
        <f>HLOOKUP(M76,$A$143:$H$144,2)</f>
        <v>400</v>
      </c>
      <c r="M76" s="118" t="s">
        <v>11</v>
      </c>
      <c r="N76" s="125"/>
      <c r="O76" s="126"/>
      <c r="P76" s="125"/>
      <c r="Q76" s="119"/>
    </row>
    <row r="77" spans="1:17" ht="19.5" customHeight="1">
      <c r="A77" s="47" t="s">
        <v>2119</v>
      </c>
      <c r="B77" s="47" t="s">
        <v>1923</v>
      </c>
      <c r="C77" s="47" t="s">
        <v>1948</v>
      </c>
      <c r="D77" s="47" t="s">
        <v>1949</v>
      </c>
      <c r="E77" s="48">
        <v>46246</v>
      </c>
      <c r="F77" s="113">
        <f t="shared" si="2"/>
        <v>122.58064516129032</v>
      </c>
      <c r="G77" s="114">
        <f>SUMIF(积分汇总!$B:$B,'副主任&amp;工艺组长及其他'!C77,积分汇总!$E:$E)</f>
        <v>0</v>
      </c>
      <c r="H77" s="114">
        <f>SUMIF(记录巡查问题条数汇总!$B:$B,'副主任&amp;工艺组长及其他'!C77,记录巡查问题条数汇总!$E:$E)</f>
        <v>0</v>
      </c>
      <c r="I77" s="115"/>
      <c r="J77" s="114">
        <f>SUMIF(安全质量事故!$B:$B,'副主任&amp;工艺组长及其他'!C77,安全质量事故!$G:$G)</f>
        <v>0</v>
      </c>
      <c r="K77" s="210">
        <f>19/31</f>
        <v>0.61290322580645162</v>
      </c>
      <c r="L77" s="117">
        <f>HLOOKUP(M77,$A$143:$H$144,2)</f>
        <v>200</v>
      </c>
      <c r="M77" s="118" t="s">
        <v>15</v>
      </c>
      <c r="N77" s="125"/>
      <c r="O77" s="126"/>
      <c r="P77" s="125"/>
      <c r="Q77" s="119"/>
    </row>
    <row r="78" spans="1:17" ht="19.5" customHeight="1">
      <c r="A78" s="47" t="s">
        <v>2119</v>
      </c>
      <c r="B78" s="47" t="s">
        <v>13</v>
      </c>
      <c r="C78" s="47" t="s">
        <v>1950</v>
      </c>
      <c r="D78" s="47" t="s">
        <v>1951</v>
      </c>
      <c r="E78" s="48">
        <v>46253</v>
      </c>
      <c r="F78" s="113">
        <f t="shared" si="2"/>
        <v>77.41935483870968</v>
      </c>
      <c r="G78" s="114">
        <f>SUMIF(积分汇总!$B:$B,'副主任&amp;工艺组长及其他'!C78,积分汇总!$E:$E)</f>
        <v>0</v>
      </c>
      <c r="H78" s="114">
        <f>SUMIF(记录巡查问题条数汇总!$B:$B,'副主任&amp;工艺组长及其他'!C78,记录巡查问题条数汇总!$E:$E)</f>
        <v>0</v>
      </c>
      <c r="I78" s="115"/>
      <c r="J78" s="114">
        <f>SUMIF(安全质量事故!$B:$B,'副主任&amp;工艺组长及其他'!C78,安全质量事故!$G:$G)</f>
        <v>0</v>
      </c>
      <c r="K78" s="210">
        <f>12/31</f>
        <v>0.38709677419354838</v>
      </c>
      <c r="L78" s="117">
        <f>HLOOKUP(M78,$A$143:$H$144,2)</f>
        <v>200</v>
      </c>
      <c r="M78" s="118" t="s">
        <v>15</v>
      </c>
      <c r="N78" s="125"/>
      <c r="O78" s="126"/>
      <c r="P78" s="125"/>
      <c r="Q78" s="119"/>
    </row>
    <row r="79" spans="1:17" ht="19.5" customHeight="1">
      <c r="A79" s="47" t="s">
        <v>2119</v>
      </c>
      <c r="B79" s="45" t="s">
        <v>81</v>
      </c>
      <c r="C79" s="46" t="s">
        <v>1482</v>
      </c>
      <c r="D79" s="47" t="s">
        <v>1483</v>
      </c>
      <c r="E79" s="48">
        <v>46176</v>
      </c>
      <c r="F79" s="113">
        <f t="shared" si="2"/>
        <v>400</v>
      </c>
      <c r="G79" s="114">
        <f>SUMIF(积分汇总!$B:$B,'副主任&amp;工艺组长及其他'!C79,积分汇总!$E:$E)</f>
        <v>0</v>
      </c>
      <c r="H79" s="114">
        <f>SUMIF(记录巡查问题条数汇总!$B:$B,'副主任&amp;工艺组长及其他'!C79,记录巡查问题条数汇总!$E:$E)</f>
        <v>0</v>
      </c>
      <c r="I79" s="115"/>
      <c r="J79" s="114">
        <f>SUMIF(安全质量事故!$B:$B,'副主任&amp;工艺组长及其他'!C79,安全质量事故!$G:$G)</f>
        <v>0</v>
      </c>
      <c r="K79" s="116">
        <v>1</v>
      </c>
      <c r="L79" s="117">
        <f>HLOOKUP(M79,$A$143:$H$144,2)</f>
        <v>400</v>
      </c>
      <c r="M79" s="118" t="s">
        <v>11</v>
      </c>
      <c r="N79" s="125"/>
      <c r="O79" s="126"/>
      <c r="P79" s="125"/>
      <c r="Q79" s="119"/>
    </row>
    <row r="80" spans="1:17" ht="19.5" customHeight="1">
      <c r="A80" s="47" t="s">
        <v>2119</v>
      </c>
      <c r="B80" s="45" t="s">
        <v>81</v>
      </c>
      <c r="C80" s="46" t="s">
        <v>1882</v>
      </c>
      <c r="D80" s="47" t="s">
        <v>1883</v>
      </c>
      <c r="E80" s="48">
        <v>46208</v>
      </c>
      <c r="F80" s="113">
        <f t="shared" si="2"/>
        <v>200</v>
      </c>
      <c r="G80" s="114">
        <f>SUMIF(积分汇总!$B:$B,'副主任&amp;工艺组长及其他'!C80,积分汇总!$E:$E)</f>
        <v>0</v>
      </c>
      <c r="H80" s="114">
        <f>SUMIF(记录巡查问题条数汇总!$B:$B,'副主任&amp;工艺组长及其他'!C80,记录巡查问题条数汇总!$E:$E)</f>
        <v>0</v>
      </c>
      <c r="I80" s="115"/>
      <c r="J80" s="114">
        <f>SUMIF(安全质量事故!$B:$B,'副主任&amp;工艺组长及其他'!C80,安全质量事故!$G:$G)</f>
        <v>0</v>
      </c>
      <c r="K80" s="116">
        <v>1</v>
      </c>
      <c r="L80" s="117">
        <f>HLOOKUP(M80,$A$143:$H$144,2)</f>
        <v>200</v>
      </c>
      <c r="M80" s="118" t="s">
        <v>15</v>
      </c>
      <c r="N80" s="125"/>
      <c r="O80" s="126"/>
      <c r="P80" s="125"/>
      <c r="Q80" s="119"/>
    </row>
    <row r="81" spans="1:17" ht="19.5" customHeight="1">
      <c r="A81" s="47" t="s">
        <v>2119</v>
      </c>
      <c r="B81" s="45" t="s">
        <v>13</v>
      </c>
      <c r="C81" s="46" t="s">
        <v>1884</v>
      </c>
      <c r="D81" s="47" t="s">
        <v>1885</v>
      </c>
      <c r="E81" s="48">
        <v>46208</v>
      </c>
      <c r="F81" s="113">
        <f t="shared" si="2"/>
        <v>400</v>
      </c>
      <c r="G81" s="114">
        <f>SUMIF(积分汇总!$B:$B,'副主任&amp;工艺组长及其他'!C81,积分汇总!$E:$E)</f>
        <v>0</v>
      </c>
      <c r="H81" s="114">
        <f>SUMIF(记录巡查问题条数汇总!$B:$B,'副主任&amp;工艺组长及其他'!C81,记录巡查问题条数汇总!$E:$E)</f>
        <v>0</v>
      </c>
      <c r="I81" s="115"/>
      <c r="J81" s="114">
        <f>SUMIF(安全质量事故!$B:$B,'副主任&amp;工艺组长及其他'!C81,安全质量事故!$G:$G)</f>
        <v>0</v>
      </c>
      <c r="K81" s="116">
        <v>1</v>
      </c>
      <c r="L81" s="117">
        <f>HLOOKUP(M81,$A$143:$H$144,2)</f>
        <v>400</v>
      </c>
      <c r="M81" s="118" t="s">
        <v>11</v>
      </c>
      <c r="N81" s="125"/>
      <c r="O81" s="126"/>
      <c r="P81" s="125"/>
      <c r="Q81" s="119"/>
    </row>
    <row r="82" spans="1:17" ht="19.5" customHeight="1">
      <c r="A82" s="47" t="s">
        <v>2119</v>
      </c>
      <c r="B82" s="45" t="s">
        <v>13</v>
      </c>
      <c r="C82" s="46" t="s">
        <v>1886</v>
      </c>
      <c r="D82" s="47" t="s">
        <v>1887</v>
      </c>
      <c r="E82" s="48">
        <v>46215</v>
      </c>
      <c r="F82" s="113">
        <f t="shared" si="2"/>
        <v>200</v>
      </c>
      <c r="G82" s="114">
        <f>SUMIF(积分汇总!$B:$B,'副主任&amp;工艺组长及其他'!C82,积分汇总!$E:$E)</f>
        <v>0</v>
      </c>
      <c r="H82" s="114">
        <f>SUMIF(记录巡查问题条数汇总!$B:$B,'副主任&amp;工艺组长及其他'!C82,记录巡查问题条数汇总!$E:$E)</f>
        <v>0</v>
      </c>
      <c r="I82" s="115"/>
      <c r="J82" s="114">
        <f>SUMIF(安全质量事故!$B:$B,'副主任&amp;工艺组长及其他'!C82,安全质量事故!$G:$G)</f>
        <v>0</v>
      </c>
      <c r="K82" s="116">
        <v>1</v>
      </c>
      <c r="L82" s="117">
        <f>HLOOKUP(M82,$A$143:$H$144,2)</f>
        <v>200</v>
      </c>
      <c r="M82" s="118" t="s">
        <v>15</v>
      </c>
      <c r="N82" s="125"/>
      <c r="O82" s="126"/>
      <c r="P82" s="125"/>
      <c r="Q82" s="119"/>
    </row>
    <row r="83" spans="1:17" ht="19.5" customHeight="1">
      <c r="A83" s="47" t="s">
        <v>2119</v>
      </c>
      <c r="B83" s="45" t="s">
        <v>81</v>
      </c>
      <c r="C83" s="46" t="s">
        <v>1788</v>
      </c>
      <c r="D83" s="47" t="s">
        <v>1789</v>
      </c>
      <c r="E83" s="48">
        <v>46197</v>
      </c>
      <c r="F83" s="113">
        <f t="shared" si="2"/>
        <v>200</v>
      </c>
      <c r="G83" s="114">
        <f>SUMIF(积分汇总!$B:$B,'副主任&amp;工艺组长及其他'!C83,积分汇总!$E:$E)</f>
        <v>0</v>
      </c>
      <c r="H83" s="114">
        <f>SUMIF(记录巡查问题条数汇总!$B:$B,'副主任&amp;工艺组长及其他'!C83,记录巡查问题条数汇总!$E:$E)</f>
        <v>0</v>
      </c>
      <c r="I83" s="115"/>
      <c r="J83" s="114">
        <f>SUMIF(安全质量事故!$B:$B,'副主任&amp;工艺组长及其他'!C83,安全质量事故!$G:$G)</f>
        <v>0</v>
      </c>
      <c r="K83" s="116">
        <v>1</v>
      </c>
      <c r="L83" s="117">
        <f>HLOOKUP(M83,$A$143:$H$144,2)</f>
        <v>200</v>
      </c>
      <c r="M83" s="118" t="s">
        <v>15</v>
      </c>
      <c r="N83" s="125"/>
      <c r="O83" s="126"/>
      <c r="P83" s="125"/>
      <c r="Q83" s="119"/>
    </row>
    <row r="84" spans="1:17" ht="19.5" customHeight="1">
      <c r="A84" s="47" t="s">
        <v>2119</v>
      </c>
      <c r="B84" s="45" t="s">
        <v>154</v>
      </c>
      <c r="C84" s="46" t="s">
        <v>1477</v>
      </c>
      <c r="D84" s="47" t="s">
        <v>1478</v>
      </c>
      <c r="E84" s="48">
        <v>46183</v>
      </c>
      <c r="F84" s="113">
        <f t="shared" si="2"/>
        <v>400</v>
      </c>
      <c r="G84" s="114">
        <f>SUMIF(积分汇总!$B:$B,'副主任&amp;工艺组长及其他'!C84,积分汇总!$E:$E)</f>
        <v>0</v>
      </c>
      <c r="H84" s="114">
        <f>SUMIF(记录巡查问题条数汇总!$B:$B,'副主任&amp;工艺组长及其他'!C84,记录巡查问题条数汇总!$E:$E)</f>
        <v>0</v>
      </c>
      <c r="I84" s="115"/>
      <c r="J84" s="114">
        <f>SUMIF(安全质量事故!$B:$B,'副主任&amp;工艺组长及其他'!C84,安全质量事故!$G:$G)</f>
        <v>0</v>
      </c>
      <c r="K84" s="116">
        <v>1</v>
      </c>
      <c r="L84" s="117">
        <f>HLOOKUP(M84,$A$143:$H$144,2)</f>
        <v>400</v>
      </c>
      <c r="M84" s="221" t="s">
        <v>11</v>
      </c>
      <c r="N84" s="125"/>
      <c r="O84" s="126"/>
      <c r="P84" s="125"/>
      <c r="Q84" s="119"/>
    </row>
    <row r="85" spans="1:17" ht="19.5" customHeight="1">
      <c r="A85" s="47" t="s">
        <v>2119</v>
      </c>
      <c r="B85" s="45" t="s">
        <v>14</v>
      </c>
      <c r="C85" s="46" t="s">
        <v>1341</v>
      </c>
      <c r="D85" s="47" t="s">
        <v>1342</v>
      </c>
      <c r="E85" s="48">
        <v>46134</v>
      </c>
      <c r="F85" s="113">
        <f t="shared" si="2"/>
        <v>200</v>
      </c>
      <c r="G85" s="114">
        <f>SUMIF(积分汇总!$B:$B,'副主任&amp;工艺组长及其他'!C85,积分汇总!$E:$E)</f>
        <v>0</v>
      </c>
      <c r="H85" s="114">
        <f>SUMIF(记录巡查问题条数汇总!$B:$B,'副主任&amp;工艺组长及其他'!C85,记录巡查问题条数汇总!$E:$E)</f>
        <v>0</v>
      </c>
      <c r="I85" s="115"/>
      <c r="J85" s="114">
        <f>SUMIF(安全质量事故!$B:$B,'副主任&amp;工艺组长及其他'!C85,安全质量事故!$G:$G)</f>
        <v>0</v>
      </c>
      <c r="K85" s="116">
        <v>1</v>
      </c>
      <c r="L85" s="117">
        <f>HLOOKUP(M85,$A$143:$H$144,2)</f>
        <v>200</v>
      </c>
      <c r="M85" s="118" t="s">
        <v>15</v>
      </c>
      <c r="N85" s="125"/>
      <c r="O85" s="126"/>
      <c r="P85" s="125"/>
      <c r="Q85" s="119"/>
    </row>
    <row r="86" spans="1:17" ht="19.5" customHeight="1">
      <c r="A86" s="47" t="s">
        <v>2119</v>
      </c>
      <c r="B86" s="45" t="s">
        <v>14</v>
      </c>
      <c r="C86" s="46" t="s">
        <v>1343</v>
      </c>
      <c r="D86" s="47" t="s">
        <v>1344</v>
      </c>
      <c r="E86" s="48">
        <v>46139</v>
      </c>
      <c r="F86" s="113">
        <f t="shared" si="2"/>
        <v>400</v>
      </c>
      <c r="G86" s="114">
        <f>SUMIF(积分汇总!$B:$B,'副主任&amp;工艺组长及其他'!C86,积分汇总!$E:$E)</f>
        <v>0</v>
      </c>
      <c r="H86" s="114">
        <f>SUMIF(记录巡查问题条数汇总!$B:$B,'副主任&amp;工艺组长及其他'!C86,记录巡查问题条数汇总!$E:$E)</f>
        <v>0</v>
      </c>
      <c r="I86" s="115"/>
      <c r="J86" s="114">
        <f>SUMIF(安全质量事故!$B:$B,'副主任&amp;工艺组长及其他'!C86,安全质量事故!$G:$G)</f>
        <v>0</v>
      </c>
      <c r="K86" s="116">
        <v>1</v>
      </c>
      <c r="L86" s="117">
        <f>HLOOKUP(M86,$A$143:$H$144,2)</f>
        <v>400</v>
      </c>
      <c r="M86" s="221" t="s">
        <v>11</v>
      </c>
      <c r="N86" s="125"/>
      <c r="O86" s="126"/>
      <c r="P86" s="125"/>
      <c r="Q86" s="119"/>
    </row>
    <row r="87" spans="1:17" ht="19.5" customHeight="1">
      <c r="A87" s="47" t="s">
        <v>2119</v>
      </c>
      <c r="B87" s="45" t="s">
        <v>14</v>
      </c>
      <c r="C87" s="46" t="s">
        <v>2047</v>
      </c>
      <c r="D87" s="47" t="s">
        <v>2048</v>
      </c>
      <c r="E87" s="48">
        <v>46232</v>
      </c>
      <c r="F87" s="113">
        <f t="shared" si="2"/>
        <v>200</v>
      </c>
      <c r="G87" s="114">
        <f>SUMIF(积分汇总!$B:$B,'副主任&amp;工艺组长及其他'!C87,积分汇总!$E:$E)</f>
        <v>0</v>
      </c>
      <c r="H87" s="114">
        <f>SUMIF(记录巡查问题条数汇总!$B:$B,'副主任&amp;工艺组长及其他'!C87,记录巡查问题条数汇总!$E:$E)</f>
        <v>0</v>
      </c>
      <c r="I87" s="115"/>
      <c r="J87" s="114">
        <f>SUMIF(安全质量事故!$B:$B,'副主任&amp;工艺组长及其他'!C87,安全质量事故!$G:$G)</f>
        <v>0</v>
      </c>
      <c r="K87" s="116">
        <v>1</v>
      </c>
      <c r="L87" s="117">
        <f>HLOOKUP(M87,$A$143:$H$144,2)</f>
        <v>200</v>
      </c>
      <c r="M87" s="118" t="s">
        <v>15</v>
      </c>
      <c r="N87" s="125"/>
      <c r="O87" s="126"/>
      <c r="P87" s="125"/>
      <c r="Q87" s="119"/>
    </row>
    <row r="88" spans="1:17" ht="19.5" customHeight="1">
      <c r="A88" s="47" t="s">
        <v>2119</v>
      </c>
      <c r="B88" s="45" t="s">
        <v>154</v>
      </c>
      <c r="C88" s="46" t="s">
        <v>1157</v>
      </c>
      <c r="D88" s="47" t="s">
        <v>1158</v>
      </c>
      <c r="E88" s="48">
        <v>46120</v>
      </c>
      <c r="F88" s="113">
        <f t="shared" si="2"/>
        <v>400</v>
      </c>
      <c r="G88" s="114">
        <f>SUMIF(积分汇总!$B:$B,'副主任&amp;工艺组长及其他'!C88,积分汇总!$E:$E)</f>
        <v>0</v>
      </c>
      <c r="H88" s="114">
        <f>SUMIF(记录巡查问题条数汇总!$B:$B,'副主任&amp;工艺组长及其他'!C88,记录巡查问题条数汇总!$E:$E)</f>
        <v>0</v>
      </c>
      <c r="I88" s="115"/>
      <c r="J88" s="114">
        <f>SUMIF(安全质量事故!$B:$B,'副主任&amp;工艺组长及其他'!C88,安全质量事故!$G:$G)</f>
        <v>0</v>
      </c>
      <c r="K88" s="116">
        <v>1</v>
      </c>
      <c r="L88" s="117">
        <f>HLOOKUP(M88,$A$143:$H$144,2)</f>
        <v>400</v>
      </c>
      <c r="M88" s="221" t="s">
        <v>11</v>
      </c>
      <c r="N88" s="125"/>
      <c r="O88" s="126"/>
      <c r="P88" s="125"/>
      <c r="Q88" s="119"/>
    </row>
    <row r="89" spans="1:17" ht="19.5" customHeight="1">
      <c r="A89" s="47" t="s">
        <v>1093</v>
      </c>
      <c r="B89" s="47" t="s">
        <v>13</v>
      </c>
      <c r="C89" s="47" t="s">
        <v>663</v>
      </c>
      <c r="D89" s="47" t="s">
        <v>656</v>
      </c>
      <c r="E89" s="48">
        <v>45943</v>
      </c>
      <c r="F89" s="113">
        <f t="shared" si="2"/>
        <v>400</v>
      </c>
      <c r="G89" s="114">
        <f>SUMIF(积分汇总!$B:$B,'副主任&amp;工艺组长及其他'!C89,积分汇总!$E:$E)</f>
        <v>0</v>
      </c>
      <c r="H89" s="114">
        <f>SUMIF(记录巡查问题条数汇总!$B:$B,'副主任&amp;工艺组长及其他'!C89,记录巡查问题条数汇总!$E:$E)</f>
        <v>0</v>
      </c>
      <c r="I89" s="115"/>
      <c r="J89" s="114">
        <f>SUMIF(安全质量事故!$B:$B,'副主任&amp;工艺组长及其他'!C89,安全质量事故!$G:$G)</f>
        <v>0</v>
      </c>
      <c r="K89" s="116">
        <v>1</v>
      </c>
      <c r="L89" s="117">
        <f>HLOOKUP(M89,$A$143:$H$144,2)</f>
        <v>400</v>
      </c>
      <c r="M89" s="118" t="s">
        <v>11</v>
      </c>
      <c r="N89" s="125"/>
      <c r="O89" s="126"/>
      <c r="P89" s="125"/>
      <c r="Q89" s="119"/>
    </row>
    <row r="90" spans="1:17" ht="19.5" customHeight="1">
      <c r="A90" s="47" t="s">
        <v>1093</v>
      </c>
      <c r="B90" s="122" t="s">
        <v>13</v>
      </c>
      <c r="C90" s="47" t="s">
        <v>751</v>
      </c>
      <c r="D90" s="122" t="s">
        <v>708</v>
      </c>
      <c r="E90" s="124">
        <v>45957</v>
      </c>
      <c r="F90" s="113">
        <f t="shared" si="2"/>
        <v>400</v>
      </c>
      <c r="G90" s="114">
        <f>SUMIF(积分汇总!$B:$B,'副主任&amp;工艺组长及其他'!C90,积分汇总!$E:$E)</f>
        <v>0</v>
      </c>
      <c r="H90" s="114">
        <f>SUMIF(记录巡查问题条数汇总!$B:$B,'副主任&amp;工艺组长及其他'!C90,记录巡查问题条数汇总!$E:$E)</f>
        <v>0</v>
      </c>
      <c r="I90" s="115"/>
      <c r="J90" s="114">
        <f>SUMIF(安全质量事故!$B:$B,'副主任&amp;工艺组长及其他'!C90,安全质量事故!$G:$G)</f>
        <v>0</v>
      </c>
      <c r="K90" s="116">
        <v>1</v>
      </c>
      <c r="L90" s="117">
        <f>HLOOKUP(M90,$A$143:$H$144,2)</f>
        <v>400</v>
      </c>
      <c r="M90" s="118" t="s">
        <v>11</v>
      </c>
      <c r="N90" s="125"/>
      <c r="O90" s="126"/>
      <c r="P90" s="125"/>
      <c r="Q90" s="119"/>
    </row>
    <row r="91" spans="1:17" ht="19.5" customHeight="1">
      <c r="A91" s="47" t="s">
        <v>1093</v>
      </c>
      <c r="B91" s="47" t="s">
        <v>13</v>
      </c>
      <c r="C91" s="47" t="s">
        <v>752</v>
      </c>
      <c r="D91" s="47" t="s">
        <v>709</v>
      </c>
      <c r="E91" s="48">
        <v>45980</v>
      </c>
      <c r="F91" s="113">
        <f t="shared" si="2"/>
        <v>400</v>
      </c>
      <c r="G91" s="114">
        <f>SUMIF(积分汇总!$B:$B,'副主任&amp;工艺组长及其他'!C91,积分汇总!$E:$E)</f>
        <v>0</v>
      </c>
      <c r="H91" s="114">
        <f>SUMIF(记录巡查问题条数汇总!$B:$B,'副主任&amp;工艺组长及其他'!C91,记录巡查问题条数汇总!$E:$E)</f>
        <v>0</v>
      </c>
      <c r="I91" s="115"/>
      <c r="J91" s="114">
        <f>SUMIF(安全质量事故!$B:$B,'副主任&amp;工艺组长及其他'!C91,安全质量事故!$G:$G)</f>
        <v>0</v>
      </c>
      <c r="K91" s="116">
        <v>1</v>
      </c>
      <c r="L91" s="117">
        <f>HLOOKUP(M91,$A$143:$H$144,2)</f>
        <v>400</v>
      </c>
      <c r="M91" s="118" t="s">
        <v>11</v>
      </c>
      <c r="N91" s="125"/>
      <c r="O91" s="126"/>
      <c r="P91" s="125"/>
      <c r="Q91" s="119"/>
    </row>
    <row r="92" spans="1:17" ht="19.5" customHeight="1">
      <c r="A92" s="47" t="s">
        <v>1093</v>
      </c>
      <c r="B92" s="47" t="s">
        <v>13</v>
      </c>
      <c r="C92" s="47" t="s">
        <v>1556</v>
      </c>
      <c r="D92" s="47" t="s">
        <v>1557</v>
      </c>
      <c r="E92" s="48">
        <v>46183</v>
      </c>
      <c r="F92" s="113">
        <f t="shared" si="2"/>
        <v>200</v>
      </c>
      <c r="G92" s="114">
        <f>SUMIF(积分汇总!$B:$B,'副主任&amp;工艺组长及其他'!C92,积分汇总!$E:$E)</f>
        <v>0</v>
      </c>
      <c r="H92" s="114">
        <f>SUMIF(记录巡查问题条数汇总!$B:$B,'副主任&amp;工艺组长及其他'!C92,记录巡查问题条数汇总!$E:$E)</f>
        <v>0</v>
      </c>
      <c r="I92" s="115"/>
      <c r="J92" s="114">
        <f>SUMIF(安全质量事故!$B:$B,'副主任&amp;工艺组长及其他'!C92,安全质量事故!$G:$G)</f>
        <v>0</v>
      </c>
      <c r="K92" s="116">
        <v>1</v>
      </c>
      <c r="L92" s="117">
        <f>HLOOKUP(M92,$A$143:$H$144,2)</f>
        <v>200</v>
      </c>
      <c r="M92" s="118" t="s">
        <v>15</v>
      </c>
      <c r="N92" s="125"/>
      <c r="O92" s="126"/>
      <c r="P92" s="125"/>
      <c r="Q92" s="119"/>
    </row>
    <row r="93" spans="1:17" ht="19.5" customHeight="1">
      <c r="A93" s="47" t="s">
        <v>1093</v>
      </c>
      <c r="B93" s="47" t="s">
        <v>13</v>
      </c>
      <c r="C93" s="47" t="s">
        <v>1888</v>
      </c>
      <c r="D93" s="47" t="s">
        <v>1889</v>
      </c>
      <c r="E93" s="48">
        <v>46208</v>
      </c>
      <c r="F93" s="113">
        <f t="shared" si="2"/>
        <v>200</v>
      </c>
      <c r="G93" s="114">
        <f>SUMIF(积分汇总!$B:$B,'副主任&amp;工艺组长及其他'!C93,积分汇总!$E:$E)</f>
        <v>0</v>
      </c>
      <c r="H93" s="114">
        <f>SUMIF(记录巡查问题条数汇总!$B:$B,'副主任&amp;工艺组长及其他'!C93,记录巡查问题条数汇总!$E:$E)</f>
        <v>0</v>
      </c>
      <c r="I93" s="115"/>
      <c r="J93" s="114">
        <f>SUMIF(安全质量事故!$B:$B,'副主任&amp;工艺组长及其他'!C93,安全质量事故!$G:$G)</f>
        <v>0</v>
      </c>
      <c r="K93" s="116">
        <v>1</v>
      </c>
      <c r="L93" s="117">
        <f>HLOOKUP(M93,$A$143:$H$144,2)</f>
        <v>200</v>
      </c>
      <c r="M93" s="118" t="s">
        <v>15</v>
      </c>
      <c r="N93" s="125"/>
      <c r="O93" s="126"/>
      <c r="P93" s="125"/>
      <c r="Q93" s="119"/>
    </row>
    <row r="94" spans="1:17" ht="19.5" customHeight="1">
      <c r="A94" s="47" t="s">
        <v>1093</v>
      </c>
      <c r="B94" s="47" t="s">
        <v>13</v>
      </c>
      <c r="C94" s="47" t="s">
        <v>1952</v>
      </c>
      <c r="D94" s="47" t="s">
        <v>1953</v>
      </c>
      <c r="E94" s="48">
        <v>46253</v>
      </c>
      <c r="F94" s="113">
        <f t="shared" si="2"/>
        <v>77.41935483870968</v>
      </c>
      <c r="G94" s="114">
        <f>SUMIF(积分汇总!$B:$B,'副主任&amp;工艺组长及其他'!C94,积分汇总!$E:$E)</f>
        <v>0</v>
      </c>
      <c r="H94" s="114">
        <f>SUMIF(记录巡查问题条数汇总!$B:$B,'副主任&amp;工艺组长及其他'!C94,记录巡查问题条数汇总!$E:$E)</f>
        <v>0</v>
      </c>
      <c r="I94" s="115"/>
      <c r="J94" s="114">
        <f>SUMIF(安全质量事故!$B:$B,'副主任&amp;工艺组长及其他'!C94,安全质量事故!$G:$G)</f>
        <v>0</v>
      </c>
      <c r="K94" s="210">
        <f>12/31</f>
        <v>0.38709677419354838</v>
      </c>
      <c r="L94" s="117">
        <f>HLOOKUP(M94,$A$143:$H$144,2)</f>
        <v>200</v>
      </c>
      <c r="M94" s="118" t="s">
        <v>15</v>
      </c>
      <c r="N94" s="125"/>
      <c r="O94" s="126"/>
      <c r="P94" s="125"/>
      <c r="Q94" s="119"/>
    </row>
    <row r="95" spans="1:17" ht="19.5" customHeight="1">
      <c r="A95" s="47" t="s">
        <v>1093</v>
      </c>
      <c r="B95" s="47" t="s">
        <v>13</v>
      </c>
      <c r="C95" s="47" t="s">
        <v>1954</v>
      </c>
      <c r="D95" s="47" t="s">
        <v>1955</v>
      </c>
      <c r="E95" s="48">
        <v>46225</v>
      </c>
      <c r="F95" s="113">
        <f t="shared" si="2"/>
        <v>200</v>
      </c>
      <c r="G95" s="114">
        <f>SUMIF(积分汇总!$B:$B,'副主任&amp;工艺组长及其他'!C95,积分汇总!$E:$E)</f>
        <v>0</v>
      </c>
      <c r="H95" s="114">
        <f>SUMIF(记录巡查问题条数汇总!$B:$B,'副主任&amp;工艺组长及其他'!C95,记录巡查问题条数汇总!$E:$E)</f>
        <v>0</v>
      </c>
      <c r="I95" s="115"/>
      <c r="J95" s="114">
        <f>SUMIF(安全质量事故!$B:$B,'副主任&amp;工艺组长及其他'!C95,安全质量事故!$G:$G)</f>
        <v>0</v>
      </c>
      <c r="K95" s="116">
        <v>1</v>
      </c>
      <c r="L95" s="117">
        <f>HLOOKUP(M95,$A$143:$H$144,2)</f>
        <v>200</v>
      </c>
      <c r="M95" s="118" t="s">
        <v>15</v>
      </c>
      <c r="N95" s="125"/>
      <c r="O95" s="126"/>
      <c r="P95" s="125"/>
      <c r="Q95" s="119"/>
    </row>
    <row r="96" spans="1:17" ht="19.5" customHeight="1">
      <c r="A96" s="47" t="s">
        <v>1093</v>
      </c>
      <c r="B96" s="47" t="s">
        <v>1670</v>
      </c>
      <c r="C96" s="47" t="s">
        <v>1890</v>
      </c>
      <c r="D96" s="47" t="s">
        <v>1891</v>
      </c>
      <c r="E96" s="48">
        <v>46204</v>
      </c>
      <c r="F96" s="113">
        <f t="shared" si="2"/>
        <v>200</v>
      </c>
      <c r="G96" s="114">
        <f>SUMIF(积分汇总!$B:$B,'副主任&amp;工艺组长及其他'!C96,积分汇总!$E:$E)</f>
        <v>0</v>
      </c>
      <c r="H96" s="114">
        <f>SUMIF(记录巡查问题条数汇总!$B:$B,'副主任&amp;工艺组长及其他'!C96,记录巡查问题条数汇总!$E:$E)</f>
        <v>0</v>
      </c>
      <c r="I96" s="115"/>
      <c r="J96" s="114">
        <f>SUMIF(安全质量事故!$B:$B,'副主任&amp;工艺组长及其他'!C96,安全质量事故!$G:$G)</f>
        <v>0</v>
      </c>
      <c r="K96" s="116">
        <v>1</v>
      </c>
      <c r="L96" s="117">
        <f>HLOOKUP(M96,$A$143:$H$144,2)</f>
        <v>200</v>
      </c>
      <c r="M96" s="118" t="s">
        <v>15</v>
      </c>
      <c r="N96" s="125"/>
      <c r="O96" s="126"/>
      <c r="P96" s="125"/>
      <c r="Q96" s="119"/>
    </row>
    <row r="97" spans="1:17" ht="19.5" customHeight="1">
      <c r="A97" s="47" t="s">
        <v>1094</v>
      </c>
      <c r="B97" s="47" t="s">
        <v>79</v>
      </c>
      <c r="C97" s="47" t="s">
        <v>347</v>
      </c>
      <c r="D97" s="47" t="s">
        <v>338</v>
      </c>
      <c r="E97" s="48">
        <v>44326</v>
      </c>
      <c r="F97" s="113">
        <f t="shared" si="2"/>
        <v>400</v>
      </c>
      <c r="G97" s="114">
        <f>SUMIF(积分汇总!$B:$B,'副主任&amp;工艺组长及其他'!C97,积分汇总!$E:$E)</f>
        <v>0</v>
      </c>
      <c r="H97" s="114">
        <f>SUMIF(记录巡查问题条数汇总!$B:$B,'副主任&amp;工艺组长及其他'!C97,记录巡查问题条数汇总!$E:$E)</f>
        <v>0</v>
      </c>
      <c r="I97" s="115"/>
      <c r="J97" s="114">
        <f>SUMIF(安全质量事故!$B:$B,'副主任&amp;工艺组长及其他'!C97,安全质量事故!$G:$G)</f>
        <v>0</v>
      </c>
      <c r="K97" s="116">
        <v>1</v>
      </c>
      <c r="L97" s="117">
        <f>HLOOKUP(M97,$A$143:$H$144,2)</f>
        <v>400</v>
      </c>
      <c r="M97" s="118" t="s">
        <v>11</v>
      </c>
      <c r="N97" s="125"/>
      <c r="O97" s="126"/>
      <c r="P97" s="125"/>
      <c r="Q97" s="119"/>
    </row>
    <row r="98" spans="1:17" ht="19.5" customHeight="1">
      <c r="A98" s="47" t="s">
        <v>1094</v>
      </c>
      <c r="B98" s="47" t="s">
        <v>79</v>
      </c>
      <c r="C98" s="47" t="s">
        <v>1081</v>
      </c>
      <c r="D98" s="47" t="s">
        <v>1082</v>
      </c>
      <c r="E98" s="48">
        <v>44774</v>
      </c>
      <c r="F98" s="113">
        <f t="shared" si="2"/>
        <v>400</v>
      </c>
      <c r="G98" s="114">
        <f>SUMIF(积分汇总!$B:$B,'副主任&amp;工艺组长及其他'!C98,积分汇总!$E:$E)</f>
        <v>0</v>
      </c>
      <c r="H98" s="114">
        <f>SUMIF(记录巡查问题条数汇总!$B:$B,'副主任&amp;工艺组长及其他'!C98,记录巡查问题条数汇总!$E:$E)</f>
        <v>0</v>
      </c>
      <c r="I98" s="115"/>
      <c r="J98" s="114">
        <f>SUMIF(安全质量事故!$B:$B,'副主任&amp;工艺组长及其他'!C98,安全质量事故!$G:$G)</f>
        <v>0</v>
      </c>
      <c r="K98" s="116">
        <v>1</v>
      </c>
      <c r="L98" s="117">
        <f>HLOOKUP(M98,$A$143:$H$144,2)</f>
        <v>400</v>
      </c>
      <c r="M98" s="118" t="s">
        <v>11</v>
      </c>
      <c r="N98" s="125"/>
      <c r="O98" s="126"/>
      <c r="P98" s="125"/>
      <c r="Q98" s="119"/>
    </row>
    <row r="99" spans="1:17" ht="19.5" customHeight="1">
      <c r="A99" s="47" t="s">
        <v>1094</v>
      </c>
      <c r="B99" s="47" t="s">
        <v>79</v>
      </c>
      <c r="C99" s="47" t="s">
        <v>1083</v>
      </c>
      <c r="D99" s="47" t="s">
        <v>1080</v>
      </c>
      <c r="E99" s="48">
        <v>46090</v>
      </c>
      <c r="F99" s="113">
        <f t="shared" si="2"/>
        <v>400</v>
      </c>
      <c r="G99" s="114">
        <f>SUMIF(积分汇总!$B:$B,'副主任&amp;工艺组长及其他'!C99,积分汇总!$E:$E)</f>
        <v>0</v>
      </c>
      <c r="H99" s="114">
        <f>SUMIF(记录巡查问题条数汇总!$B:$B,'副主任&amp;工艺组长及其他'!C99,记录巡查问题条数汇总!$E:$E)</f>
        <v>0</v>
      </c>
      <c r="I99" s="115"/>
      <c r="J99" s="114">
        <f>SUMIF(安全质量事故!$B:$B,'副主任&amp;工艺组长及其他'!C99,安全质量事故!$G:$G)</f>
        <v>0</v>
      </c>
      <c r="K99" s="116">
        <v>1</v>
      </c>
      <c r="L99" s="117">
        <f>HLOOKUP(M99,$A$143:$H$144,2)</f>
        <v>400</v>
      </c>
      <c r="M99" s="118" t="s">
        <v>11</v>
      </c>
      <c r="N99" s="125"/>
      <c r="O99" s="126"/>
      <c r="P99" s="125"/>
      <c r="Q99" s="119"/>
    </row>
    <row r="100" spans="1:17" ht="19.5" customHeight="1">
      <c r="A100" s="47" t="s">
        <v>1094</v>
      </c>
      <c r="B100" s="47" t="s">
        <v>13</v>
      </c>
      <c r="C100" s="45" t="s">
        <v>1084</v>
      </c>
      <c r="D100" s="52" t="s">
        <v>1085</v>
      </c>
      <c r="E100" s="46">
        <v>42212</v>
      </c>
      <c r="F100" s="113">
        <f t="shared" si="2"/>
        <v>400</v>
      </c>
      <c r="G100" s="114">
        <f>SUMIF(积分汇总!$B:$B,'副主任&amp;工艺组长及其他'!C100,积分汇总!$E:$E)</f>
        <v>0</v>
      </c>
      <c r="H100" s="114">
        <f>SUMIF(记录巡查问题条数汇总!$B:$B,'副主任&amp;工艺组长及其他'!C100,记录巡查问题条数汇总!$E:$E)</f>
        <v>0</v>
      </c>
      <c r="I100" s="115"/>
      <c r="J100" s="114">
        <f>SUMIF(安全质量事故!$B:$B,'副主任&amp;工艺组长及其他'!C100,安全质量事故!$G:$G)</f>
        <v>0</v>
      </c>
      <c r="K100" s="116">
        <v>1</v>
      </c>
      <c r="L100" s="117">
        <f>HLOOKUP(M100,$A$143:$H$144,2)</f>
        <v>400</v>
      </c>
      <c r="M100" s="118" t="s">
        <v>11</v>
      </c>
      <c r="N100" s="125"/>
      <c r="O100" s="126"/>
      <c r="P100" s="125"/>
      <c r="Q100" s="119"/>
    </row>
    <row r="101" spans="1:17" ht="19.5" customHeight="1">
      <c r="A101" s="47" t="s">
        <v>1094</v>
      </c>
      <c r="B101" s="47" t="s">
        <v>13</v>
      </c>
      <c r="C101" s="47" t="s">
        <v>864</v>
      </c>
      <c r="D101" s="47" t="s">
        <v>804</v>
      </c>
      <c r="E101" s="48">
        <v>45138</v>
      </c>
      <c r="F101" s="113">
        <f t="shared" si="2"/>
        <v>400</v>
      </c>
      <c r="G101" s="114">
        <f>SUMIF(积分汇总!$B:$B,'副主任&amp;工艺组长及其他'!C101,积分汇总!$E:$E)</f>
        <v>0</v>
      </c>
      <c r="H101" s="114">
        <f>SUMIF(记录巡查问题条数汇总!$B:$B,'副主任&amp;工艺组长及其他'!C101,记录巡查问题条数汇总!$E:$E)</f>
        <v>0</v>
      </c>
      <c r="I101" s="115"/>
      <c r="J101" s="114">
        <f>SUMIF(安全质量事故!$B:$B,'副主任&amp;工艺组长及其他'!C101,安全质量事故!$G:$G)</f>
        <v>0</v>
      </c>
      <c r="K101" s="116">
        <v>1</v>
      </c>
      <c r="L101" s="117">
        <f>HLOOKUP(M101,$A$143:$H$144,2)</f>
        <v>400</v>
      </c>
      <c r="M101" s="118" t="s">
        <v>11</v>
      </c>
      <c r="N101" s="125"/>
      <c r="O101" s="126"/>
      <c r="P101" s="125"/>
      <c r="Q101" s="119"/>
    </row>
    <row r="102" spans="1:17" ht="19.5" customHeight="1">
      <c r="A102" s="47" t="s">
        <v>1094</v>
      </c>
      <c r="B102" s="47" t="s">
        <v>13</v>
      </c>
      <c r="C102" s="47" t="s">
        <v>986</v>
      </c>
      <c r="D102" s="47" t="s">
        <v>952</v>
      </c>
      <c r="E102" s="48">
        <v>45259</v>
      </c>
      <c r="F102" s="113">
        <f t="shared" si="2"/>
        <v>400</v>
      </c>
      <c r="G102" s="114">
        <f>SUMIF(积分汇总!$B:$B,'副主任&amp;工艺组长及其他'!C102,积分汇总!$E:$E)</f>
        <v>0</v>
      </c>
      <c r="H102" s="114">
        <f>SUMIF(记录巡查问题条数汇总!$B:$B,'副主任&amp;工艺组长及其他'!C102,记录巡查问题条数汇总!$E:$E)</f>
        <v>0</v>
      </c>
      <c r="I102" s="115"/>
      <c r="J102" s="114">
        <f>SUMIF(安全质量事故!$B:$B,'副主任&amp;工艺组长及其他'!C102,安全质量事故!$G:$G)</f>
        <v>0</v>
      </c>
      <c r="K102" s="116">
        <v>1</v>
      </c>
      <c r="L102" s="117">
        <f>HLOOKUP(M102,$A$143:$H$144,2)</f>
        <v>400</v>
      </c>
      <c r="M102" s="118" t="s">
        <v>11</v>
      </c>
      <c r="N102" s="125"/>
      <c r="O102" s="126"/>
      <c r="P102" s="125"/>
      <c r="Q102" s="119"/>
    </row>
    <row r="103" spans="1:17" ht="19.5" customHeight="1">
      <c r="A103" s="47" t="s">
        <v>1094</v>
      </c>
      <c r="B103" s="47" t="s">
        <v>13</v>
      </c>
      <c r="C103" s="47" t="s">
        <v>1086</v>
      </c>
      <c r="D103" s="47" t="s">
        <v>1087</v>
      </c>
      <c r="E103" s="48">
        <v>45448</v>
      </c>
      <c r="F103" s="113">
        <f t="shared" si="2"/>
        <v>400</v>
      </c>
      <c r="G103" s="114">
        <f>SUMIF(积分汇总!$B:$B,'副主任&amp;工艺组长及其他'!C103,积分汇总!$E:$E)</f>
        <v>0</v>
      </c>
      <c r="H103" s="114">
        <f>SUMIF(记录巡查问题条数汇总!$B:$B,'副主任&amp;工艺组长及其他'!C103,记录巡查问题条数汇总!$E:$E)</f>
        <v>0</v>
      </c>
      <c r="I103" s="115"/>
      <c r="J103" s="114">
        <f>SUMIF(安全质量事故!$B:$B,'副主任&amp;工艺组长及其他'!C103,安全质量事故!$G:$G)</f>
        <v>0</v>
      </c>
      <c r="K103" s="116">
        <v>1</v>
      </c>
      <c r="L103" s="117">
        <f>HLOOKUP(M103,$A$143:$H$144,2)</f>
        <v>400</v>
      </c>
      <c r="M103" s="118" t="s">
        <v>11</v>
      </c>
      <c r="N103" s="125"/>
      <c r="O103" s="126"/>
      <c r="P103" s="125"/>
      <c r="Q103" s="121"/>
    </row>
    <row r="104" spans="1:17" ht="19.5" customHeight="1">
      <c r="A104" s="47" t="s">
        <v>1094</v>
      </c>
      <c r="B104" s="47" t="s">
        <v>13</v>
      </c>
      <c r="C104" s="47" t="s">
        <v>1088</v>
      </c>
      <c r="D104" s="47" t="s">
        <v>1089</v>
      </c>
      <c r="E104" s="48">
        <v>46127</v>
      </c>
      <c r="F104" s="113">
        <f t="shared" si="2"/>
        <v>400</v>
      </c>
      <c r="G104" s="114">
        <f>SUMIF(积分汇总!$B:$B,'副主任&amp;工艺组长及其他'!C104,积分汇总!$E:$E)</f>
        <v>0</v>
      </c>
      <c r="H104" s="114">
        <f>SUMIF(记录巡查问题条数汇总!$B:$B,'副主任&amp;工艺组长及其他'!C104,记录巡查问题条数汇总!$E:$E)</f>
        <v>0</v>
      </c>
      <c r="I104" s="115"/>
      <c r="J104" s="114">
        <f>SUMIF(安全质量事故!$B:$B,'副主任&amp;工艺组长及其他'!C104,安全质量事故!$G:$G)</f>
        <v>0</v>
      </c>
      <c r="K104" s="116">
        <v>1</v>
      </c>
      <c r="L104" s="117">
        <f>HLOOKUP(M104,$A$143:$H$144,2)</f>
        <v>400</v>
      </c>
      <c r="M104" s="118" t="s">
        <v>11</v>
      </c>
      <c r="N104" s="125"/>
      <c r="O104" s="126"/>
      <c r="P104" s="125"/>
      <c r="Q104" s="121"/>
    </row>
    <row r="105" spans="1:17" ht="19.5" customHeight="1">
      <c r="A105" s="47" t="s">
        <v>1094</v>
      </c>
      <c r="B105" s="47" t="s">
        <v>13</v>
      </c>
      <c r="C105" s="296" t="s">
        <v>1894</v>
      </c>
      <c r="D105" s="47" t="s">
        <v>1895</v>
      </c>
      <c r="E105" s="48">
        <v>46208</v>
      </c>
      <c r="F105" s="113">
        <f t="shared" si="2"/>
        <v>200</v>
      </c>
      <c r="G105" s="114">
        <f>SUMIF(积分汇总!$B:$B,'副主任&amp;工艺组长及其他'!C105,积分汇总!$E:$E)</f>
        <v>0</v>
      </c>
      <c r="H105" s="114">
        <f>SUMIF(记录巡查问题条数汇总!$B:$B,'副主任&amp;工艺组长及其他'!C105,记录巡查问题条数汇总!$E:$E)</f>
        <v>0</v>
      </c>
      <c r="I105" s="115"/>
      <c r="J105" s="114">
        <f>SUMIF(安全质量事故!$B:$B,'副主任&amp;工艺组长及其他'!C105,安全质量事故!$G:$G)</f>
        <v>0</v>
      </c>
      <c r="K105" s="116">
        <v>1</v>
      </c>
      <c r="L105" s="117">
        <f>HLOOKUP(M105,$A$143:$H$144,2)</f>
        <v>200</v>
      </c>
      <c r="M105" s="118" t="s">
        <v>15</v>
      </c>
      <c r="N105" s="125"/>
      <c r="O105" s="126"/>
      <c r="P105" s="125"/>
      <c r="Q105" s="119"/>
    </row>
    <row r="106" spans="1:17" ht="19.5" customHeight="1">
      <c r="A106" s="47" t="s">
        <v>1094</v>
      </c>
      <c r="B106" s="47" t="s">
        <v>13</v>
      </c>
      <c r="C106" s="47" t="s">
        <v>1896</v>
      </c>
      <c r="D106" s="47" t="s">
        <v>1897</v>
      </c>
      <c r="E106" s="48">
        <v>46197</v>
      </c>
      <c r="F106" s="113">
        <f t="shared" si="2"/>
        <v>200</v>
      </c>
      <c r="G106" s="114">
        <f>SUMIF(积分汇总!$B:$B,'副主任&amp;工艺组长及其他'!C106,积分汇总!$E:$E)</f>
        <v>0</v>
      </c>
      <c r="H106" s="114">
        <f>SUMIF(记录巡查问题条数汇总!$B:$B,'副主任&amp;工艺组长及其他'!C106,记录巡查问题条数汇总!$E:$E)</f>
        <v>0</v>
      </c>
      <c r="I106" s="115"/>
      <c r="J106" s="114">
        <f>SUMIF(安全质量事故!$B:$B,'副主任&amp;工艺组长及其他'!C106,安全质量事故!$G:$G)</f>
        <v>0</v>
      </c>
      <c r="K106" s="116">
        <v>1</v>
      </c>
      <c r="L106" s="117">
        <f>HLOOKUP(M106,$A$143:$H$144,2)</f>
        <v>200</v>
      </c>
      <c r="M106" s="118" t="s">
        <v>15</v>
      </c>
      <c r="N106" s="125"/>
      <c r="O106" s="126"/>
      <c r="P106" s="125"/>
      <c r="Q106" s="121"/>
    </row>
    <row r="107" spans="1:17" ht="19.5" customHeight="1">
      <c r="A107" s="47" t="s">
        <v>1094</v>
      </c>
      <c r="B107" s="47" t="s">
        <v>1092</v>
      </c>
      <c r="C107" s="47" t="s">
        <v>1898</v>
      </c>
      <c r="D107" s="47" t="s">
        <v>1899</v>
      </c>
      <c r="E107" s="48">
        <v>46208</v>
      </c>
      <c r="F107" s="113">
        <f t="shared" si="2"/>
        <v>200</v>
      </c>
      <c r="G107" s="114">
        <f>SUMIF(积分汇总!$B:$B,'副主任&amp;工艺组长及其他'!C107,积分汇总!$E:$E)</f>
        <v>0</v>
      </c>
      <c r="H107" s="114">
        <f>SUMIF(记录巡查问题条数汇总!$B:$B,'副主任&amp;工艺组长及其他'!C107,记录巡查问题条数汇总!$E:$E)</f>
        <v>0</v>
      </c>
      <c r="I107" s="115"/>
      <c r="J107" s="114">
        <f>SUMIF(安全质量事故!$B:$B,'副主任&amp;工艺组长及其他'!C107,安全质量事故!$G:$G)</f>
        <v>0</v>
      </c>
      <c r="K107" s="116">
        <v>1</v>
      </c>
      <c r="L107" s="117">
        <f>HLOOKUP(M107,$A$143:$H$144,2)</f>
        <v>200</v>
      </c>
      <c r="M107" s="118" t="s">
        <v>15</v>
      </c>
      <c r="N107" s="199"/>
      <c r="O107" s="200"/>
      <c r="P107" s="199"/>
      <c r="Q107" s="121"/>
    </row>
    <row r="108" spans="1:17" ht="19.5" customHeight="1">
      <c r="A108" s="47" t="s">
        <v>1094</v>
      </c>
      <c r="B108" s="47" t="s">
        <v>1092</v>
      </c>
      <c r="C108" s="47" t="s">
        <v>1902</v>
      </c>
      <c r="D108" s="47" t="s">
        <v>1903</v>
      </c>
      <c r="E108" s="48">
        <v>46215</v>
      </c>
      <c r="F108" s="113">
        <f t="shared" si="2"/>
        <v>200</v>
      </c>
      <c r="G108" s="114">
        <f>SUMIF(积分汇总!$B:$B,'副主任&amp;工艺组长及其他'!C108,积分汇总!$E:$E)</f>
        <v>0</v>
      </c>
      <c r="H108" s="114">
        <f>SUMIF(记录巡查问题条数汇总!$B:$B,'副主任&amp;工艺组长及其他'!C108,记录巡查问题条数汇总!$E:$E)</f>
        <v>0</v>
      </c>
      <c r="I108" s="115"/>
      <c r="J108" s="114">
        <f>SUMIF(安全质量事故!$B:$B,'副主任&amp;工艺组长及其他'!C108,安全质量事故!$G:$G)</f>
        <v>0</v>
      </c>
      <c r="K108" s="116">
        <v>1</v>
      </c>
      <c r="L108" s="117">
        <f>HLOOKUP(M108,$A$143:$H$144,2)</f>
        <v>200</v>
      </c>
      <c r="M108" s="118" t="s">
        <v>15</v>
      </c>
      <c r="N108" s="125"/>
      <c r="O108" s="126"/>
      <c r="P108" s="125"/>
      <c r="Q108" s="121"/>
    </row>
    <row r="109" spans="1:17" ht="20.25" customHeight="1">
      <c r="A109" s="47" t="s">
        <v>1094</v>
      </c>
      <c r="B109" s="47" t="s">
        <v>1092</v>
      </c>
      <c r="C109" s="47" t="s">
        <v>665</v>
      </c>
      <c r="D109" s="47" t="s">
        <v>657</v>
      </c>
      <c r="E109" s="48">
        <v>45847</v>
      </c>
      <c r="F109" s="113">
        <f t="shared" si="2"/>
        <v>400</v>
      </c>
      <c r="G109" s="114">
        <f>SUMIF(积分汇总!$B:$B,'副主任&amp;工艺组长及其他'!C109,积分汇总!$E:$E)</f>
        <v>0</v>
      </c>
      <c r="H109" s="114">
        <f>SUMIF(记录巡查问题条数汇总!$B:$B,'副主任&amp;工艺组长及其他'!C109,记录巡查问题条数汇总!$E:$E)</f>
        <v>0</v>
      </c>
      <c r="I109" s="115"/>
      <c r="J109" s="114">
        <f>SUMIF(安全质量事故!$B:$B,'副主任&amp;工艺组长及其他'!C109,安全质量事故!$G:$G)</f>
        <v>0</v>
      </c>
      <c r="K109" s="116">
        <v>1</v>
      </c>
      <c r="L109" s="117">
        <f>HLOOKUP(M109,$A$143:$H$144,2)</f>
        <v>400</v>
      </c>
      <c r="M109" s="118" t="s">
        <v>11</v>
      </c>
      <c r="N109" s="125"/>
      <c r="O109" s="126"/>
      <c r="P109" s="125"/>
      <c r="Q109" s="121"/>
    </row>
    <row r="110" spans="1:17" ht="19.5" customHeight="1">
      <c r="A110" s="47" t="s">
        <v>1094</v>
      </c>
      <c r="B110" s="47" t="s">
        <v>1092</v>
      </c>
      <c r="C110" s="47" t="s">
        <v>1090</v>
      </c>
      <c r="D110" s="47" t="s">
        <v>1091</v>
      </c>
      <c r="E110" s="48">
        <v>46127</v>
      </c>
      <c r="F110" s="113">
        <f t="shared" si="2"/>
        <v>400</v>
      </c>
      <c r="G110" s="114">
        <f>SUMIF(积分汇总!$B:$B,'副主任&amp;工艺组长及其他'!C110,积分汇总!$E:$E)</f>
        <v>0</v>
      </c>
      <c r="H110" s="114">
        <f>SUMIF(记录巡查问题条数汇总!$B:$B,'副主任&amp;工艺组长及其他'!C110,记录巡查问题条数汇总!$E:$E)</f>
        <v>0</v>
      </c>
      <c r="I110" s="115"/>
      <c r="J110" s="114">
        <f>SUMIF(安全质量事故!$B:$B,'副主任&amp;工艺组长及其他'!C110,安全质量事故!$G:$G)</f>
        <v>0</v>
      </c>
      <c r="K110" s="116">
        <v>1</v>
      </c>
      <c r="L110" s="117">
        <f>HLOOKUP(M110,$A$143:$H$144,2)</f>
        <v>400</v>
      </c>
      <c r="M110" s="118" t="s">
        <v>11</v>
      </c>
      <c r="N110" s="125"/>
      <c r="O110" s="126"/>
      <c r="P110" s="125"/>
      <c r="Q110" s="121"/>
    </row>
    <row r="111" spans="1:17" ht="19.5" customHeight="1">
      <c r="A111" s="47" t="s">
        <v>1094</v>
      </c>
      <c r="B111" s="47" t="s">
        <v>1092</v>
      </c>
      <c r="C111" s="296" t="s">
        <v>1956</v>
      </c>
      <c r="D111" s="47" t="s">
        <v>1957</v>
      </c>
      <c r="E111" s="48">
        <v>46225</v>
      </c>
      <c r="F111" s="113">
        <f t="shared" si="2"/>
        <v>200</v>
      </c>
      <c r="G111" s="114">
        <f>SUMIF(积分汇总!$B:$B,'副主任&amp;工艺组长及其他'!C111,积分汇总!$E:$E)</f>
        <v>0</v>
      </c>
      <c r="H111" s="114">
        <f>SUMIF(记录巡查问题条数汇总!$B:$B,'副主任&amp;工艺组长及其他'!C111,记录巡查问题条数汇总!$E:$E)</f>
        <v>0</v>
      </c>
      <c r="I111" s="115"/>
      <c r="J111" s="114">
        <f>SUMIF(安全质量事故!$B:$B,'副主任&amp;工艺组长及其他'!C111,安全质量事故!$G:$G)</f>
        <v>0</v>
      </c>
      <c r="K111" s="116">
        <v>1</v>
      </c>
      <c r="L111" s="117">
        <f>HLOOKUP(M111,$A$143:$H$144,2)</f>
        <v>200</v>
      </c>
      <c r="M111" s="118" t="s">
        <v>15</v>
      </c>
      <c r="N111" s="125"/>
      <c r="O111" s="126"/>
      <c r="P111" s="125"/>
      <c r="Q111" s="121"/>
    </row>
    <row r="112" spans="1:17" ht="19.5" customHeight="1">
      <c r="A112" s="47" t="s">
        <v>1094</v>
      </c>
      <c r="B112" s="47" t="s">
        <v>1092</v>
      </c>
      <c r="C112" s="296" t="s">
        <v>1958</v>
      </c>
      <c r="D112" s="47" t="s">
        <v>1959</v>
      </c>
      <c r="E112" s="48">
        <v>46232</v>
      </c>
      <c r="F112" s="113">
        <f t="shared" si="2"/>
        <v>200</v>
      </c>
      <c r="G112" s="114">
        <f>SUMIF(积分汇总!$B:$B,'副主任&amp;工艺组长及其他'!C112,积分汇总!$E:$E)</f>
        <v>0</v>
      </c>
      <c r="H112" s="114">
        <f>SUMIF(记录巡查问题条数汇总!$B:$B,'副主任&amp;工艺组长及其他'!C112,记录巡查问题条数汇总!$E:$E)</f>
        <v>0</v>
      </c>
      <c r="I112" s="115"/>
      <c r="J112" s="114">
        <f>SUMIF(安全质量事故!$B:$B,'副主任&amp;工艺组长及其他'!C112,安全质量事故!$G:$G)</f>
        <v>0</v>
      </c>
      <c r="K112" s="116">
        <v>1</v>
      </c>
      <c r="L112" s="117">
        <f>HLOOKUP(M112,$A$143:$H$144,2)</f>
        <v>200</v>
      </c>
      <c r="M112" s="118" t="s">
        <v>15</v>
      </c>
      <c r="N112" s="125"/>
      <c r="O112" s="126"/>
      <c r="P112" s="125"/>
      <c r="Q112" s="121"/>
    </row>
    <row r="113" spans="1:20" ht="19.149999999999999" customHeight="1">
      <c r="A113" s="47" t="s">
        <v>2104</v>
      </c>
      <c r="B113" s="47" t="s">
        <v>56</v>
      </c>
      <c r="C113" s="47" t="s">
        <v>119</v>
      </c>
      <c r="D113" s="52" t="s">
        <v>121</v>
      </c>
      <c r="E113" s="46">
        <v>45238</v>
      </c>
      <c r="F113" s="113">
        <f t="shared" si="2"/>
        <v>400</v>
      </c>
      <c r="G113" s="114">
        <f>SUMIF(积分汇总!$B:$B,'副主任&amp;工艺组长及其他'!C113,积分汇总!$E:$E)</f>
        <v>0</v>
      </c>
      <c r="H113" s="114">
        <f>SUMIF(记录巡查问题条数汇总!$B:$B,'副主任&amp;工艺组长及其他'!C113,记录巡查问题条数汇总!$E:$E)</f>
        <v>0</v>
      </c>
      <c r="I113" s="115"/>
      <c r="J113" s="114">
        <f>SUMIF(安全质量事故!$B:$B,'副主任&amp;工艺组长及其他'!C113,安全质量事故!$G:$G)</f>
        <v>0</v>
      </c>
      <c r="K113" s="116">
        <v>1</v>
      </c>
      <c r="L113" s="117">
        <f>HLOOKUP(M113,$A$143:$H$144,2)</f>
        <v>400</v>
      </c>
      <c r="M113" s="118" t="s">
        <v>11</v>
      </c>
      <c r="N113" s="231"/>
      <c r="O113" s="232"/>
      <c r="P113" s="231"/>
      <c r="Q113" s="119"/>
    </row>
    <row r="114" spans="1:20" ht="19.149999999999999" customHeight="1">
      <c r="A114" s="47" t="s">
        <v>2104</v>
      </c>
      <c r="B114" s="45" t="s">
        <v>286</v>
      </c>
      <c r="C114" s="47" t="s">
        <v>163</v>
      </c>
      <c r="D114" s="52" t="s">
        <v>64</v>
      </c>
      <c r="E114" s="46">
        <v>44734</v>
      </c>
      <c r="F114" s="113">
        <f t="shared" si="2"/>
        <v>400</v>
      </c>
      <c r="G114" s="114">
        <f>SUMIF(积分汇总!$B:$B,'副主任&amp;工艺组长及其他'!C114,积分汇总!$E:$E)</f>
        <v>0</v>
      </c>
      <c r="H114" s="114">
        <f>SUMIF(记录巡查问题条数汇总!$B:$B,'副主任&amp;工艺组长及其他'!C114,记录巡查问题条数汇总!$E:$E)</f>
        <v>0</v>
      </c>
      <c r="I114" s="115"/>
      <c r="J114" s="114">
        <f>SUMIF(安全质量事故!$B:$B,'副主任&amp;工艺组长及其他'!C114,安全质量事故!$G:$G)</f>
        <v>0</v>
      </c>
      <c r="K114" s="116">
        <v>1</v>
      </c>
      <c r="L114" s="117">
        <f>HLOOKUP(M114,$A$143:$H$144,2)</f>
        <v>400</v>
      </c>
      <c r="M114" s="118" t="s">
        <v>11</v>
      </c>
      <c r="N114" s="127"/>
      <c r="O114" s="128"/>
      <c r="P114" s="129"/>
      <c r="Q114" s="119"/>
    </row>
    <row r="115" spans="1:20" ht="19.149999999999999" customHeight="1">
      <c r="A115" s="47" t="s">
        <v>2104</v>
      </c>
      <c r="B115" s="45" t="s">
        <v>286</v>
      </c>
      <c r="C115" s="47" t="s">
        <v>945</v>
      </c>
      <c r="D115" s="52" t="s">
        <v>75</v>
      </c>
      <c r="E115" s="46">
        <v>44774</v>
      </c>
      <c r="F115" s="113">
        <f t="shared" ref="F115" si="3">(L115*K115+G115+H115+I115-J115)</f>
        <v>400</v>
      </c>
      <c r="G115" s="114">
        <f>SUMIF(积分汇总!$B:$B,'副主任&amp;工艺组长及其他'!C115,积分汇总!$E:$E)</f>
        <v>0</v>
      </c>
      <c r="H115" s="114">
        <f>SUMIF(记录巡查问题条数汇总!$B:$B,'副主任&amp;工艺组长及其他'!C115,记录巡查问题条数汇总!$E:$E)</f>
        <v>0</v>
      </c>
      <c r="I115" s="115"/>
      <c r="J115" s="114">
        <f>SUMIF(安全质量事故!$B:$B,'副主任&amp;工艺组长及其他'!C115,安全质量事故!$G:$G)</f>
        <v>0</v>
      </c>
      <c r="K115" s="116">
        <v>1</v>
      </c>
      <c r="L115" s="117">
        <f>HLOOKUP(M115,$A$143:$H$144,2)</f>
        <v>400</v>
      </c>
      <c r="M115" s="118" t="s">
        <v>11</v>
      </c>
      <c r="N115" s="127"/>
      <c r="O115" s="128"/>
      <c r="P115" s="129"/>
      <c r="Q115" s="119"/>
    </row>
    <row r="116" spans="1:20" ht="19.149999999999999" customHeight="1">
      <c r="A116" s="47" t="s">
        <v>2122</v>
      </c>
      <c r="B116" s="45" t="s">
        <v>286</v>
      </c>
      <c r="C116" s="47" t="s">
        <v>649</v>
      </c>
      <c r="D116" s="52" t="s">
        <v>78</v>
      </c>
      <c r="E116" s="46">
        <v>44774</v>
      </c>
      <c r="F116" s="113">
        <f t="shared" si="2"/>
        <v>400</v>
      </c>
      <c r="G116" s="114">
        <f>SUMIF(积分汇总!$B:$B,'副主任&amp;工艺组长及其他'!C116,积分汇总!$E:$E)</f>
        <v>0</v>
      </c>
      <c r="H116" s="114">
        <f>SUMIF(记录巡查问题条数汇总!$B:$B,'副主任&amp;工艺组长及其他'!C116,记录巡查问题条数汇总!$E:$E)</f>
        <v>0</v>
      </c>
      <c r="I116" s="115"/>
      <c r="J116" s="114">
        <f>SUMIF(安全质量事故!$B:$B,'副主任&amp;工艺组长及其他'!C116,安全质量事故!$G:$G)</f>
        <v>0</v>
      </c>
      <c r="K116" s="116">
        <v>1</v>
      </c>
      <c r="L116" s="117">
        <f>HLOOKUP(M116,$A$143:$H$144,2)</f>
        <v>400</v>
      </c>
      <c r="M116" s="118" t="s">
        <v>11</v>
      </c>
      <c r="N116" s="127"/>
      <c r="O116" s="128"/>
      <c r="P116" s="129"/>
      <c r="Q116" s="119"/>
    </row>
    <row r="117" spans="1:20" ht="19.149999999999999" customHeight="1">
      <c r="A117" s="47" t="s">
        <v>2123</v>
      </c>
      <c r="B117" s="45" t="s">
        <v>286</v>
      </c>
      <c r="C117" s="47" t="s">
        <v>150</v>
      </c>
      <c r="D117" s="52" t="s">
        <v>60</v>
      </c>
      <c r="E117" s="46">
        <v>44734</v>
      </c>
      <c r="F117" s="113">
        <f t="shared" si="2"/>
        <v>400</v>
      </c>
      <c r="G117" s="114">
        <f>SUMIF(积分汇总!$B:$B,'副主任&amp;工艺组长及其他'!C117,积分汇总!$E:$E)</f>
        <v>0</v>
      </c>
      <c r="H117" s="114">
        <f>SUMIF(记录巡查问题条数汇总!$B:$B,'副主任&amp;工艺组长及其他'!C117,记录巡查问题条数汇总!$E:$E)</f>
        <v>0</v>
      </c>
      <c r="I117" s="115"/>
      <c r="J117" s="114">
        <f>SUMIF(安全质量事故!$B:$B,'副主任&amp;工艺组长及其他'!C117,安全质量事故!$G:$G)</f>
        <v>0</v>
      </c>
      <c r="K117" s="116">
        <v>1</v>
      </c>
      <c r="L117" s="117">
        <f>HLOOKUP(M117,$A$143:$H$144,2)</f>
        <v>400</v>
      </c>
      <c r="M117" s="118" t="s">
        <v>11</v>
      </c>
      <c r="N117" s="127"/>
      <c r="O117" s="128"/>
      <c r="P117" s="129"/>
      <c r="Q117" s="119"/>
    </row>
    <row r="118" spans="1:20" ht="19.5" customHeight="1">
      <c r="A118" s="47" t="s">
        <v>2125</v>
      </c>
      <c r="B118" s="47" t="s">
        <v>56</v>
      </c>
      <c r="C118" s="45" t="s">
        <v>145</v>
      </c>
      <c r="D118" s="52" t="s">
        <v>21</v>
      </c>
      <c r="E118" s="46">
        <v>41576</v>
      </c>
      <c r="F118" s="113">
        <f t="shared" si="2"/>
        <v>400</v>
      </c>
      <c r="G118" s="114">
        <f>SUMIF(积分汇总!$B:$B,'副主任&amp;工艺组长及其他'!C118,积分汇总!$E:$E)</f>
        <v>0</v>
      </c>
      <c r="H118" s="114">
        <f>SUMIF(记录巡查问题条数汇总!$B:$B,'副主任&amp;工艺组长及其他'!C118,记录巡查问题条数汇总!$E:$E)</f>
        <v>0</v>
      </c>
      <c r="I118" s="115"/>
      <c r="J118" s="114">
        <f>SUMIF(安全质量事故!$B:$B,'副主任&amp;工艺组长及其他'!C118,安全质量事故!$G:$G)</f>
        <v>0</v>
      </c>
      <c r="K118" s="116">
        <v>1</v>
      </c>
      <c r="L118" s="117">
        <f>HLOOKUP(M118,$A$143:$H$144,2)</f>
        <v>400</v>
      </c>
      <c r="M118" s="118" t="s">
        <v>11</v>
      </c>
      <c r="N118" s="127"/>
      <c r="O118" s="128"/>
      <c r="P118" s="129"/>
      <c r="Q118" s="119"/>
      <c r="T118" s="120"/>
    </row>
    <row r="119" spans="1:20" ht="19.5" customHeight="1">
      <c r="A119" s="47" t="s">
        <v>2125</v>
      </c>
      <c r="B119" s="45" t="s">
        <v>286</v>
      </c>
      <c r="C119" s="47" t="s">
        <v>317</v>
      </c>
      <c r="D119" s="52" t="s">
        <v>316</v>
      </c>
      <c r="E119" s="46">
        <v>45630</v>
      </c>
      <c r="F119" s="113">
        <f t="shared" si="2"/>
        <v>400</v>
      </c>
      <c r="G119" s="114">
        <f>SUMIF(积分汇总!$B:$B,'副主任&amp;工艺组长及其他'!C119,积分汇总!$E:$E)</f>
        <v>0</v>
      </c>
      <c r="H119" s="114">
        <f>SUMIF(记录巡查问题条数汇总!$B:$B,'副主任&amp;工艺组长及其他'!C119,记录巡查问题条数汇总!$E:$E)</f>
        <v>0</v>
      </c>
      <c r="I119" s="115"/>
      <c r="J119" s="114">
        <f>SUMIF(安全质量事故!$B:$B,'副主任&amp;工艺组长及其他'!C119,安全质量事故!$G:$G)</f>
        <v>0</v>
      </c>
      <c r="K119" s="116">
        <v>1</v>
      </c>
      <c r="L119" s="117">
        <f>HLOOKUP(M119,$A$143:$H$144,2)</f>
        <v>400</v>
      </c>
      <c r="M119" s="118" t="s">
        <v>11</v>
      </c>
      <c r="N119" s="127"/>
      <c r="O119" s="130"/>
      <c r="P119" s="131"/>
      <c r="Q119" s="119"/>
    </row>
    <row r="120" spans="1:20" ht="19.5" customHeight="1">
      <c r="A120" s="47" t="s">
        <v>2125</v>
      </c>
      <c r="B120" s="45" t="s">
        <v>286</v>
      </c>
      <c r="C120" s="47" t="s">
        <v>501</v>
      </c>
      <c r="D120" s="52" t="s">
        <v>462</v>
      </c>
      <c r="E120" s="46">
        <v>45168</v>
      </c>
      <c r="F120" s="113">
        <f t="shared" si="2"/>
        <v>400</v>
      </c>
      <c r="G120" s="114">
        <f>SUMIF(积分汇总!$B:$B,'副主任&amp;工艺组长及其他'!C120,积分汇总!$E:$E)</f>
        <v>0</v>
      </c>
      <c r="H120" s="114">
        <f>SUMIF(记录巡查问题条数汇总!$B:$B,'副主任&amp;工艺组长及其他'!C120,记录巡查问题条数汇总!$E:$E)</f>
        <v>0</v>
      </c>
      <c r="I120" s="115"/>
      <c r="J120" s="114">
        <f>SUMIF(安全质量事故!$B:$B,'副主任&amp;工艺组长及其他'!C120,安全质量事故!$G:$G)</f>
        <v>0</v>
      </c>
      <c r="K120" s="116">
        <v>1</v>
      </c>
      <c r="L120" s="117">
        <f>HLOOKUP(M120,$A$143:$H$144,2)</f>
        <v>400</v>
      </c>
      <c r="M120" s="118" t="s">
        <v>11</v>
      </c>
      <c r="N120" s="127"/>
      <c r="O120" s="130"/>
      <c r="P120" s="131"/>
      <c r="Q120" s="119"/>
    </row>
    <row r="121" spans="1:20" ht="19.5" customHeight="1">
      <c r="A121" s="47" t="s">
        <v>2145</v>
      </c>
      <c r="B121" s="73" t="s">
        <v>1673</v>
      </c>
      <c r="C121" s="73" t="s">
        <v>1674</v>
      </c>
      <c r="D121" s="73" t="s">
        <v>1568</v>
      </c>
      <c r="E121" s="78">
        <v>45756</v>
      </c>
      <c r="F121" s="113">
        <f t="shared" si="2"/>
        <v>400</v>
      </c>
      <c r="G121" s="114">
        <f>SUMIF(积分汇总!$B:$B,'副主任&amp;工艺组长及其他'!C121,积分汇总!$E:$E)</f>
        <v>0</v>
      </c>
      <c r="H121" s="114">
        <f>SUMIF(记录巡查问题条数汇总!$B:$B,'副主任&amp;工艺组长及其他'!C121,记录巡查问题条数汇总!$E:$E)</f>
        <v>0</v>
      </c>
      <c r="I121" s="115"/>
      <c r="J121" s="114">
        <f>SUMIF(安全质量事故!$B:$B,'副主任&amp;工艺组长及其他'!C121,安全质量事故!$G:$G)</f>
        <v>0</v>
      </c>
      <c r="K121" s="116">
        <v>1</v>
      </c>
      <c r="L121" s="117">
        <f>HLOOKUP(M121,$A$143:$H$144,2)</f>
        <v>400</v>
      </c>
      <c r="M121" s="118" t="s">
        <v>11</v>
      </c>
      <c r="N121" s="127"/>
      <c r="O121" s="130"/>
      <c r="P121" s="131"/>
      <c r="Q121" s="123" t="s">
        <v>1675</v>
      </c>
    </row>
    <row r="122" spans="1:20" ht="19.5" customHeight="1">
      <c r="A122" s="47" t="s">
        <v>2145</v>
      </c>
      <c r="B122" s="73" t="s">
        <v>1670</v>
      </c>
      <c r="C122" s="73" t="s">
        <v>1607</v>
      </c>
      <c r="D122" s="73" t="s">
        <v>1608</v>
      </c>
      <c r="E122" s="78">
        <v>46215</v>
      </c>
      <c r="F122" s="113">
        <f t="shared" ref="F122:F129" si="4">(L122*K122+G122+H122+I122-J122)</f>
        <v>200</v>
      </c>
      <c r="G122" s="114">
        <f>SUMIF(积分汇总!$B:$B,'副主任&amp;工艺组长及其他'!C122,积分汇总!$E:$E)</f>
        <v>0</v>
      </c>
      <c r="H122" s="114">
        <f>SUMIF(记录巡查问题条数汇总!$B:$B,'副主任&amp;工艺组长及其他'!C122,记录巡查问题条数汇总!$E:$E)</f>
        <v>0</v>
      </c>
      <c r="I122" s="115"/>
      <c r="J122" s="114">
        <f>SUMIF(安全质量事故!$B:$B,'副主任&amp;工艺组长及其他'!C122,安全质量事故!$G:$G)</f>
        <v>0</v>
      </c>
      <c r="K122" s="116">
        <v>1</v>
      </c>
      <c r="L122" s="117">
        <f>HLOOKUP(M122,$A$143:$H$144,2)</f>
        <v>200</v>
      </c>
      <c r="M122" s="118" t="s">
        <v>15</v>
      </c>
      <c r="N122" s="127"/>
      <c r="O122" s="130"/>
      <c r="P122" s="131"/>
      <c r="Q122" s="123" t="s">
        <v>1675</v>
      </c>
    </row>
    <row r="123" spans="1:20" ht="19.5" customHeight="1">
      <c r="A123" s="47" t="s">
        <v>2145</v>
      </c>
      <c r="B123" s="73" t="s">
        <v>1670</v>
      </c>
      <c r="C123" s="73" t="s">
        <v>1613</v>
      </c>
      <c r="D123" s="73" t="s">
        <v>1614</v>
      </c>
      <c r="E123" s="78">
        <v>46215</v>
      </c>
      <c r="F123" s="113">
        <f t="shared" si="4"/>
        <v>200</v>
      </c>
      <c r="G123" s="114">
        <f>SUMIF(积分汇总!$B:$B,'副主任&amp;工艺组长及其他'!C123,积分汇总!$E:$E)</f>
        <v>0</v>
      </c>
      <c r="H123" s="114">
        <f>SUMIF(记录巡查问题条数汇总!$B:$B,'副主任&amp;工艺组长及其他'!C123,记录巡查问题条数汇总!$E:$E)</f>
        <v>0</v>
      </c>
      <c r="I123" s="115"/>
      <c r="J123" s="114">
        <f>SUMIF(安全质量事故!$B:$B,'副主任&amp;工艺组长及其他'!C123,安全质量事故!$G:$G)</f>
        <v>0</v>
      </c>
      <c r="K123" s="116">
        <v>1</v>
      </c>
      <c r="L123" s="117">
        <f>HLOOKUP(M123,$A$143:$H$144,2)</f>
        <v>200</v>
      </c>
      <c r="M123" s="118" t="s">
        <v>15</v>
      </c>
      <c r="N123" s="127"/>
      <c r="O123" s="130"/>
      <c r="P123" s="131"/>
      <c r="Q123" s="123" t="s">
        <v>1649</v>
      </c>
    </row>
    <row r="124" spans="1:20" ht="19.5" customHeight="1">
      <c r="A124" s="47" t="e">
        <v>#N/A</v>
      </c>
      <c r="B124" s="73" t="s">
        <v>1670</v>
      </c>
      <c r="C124" s="296" t="s">
        <v>1575</v>
      </c>
      <c r="D124" s="73" t="s">
        <v>1576</v>
      </c>
      <c r="E124" s="78">
        <v>46204</v>
      </c>
      <c r="F124" s="113">
        <f t="shared" si="4"/>
        <v>200</v>
      </c>
      <c r="G124" s="114">
        <f>SUMIF(积分汇总!$B:$B,'副主任&amp;工艺组长及其他'!C124,积分汇总!$E:$E)</f>
        <v>0</v>
      </c>
      <c r="H124" s="114">
        <f>SUMIF(记录巡查问题条数汇总!$B:$B,'副主任&amp;工艺组长及其他'!C124,记录巡查问题条数汇总!$E:$E)</f>
        <v>0</v>
      </c>
      <c r="I124" s="115"/>
      <c r="J124" s="114">
        <f>SUMIF(安全质量事故!$B:$B,'副主任&amp;工艺组长及其他'!C124,安全质量事故!$G:$G)</f>
        <v>0</v>
      </c>
      <c r="K124" s="116">
        <v>1</v>
      </c>
      <c r="L124" s="117">
        <f>HLOOKUP(M124,$A$143:$H$144,2)</f>
        <v>200</v>
      </c>
      <c r="M124" s="118" t="s">
        <v>15</v>
      </c>
      <c r="N124" s="127"/>
      <c r="O124" s="130"/>
      <c r="P124" s="131"/>
      <c r="Q124" s="212" t="s">
        <v>2102</v>
      </c>
    </row>
    <row r="125" spans="1:20" ht="19.5" customHeight="1">
      <c r="A125" s="47" t="s">
        <v>2145</v>
      </c>
      <c r="B125" s="73" t="s">
        <v>1670</v>
      </c>
      <c r="C125" s="73" t="s">
        <v>1728</v>
      </c>
      <c r="D125" s="73" t="s">
        <v>1729</v>
      </c>
      <c r="E125" s="78">
        <v>46197</v>
      </c>
      <c r="F125" s="113">
        <f t="shared" ref="F125" si="5">(L125*K125+G125+H125+I125-J125)</f>
        <v>200</v>
      </c>
      <c r="G125" s="114">
        <f>SUMIF(积分汇总!$B:$B,'副主任&amp;工艺组长及其他'!C125,积分汇总!$E:$E)</f>
        <v>0</v>
      </c>
      <c r="H125" s="114">
        <f>SUMIF(记录巡查问题条数汇总!$B:$B,'副主任&amp;工艺组长及其他'!C125,记录巡查问题条数汇总!$E:$E)</f>
        <v>0</v>
      </c>
      <c r="I125" s="115"/>
      <c r="J125" s="114">
        <f>SUMIF(安全质量事故!$B:$B,'副主任&amp;工艺组长及其他'!C125,安全质量事故!$G:$G)</f>
        <v>0</v>
      </c>
      <c r="K125" s="116">
        <v>1</v>
      </c>
      <c r="L125" s="117">
        <f>HLOOKUP(M125,$A$143:$H$144,2)</f>
        <v>200</v>
      </c>
      <c r="M125" s="118" t="s">
        <v>15</v>
      </c>
      <c r="N125" s="127"/>
      <c r="O125" s="130"/>
      <c r="P125" s="131"/>
      <c r="Q125" s="212" t="s">
        <v>2102</v>
      </c>
    </row>
    <row r="126" spans="1:20" ht="19.149999999999999" customHeight="1">
      <c r="A126" s="47" t="s">
        <v>2146</v>
      </c>
      <c r="B126" s="47" t="s">
        <v>81</v>
      </c>
      <c r="C126" s="47" t="s">
        <v>82</v>
      </c>
      <c r="D126" s="52" t="s">
        <v>83</v>
      </c>
      <c r="E126" s="46">
        <v>38411</v>
      </c>
      <c r="F126" s="113">
        <f t="shared" si="4"/>
        <v>400</v>
      </c>
      <c r="G126" s="114">
        <f>SUMIF(积分汇总!$B:$B,'副主任&amp;工艺组长及其他'!C126,积分汇总!$E:$E)</f>
        <v>0</v>
      </c>
      <c r="H126" s="114">
        <f>SUMIF(记录巡查问题条数汇总!$B:$B,'副主任&amp;工艺组长及其他'!C126,记录巡查问题条数汇总!$E:$E)</f>
        <v>0</v>
      </c>
      <c r="I126" s="115"/>
      <c r="J126" s="114">
        <f>SUMIF(安全质量事故!$B:$B,'副主任&amp;工艺组长及其他'!C126,安全质量事故!$G:$G)</f>
        <v>0</v>
      </c>
      <c r="K126" s="116">
        <v>1</v>
      </c>
      <c r="L126" s="117">
        <f>HLOOKUP(M126,$A$143:$H$144,2)</f>
        <v>400</v>
      </c>
      <c r="M126" s="118" t="s">
        <v>11</v>
      </c>
      <c r="N126" s="127"/>
      <c r="O126" s="46"/>
      <c r="P126" s="46"/>
      <c r="Q126" s="119"/>
    </row>
    <row r="127" spans="1:20" ht="19.149999999999999" customHeight="1">
      <c r="A127" s="47" t="s">
        <v>2147</v>
      </c>
      <c r="B127" s="47" t="s">
        <v>87</v>
      </c>
      <c r="C127" s="47" t="s">
        <v>925</v>
      </c>
      <c r="D127" s="52" t="s">
        <v>900</v>
      </c>
      <c r="E127" s="46">
        <v>46043</v>
      </c>
      <c r="F127" s="113">
        <f t="shared" si="4"/>
        <v>400</v>
      </c>
      <c r="G127" s="114">
        <f>SUMIF(积分汇总!$B:$B,'副主任&amp;工艺组长及其他'!C127,积分汇总!$E:$E)</f>
        <v>0</v>
      </c>
      <c r="H127" s="114">
        <f>SUMIF(记录巡查问题条数汇总!$B:$B,'副主任&amp;工艺组长及其他'!C127,记录巡查问题条数汇总!$E:$E)</f>
        <v>0</v>
      </c>
      <c r="I127" s="115"/>
      <c r="J127" s="114">
        <f>SUMIF(安全质量事故!$B:$B,'副主任&amp;工艺组长及其他'!C127,安全质量事故!$G:$G)</f>
        <v>0</v>
      </c>
      <c r="K127" s="116">
        <v>1</v>
      </c>
      <c r="L127" s="117">
        <f>HLOOKUP(M127,$A$143:$H$144,2)</f>
        <v>400</v>
      </c>
      <c r="M127" s="118" t="s">
        <v>11</v>
      </c>
      <c r="N127" s="127"/>
      <c r="O127" s="46"/>
      <c r="P127" s="46"/>
      <c r="Q127" s="119"/>
    </row>
    <row r="128" spans="1:20" ht="19.149999999999999" customHeight="1">
      <c r="A128" s="47" t="s">
        <v>2148</v>
      </c>
      <c r="B128" s="47" t="s">
        <v>87</v>
      </c>
      <c r="C128" s="47" t="s">
        <v>1014</v>
      </c>
      <c r="D128" s="52" t="s">
        <v>1015</v>
      </c>
      <c r="E128" s="46">
        <v>46085</v>
      </c>
      <c r="F128" s="113">
        <f t="shared" si="4"/>
        <v>400</v>
      </c>
      <c r="G128" s="114">
        <f>SUMIF(积分汇总!$B:$B,'副主任&amp;工艺组长及其他'!C128,积分汇总!$E:$E)</f>
        <v>0</v>
      </c>
      <c r="H128" s="114">
        <f>SUMIF(记录巡查问题条数汇总!$B:$B,'副主任&amp;工艺组长及其他'!C128,记录巡查问题条数汇总!$E:$E)</f>
        <v>0</v>
      </c>
      <c r="I128" s="115"/>
      <c r="J128" s="114">
        <f>SUMIF(安全质量事故!$B:$B,'副主任&amp;工艺组长及其他'!C128,安全质量事故!$G:$G)</f>
        <v>0</v>
      </c>
      <c r="K128" s="116">
        <v>1</v>
      </c>
      <c r="L128" s="117">
        <f>HLOOKUP(M128,$A$143:$H$144,2)</f>
        <v>400</v>
      </c>
      <c r="M128" s="118" t="s">
        <v>11</v>
      </c>
      <c r="N128" s="127"/>
      <c r="O128" s="46"/>
      <c r="P128" s="46"/>
      <c r="Q128" s="119"/>
    </row>
    <row r="129" spans="1:17" ht="19.149999999999999" customHeight="1">
      <c r="A129" s="47" t="s">
        <v>2149</v>
      </c>
      <c r="B129" s="47" t="s">
        <v>87</v>
      </c>
      <c r="C129" s="47" t="s">
        <v>1016</v>
      </c>
      <c r="D129" s="52" t="s">
        <v>1017</v>
      </c>
      <c r="E129" s="46">
        <v>46092</v>
      </c>
      <c r="F129" s="113">
        <f t="shared" si="4"/>
        <v>400</v>
      </c>
      <c r="G129" s="114">
        <f>SUMIF(积分汇总!$B:$B,'副主任&amp;工艺组长及其他'!C129,积分汇总!$E:$E)</f>
        <v>0</v>
      </c>
      <c r="H129" s="114">
        <f>SUMIF(记录巡查问题条数汇总!$B:$B,'副主任&amp;工艺组长及其他'!C129,记录巡查问题条数汇总!$E:$E)</f>
        <v>0</v>
      </c>
      <c r="I129" s="115"/>
      <c r="J129" s="114">
        <f>SUMIF(安全质量事故!$B:$B,'副主任&amp;工艺组长及其他'!C129,安全质量事故!$G:$G)</f>
        <v>0</v>
      </c>
      <c r="K129" s="116">
        <v>1</v>
      </c>
      <c r="L129" s="117">
        <f>HLOOKUP(M129,$A$143:$H$144,2)</f>
        <v>400</v>
      </c>
      <c r="M129" s="118" t="s">
        <v>11</v>
      </c>
      <c r="N129" s="127"/>
      <c r="O129" s="46"/>
      <c r="P129" s="46"/>
      <c r="Q129" s="119"/>
    </row>
    <row r="130" spans="1:17">
      <c r="C130" s="133"/>
      <c r="D130" s="133"/>
      <c r="E130" s="133"/>
      <c r="F130" s="134">
        <f>SUM(F2:F129)</f>
        <v>45058.06451612903</v>
      </c>
      <c r="G130" s="135"/>
      <c r="H130" s="135"/>
      <c r="I130" s="135"/>
      <c r="J130" s="135"/>
      <c r="K130" s="135"/>
      <c r="L130" s="136"/>
      <c r="M130" s="137"/>
      <c r="N130" s="135"/>
      <c r="O130" s="138">
        <f>SUM(O2:O129)</f>
        <v>367.72</v>
      </c>
      <c r="P130" s="139">
        <f>AVERAGE(P2:P75)</f>
        <v>0.57650000000000001</v>
      </c>
    </row>
    <row r="131" spans="1:17">
      <c r="F131" s="141">
        <f>一线人员!F807</f>
        <v>0</v>
      </c>
      <c r="G131" s="142">
        <f>SUM(G2:G129)</f>
        <v>0</v>
      </c>
      <c r="P131" s="145"/>
    </row>
    <row r="132" spans="1:17">
      <c r="F132" s="141">
        <f>F131+F130</f>
        <v>45058.06451612903</v>
      </c>
      <c r="G132" s="142"/>
    </row>
    <row r="134" spans="1:17" ht="17.25" thickBot="1">
      <c r="P134" s="146"/>
    </row>
    <row r="135" spans="1:17">
      <c r="A135" s="147" t="s">
        <v>1676</v>
      </c>
      <c r="B135" s="148"/>
      <c r="C135" s="149" t="s">
        <v>17</v>
      </c>
    </row>
    <row r="136" spans="1:17">
      <c r="A136" s="150">
        <v>0</v>
      </c>
      <c r="B136" s="151">
        <v>0.3</v>
      </c>
      <c r="C136" s="152" t="s">
        <v>16</v>
      </c>
      <c r="I136" s="67"/>
      <c r="J136" s="67"/>
      <c r="K136" s="67"/>
      <c r="L136" s="153"/>
      <c r="M136" s="67"/>
      <c r="N136" s="67"/>
      <c r="O136" s="67"/>
      <c r="P136" s="67"/>
    </row>
    <row r="137" spans="1:17">
      <c r="A137" s="150">
        <v>0.3</v>
      </c>
      <c r="B137" s="151">
        <v>0.45</v>
      </c>
      <c r="C137" s="154" t="s">
        <v>15</v>
      </c>
      <c r="I137" s="67"/>
      <c r="J137" s="67"/>
      <c r="K137" s="67"/>
      <c r="L137" s="153"/>
      <c r="M137" s="67"/>
      <c r="N137" s="67"/>
      <c r="O137" s="67"/>
      <c r="P137" s="67"/>
    </row>
    <row r="138" spans="1:17">
      <c r="A138" s="150">
        <v>0.45</v>
      </c>
      <c r="B138" s="151">
        <v>0.7</v>
      </c>
      <c r="C138" s="154" t="s">
        <v>11</v>
      </c>
      <c r="I138" s="67"/>
      <c r="J138" s="67"/>
      <c r="K138" s="67"/>
      <c r="L138" s="153"/>
      <c r="M138" s="67"/>
      <c r="N138" s="67"/>
      <c r="O138" s="67"/>
      <c r="P138" s="67"/>
    </row>
    <row r="139" spans="1:17" ht="17.25" thickBot="1">
      <c r="A139" s="155">
        <v>0.7</v>
      </c>
      <c r="B139" s="156">
        <v>1</v>
      </c>
      <c r="C139" s="157" t="s">
        <v>12</v>
      </c>
      <c r="I139" s="67"/>
      <c r="J139" s="67"/>
      <c r="K139" s="67"/>
      <c r="L139" s="153"/>
      <c r="M139" s="67"/>
      <c r="N139" s="67"/>
      <c r="O139" s="67"/>
      <c r="P139" s="67"/>
    </row>
    <row r="142" spans="1:17" ht="17.25" thickBot="1"/>
    <row r="143" spans="1:17">
      <c r="A143" s="158" t="s">
        <v>12</v>
      </c>
      <c r="B143" s="159"/>
      <c r="C143" s="160" t="s">
        <v>11</v>
      </c>
      <c r="D143" s="159"/>
      <c r="E143" s="160" t="s">
        <v>15</v>
      </c>
      <c r="F143" s="161"/>
      <c r="G143" s="274" t="s">
        <v>16</v>
      </c>
      <c r="H143" s="275"/>
      <c r="I143" s="67"/>
      <c r="J143" s="67"/>
      <c r="K143" s="67"/>
      <c r="L143" s="153"/>
      <c r="M143" s="67"/>
      <c r="N143" s="67"/>
      <c r="O143" s="67"/>
      <c r="P143" s="67"/>
    </row>
    <row r="144" spans="1:17" ht="17.25" thickBot="1">
      <c r="A144" s="162">
        <v>600</v>
      </c>
      <c r="B144" s="163"/>
      <c r="C144" s="164">
        <v>400</v>
      </c>
      <c r="D144" s="163"/>
      <c r="E144" s="164">
        <v>200</v>
      </c>
      <c r="F144" s="165"/>
      <c r="G144" s="270">
        <v>0</v>
      </c>
      <c r="H144" s="271"/>
      <c r="I144" s="67"/>
      <c r="J144" s="67"/>
      <c r="K144" s="67"/>
      <c r="L144" s="153"/>
      <c r="M144" s="67"/>
      <c r="N144" s="67"/>
      <c r="O144" s="67"/>
      <c r="P144" s="67"/>
    </row>
    <row r="146" spans="1:16" ht="17.25" thickBot="1"/>
    <row r="147" spans="1:16">
      <c r="A147" s="166" t="s">
        <v>1677</v>
      </c>
      <c r="B147" s="167" t="s">
        <v>1678</v>
      </c>
      <c r="C147" s="167"/>
      <c r="D147" s="167"/>
      <c r="E147" s="167"/>
    </row>
    <row r="148" spans="1:16" ht="15.75" customHeight="1">
      <c r="A148" s="168"/>
      <c r="B148" s="169" t="s">
        <v>12</v>
      </c>
      <c r="C148" s="170" t="s">
        <v>11</v>
      </c>
      <c r="D148" s="170" t="s">
        <v>15</v>
      </c>
      <c r="E148" s="171" t="s">
        <v>16</v>
      </c>
      <c r="I148" s="67"/>
      <c r="J148" s="67"/>
      <c r="K148" s="67"/>
      <c r="L148" s="153"/>
      <c r="M148" s="67"/>
      <c r="N148" s="67"/>
      <c r="O148" s="67"/>
      <c r="P148" s="67"/>
    </row>
    <row r="149" spans="1:16">
      <c r="A149" s="100" t="s">
        <v>16</v>
      </c>
      <c r="B149" s="172">
        <v>0</v>
      </c>
      <c r="C149" s="173">
        <v>0.05</v>
      </c>
      <c r="D149" s="173">
        <v>0.95</v>
      </c>
      <c r="E149" s="174">
        <v>0</v>
      </c>
      <c r="I149" s="67"/>
      <c r="J149" s="67"/>
      <c r="K149" s="67"/>
      <c r="L149" s="153"/>
      <c r="M149" s="67"/>
      <c r="N149" s="67"/>
      <c r="O149" s="67"/>
      <c r="P149" s="67"/>
    </row>
    <row r="150" spans="1:16">
      <c r="A150" s="216" t="s">
        <v>15</v>
      </c>
      <c r="B150" s="172">
        <v>0</v>
      </c>
      <c r="C150" s="173">
        <v>0.25</v>
      </c>
      <c r="D150" s="173">
        <v>0.75</v>
      </c>
      <c r="E150" s="174">
        <v>0</v>
      </c>
      <c r="I150" s="67"/>
      <c r="J150" s="67"/>
      <c r="K150" s="67"/>
      <c r="L150" s="153"/>
      <c r="M150" s="67"/>
      <c r="N150" s="67"/>
      <c r="O150" s="67"/>
      <c r="P150" s="67"/>
    </row>
    <row r="151" spans="1:16">
      <c r="A151" s="217" t="s">
        <v>11</v>
      </c>
      <c r="B151" s="218">
        <v>0.05</v>
      </c>
      <c r="C151" s="219">
        <v>0.85</v>
      </c>
      <c r="D151" s="219">
        <v>0.1</v>
      </c>
      <c r="E151" s="220">
        <v>0</v>
      </c>
      <c r="I151" s="67"/>
      <c r="J151" s="67"/>
      <c r="K151" s="67"/>
      <c r="L151" s="153"/>
      <c r="M151" s="67"/>
      <c r="N151" s="67"/>
      <c r="O151" s="67"/>
      <c r="P151" s="67"/>
    </row>
    <row r="152" spans="1:16" ht="17.25" thickBot="1">
      <c r="A152" s="175" t="s">
        <v>12</v>
      </c>
      <c r="B152" s="176">
        <v>0.15</v>
      </c>
      <c r="C152" s="177">
        <v>0.8</v>
      </c>
      <c r="D152" s="177">
        <v>0.05</v>
      </c>
      <c r="E152" s="178">
        <v>0</v>
      </c>
      <c r="F152" s="179"/>
      <c r="G152" s="67"/>
      <c r="H152" s="67"/>
      <c r="I152" s="67"/>
      <c r="J152" s="67"/>
      <c r="K152" s="67"/>
      <c r="L152" s="153"/>
      <c r="M152" s="67"/>
      <c r="N152" s="67"/>
      <c r="O152" s="67"/>
      <c r="P152" s="67"/>
    </row>
    <row r="154" spans="1:16">
      <c r="A154" s="67" t="s">
        <v>1679</v>
      </c>
    </row>
    <row r="156" spans="1:16">
      <c r="D156" s="180"/>
    </row>
    <row r="157" spans="1:16">
      <c r="D157" s="180"/>
    </row>
    <row r="158" spans="1:16">
      <c r="D158" s="180"/>
    </row>
    <row r="159" spans="1:16">
      <c r="D159" s="180"/>
    </row>
    <row r="160" spans="1:16">
      <c r="D160" s="180"/>
    </row>
    <row r="161" spans="4:4">
      <c r="D161" s="180"/>
    </row>
    <row r="162" spans="4:4">
      <c r="D162" s="180"/>
    </row>
    <row r="163" spans="4:4">
      <c r="D163" s="180"/>
    </row>
    <row r="164" spans="4:4">
      <c r="D164" s="180"/>
    </row>
    <row r="165" spans="4:4">
      <c r="D165" s="180"/>
    </row>
    <row r="166" spans="4:4">
      <c r="D166" s="180"/>
    </row>
    <row r="167" spans="4:4">
      <c r="D167" s="180"/>
    </row>
    <row r="168" spans="4:4">
      <c r="D168" s="180"/>
    </row>
    <row r="169" spans="4:4">
      <c r="D169" s="180"/>
    </row>
    <row r="170" spans="4:4">
      <c r="D170" s="180"/>
    </row>
    <row r="171" spans="4:4">
      <c r="D171" s="180"/>
    </row>
    <row r="172" spans="4:4">
      <c r="D172" s="180"/>
    </row>
    <row r="173" spans="4:4">
      <c r="D173" s="180"/>
    </row>
    <row r="174" spans="4:4">
      <c r="D174" s="180"/>
    </row>
    <row r="175" spans="4:4">
      <c r="D175" s="180"/>
    </row>
    <row r="176" spans="4:4">
      <c r="D176" s="180"/>
    </row>
    <row r="177" spans="4:4">
      <c r="D177" s="180"/>
    </row>
    <row r="178" spans="4:4">
      <c r="D178" s="180"/>
    </row>
    <row r="179" spans="4:4">
      <c r="D179" s="180"/>
    </row>
    <row r="180" spans="4:4">
      <c r="D180" s="180"/>
    </row>
    <row r="181" spans="4:4">
      <c r="D181" s="180"/>
    </row>
    <row r="182" spans="4:4">
      <c r="D182" s="180"/>
    </row>
    <row r="183" spans="4:4">
      <c r="D183" s="180"/>
    </row>
    <row r="184" spans="4:4">
      <c r="D184" s="180"/>
    </row>
    <row r="185" spans="4:4">
      <c r="D185" s="180"/>
    </row>
    <row r="186" spans="4:4">
      <c r="D186" s="180"/>
    </row>
    <row r="187" spans="4:4">
      <c r="D187" s="180"/>
    </row>
    <row r="188" spans="4:4">
      <c r="D188" s="180"/>
    </row>
    <row r="203" spans="10:10">
      <c r="J203" s="181"/>
    </row>
    <row r="204" spans="10:10">
      <c r="J204" s="181"/>
    </row>
    <row r="205" spans="10:10">
      <c r="J205" s="181"/>
    </row>
    <row r="206" spans="10:10">
      <c r="J206" s="181"/>
    </row>
  </sheetData>
  <sheetProtection formatCells="0" insertHyperlinks="0" autoFilter="0"/>
  <autoFilter ref="A1:T132"/>
  <mergeCells count="14">
    <mergeCell ref="P54:P75"/>
    <mergeCell ref="G144:H144"/>
    <mergeCell ref="P2:P23"/>
    <mergeCell ref="O2:O23"/>
    <mergeCell ref="G143:H143"/>
    <mergeCell ref="N2:N23"/>
    <mergeCell ref="P51:P53"/>
    <mergeCell ref="O51:O53"/>
    <mergeCell ref="N51:N53"/>
    <mergeCell ref="N54:N75"/>
    <mergeCell ref="O54:O75"/>
    <mergeCell ref="N24:N50"/>
    <mergeCell ref="O24:O50"/>
    <mergeCell ref="P24:P50"/>
  </mergeCells>
  <phoneticPr fontId="48" type="noConversion"/>
  <conditionalFormatting sqref="D129:D1048576 D1:D9 D100 D114 D31 D15:D22 D24 D51:D61 D126 D67:D71 D116:D120">
    <cfRule type="duplicateValues" dxfId="4683" priority="371"/>
  </conditionalFormatting>
  <conditionalFormatting sqref="D127">
    <cfRule type="duplicateValues" dxfId="4682" priority="369"/>
  </conditionalFormatting>
  <conditionalFormatting sqref="D128">
    <cfRule type="duplicateValues" dxfId="4681" priority="367"/>
  </conditionalFormatting>
  <conditionalFormatting sqref="D23">
    <cfRule type="duplicateValues" dxfId="4680" priority="25390"/>
  </conditionalFormatting>
  <conditionalFormatting sqref="D11:D13">
    <cfRule type="duplicateValues" dxfId="4679" priority="349"/>
  </conditionalFormatting>
  <conditionalFormatting sqref="D11:D13">
    <cfRule type="duplicateValues" dxfId="4678" priority="348"/>
  </conditionalFormatting>
  <conditionalFormatting sqref="D110">
    <cfRule type="duplicateValues" dxfId="4677" priority="323"/>
  </conditionalFormatting>
  <conditionalFormatting sqref="D110">
    <cfRule type="duplicateValues" dxfId="4676" priority="322"/>
  </conditionalFormatting>
  <conditionalFormatting sqref="D126:D1048576 D114 D1:D9 D31 D89:D90 D15:D22 D24 D51:D61 D97:D100 D93 D105 D67:D71 D108:D109 D116:D120">
    <cfRule type="duplicateValues" dxfId="4675" priority="25824"/>
  </conditionalFormatting>
  <conditionalFormatting sqref="D76">
    <cfRule type="duplicateValues" dxfId="4674" priority="305"/>
  </conditionalFormatting>
  <conditionalFormatting sqref="D65">
    <cfRule type="duplicateValues" dxfId="4673" priority="304"/>
  </conditionalFormatting>
  <conditionalFormatting sqref="D76:D77 D65">
    <cfRule type="duplicateValues" dxfId="4672" priority="307"/>
  </conditionalFormatting>
  <conditionalFormatting sqref="D26">
    <cfRule type="duplicateValues" dxfId="4671" priority="27348"/>
  </conditionalFormatting>
  <conditionalFormatting sqref="D33">
    <cfRule type="duplicateValues" dxfId="4670" priority="205"/>
  </conditionalFormatting>
  <conditionalFormatting sqref="D72">
    <cfRule type="duplicateValues" dxfId="4669" priority="200"/>
  </conditionalFormatting>
  <conditionalFormatting sqref="D72">
    <cfRule type="duplicateValues" dxfId="4668" priority="199"/>
  </conditionalFormatting>
  <conditionalFormatting sqref="D96">
    <cfRule type="duplicateValues" dxfId="4667" priority="167"/>
  </conditionalFormatting>
  <conditionalFormatting sqref="D96">
    <cfRule type="duplicateValues" dxfId="4666" priority="168"/>
  </conditionalFormatting>
  <conditionalFormatting sqref="D126:D1048576 D1:D9 D89:D90 D93:D100 D105 D67:D74 D76:D78 D65 D11:D13 D51:D61 D26:D28 D108:D112 D15:D24 D116:D120 D31:D33 D114">
    <cfRule type="duplicateValues" dxfId="4665" priority="162"/>
  </conditionalFormatting>
  <conditionalFormatting sqref="D123 D121">
    <cfRule type="duplicateValues" dxfId="4664" priority="161"/>
  </conditionalFormatting>
  <conditionalFormatting sqref="D24">
    <cfRule type="duplicateValues" dxfId="4663" priority="157"/>
  </conditionalFormatting>
  <conditionalFormatting sqref="D25">
    <cfRule type="duplicateValues" dxfId="4662" priority="155"/>
  </conditionalFormatting>
  <conditionalFormatting sqref="D25">
    <cfRule type="duplicateValues" dxfId="4661" priority="156"/>
  </conditionalFormatting>
  <conditionalFormatting sqref="D25">
    <cfRule type="duplicateValues" dxfId="4660" priority="154"/>
  </conditionalFormatting>
  <conditionalFormatting sqref="D122">
    <cfRule type="duplicateValues" dxfId="4659" priority="153"/>
  </conditionalFormatting>
  <conditionalFormatting sqref="D34">
    <cfRule type="duplicateValues" dxfId="4658" priority="152"/>
  </conditionalFormatting>
  <conditionalFormatting sqref="D34">
    <cfRule type="duplicateValues" dxfId="4657" priority="151"/>
  </conditionalFormatting>
  <conditionalFormatting sqref="D91">
    <cfRule type="duplicateValues" dxfId="4656" priority="113"/>
  </conditionalFormatting>
  <conditionalFormatting sqref="D91">
    <cfRule type="duplicateValues" dxfId="4655" priority="114"/>
  </conditionalFormatting>
  <conditionalFormatting sqref="D92">
    <cfRule type="duplicateValues" dxfId="4654" priority="111"/>
  </conditionalFormatting>
  <conditionalFormatting sqref="D92">
    <cfRule type="duplicateValues" dxfId="4653" priority="112"/>
  </conditionalFormatting>
  <conditionalFormatting sqref="D91:D92">
    <cfRule type="duplicateValues" dxfId="4652" priority="110"/>
  </conditionalFormatting>
  <conditionalFormatting sqref="D101:D104">
    <cfRule type="duplicateValues" dxfId="4651" priority="105"/>
  </conditionalFormatting>
  <conditionalFormatting sqref="D101:D104">
    <cfRule type="duplicateValues" dxfId="4650" priority="106"/>
  </conditionalFormatting>
  <conditionalFormatting sqref="D101:D104">
    <cfRule type="duplicateValues" dxfId="4649" priority="104"/>
  </conditionalFormatting>
  <conditionalFormatting sqref="D62">
    <cfRule type="duplicateValues" dxfId="4648" priority="96"/>
  </conditionalFormatting>
  <conditionalFormatting sqref="D62">
    <cfRule type="duplicateValues" dxfId="4647" priority="97"/>
  </conditionalFormatting>
  <conditionalFormatting sqref="D66 D62:D64">
    <cfRule type="duplicateValues" dxfId="4646" priority="93"/>
  </conditionalFormatting>
  <conditionalFormatting sqref="D10">
    <cfRule type="duplicateValues" dxfId="4645" priority="89"/>
  </conditionalFormatting>
  <conditionalFormatting sqref="D10">
    <cfRule type="duplicateValues" dxfId="4644" priority="90"/>
  </conditionalFormatting>
  <conditionalFormatting sqref="D10">
    <cfRule type="duplicateValues" dxfId="4643" priority="88"/>
  </conditionalFormatting>
  <conditionalFormatting sqref="D75">
    <cfRule type="duplicateValues" dxfId="4642" priority="86"/>
  </conditionalFormatting>
  <conditionalFormatting sqref="D75">
    <cfRule type="duplicateValues" dxfId="4641" priority="87"/>
  </conditionalFormatting>
  <conditionalFormatting sqref="D75">
    <cfRule type="duplicateValues" dxfId="4640" priority="85"/>
  </conditionalFormatting>
  <conditionalFormatting sqref="D32">
    <cfRule type="duplicateValues" dxfId="4639" priority="35344"/>
  </conditionalFormatting>
  <conditionalFormatting sqref="D107">
    <cfRule type="duplicateValues" dxfId="4638" priority="60"/>
  </conditionalFormatting>
  <conditionalFormatting sqref="D107">
    <cfRule type="duplicateValues" dxfId="4637" priority="61"/>
  </conditionalFormatting>
  <conditionalFormatting sqref="D106">
    <cfRule type="duplicateValues" dxfId="4636" priority="35388"/>
  </conditionalFormatting>
  <conditionalFormatting sqref="D106">
    <cfRule type="duplicateValues" dxfId="4635" priority="35389"/>
  </conditionalFormatting>
  <conditionalFormatting sqref="D125">
    <cfRule type="duplicateValues" dxfId="4634" priority="59"/>
  </conditionalFormatting>
  <conditionalFormatting sqref="D124">
    <cfRule type="duplicateValues" dxfId="4633" priority="58"/>
  </conditionalFormatting>
  <conditionalFormatting sqref="D39">
    <cfRule type="duplicateValues" dxfId="4632" priority="51"/>
  </conditionalFormatting>
  <conditionalFormatting sqref="D39">
    <cfRule type="duplicateValues" dxfId="4631" priority="50"/>
  </conditionalFormatting>
  <conditionalFormatting sqref="D39">
    <cfRule type="duplicateValues" dxfId="4630" priority="52"/>
    <cfRule type="duplicateValues" dxfId="4629" priority="53"/>
  </conditionalFormatting>
  <conditionalFormatting sqref="D39">
    <cfRule type="duplicateValues" dxfId="4628" priority="54"/>
  </conditionalFormatting>
  <conditionalFormatting sqref="D40:D41">
    <cfRule type="duplicateValues" dxfId="4627" priority="55"/>
  </conditionalFormatting>
  <conditionalFormatting sqref="D40:D41">
    <cfRule type="duplicateValues" dxfId="4626" priority="56"/>
    <cfRule type="duplicateValues" dxfId="4625" priority="57"/>
  </conditionalFormatting>
  <conditionalFormatting sqref="D39:D41">
    <cfRule type="duplicateValues" dxfId="4624" priority="49"/>
  </conditionalFormatting>
  <conditionalFormatting sqref="D36">
    <cfRule type="duplicateValues" dxfId="4623" priority="47"/>
  </conditionalFormatting>
  <conditionalFormatting sqref="D36">
    <cfRule type="duplicateValues" dxfId="4622" priority="48"/>
  </conditionalFormatting>
  <conditionalFormatting sqref="D36">
    <cfRule type="duplicateValues" dxfId="4621" priority="46"/>
  </conditionalFormatting>
  <conditionalFormatting sqref="C45:C50">
    <cfRule type="duplicateValues" dxfId="4620" priority="38"/>
  </conditionalFormatting>
  <conditionalFormatting sqref="D45:D50">
    <cfRule type="duplicateValues" dxfId="4619" priority="39"/>
  </conditionalFormatting>
  <conditionalFormatting sqref="D45:D50">
    <cfRule type="duplicateValues" dxfId="4618" priority="40"/>
  </conditionalFormatting>
  <conditionalFormatting sqref="D45:D50">
    <cfRule type="duplicateValues" dxfId="4617" priority="41"/>
  </conditionalFormatting>
  <conditionalFormatting sqref="D45:D50">
    <cfRule type="duplicateValues" dxfId="4616" priority="42"/>
    <cfRule type="duplicateValues" dxfId="4615" priority="43"/>
  </conditionalFormatting>
  <conditionalFormatting sqref="D45:D50">
    <cfRule type="duplicateValues" dxfId="4614" priority="44"/>
  </conditionalFormatting>
  <conditionalFormatting sqref="D45:D50">
    <cfRule type="duplicateValues" dxfId="4613" priority="45"/>
  </conditionalFormatting>
  <conditionalFormatting sqref="D45:D50">
    <cfRule type="duplicateValues" dxfId="4612" priority="37"/>
  </conditionalFormatting>
  <conditionalFormatting sqref="D45:D50">
    <cfRule type="duplicateValues" dxfId="4611" priority="36"/>
  </conditionalFormatting>
  <conditionalFormatting sqref="C79:C88">
    <cfRule type="duplicateValues" dxfId="4610" priority="28"/>
  </conditionalFormatting>
  <conditionalFormatting sqref="D79:D88">
    <cfRule type="duplicateValues" dxfId="4609" priority="29"/>
  </conditionalFormatting>
  <conditionalFormatting sqref="D79:D88">
    <cfRule type="duplicateValues" dxfId="4608" priority="30"/>
  </conditionalFormatting>
  <conditionalFormatting sqref="D79:D88">
    <cfRule type="duplicateValues" dxfId="4607" priority="31"/>
  </conditionalFormatting>
  <conditionalFormatting sqref="D79:D88">
    <cfRule type="duplicateValues" dxfId="4606" priority="32"/>
    <cfRule type="duplicateValues" dxfId="4605" priority="33"/>
  </conditionalFormatting>
  <conditionalFormatting sqref="D79:D88">
    <cfRule type="duplicateValues" dxfId="4604" priority="34"/>
  </conditionalFormatting>
  <conditionalFormatting sqref="D79:D88">
    <cfRule type="duplicateValues" dxfId="4603" priority="35"/>
  </conditionalFormatting>
  <conditionalFormatting sqref="D79:D88">
    <cfRule type="duplicateValues" dxfId="4602" priority="27"/>
  </conditionalFormatting>
  <conditionalFormatting sqref="D79:D88">
    <cfRule type="duplicateValues" dxfId="4601" priority="26"/>
  </conditionalFormatting>
  <conditionalFormatting sqref="D14">
    <cfRule type="duplicateValues" dxfId="4600" priority="24"/>
  </conditionalFormatting>
  <conditionalFormatting sqref="D14">
    <cfRule type="duplicateValues" dxfId="4599" priority="25"/>
  </conditionalFormatting>
  <conditionalFormatting sqref="D14">
    <cfRule type="duplicateValues" dxfId="4598" priority="23"/>
  </conditionalFormatting>
  <conditionalFormatting sqref="D115">
    <cfRule type="duplicateValues" dxfId="4597" priority="21"/>
  </conditionalFormatting>
  <conditionalFormatting sqref="D115">
    <cfRule type="duplicateValues" dxfId="4596" priority="22"/>
  </conditionalFormatting>
  <conditionalFormatting sqref="D115">
    <cfRule type="duplicateValues" dxfId="4595" priority="20"/>
  </conditionalFormatting>
  <conditionalFormatting sqref="D108:D109 D89:D90 D105 D97:D99 D93">
    <cfRule type="duplicateValues" dxfId="4594" priority="44095"/>
  </conditionalFormatting>
  <conditionalFormatting sqref="D29">
    <cfRule type="duplicateValues" dxfId="4593" priority="15"/>
  </conditionalFormatting>
  <conditionalFormatting sqref="D29">
    <cfRule type="duplicateValues" dxfId="4592" priority="14"/>
  </conditionalFormatting>
  <conditionalFormatting sqref="D30">
    <cfRule type="duplicateValues" dxfId="4591" priority="12"/>
  </conditionalFormatting>
  <conditionalFormatting sqref="D30">
    <cfRule type="duplicateValues" dxfId="4590" priority="11"/>
  </conditionalFormatting>
  <conditionalFormatting sqref="D30">
    <cfRule type="duplicateValues" dxfId="4589" priority="13"/>
  </conditionalFormatting>
  <conditionalFormatting sqref="D29">
    <cfRule type="duplicateValues" dxfId="4588" priority="16"/>
  </conditionalFormatting>
  <conditionalFormatting sqref="D44">
    <cfRule type="duplicateValues" dxfId="4587" priority="8"/>
  </conditionalFormatting>
  <conditionalFormatting sqref="D44">
    <cfRule type="duplicateValues" dxfId="4586" priority="9"/>
  </conditionalFormatting>
  <conditionalFormatting sqref="D43">
    <cfRule type="duplicateValues" dxfId="4585" priority="7"/>
  </conditionalFormatting>
  <conditionalFormatting sqref="D43">
    <cfRule type="duplicateValues" dxfId="4584" priority="6"/>
  </conditionalFormatting>
  <conditionalFormatting sqref="D43:D44">
    <cfRule type="duplicateValues" dxfId="4583" priority="5"/>
  </conditionalFormatting>
  <conditionalFormatting sqref="D42">
    <cfRule type="duplicateValues" dxfId="4582" priority="4"/>
  </conditionalFormatting>
  <conditionalFormatting sqref="D113">
    <cfRule type="duplicateValues" dxfId="4581" priority="2"/>
  </conditionalFormatting>
  <conditionalFormatting sqref="D113">
    <cfRule type="duplicateValues" dxfId="4580" priority="3"/>
  </conditionalFormatting>
  <conditionalFormatting sqref="D113">
    <cfRule type="duplicateValues" dxfId="4579" priority="1"/>
  </conditionalFormatting>
  <dataValidations count="3">
    <dataValidation type="list" allowBlank="1" showInputMessage="1" showErrorMessage="1" sqref="B126:B129 B100 B15:B23 B67:B74 B5:B10 B51:B61 B76 B26:B28 B36:B44">
      <formula1>"主管,副主管,主任,副主任,工艺组长,工程师,助工"</formula1>
    </dataValidation>
    <dataValidation type="list" allowBlank="1" showInputMessage="1" showErrorMessage="1" sqref="B2:B4 B66 B118 B11:B14 B24:B25 B31:B35 B113 B62:B64">
      <formula1>"主管,副主管,主任,工艺组长,副主任,工程师,助工"</formula1>
    </dataValidation>
    <dataValidation type="list" allowBlank="1" showInputMessage="1" showErrorMessage="1" sqref="M2:M129">
      <formula1>"A,B,C,D,取消"</formula1>
    </dataValidation>
  </dataValidations>
  <pageMargins left="0.7" right="0.7" top="0.75" bottom="0.75" header="0.3" footer="0.3"/>
  <pageSetup paperSize="9" scale="51" orientation="portrait" r:id="rId1"/>
  <customProperties>
    <customPr name="BudgetSheetCodeName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V833"/>
  <sheetViews>
    <sheetView tabSelected="1" zoomScale="80" zoomScaleNormal="80" workbookViewId="0">
      <selection activeCell="AD21" sqref="AD21"/>
    </sheetView>
  </sheetViews>
  <sheetFormatPr defaultColWidth="9" defaultRowHeight="21" customHeight="1" outlineLevelCol="1"/>
  <cols>
    <col min="1" max="1" width="24.75" style="62" customWidth="1"/>
    <col min="2" max="2" width="10.875" style="62" customWidth="1"/>
    <col min="3" max="3" width="10.25" style="63" customWidth="1"/>
    <col min="4" max="4" width="10.625" style="63" customWidth="1"/>
    <col min="5" max="5" width="10.5" style="63" customWidth="1"/>
    <col min="6" max="6" width="9.75" style="97" customWidth="1"/>
    <col min="7" max="7" width="8.375" style="96" hidden="1" customWidth="1" outlineLevel="1"/>
    <col min="8" max="10" width="6.75" style="96" hidden="1" customWidth="1" outlineLevel="1"/>
    <col min="11" max="11" width="9.75" style="97" customWidth="1" collapsed="1"/>
    <col min="12" max="41" width="4.75" style="53" customWidth="1"/>
    <col min="42" max="42" width="4.75" style="53" hidden="1" customWidth="1"/>
    <col min="43" max="43" width="20.125" style="53" customWidth="1"/>
    <col min="44" max="44" width="14.875" style="51" customWidth="1"/>
    <col min="45" max="46" width="12.625" style="51" customWidth="1"/>
    <col min="47" max="47" width="30.625" style="76" customWidth="1" outlineLevel="1"/>
    <col min="48" max="48" width="33.875" style="41" customWidth="1" outlineLevel="1"/>
    <col min="49" max="16384" width="9" style="41"/>
  </cols>
  <sheetData>
    <row r="1" spans="1:48" ht="21" customHeight="1">
      <c r="F1" s="222">
        <f>SUM(F100:F1451)</f>
        <v>0</v>
      </c>
    </row>
    <row r="2" spans="1:48" ht="21" customHeight="1">
      <c r="A2" s="288" t="s">
        <v>2151</v>
      </c>
      <c r="B2" s="291" t="s">
        <v>670</v>
      </c>
      <c r="C2" s="290" t="s">
        <v>1019</v>
      </c>
      <c r="D2" s="287" t="s">
        <v>3</v>
      </c>
      <c r="E2" s="290" t="s">
        <v>1020</v>
      </c>
      <c r="F2" s="287" t="s">
        <v>1021</v>
      </c>
      <c r="G2" s="286" t="s">
        <v>1022</v>
      </c>
      <c r="H2" s="286" t="s">
        <v>4</v>
      </c>
      <c r="I2" s="286" t="s">
        <v>1023</v>
      </c>
      <c r="J2" s="286" t="s">
        <v>1024</v>
      </c>
      <c r="K2" s="287" t="s">
        <v>1025</v>
      </c>
      <c r="L2" s="282" t="s">
        <v>2107</v>
      </c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187"/>
    </row>
    <row r="3" spans="1:48" ht="24.75" customHeight="1">
      <c r="A3" s="289"/>
      <c r="B3" s="291"/>
      <c r="C3" s="290"/>
      <c r="D3" s="287"/>
      <c r="E3" s="290"/>
      <c r="F3" s="287"/>
      <c r="G3" s="286"/>
      <c r="H3" s="286"/>
      <c r="I3" s="286"/>
      <c r="J3" s="286"/>
      <c r="K3" s="287"/>
      <c r="L3" s="42">
        <v>46266</v>
      </c>
      <c r="M3" s="42">
        <v>46267</v>
      </c>
      <c r="N3" s="42">
        <v>46268</v>
      </c>
      <c r="O3" s="42">
        <v>46269</v>
      </c>
      <c r="P3" s="42">
        <v>46270</v>
      </c>
      <c r="Q3" s="42">
        <v>46271</v>
      </c>
      <c r="R3" s="42">
        <v>46272</v>
      </c>
      <c r="S3" s="42">
        <v>46273</v>
      </c>
      <c r="T3" s="42">
        <v>46274</v>
      </c>
      <c r="U3" s="42">
        <v>46275</v>
      </c>
      <c r="V3" s="42">
        <v>46276</v>
      </c>
      <c r="W3" s="42">
        <v>46277</v>
      </c>
      <c r="X3" s="42">
        <v>46278</v>
      </c>
      <c r="Y3" s="42">
        <v>46279</v>
      </c>
      <c r="Z3" s="42">
        <v>46280</v>
      </c>
      <c r="AA3" s="42">
        <v>46281</v>
      </c>
      <c r="AB3" s="42">
        <v>46282</v>
      </c>
      <c r="AC3" s="42">
        <v>46283</v>
      </c>
      <c r="AD3" s="42">
        <v>46284</v>
      </c>
      <c r="AE3" s="42">
        <v>46285</v>
      </c>
      <c r="AF3" s="42">
        <v>46286</v>
      </c>
      <c r="AG3" s="42">
        <v>46287</v>
      </c>
      <c r="AH3" s="42">
        <v>46288</v>
      </c>
      <c r="AI3" s="42">
        <v>46289</v>
      </c>
      <c r="AJ3" s="42">
        <v>46290</v>
      </c>
      <c r="AK3" s="42">
        <v>46291</v>
      </c>
      <c r="AL3" s="42">
        <v>46292</v>
      </c>
      <c r="AM3" s="42">
        <v>46293</v>
      </c>
      <c r="AN3" s="42">
        <v>46294</v>
      </c>
      <c r="AO3" s="42">
        <v>46295</v>
      </c>
      <c r="AP3" s="42">
        <v>46296</v>
      </c>
      <c r="AQ3" s="42" t="s">
        <v>1921</v>
      </c>
      <c r="AU3" s="76" t="s">
        <v>1270</v>
      </c>
      <c r="AV3" s="76" t="s">
        <v>1269</v>
      </c>
    </row>
    <row r="4" spans="1:48" ht="21" customHeight="1">
      <c r="A4" s="227" t="s">
        <v>2143</v>
      </c>
      <c r="B4" s="45" t="s">
        <v>14</v>
      </c>
      <c r="C4" s="46" t="s">
        <v>1768</v>
      </c>
      <c r="D4" s="47" t="s">
        <v>1769</v>
      </c>
      <c r="E4" s="48">
        <v>46215</v>
      </c>
      <c r="F4" s="49">
        <f>(K4+G4+H4+I4-J4)</f>
        <v>0</v>
      </c>
      <c r="G4" s="77">
        <f>SUMIF(积分汇总!$B:$B,#REF!,积分汇总!$E:$E)</f>
        <v>0</v>
      </c>
      <c r="H4" s="77">
        <f>SUMIF(记录巡查问题条数汇总!$B:$B,#REF!,记录巡查问题条数汇总!$E:$E)</f>
        <v>0</v>
      </c>
      <c r="I4" s="77"/>
      <c r="J4" s="77">
        <f>SUMIF(安全质量事故!$B:$B,#REF!,安全质量事故!$G:$G)</f>
        <v>0</v>
      </c>
      <c r="K4" s="72">
        <f>COUNTIF(L4:AP4,标准数据!$A$2)*标准数据!$B$2+COUNTIF(L4:AP4,标准数据!$A$3)*标准数据!$B$3+COUNTIF(L4:AP4,标准数据!$A$4)*标准数据!$B$4</f>
        <v>0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188"/>
      <c r="AQ4" s="90"/>
      <c r="AR4" s="283" t="s">
        <v>2144</v>
      </c>
      <c r="AS4" s="284"/>
      <c r="AT4" s="284"/>
    </row>
    <row r="5" spans="1:48" ht="21" customHeight="1">
      <c r="A5" s="227" t="s">
        <v>2109</v>
      </c>
      <c r="B5" s="45" t="s">
        <v>14</v>
      </c>
      <c r="C5" s="46" t="s">
        <v>1772</v>
      </c>
      <c r="D5" s="47" t="s">
        <v>1773</v>
      </c>
      <c r="E5" s="48">
        <v>46215</v>
      </c>
      <c r="F5" s="49">
        <f>(K5+G5+H5+I5-J5)</f>
        <v>0</v>
      </c>
      <c r="G5" s="77">
        <f>SUMIF(积分汇总!$B:$B,C4,积分汇总!$E:$E)</f>
        <v>0</v>
      </c>
      <c r="H5" s="77">
        <f>SUMIF(记录巡查问题条数汇总!$B:$B,C4,记录巡查问题条数汇总!$E:$E)</f>
        <v>0</v>
      </c>
      <c r="I5" s="77"/>
      <c r="J5" s="77">
        <f>SUMIF(安全质量事故!$B:$B,C4,安全质量事故!$G:$G)</f>
        <v>0</v>
      </c>
      <c r="K5" s="72">
        <f>COUNTIF(L5:AP5,标准数据!$A$2)*标准数据!$B$2+COUNTIF(L5:AP5,标准数据!$A$3)*标准数据!$B$3+COUNTIF(L5:AP5,标准数据!$A$4)*标准数据!$B$4</f>
        <v>0</v>
      </c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188"/>
      <c r="AQ5" s="90"/>
      <c r="AR5" s="43" t="s">
        <v>1031</v>
      </c>
      <c r="AS5" s="44" t="s">
        <v>1027</v>
      </c>
      <c r="AT5" s="44" t="s">
        <v>1028</v>
      </c>
    </row>
    <row r="6" spans="1:48" ht="21" customHeight="1">
      <c r="A6" s="227" t="s">
        <v>2109</v>
      </c>
      <c r="B6" s="45" t="s">
        <v>14</v>
      </c>
      <c r="C6" s="46" t="s">
        <v>1776</v>
      </c>
      <c r="D6" s="47" t="s">
        <v>1777</v>
      </c>
      <c r="E6" s="48">
        <v>46215</v>
      </c>
      <c r="F6" s="49">
        <f>(K6+G6+H6+I6-J6)</f>
        <v>0</v>
      </c>
      <c r="G6" s="77">
        <f>SUMIF(积分汇总!$B:$B,C5,积分汇总!$E:$E)</f>
        <v>0</v>
      </c>
      <c r="H6" s="77">
        <f>SUMIF(记录巡查问题条数汇总!$B:$B,C5,记录巡查问题条数汇总!$E:$E)</f>
        <v>0</v>
      </c>
      <c r="I6" s="77"/>
      <c r="J6" s="77">
        <f>SUMIF(安全质量事故!$B:$B,C5,安全质量事故!$G:$G)</f>
        <v>0</v>
      </c>
      <c r="K6" s="72">
        <f>COUNTIF(L6:AP6,标准数据!$A$2)*标准数据!$B$2+COUNTIF(L6:AP6,标准数据!$A$3)*标准数据!$B$3+COUNTIF(L6:AP6,标准数据!$A$4)*标准数据!$B$4</f>
        <v>0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188"/>
      <c r="AQ6" s="90"/>
      <c r="AR6" s="64">
        <f>COUNTIF($L$4:$AP$99,"a")</f>
        <v>0</v>
      </c>
      <c r="AS6" s="64">
        <f>COUNTIF($L$4:$AP$99,"b")</f>
        <v>0</v>
      </c>
      <c r="AT6" s="64">
        <f>COUNTIF($L$4:$AP$99,"c")</f>
        <v>0</v>
      </c>
    </row>
    <row r="7" spans="1:48" ht="21" customHeight="1">
      <c r="A7" s="227" t="s">
        <v>2109</v>
      </c>
      <c r="B7" s="45" t="s">
        <v>14</v>
      </c>
      <c r="C7" s="46" t="s">
        <v>1778</v>
      </c>
      <c r="D7" s="47" t="s">
        <v>1779</v>
      </c>
      <c r="E7" s="48">
        <v>46215</v>
      </c>
      <c r="F7" s="49">
        <f>(K7+G7+H7+I7-J7)</f>
        <v>0</v>
      </c>
      <c r="G7" s="77">
        <f>SUMIF(积分汇总!$B:$B,C6,积分汇总!$E:$E)</f>
        <v>0</v>
      </c>
      <c r="H7" s="77">
        <f>SUMIF(记录巡查问题条数汇总!$B:$B,C6,记录巡查问题条数汇总!$E:$E)</f>
        <v>0</v>
      </c>
      <c r="I7" s="77"/>
      <c r="J7" s="77">
        <f>SUMIF(安全质量事故!$B:$B,C6,安全质量事故!$G:$G)</f>
        <v>0</v>
      </c>
      <c r="K7" s="72">
        <f>COUNTIF(L7:AP7,标准数据!$A$2)*标准数据!$B$2+COUNTIF(L7:AP7,标准数据!$A$3)*标准数据!$B$3+COUNTIF(L7:AP7,标准数据!$A$4)*标准数据!$B$4</f>
        <v>0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188"/>
      <c r="AQ7" s="90"/>
      <c r="AR7" s="50" t="e">
        <f>AR6/($AR$6+$AS$6+$AT$6)</f>
        <v>#DIV/0!</v>
      </c>
      <c r="AS7" s="50" t="e">
        <f>AS6/($AR$6+$AS$6+$AT$6)</f>
        <v>#DIV/0!</v>
      </c>
      <c r="AT7" s="50" t="e">
        <f>AT6/($AR$6+$AS$6+$AT$6)</f>
        <v>#DIV/0!</v>
      </c>
    </row>
    <row r="8" spans="1:48" ht="21" customHeight="1">
      <c r="A8" s="227" t="s">
        <v>2109</v>
      </c>
      <c r="B8" s="45" t="s">
        <v>14</v>
      </c>
      <c r="C8" s="47" t="s">
        <v>1782</v>
      </c>
      <c r="D8" s="52" t="s">
        <v>1783</v>
      </c>
      <c r="E8" s="46">
        <v>46215</v>
      </c>
      <c r="F8" s="49">
        <f>(K8+G8+H8+I8-J8)</f>
        <v>0</v>
      </c>
      <c r="G8" s="77">
        <f>SUMIF(积分汇总!$B:$B,C7,积分汇总!$E:$E)</f>
        <v>0</v>
      </c>
      <c r="H8" s="77">
        <f>SUMIF(记录巡查问题条数汇总!$B:$B,C7,记录巡查问题条数汇总!$E:$E)</f>
        <v>0</v>
      </c>
      <c r="I8" s="77"/>
      <c r="J8" s="77">
        <f>SUMIF(安全质量事故!$B:$B,C7,安全质量事故!$G:$G)</f>
        <v>0</v>
      </c>
      <c r="K8" s="72">
        <f>COUNTIF(L8:AP8,标准数据!$A$2)*标准数据!$B$2+COUNTIF(L8:AP8,标准数据!$A$3)*标准数据!$B$3+COUNTIF(L8:AP8,标准数据!$A$4)*标准数据!$B$4</f>
        <v>0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188"/>
      <c r="AQ8" s="90"/>
    </row>
    <row r="9" spans="1:48" ht="21" customHeight="1">
      <c r="A9" s="227" t="s">
        <v>2109</v>
      </c>
      <c r="B9" s="45" t="s">
        <v>14</v>
      </c>
      <c r="C9" s="46" t="s">
        <v>1460</v>
      </c>
      <c r="D9" s="47" t="s">
        <v>1461</v>
      </c>
      <c r="E9" s="48">
        <v>46169</v>
      </c>
      <c r="F9" s="49">
        <f t="shared" ref="F9" si="0">(K9+G9+H9+I9-J9)</f>
        <v>0</v>
      </c>
      <c r="G9" s="77">
        <f>SUMIF(积分汇总!$B:$B,C8,积分汇总!$E:$E)</f>
        <v>0</v>
      </c>
      <c r="H9" s="77">
        <f>SUMIF(记录巡查问题条数汇总!$B:$B,C8,记录巡查问题条数汇总!$E:$E)</f>
        <v>0</v>
      </c>
      <c r="I9" s="77"/>
      <c r="J9" s="77">
        <f>SUMIF(安全质量事故!$B:$B,C8,安全质量事故!$G:$G)</f>
        <v>0</v>
      </c>
      <c r="K9" s="72">
        <f>COUNTIF(L9:AP9,标准数据!$A$2)*标准数据!$B$2+COUNTIF(L9:AP9,标准数据!$A$3)*标准数据!$B$3+COUNTIF(L9:AP9,标准数据!$A$4)*标准数据!$B$4</f>
        <v>0</v>
      </c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188"/>
      <c r="AQ9" s="90"/>
    </row>
    <row r="10" spans="1:48" ht="21" customHeight="1">
      <c r="A10" s="227" t="s">
        <v>2109</v>
      </c>
      <c r="B10" s="45" t="s">
        <v>14</v>
      </c>
      <c r="C10" s="46" t="s">
        <v>1619</v>
      </c>
      <c r="D10" s="47" t="s">
        <v>1620</v>
      </c>
      <c r="E10" s="48">
        <v>46215</v>
      </c>
      <c r="F10" s="49">
        <f t="shared" ref="F10:F19" si="1">(K10+G10+H10+I10-J10)</f>
        <v>0</v>
      </c>
      <c r="G10" s="77">
        <f>SUMIF(积分汇总!$B:$B,C8,积分汇总!$E:$E)</f>
        <v>0</v>
      </c>
      <c r="H10" s="77">
        <f>SUMIF(记录巡查问题条数汇总!$B:$B,C8,记录巡查问题条数汇总!$E:$E)</f>
        <v>0</v>
      </c>
      <c r="I10" s="77"/>
      <c r="J10" s="77">
        <f>SUMIF(安全质量事故!$B:$B,C8,安全质量事故!$G:$G)</f>
        <v>0</v>
      </c>
      <c r="K10" s="72">
        <f>COUNTIF(L10:AP10,标准数据!$A$2)*标准数据!$B$2+COUNTIF(L10:AP10,标准数据!$A$3)*标准数据!$B$3+COUNTIF(L10:AP10,标准数据!$A$4)*标准数据!$B$4</f>
        <v>0</v>
      </c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188"/>
      <c r="AQ10" s="90"/>
    </row>
    <row r="11" spans="1:48" ht="21" customHeight="1">
      <c r="A11" s="227" t="s">
        <v>2109</v>
      </c>
      <c r="B11" s="45" t="s">
        <v>129</v>
      </c>
      <c r="C11" s="46" t="s">
        <v>1234</v>
      </c>
      <c r="D11" s="47" t="s">
        <v>1235</v>
      </c>
      <c r="E11" s="48">
        <v>46127</v>
      </c>
      <c r="F11" s="49">
        <f t="shared" si="1"/>
        <v>0</v>
      </c>
      <c r="G11" s="77">
        <f>SUMIF(积分汇总!$B:$B,C10,积分汇总!$E:$E)</f>
        <v>0</v>
      </c>
      <c r="H11" s="77">
        <f>SUMIF(记录巡查问题条数汇总!$B:$B,C10,记录巡查问题条数汇总!$E:$E)</f>
        <v>0</v>
      </c>
      <c r="I11" s="77"/>
      <c r="J11" s="77">
        <f>SUMIF(安全质量事故!$B:$B,C10,安全质量事故!$G:$G)</f>
        <v>0</v>
      </c>
      <c r="K11" s="72">
        <f>COUNTIF(L11:AP11,标准数据!$A$2)*标准数据!$B$2+COUNTIF(L11:AP11,标准数据!$A$3)*标准数据!$B$3+COUNTIF(L11:AP11,标准数据!$A$4)*标准数据!$B$4</f>
        <v>0</v>
      </c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188"/>
      <c r="AQ11" s="90"/>
    </row>
    <row r="12" spans="1:48" ht="21" customHeight="1">
      <c r="A12" s="227" t="s">
        <v>2109</v>
      </c>
      <c r="B12" s="45" t="s">
        <v>13</v>
      </c>
      <c r="C12" s="46" t="s">
        <v>245</v>
      </c>
      <c r="D12" s="47" t="s">
        <v>233</v>
      </c>
      <c r="E12" s="46">
        <v>44752</v>
      </c>
      <c r="F12" s="49">
        <f t="shared" si="1"/>
        <v>0</v>
      </c>
      <c r="G12" s="77">
        <f>SUMIF(积分汇总!$B:$B,C11,积分汇总!$E:$E)</f>
        <v>0</v>
      </c>
      <c r="H12" s="77">
        <f>SUMIF(记录巡查问题条数汇总!$B:$B,C11,记录巡查问题条数汇总!$E:$E)</f>
        <v>0</v>
      </c>
      <c r="I12" s="77"/>
      <c r="J12" s="77">
        <f>SUMIF(安全质量事故!$B:$B,C11,安全质量事故!$G:$G)</f>
        <v>0</v>
      </c>
      <c r="K12" s="72">
        <f>COUNTIF(L12:AP12,标准数据!$A$2)*标准数据!$B$2+COUNTIF(L12:AP12,标准数据!$A$3)*标准数据!$B$3+COUNTIF(L12:AP12,标准数据!$A$4)*标准数据!$B$4</f>
        <v>0</v>
      </c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188"/>
      <c r="AQ12" s="90"/>
    </row>
    <row r="13" spans="1:48" ht="21" customHeight="1">
      <c r="A13" s="227" t="s">
        <v>2109</v>
      </c>
      <c r="B13" s="45" t="s">
        <v>13</v>
      </c>
      <c r="C13" s="46" t="s">
        <v>204</v>
      </c>
      <c r="D13" s="47" t="s">
        <v>205</v>
      </c>
      <c r="E13" s="48">
        <v>43677</v>
      </c>
      <c r="F13" s="49">
        <f t="shared" si="1"/>
        <v>0</v>
      </c>
      <c r="G13" s="77">
        <f>SUMIF(积分汇总!$B:$B,C12,积分汇总!$E:$E)</f>
        <v>0</v>
      </c>
      <c r="H13" s="77">
        <f>SUMIF(记录巡查问题条数汇总!$B:$B,C12,记录巡查问题条数汇总!$E:$E)</f>
        <v>0</v>
      </c>
      <c r="I13" s="77"/>
      <c r="J13" s="77">
        <f>SUMIF(安全质量事故!$B:$B,C12,安全质量事故!$G:$G)</f>
        <v>0</v>
      </c>
      <c r="K13" s="72">
        <f>COUNTIF(L13:AP13,标准数据!$A$2)*标准数据!$B$2+COUNTIF(L13:AP13,标准数据!$A$3)*标准数据!$B$3+COUNTIF(L13:AP13,标准数据!$A$4)*标准数据!$B$4</f>
        <v>0</v>
      </c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188"/>
      <c r="AQ13" s="90"/>
    </row>
    <row r="14" spans="1:48" ht="21" customHeight="1">
      <c r="A14" s="227" t="s">
        <v>2109</v>
      </c>
      <c r="B14" s="45" t="s">
        <v>13</v>
      </c>
      <c r="C14" s="46" t="s">
        <v>368</v>
      </c>
      <c r="D14" s="47" t="s">
        <v>361</v>
      </c>
      <c r="E14" s="48">
        <v>43977</v>
      </c>
      <c r="F14" s="49">
        <f t="shared" si="1"/>
        <v>0</v>
      </c>
      <c r="G14" s="77">
        <f>SUMIF(积分汇总!$B:$B,C13,积分汇总!$E:$E)</f>
        <v>0</v>
      </c>
      <c r="H14" s="77">
        <f>SUMIF(记录巡查问题条数汇总!$B:$B,C13,记录巡查问题条数汇总!$E:$E)</f>
        <v>0</v>
      </c>
      <c r="I14" s="77"/>
      <c r="J14" s="77">
        <f>SUMIF(安全质量事故!$B:$B,C13,安全质量事故!$G:$G)</f>
        <v>0</v>
      </c>
      <c r="K14" s="72">
        <f>COUNTIF(L14:AP14,标准数据!$A$2)*标准数据!$B$2+COUNTIF(L14:AP14,标准数据!$A$3)*标准数据!$B$3+COUNTIF(L14:AP14,标准数据!$A$4)*标准数据!$B$4</f>
        <v>0</v>
      </c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188"/>
      <c r="AQ14" s="90"/>
    </row>
    <row r="15" spans="1:48" ht="21" customHeight="1">
      <c r="A15" s="227" t="s">
        <v>2109</v>
      </c>
      <c r="B15" s="45" t="s">
        <v>13</v>
      </c>
      <c r="C15" s="46" t="s">
        <v>392</v>
      </c>
      <c r="D15" s="47" t="s">
        <v>383</v>
      </c>
      <c r="E15" s="48">
        <v>44389</v>
      </c>
      <c r="F15" s="49">
        <f t="shared" si="1"/>
        <v>0</v>
      </c>
      <c r="G15" s="77">
        <f>SUMIF(积分汇总!$B:$B,C14,积分汇总!$E:$E)</f>
        <v>0</v>
      </c>
      <c r="H15" s="77">
        <f>SUMIF(记录巡查问题条数汇总!$B:$B,C14,记录巡查问题条数汇总!$E:$E)</f>
        <v>0</v>
      </c>
      <c r="I15" s="77"/>
      <c r="J15" s="77">
        <f>SUMIF(安全质量事故!$B:$B,C14,安全质量事故!$G:$G)</f>
        <v>0</v>
      </c>
      <c r="K15" s="72">
        <f>COUNTIF(L15:AP15,标准数据!$A$2)*标准数据!$B$2+COUNTIF(L15:AP15,标准数据!$A$3)*标准数据!$B$3+COUNTIF(L15:AP15,标准数据!$A$4)*标准数据!$B$4</f>
        <v>0</v>
      </c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188"/>
      <c r="AQ15" s="90"/>
    </row>
    <row r="16" spans="1:48" ht="21" customHeight="1">
      <c r="A16" s="227" t="s">
        <v>2109</v>
      </c>
      <c r="B16" s="45" t="s">
        <v>13</v>
      </c>
      <c r="C16" s="46" t="s">
        <v>468</v>
      </c>
      <c r="D16" s="47" t="s">
        <v>434</v>
      </c>
      <c r="E16" s="48">
        <v>45847</v>
      </c>
      <c r="F16" s="49">
        <f t="shared" si="1"/>
        <v>0</v>
      </c>
      <c r="G16" s="77">
        <f>SUMIF(积分汇总!$B:$B,C15,积分汇总!$E:$E)</f>
        <v>0</v>
      </c>
      <c r="H16" s="77">
        <f>SUMIF(记录巡查问题条数汇总!$B:$B,C15,记录巡查问题条数汇总!$E:$E)</f>
        <v>0</v>
      </c>
      <c r="I16" s="77"/>
      <c r="J16" s="77">
        <f>SUMIF(安全质量事故!$B:$B,C15,安全质量事故!$G:$G)</f>
        <v>0</v>
      </c>
      <c r="K16" s="72">
        <f>COUNTIF(L16:AP16,标准数据!$A$2)*标准数据!$B$2+COUNTIF(L16:AP16,标准数据!$A$3)*标准数据!$B$3+COUNTIF(L16:AP16,标准数据!$A$4)*标准数据!$B$4</f>
        <v>0</v>
      </c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188"/>
      <c r="AQ16" s="90"/>
      <c r="AR16" s="41"/>
      <c r="AS16" s="41"/>
      <c r="AT16" s="41"/>
    </row>
    <row r="17" spans="1:46" ht="21" customHeight="1">
      <c r="A17" s="227" t="s">
        <v>2109</v>
      </c>
      <c r="B17" s="45" t="s">
        <v>13</v>
      </c>
      <c r="C17" s="46" t="s">
        <v>1500</v>
      </c>
      <c r="D17" s="47" t="s">
        <v>1501</v>
      </c>
      <c r="E17" s="48">
        <v>46169</v>
      </c>
      <c r="F17" s="49">
        <f t="shared" si="1"/>
        <v>0</v>
      </c>
      <c r="G17" s="77">
        <f>SUMIF(积分汇总!$B:$B,C16,积分汇总!$E:$E)</f>
        <v>0</v>
      </c>
      <c r="H17" s="77">
        <f>SUMIF(记录巡查问题条数汇总!$B:$B,C16,记录巡查问题条数汇总!$E:$E)</f>
        <v>0</v>
      </c>
      <c r="I17" s="77"/>
      <c r="J17" s="77">
        <f>SUMIF(安全质量事故!$B:$B,C16,安全质量事故!$G:$G)</f>
        <v>0</v>
      </c>
      <c r="K17" s="72">
        <f>COUNTIF(L17:AP17,标准数据!$A$2)*标准数据!$B$2+COUNTIF(L17:AP17,标准数据!$A$3)*标准数据!$B$3+COUNTIF(L17:AP17,标准数据!$A$4)*标准数据!$B$4</f>
        <v>0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188"/>
      <c r="AQ17" s="90"/>
      <c r="AR17" s="41"/>
      <c r="AS17" s="41"/>
      <c r="AT17" s="41"/>
    </row>
    <row r="18" spans="1:46" ht="21" customHeight="1">
      <c r="A18" s="227" t="s">
        <v>2109</v>
      </c>
      <c r="B18" s="45" t="s">
        <v>154</v>
      </c>
      <c r="C18" s="45" t="s">
        <v>153</v>
      </c>
      <c r="D18" s="52" t="s">
        <v>43</v>
      </c>
      <c r="E18" s="46">
        <v>43817</v>
      </c>
      <c r="F18" s="49">
        <f t="shared" si="1"/>
        <v>0</v>
      </c>
      <c r="G18" s="77">
        <f>SUMIF(积分汇总!$B:$B,C17,积分汇总!$E:$E)</f>
        <v>0</v>
      </c>
      <c r="H18" s="77">
        <f>SUMIF(记录巡查问题条数汇总!$B:$B,C17,记录巡查问题条数汇总!$E:$E)</f>
        <v>0</v>
      </c>
      <c r="I18" s="77"/>
      <c r="J18" s="77">
        <f>SUMIF(安全质量事故!$B:$B,C17,安全质量事故!$G:$G)</f>
        <v>0</v>
      </c>
      <c r="K18" s="72">
        <f>COUNTIF(L18:AP18,标准数据!$A$2)*标准数据!$B$2+COUNTIF(L18:AP18,标准数据!$A$3)*标准数据!$B$3+COUNTIF(L18:AP18,标准数据!$A$4)*标准数据!$B$4</f>
        <v>0</v>
      </c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188"/>
      <c r="AQ18" s="90"/>
      <c r="AR18" s="41"/>
      <c r="AS18" s="41"/>
      <c r="AT18" s="41"/>
    </row>
    <row r="19" spans="1:46" ht="21" customHeight="1">
      <c r="A19" s="227" t="s">
        <v>2109</v>
      </c>
      <c r="B19" s="45" t="s">
        <v>131</v>
      </c>
      <c r="C19" s="46" t="s">
        <v>134</v>
      </c>
      <c r="D19" s="47" t="s">
        <v>61</v>
      </c>
      <c r="E19" s="48">
        <v>44734</v>
      </c>
      <c r="F19" s="49">
        <f t="shared" si="1"/>
        <v>0</v>
      </c>
      <c r="G19" s="77">
        <f>SUMIF(积分汇总!$B:$B,C18,积分汇总!$E:$E)</f>
        <v>0</v>
      </c>
      <c r="H19" s="77">
        <f>SUMIF(记录巡查问题条数汇总!$B:$B,C18,记录巡查问题条数汇总!$E:$E)</f>
        <v>0</v>
      </c>
      <c r="I19" s="77"/>
      <c r="J19" s="77">
        <f>SUMIF(安全质量事故!$B:$B,C18,安全质量事故!$G:$G)</f>
        <v>0</v>
      </c>
      <c r="K19" s="72">
        <f>COUNTIF(L19:AP19,标准数据!$A$2)*标准数据!$B$2+COUNTIF(L19:AP19,标准数据!$A$3)*标准数据!$B$3+COUNTIF(L19:AP19,标准数据!$A$4)*标准数据!$B$4</f>
        <v>0</v>
      </c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188"/>
      <c r="AQ19" s="90"/>
    </row>
    <row r="20" spans="1:46" ht="21" customHeight="1">
      <c r="A20" s="227" t="s">
        <v>2109</v>
      </c>
      <c r="B20" s="45" t="s">
        <v>131</v>
      </c>
      <c r="C20" s="46" t="s">
        <v>137</v>
      </c>
      <c r="D20" s="47" t="s">
        <v>69</v>
      </c>
      <c r="E20" s="48">
        <v>44755</v>
      </c>
      <c r="F20" s="49">
        <f t="shared" ref="F20:F77" si="2">(K20+G20+H20+I20-J20)</f>
        <v>0</v>
      </c>
      <c r="G20" s="77">
        <f>SUMIF(积分汇总!$B:$B,C19,积分汇总!$E:$E)</f>
        <v>0</v>
      </c>
      <c r="H20" s="77">
        <f>SUMIF(记录巡查问题条数汇总!$B:$B,C19,记录巡查问题条数汇总!$E:$E)</f>
        <v>0</v>
      </c>
      <c r="I20" s="77"/>
      <c r="J20" s="77">
        <f>SUMIF(安全质量事故!$B:$B,C19,安全质量事故!$G:$G)</f>
        <v>0</v>
      </c>
      <c r="K20" s="72">
        <f>COUNTIF(L20:AP20,标准数据!$A$2)*标准数据!$B$2+COUNTIF(L20:AP20,标准数据!$A$3)*标准数据!$B$3+COUNTIF(L20:AP20,标准数据!$A$4)*标准数据!$B$4</f>
        <v>0</v>
      </c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188"/>
      <c r="AQ20" s="90"/>
    </row>
    <row r="21" spans="1:46" ht="21" customHeight="1">
      <c r="A21" s="227" t="s">
        <v>2109</v>
      </c>
      <c r="B21" s="45" t="s">
        <v>131</v>
      </c>
      <c r="C21" s="46" t="s">
        <v>139</v>
      </c>
      <c r="D21" s="52" t="s">
        <v>100</v>
      </c>
      <c r="E21" s="46">
        <v>45056</v>
      </c>
      <c r="F21" s="49">
        <f t="shared" si="2"/>
        <v>0</v>
      </c>
      <c r="G21" s="77">
        <f>SUMIF(积分汇总!$B:$B,C20,积分汇总!$E:$E)</f>
        <v>0</v>
      </c>
      <c r="H21" s="77">
        <f>SUMIF(记录巡查问题条数汇总!$B:$B,C20,记录巡查问题条数汇总!$E:$E)</f>
        <v>0</v>
      </c>
      <c r="I21" s="77"/>
      <c r="J21" s="77">
        <f>SUMIF(安全质量事故!$B:$B,C20,安全质量事故!$G:$G)</f>
        <v>0</v>
      </c>
      <c r="K21" s="72">
        <f>COUNTIF(L21:AP21,标准数据!$A$2)*标准数据!$B$2+COUNTIF(L21:AP21,标准数据!$A$3)*标准数据!$B$3+COUNTIF(L21:AP21,标准数据!$A$4)*标准数据!$B$4</f>
        <v>0</v>
      </c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188"/>
      <c r="AQ21" s="90"/>
    </row>
    <row r="22" spans="1:46" ht="21" customHeight="1">
      <c r="A22" s="227" t="s">
        <v>2109</v>
      </c>
      <c r="B22" s="45" t="s">
        <v>131</v>
      </c>
      <c r="C22" s="46" t="s">
        <v>210</v>
      </c>
      <c r="D22" s="52" t="s">
        <v>211</v>
      </c>
      <c r="E22" s="48">
        <v>44755</v>
      </c>
      <c r="F22" s="49">
        <f t="shared" si="2"/>
        <v>0</v>
      </c>
      <c r="G22" s="77">
        <f>SUMIF(积分汇总!$B:$B,C21,积分汇总!$E:$E)</f>
        <v>0</v>
      </c>
      <c r="H22" s="77">
        <f>SUMIF(记录巡查问题条数汇总!$B:$B,C21,记录巡查问题条数汇总!$E:$E)</f>
        <v>0</v>
      </c>
      <c r="I22" s="77"/>
      <c r="J22" s="77">
        <f>SUMIF(安全质量事故!$B:$B,C21,安全质量事故!$G:$G)</f>
        <v>0</v>
      </c>
      <c r="K22" s="72">
        <f>COUNTIF(L22:AP22,标准数据!$A$2)*标准数据!$B$2+COUNTIF(L22:AP22,标准数据!$A$3)*标准数据!$B$3+COUNTIF(L22:AP22,标准数据!$A$4)*标准数据!$B$4</f>
        <v>0</v>
      </c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188"/>
      <c r="AQ22" s="90"/>
      <c r="AR22" s="41"/>
      <c r="AS22" s="41"/>
      <c r="AT22" s="41"/>
    </row>
    <row r="23" spans="1:46" ht="21" customHeight="1">
      <c r="A23" s="227" t="s">
        <v>2109</v>
      </c>
      <c r="B23" s="45" t="s">
        <v>154</v>
      </c>
      <c r="C23" s="46" t="s">
        <v>148</v>
      </c>
      <c r="D23" s="47" t="s">
        <v>55</v>
      </c>
      <c r="E23" s="48">
        <v>44454</v>
      </c>
      <c r="F23" s="49">
        <f t="shared" si="2"/>
        <v>0</v>
      </c>
      <c r="G23" s="77">
        <f>SUMIF(积分汇总!$B:$B,C22,积分汇总!$E:$E)</f>
        <v>0</v>
      </c>
      <c r="H23" s="77">
        <f>SUMIF(记录巡查问题条数汇总!$B:$B,C22,记录巡查问题条数汇总!$E:$E)</f>
        <v>0</v>
      </c>
      <c r="I23" s="77"/>
      <c r="J23" s="77">
        <f>SUMIF(安全质量事故!$B:$B,C22,安全质量事故!$G:$G)</f>
        <v>0</v>
      </c>
      <c r="K23" s="72">
        <f>COUNTIF(L23:AP23,标准数据!$A$2)*标准数据!$B$2+COUNTIF(L23:AP23,标准数据!$A$3)*标准数据!$B$3+COUNTIF(L23:AP23,标准数据!$A$4)*标准数据!$B$4</f>
        <v>0</v>
      </c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188"/>
      <c r="AQ23" s="90"/>
      <c r="AR23" s="41"/>
      <c r="AS23" s="41"/>
      <c r="AT23" s="41"/>
    </row>
    <row r="24" spans="1:46" ht="21" customHeight="1">
      <c r="A24" s="227" t="s">
        <v>2109</v>
      </c>
      <c r="B24" s="45" t="s">
        <v>14</v>
      </c>
      <c r="C24" s="46" t="s">
        <v>138</v>
      </c>
      <c r="D24" s="47" t="s">
        <v>77</v>
      </c>
      <c r="E24" s="48">
        <v>44774</v>
      </c>
      <c r="F24" s="49">
        <f t="shared" si="2"/>
        <v>0</v>
      </c>
      <c r="G24" s="77">
        <f>SUMIF(积分汇总!$B:$B,C23,积分汇总!$E:$E)</f>
        <v>0</v>
      </c>
      <c r="H24" s="77">
        <f>SUMIF(记录巡查问题条数汇总!$B:$B,C23,记录巡查问题条数汇总!$E:$E)</f>
        <v>0</v>
      </c>
      <c r="I24" s="77"/>
      <c r="J24" s="77">
        <f>SUMIF(安全质量事故!$B:$B,C23,安全质量事故!$G:$G)</f>
        <v>0</v>
      </c>
      <c r="K24" s="72">
        <f>COUNTIF(L24:AP24,标准数据!$A$2)*标准数据!$B$2+COUNTIF(L24:AP24,标准数据!$A$3)*标准数据!$B$3+COUNTIF(L24:AP24,标准数据!$A$4)*标准数据!$B$4</f>
        <v>0</v>
      </c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188"/>
      <c r="AQ24" s="90"/>
      <c r="AR24" s="41"/>
      <c r="AS24" s="41"/>
      <c r="AT24" s="41"/>
    </row>
    <row r="25" spans="1:46" ht="21" customHeight="1">
      <c r="A25" s="227" t="s">
        <v>2109</v>
      </c>
      <c r="B25" s="45" t="s">
        <v>14</v>
      </c>
      <c r="C25" s="46" t="s">
        <v>140</v>
      </c>
      <c r="D25" s="47" t="s">
        <v>65</v>
      </c>
      <c r="E25" s="48">
        <v>44734</v>
      </c>
      <c r="F25" s="49">
        <f t="shared" si="2"/>
        <v>0</v>
      </c>
      <c r="G25" s="77">
        <f>SUMIF(积分汇总!$B:$B,C24,积分汇总!$E:$E)</f>
        <v>0</v>
      </c>
      <c r="H25" s="77">
        <f>SUMIF(记录巡查问题条数汇总!$B:$B,C24,记录巡查问题条数汇总!$E:$E)</f>
        <v>0</v>
      </c>
      <c r="I25" s="77"/>
      <c r="J25" s="77">
        <f>SUMIF(安全质量事故!$B:$B,C24,安全质量事故!$G:$G)</f>
        <v>0</v>
      </c>
      <c r="K25" s="72">
        <f>COUNTIF(L25:AP25,标准数据!$A$2)*标准数据!$B$2+COUNTIF(L25:AP25,标准数据!$A$3)*标准数据!$B$3+COUNTIF(L25:AP25,标准数据!$A$4)*标准数据!$B$4</f>
        <v>0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188"/>
      <c r="AQ25" s="90"/>
      <c r="AR25" s="41"/>
      <c r="AS25" s="41"/>
      <c r="AT25" s="41"/>
    </row>
    <row r="26" spans="1:46" ht="21" customHeight="1">
      <c r="A26" s="227" t="s">
        <v>2109</v>
      </c>
      <c r="B26" s="45" t="s">
        <v>14</v>
      </c>
      <c r="C26" s="46" t="s">
        <v>141</v>
      </c>
      <c r="D26" s="47" t="s">
        <v>59</v>
      </c>
      <c r="E26" s="48">
        <v>44734</v>
      </c>
      <c r="F26" s="49">
        <f t="shared" si="2"/>
        <v>0</v>
      </c>
      <c r="G26" s="77">
        <f>SUMIF(积分汇总!$B:$B,C25,积分汇总!$E:$E)</f>
        <v>0</v>
      </c>
      <c r="H26" s="77">
        <f>SUMIF(记录巡查问题条数汇总!$B:$B,C25,记录巡查问题条数汇总!$E:$E)</f>
        <v>0</v>
      </c>
      <c r="I26" s="77"/>
      <c r="J26" s="77">
        <f>SUMIF(安全质量事故!$B:$B,C25,安全质量事故!$G:$G)</f>
        <v>0</v>
      </c>
      <c r="K26" s="72">
        <f>COUNTIF(L26:AP26,标准数据!$A$2)*标准数据!$B$2+COUNTIF(L26:AP26,标准数据!$A$3)*标准数据!$B$3+COUNTIF(L26:AP26,标准数据!$A$4)*标准数据!$B$4</f>
        <v>0</v>
      </c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188"/>
      <c r="AQ26" s="90"/>
      <c r="AR26" s="41"/>
      <c r="AS26" s="41"/>
      <c r="AT26" s="41"/>
    </row>
    <row r="27" spans="1:46" ht="21" customHeight="1">
      <c r="A27" s="227" t="s">
        <v>2109</v>
      </c>
      <c r="B27" s="45" t="s">
        <v>14</v>
      </c>
      <c r="C27" s="46" t="s">
        <v>144</v>
      </c>
      <c r="D27" s="47" t="s">
        <v>62</v>
      </c>
      <c r="E27" s="48">
        <v>44734</v>
      </c>
      <c r="F27" s="49">
        <f t="shared" si="2"/>
        <v>0</v>
      </c>
      <c r="G27" s="77">
        <f>SUMIF(积分汇总!$B:$B,C26,积分汇总!$E:$E)</f>
        <v>0</v>
      </c>
      <c r="H27" s="77">
        <f>SUMIF(记录巡查问题条数汇总!$B:$B,C26,记录巡查问题条数汇总!$E:$E)</f>
        <v>0</v>
      </c>
      <c r="I27" s="77"/>
      <c r="J27" s="77">
        <f>SUMIF(安全质量事故!$B:$B,C26,安全质量事故!$G:$G)</f>
        <v>0</v>
      </c>
      <c r="K27" s="72">
        <f>COUNTIF(L27:AP27,标准数据!$A$2)*标准数据!$B$2+COUNTIF(L27:AP27,标准数据!$A$3)*标准数据!$B$3+COUNTIF(L27:AP27,标准数据!$A$4)*标准数据!$B$4</f>
        <v>0</v>
      </c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188"/>
      <c r="AQ27" s="90"/>
      <c r="AR27" s="41"/>
      <c r="AS27" s="41"/>
      <c r="AT27" s="41"/>
    </row>
    <row r="28" spans="1:46" ht="21" customHeight="1">
      <c r="A28" s="227" t="s">
        <v>2109</v>
      </c>
      <c r="B28" s="45" t="s">
        <v>14</v>
      </c>
      <c r="C28" s="46" t="s">
        <v>187</v>
      </c>
      <c r="D28" s="52" t="s">
        <v>183</v>
      </c>
      <c r="E28" s="46">
        <v>44774</v>
      </c>
      <c r="F28" s="49">
        <f t="shared" si="2"/>
        <v>0</v>
      </c>
      <c r="G28" s="77">
        <f>SUMIF(积分汇总!$B:$B,C27,积分汇总!$E:$E)</f>
        <v>0</v>
      </c>
      <c r="H28" s="77">
        <f>SUMIF(记录巡查问题条数汇总!$B:$B,C27,记录巡查问题条数汇总!$E:$E)</f>
        <v>0</v>
      </c>
      <c r="I28" s="77"/>
      <c r="J28" s="77">
        <f>SUMIF(安全质量事故!$B:$B,C27,安全质量事故!$G:$G)</f>
        <v>0</v>
      </c>
      <c r="K28" s="72">
        <f>COUNTIF(L28:AP28,标准数据!$A$2)*标准数据!$B$2+COUNTIF(L28:AP28,标准数据!$A$3)*标准数据!$B$3+COUNTIF(L28:AP28,标准数据!$A$4)*标准数据!$B$4</f>
        <v>0</v>
      </c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188"/>
      <c r="AQ28" s="90"/>
      <c r="AR28" s="41"/>
      <c r="AS28" s="41"/>
      <c r="AT28" s="41"/>
    </row>
    <row r="29" spans="1:46" ht="21" customHeight="1">
      <c r="A29" s="227" t="s">
        <v>2109</v>
      </c>
      <c r="B29" s="45" t="s">
        <v>14</v>
      </c>
      <c r="C29" s="46" t="s">
        <v>188</v>
      </c>
      <c r="D29" s="52" t="s">
        <v>184</v>
      </c>
      <c r="E29" s="46">
        <v>44774</v>
      </c>
      <c r="F29" s="49">
        <f t="shared" si="2"/>
        <v>0</v>
      </c>
      <c r="G29" s="77">
        <f>SUMIF(积分汇总!$B:$B,C28,积分汇总!$E:$E)</f>
        <v>0</v>
      </c>
      <c r="H29" s="77">
        <f>SUMIF(记录巡查问题条数汇总!$B:$B,C28,记录巡查问题条数汇总!$E:$E)</f>
        <v>0</v>
      </c>
      <c r="I29" s="77"/>
      <c r="J29" s="77">
        <f>SUMIF(安全质量事故!$B:$B,C28,安全质量事故!$G:$G)</f>
        <v>0</v>
      </c>
      <c r="K29" s="72">
        <f>COUNTIF(L29:AP29,标准数据!$A$2)*标准数据!$B$2+COUNTIF(L29:AP29,标准数据!$A$3)*标准数据!$B$3+COUNTIF(L29:AP29,标准数据!$A$4)*标准数据!$B$4</f>
        <v>0</v>
      </c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188"/>
      <c r="AQ29" s="90"/>
      <c r="AR29" s="41"/>
      <c r="AS29" s="41"/>
      <c r="AT29" s="41"/>
    </row>
    <row r="30" spans="1:46" ht="21" customHeight="1">
      <c r="A30" s="227" t="s">
        <v>2109</v>
      </c>
      <c r="B30" s="45" t="s">
        <v>14</v>
      </c>
      <c r="C30" s="46" t="s">
        <v>115</v>
      </c>
      <c r="D30" s="52" t="s">
        <v>113</v>
      </c>
      <c r="E30" s="46">
        <v>45194</v>
      </c>
      <c r="F30" s="49">
        <f t="shared" si="2"/>
        <v>0</v>
      </c>
      <c r="G30" s="77">
        <f>SUMIF(积分汇总!$B:$B,C29,积分汇总!$E:$E)</f>
        <v>0</v>
      </c>
      <c r="H30" s="77">
        <f>SUMIF(记录巡查问题条数汇总!$B:$B,C29,记录巡查问题条数汇总!$E:$E)</f>
        <v>0</v>
      </c>
      <c r="I30" s="77"/>
      <c r="J30" s="77">
        <f>SUMIF(安全质量事故!$B:$B,C29,安全质量事故!$G:$G)</f>
        <v>0</v>
      </c>
      <c r="K30" s="72">
        <f>COUNTIF(L30:AP30,标准数据!$A$2)*标准数据!$B$2+COUNTIF(L30:AP30,标准数据!$A$3)*标准数据!$B$3+COUNTIF(L30:AP30,标准数据!$A$4)*标准数据!$B$4</f>
        <v>0</v>
      </c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188"/>
      <c r="AQ30" s="90"/>
      <c r="AR30" s="41"/>
      <c r="AS30" s="41"/>
      <c r="AT30" s="41"/>
    </row>
    <row r="31" spans="1:46" ht="21" customHeight="1">
      <c r="A31" s="227" t="s">
        <v>2109</v>
      </c>
      <c r="B31" s="45" t="s">
        <v>14</v>
      </c>
      <c r="C31" s="46" t="s">
        <v>117</v>
      </c>
      <c r="D31" s="52" t="s">
        <v>114</v>
      </c>
      <c r="E31" s="46">
        <v>45194</v>
      </c>
      <c r="F31" s="49">
        <f t="shared" si="2"/>
        <v>0</v>
      </c>
      <c r="G31" s="77">
        <f>SUMIF(积分汇总!$B:$B,C30,积分汇总!$E:$E)</f>
        <v>0</v>
      </c>
      <c r="H31" s="77">
        <f>SUMIF(记录巡查问题条数汇总!$B:$B,C30,记录巡查问题条数汇总!$E:$E)</f>
        <v>0</v>
      </c>
      <c r="I31" s="77"/>
      <c r="J31" s="77">
        <f>SUMIF(安全质量事故!$B:$B,C30,安全质量事故!$G:$G)</f>
        <v>0</v>
      </c>
      <c r="K31" s="72">
        <f>COUNTIF(L31:AP31,标准数据!$A$2)*标准数据!$B$2+COUNTIF(L31:AP31,标准数据!$A$3)*标准数据!$B$3+COUNTIF(L31:AP31,标准数据!$A$4)*标准数据!$B$4</f>
        <v>0</v>
      </c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188"/>
      <c r="AQ31" s="90"/>
      <c r="AR31" s="41"/>
      <c r="AS31" s="41"/>
      <c r="AT31" s="41"/>
    </row>
    <row r="32" spans="1:46" ht="21" customHeight="1">
      <c r="A32" s="227" t="s">
        <v>2109</v>
      </c>
      <c r="B32" s="45" t="s">
        <v>87</v>
      </c>
      <c r="C32" s="46" t="s">
        <v>195</v>
      </c>
      <c r="D32" s="47" t="s">
        <v>253</v>
      </c>
      <c r="E32" s="48">
        <v>44734</v>
      </c>
      <c r="F32" s="49">
        <f t="shared" si="2"/>
        <v>0</v>
      </c>
      <c r="G32" s="77">
        <f>SUMIF(积分汇总!$B:$B,C31,积分汇总!$E:$E)</f>
        <v>0</v>
      </c>
      <c r="H32" s="77">
        <f>SUMIF(记录巡查问题条数汇总!$B:$B,C31,记录巡查问题条数汇总!$E:$E)</f>
        <v>0</v>
      </c>
      <c r="I32" s="77"/>
      <c r="J32" s="77">
        <f>SUMIF(安全质量事故!$B:$B,C31,安全质量事故!$G:$G)</f>
        <v>0</v>
      </c>
      <c r="K32" s="72">
        <f>COUNTIF(L32:AP32,标准数据!$A$2)*标准数据!$B$2+COUNTIF(L32:AP32,标准数据!$A$3)*标准数据!$B$3+COUNTIF(L32:AP32,标准数据!$A$4)*标准数据!$B$4</f>
        <v>0</v>
      </c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188"/>
      <c r="AQ32" s="90"/>
      <c r="AR32" s="41"/>
      <c r="AS32" s="41"/>
      <c r="AT32" s="41"/>
    </row>
    <row r="33" spans="1:46" ht="21" customHeight="1">
      <c r="A33" s="227" t="s">
        <v>2109</v>
      </c>
      <c r="B33" s="45" t="s">
        <v>14</v>
      </c>
      <c r="C33" s="46" t="s">
        <v>97</v>
      </c>
      <c r="D33" s="52" t="s">
        <v>96</v>
      </c>
      <c r="E33" s="48">
        <v>44998</v>
      </c>
      <c r="F33" s="49">
        <f t="shared" si="2"/>
        <v>0</v>
      </c>
      <c r="G33" s="77">
        <f>SUMIF(积分汇总!$B:$B,C32,积分汇总!$E:$E)</f>
        <v>0</v>
      </c>
      <c r="H33" s="77">
        <f>SUMIF(记录巡查问题条数汇总!$B:$B,C32,记录巡查问题条数汇总!$E:$E)</f>
        <v>0</v>
      </c>
      <c r="I33" s="77"/>
      <c r="J33" s="77">
        <f>SUMIF(安全质量事故!$B:$B,C32,安全质量事故!$G:$G)</f>
        <v>0</v>
      </c>
      <c r="K33" s="72">
        <f>COUNTIF(L33:AP33,标准数据!$A$2)*标准数据!$B$2+COUNTIF(L33:AP33,标准数据!$A$3)*标准数据!$B$3+COUNTIF(L33:AP33,标准数据!$A$4)*标准数据!$B$4</f>
        <v>0</v>
      </c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188"/>
      <c r="AQ33" s="90"/>
      <c r="AR33" s="41"/>
      <c r="AS33" s="41"/>
      <c r="AT33" s="41"/>
    </row>
    <row r="34" spans="1:46" ht="21" customHeight="1">
      <c r="A34" s="227" t="s">
        <v>2109</v>
      </c>
      <c r="B34" s="45" t="s">
        <v>14</v>
      </c>
      <c r="C34" s="46" t="s">
        <v>193</v>
      </c>
      <c r="D34" s="52" t="s">
        <v>123</v>
      </c>
      <c r="E34" s="46">
        <v>45231</v>
      </c>
      <c r="F34" s="49">
        <f t="shared" si="2"/>
        <v>0</v>
      </c>
      <c r="G34" s="77">
        <f>SUMIF(积分汇总!$B:$B,C33,积分汇总!$E:$E)</f>
        <v>0</v>
      </c>
      <c r="H34" s="77">
        <f>SUMIF(记录巡查问题条数汇总!$B:$B,C33,记录巡查问题条数汇总!$E:$E)</f>
        <v>0</v>
      </c>
      <c r="I34" s="77"/>
      <c r="J34" s="77">
        <f>SUMIF(安全质量事故!$B:$B,C33,安全质量事故!$G:$G)</f>
        <v>0</v>
      </c>
      <c r="K34" s="72">
        <f>COUNTIF(L34:AP34,标准数据!$A$2)*标准数据!$B$2+COUNTIF(L34:AP34,标准数据!$A$3)*标准数据!$B$3+COUNTIF(L34:AP34,标准数据!$A$4)*标准数据!$B$4</f>
        <v>0</v>
      </c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188"/>
      <c r="AQ34" s="90"/>
      <c r="AR34" s="41"/>
      <c r="AS34" s="41"/>
      <c r="AT34" s="41"/>
    </row>
    <row r="35" spans="1:46" ht="21" customHeight="1">
      <c r="A35" s="227" t="s">
        <v>2109</v>
      </c>
      <c r="B35" s="45" t="s">
        <v>14</v>
      </c>
      <c r="C35" s="46" t="s">
        <v>206</v>
      </c>
      <c r="D35" s="52" t="s">
        <v>207</v>
      </c>
      <c r="E35" s="48">
        <v>45469</v>
      </c>
      <c r="F35" s="49">
        <f t="shared" si="2"/>
        <v>0</v>
      </c>
      <c r="G35" s="77">
        <f>SUMIF(积分汇总!$B:$B,C34,积分汇总!$E:$E)</f>
        <v>0</v>
      </c>
      <c r="H35" s="77">
        <f>SUMIF(记录巡查问题条数汇总!$B:$B,C34,记录巡查问题条数汇总!$E:$E)</f>
        <v>0</v>
      </c>
      <c r="I35" s="77"/>
      <c r="J35" s="77">
        <f>SUMIF(安全质量事故!$B:$B,C34,安全质量事故!$G:$G)</f>
        <v>0</v>
      </c>
      <c r="K35" s="72">
        <f>COUNTIF(L35:AP35,标准数据!$A$2)*标准数据!$B$2+COUNTIF(L35:AP35,标准数据!$A$3)*标准数据!$B$3+COUNTIF(L35:AP35,标准数据!$A$4)*标准数据!$B$4</f>
        <v>0</v>
      </c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188"/>
      <c r="AQ35" s="90"/>
      <c r="AR35" s="41"/>
      <c r="AS35" s="41"/>
      <c r="AT35" s="41"/>
    </row>
    <row r="36" spans="1:46" ht="21" customHeight="1">
      <c r="A36" s="227" t="s">
        <v>2109</v>
      </c>
      <c r="B36" s="45" t="s">
        <v>14</v>
      </c>
      <c r="C36" s="46" t="s">
        <v>208</v>
      </c>
      <c r="D36" s="52" t="s">
        <v>209</v>
      </c>
      <c r="E36" s="48">
        <v>45194</v>
      </c>
      <c r="F36" s="49">
        <f t="shared" si="2"/>
        <v>0</v>
      </c>
      <c r="G36" s="77">
        <f>SUMIF(积分汇总!$B:$B,C35,积分汇总!$E:$E)</f>
        <v>0</v>
      </c>
      <c r="H36" s="77">
        <f>SUMIF(记录巡查问题条数汇总!$B:$B,C35,记录巡查问题条数汇总!$E:$E)</f>
        <v>0</v>
      </c>
      <c r="I36" s="77"/>
      <c r="J36" s="77">
        <f>SUMIF(安全质量事故!$B:$B,C35,安全质量事故!$G:$G)</f>
        <v>0</v>
      </c>
      <c r="K36" s="72">
        <f>COUNTIF(L36:AP36,标准数据!$A$2)*标准数据!$B$2+COUNTIF(L36:AP36,标准数据!$A$3)*标准数据!$B$3+COUNTIF(L36:AP36,标准数据!$A$4)*标准数据!$B$4</f>
        <v>0</v>
      </c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188"/>
      <c r="AQ36" s="90"/>
      <c r="AR36" s="41"/>
      <c r="AS36" s="41"/>
      <c r="AT36" s="41"/>
    </row>
    <row r="37" spans="1:46" ht="21" customHeight="1">
      <c r="A37" s="227" t="s">
        <v>2109</v>
      </c>
      <c r="B37" s="45" t="s">
        <v>14</v>
      </c>
      <c r="C37" s="46" t="s">
        <v>296</v>
      </c>
      <c r="D37" s="52" t="s">
        <v>289</v>
      </c>
      <c r="E37" s="48">
        <v>45574</v>
      </c>
      <c r="F37" s="49">
        <f t="shared" si="2"/>
        <v>0</v>
      </c>
      <c r="G37" s="77">
        <f>SUMIF(积分汇总!$B:$B,C36,积分汇总!$E:$E)</f>
        <v>0</v>
      </c>
      <c r="H37" s="77">
        <f>SUMIF(记录巡查问题条数汇总!$B:$B,C36,记录巡查问题条数汇总!$E:$E)</f>
        <v>0</v>
      </c>
      <c r="I37" s="77"/>
      <c r="J37" s="77">
        <f>SUMIF(安全质量事故!$B:$B,C36,安全质量事故!$G:$G)</f>
        <v>0</v>
      </c>
      <c r="K37" s="72">
        <f>COUNTIF(L37:AP37,标准数据!$A$2)*标准数据!$B$2+COUNTIF(L37:AP37,标准数据!$A$3)*标准数据!$B$3+COUNTIF(L37:AP37,标准数据!$A$4)*标准数据!$B$4</f>
        <v>0</v>
      </c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188"/>
      <c r="AQ37" s="90"/>
      <c r="AR37" s="41"/>
      <c r="AS37" s="41"/>
      <c r="AT37" s="41"/>
    </row>
    <row r="38" spans="1:46" ht="21" customHeight="1">
      <c r="A38" s="227" t="s">
        <v>2109</v>
      </c>
      <c r="B38" s="45" t="s">
        <v>14</v>
      </c>
      <c r="C38" s="46" t="s">
        <v>323</v>
      </c>
      <c r="D38" s="52" t="s">
        <v>308</v>
      </c>
      <c r="E38" s="48">
        <v>45602</v>
      </c>
      <c r="F38" s="49">
        <f t="shared" si="2"/>
        <v>0</v>
      </c>
      <c r="G38" s="77">
        <f>SUMIF(积分汇总!$B:$B,C37,积分汇总!$E:$E)</f>
        <v>0</v>
      </c>
      <c r="H38" s="77">
        <f>SUMIF(记录巡查问题条数汇总!$B:$B,C37,记录巡查问题条数汇总!$E:$E)</f>
        <v>0</v>
      </c>
      <c r="I38" s="77"/>
      <c r="J38" s="77">
        <f>SUMIF(安全质量事故!$B:$B,C37,安全质量事故!$G:$G)</f>
        <v>0</v>
      </c>
      <c r="K38" s="72">
        <f>COUNTIF(L38:AP38,标准数据!$A$2)*标准数据!$B$2+COUNTIF(L38:AP38,标准数据!$A$3)*标准数据!$B$3+COUNTIF(L38:AP38,标准数据!$A$4)*标准数据!$B$4</f>
        <v>0</v>
      </c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188"/>
      <c r="AQ38" s="90"/>
      <c r="AR38" s="41"/>
      <c r="AS38" s="41"/>
      <c r="AT38" s="41"/>
    </row>
    <row r="39" spans="1:46" ht="21" customHeight="1">
      <c r="A39" s="227" t="s">
        <v>2109</v>
      </c>
      <c r="B39" s="45" t="s">
        <v>14</v>
      </c>
      <c r="C39" s="46" t="s">
        <v>324</v>
      </c>
      <c r="D39" s="52" t="s">
        <v>309</v>
      </c>
      <c r="E39" s="48">
        <v>45602</v>
      </c>
      <c r="F39" s="49">
        <f t="shared" si="2"/>
        <v>0</v>
      </c>
      <c r="G39" s="77">
        <f>SUMIF(积分汇总!$B:$B,C38,积分汇总!$E:$E)</f>
        <v>0</v>
      </c>
      <c r="H39" s="77">
        <f>SUMIF(记录巡查问题条数汇总!$B:$B,C38,记录巡查问题条数汇总!$E:$E)</f>
        <v>0</v>
      </c>
      <c r="I39" s="77"/>
      <c r="J39" s="77">
        <f>SUMIF(安全质量事故!$B:$B,C38,安全质量事故!$G:$G)</f>
        <v>0</v>
      </c>
      <c r="K39" s="72">
        <f>COUNTIF(L39:AP39,标准数据!$A$2)*标准数据!$B$2+COUNTIF(L39:AP39,标准数据!$A$3)*标准数据!$B$3+COUNTIF(L39:AP39,标准数据!$A$4)*标准数据!$B$4</f>
        <v>0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188"/>
      <c r="AQ39" s="90"/>
      <c r="AR39" s="41"/>
      <c r="AS39" s="41"/>
      <c r="AT39" s="41"/>
    </row>
    <row r="40" spans="1:46" ht="21" customHeight="1">
      <c r="A40" s="227" t="s">
        <v>2109</v>
      </c>
      <c r="B40" s="45" t="s">
        <v>14</v>
      </c>
      <c r="C40" s="46" t="s">
        <v>325</v>
      </c>
      <c r="D40" s="52" t="s">
        <v>310</v>
      </c>
      <c r="E40" s="48">
        <v>45623</v>
      </c>
      <c r="F40" s="49">
        <f t="shared" si="2"/>
        <v>0</v>
      </c>
      <c r="G40" s="77">
        <f>SUMIF(积分汇总!$B:$B,C39,积分汇总!$E:$E)</f>
        <v>0</v>
      </c>
      <c r="H40" s="77">
        <f>SUMIF(记录巡查问题条数汇总!$B:$B,C39,记录巡查问题条数汇总!$E:$E)</f>
        <v>0</v>
      </c>
      <c r="I40" s="77"/>
      <c r="J40" s="77">
        <f>SUMIF(安全质量事故!$B:$B,C39,安全质量事故!$G:$G)</f>
        <v>0</v>
      </c>
      <c r="K40" s="72">
        <f>COUNTIF(L40:AP40,标准数据!$A$2)*标准数据!$B$2+COUNTIF(L40:AP40,标准数据!$A$3)*标准数据!$B$3+COUNTIF(L40:AP40,标准数据!$A$4)*标准数据!$B$4</f>
        <v>0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188"/>
      <c r="AQ40" s="90"/>
      <c r="AR40" s="41"/>
      <c r="AS40" s="41"/>
      <c r="AT40" s="41"/>
    </row>
    <row r="41" spans="1:46" ht="21" customHeight="1">
      <c r="A41" s="227" t="s">
        <v>2109</v>
      </c>
      <c r="B41" s="45" t="s">
        <v>14</v>
      </c>
      <c r="C41" s="46" t="s">
        <v>326</v>
      </c>
      <c r="D41" s="52" t="s">
        <v>312</v>
      </c>
      <c r="E41" s="48">
        <v>45607</v>
      </c>
      <c r="F41" s="49">
        <f t="shared" si="2"/>
        <v>0</v>
      </c>
      <c r="G41" s="77">
        <f>SUMIF(积分汇总!$B:$B,C40,积分汇总!$E:$E)</f>
        <v>0</v>
      </c>
      <c r="H41" s="77">
        <f>SUMIF(记录巡查问题条数汇总!$B:$B,C40,记录巡查问题条数汇总!$E:$E)</f>
        <v>0</v>
      </c>
      <c r="I41" s="77"/>
      <c r="J41" s="77">
        <f>SUMIF(安全质量事故!$B:$B,C40,安全质量事故!$G:$G)</f>
        <v>0</v>
      </c>
      <c r="K41" s="72">
        <f>COUNTIF(L41:AP41,标准数据!$A$2)*标准数据!$B$2+COUNTIF(L41:AP41,标准数据!$A$3)*标准数据!$B$3+COUNTIF(L41:AP41,标准数据!$A$4)*标准数据!$B$4</f>
        <v>0</v>
      </c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188"/>
      <c r="AQ41" s="90"/>
      <c r="AR41" s="41"/>
      <c r="AS41" s="41"/>
      <c r="AT41" s="41"/>
    </row>
    <row r="42" spans="1:46" ht="21" customHeight="1">
      <c r="A42" s="227" t="s">
        <v>2109</v>
      </c>
      <c r="B42" s="45" t="s">
        <v>14</v>
      </c>
      <c r="C42" s="46" t="s">
        <v>327</v>
      </c>
      <c r="D42" s="52" t="s">
        <v>313</v>
      </c>
      <c r="E42" s="48">
        <v>45607</v>
      </c>
      <c r="F42" s="49">
        <f t="shared" si="2"/>
        <v>0</v>
      </c>
      <c r="G42" s="77">
        <f>SUMIF(积分汇总!$B:$B,C41,积分汇总!$E:$E)</f>
        <v>0</v>
      </c>
      <c r="H42" s="77">
        <f>SUMIF(记录巡查问题条数汇总!$B:$B,C41,记录巡查问题条数汇总!$E:$E)</f>
        <v>0</v>
      </c>
      <c r="I42" s="77"/>
      <c r="J42" s="77">
        <f>SUMIF(安全质量事故!$B:$B,C41,安全质量事故!$G:$G)</f>
        <v>0</v>
      </c>
      <c r="K42" s="72">
        <f>COUNTIF(L42:AP42,标准数据!$A$2)*标准数据!$B$2+COUNTIF(L42:AP42,标准数据!$A$3)*标准数据!$B$3+COUNTIF(L42:AP42,标准数据!$A$4)*标准数据!$B$4</f>
        <v>0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188"/>
      <c r="AQ42" s="90"/>
      <c r="AR42" s="41"/>
      <c r="AS42" s="41"/>
      <c r="AT42" s="41"/>
    </row>
    <row r="43" spans="1:46" ht="21" customHeight="1">
      <c r="A43" s="227" t="s">
        <v>2109</v>
      </c>
      <c r="B43" s="45" t="s">
        <v>14</v>
      </c>
      <c r="C43" s="46" t="s">
        <v>352</v>
      </c>
      <c r="D43" s="52" t="s">
        <v>339</v>
      </c>
      <c r="E43" s="48">
        <v>45628</v>
      </c>
      <c r="F43" s="49">
        <f t="shared" si="2"/>
        <v>0</v>
      </c>
      <c r="G43" s="77">
        <f>SUMIF(积分汇总!$B:$B,C42,积分汇总!$E:$E)</f>
        <v>0</v>
      </c>
      <c r="H43" s="77">
        <f>SUMIF(记录巡查问题条数汇总!$B:$B,C42,记录巡查问题条数汇总!$E:$E)</f>
        <v>0</v>
      </c>
      <c r="I43" s="77"/>
      <c r="J43" s="77">
        <f>SUMIF(安全质量事故!$B:$B,C42,安全质量事故!$G:$G)</f>
        <v>0</v>
      </c>
      <c r="K43" s="72">
        <f>COUNTIF(L43:AP43,标准数据!$A$2)*标准数据!$B$2+COUNTIF(L43:AP43,标准数据!$A$3)*标准数据!$B$3+COUNTIF(L43:AP43,标准数据!$A$4)*标准数据!$B$4</f>
        <v>0</v>
      </c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188"/>
      <c r="AQ43" s="90"/>
      <c r="AR43" s="41"/>
      <c r="AS43" s="41"/>
      <c r="AT43" s="41"/>
    </row>
    <row r="44" spans="1:46" ht="21" customHeight="1">
      <c r="A44" s="227" t="s">
        <v>2109</v>
      </c>
      <c r="B44" s="45" t="s">
        <v>14</v>
      </c>
      <c r="C44" s="46" t="s">
        <v>358</v>
      </c>
      <c r="D44" s="52" t="s">
        <v>353</v>
      </c>
      <c r="E44" s="48">
        <v>45649</v>
      </c>
      <c r="F44" s="49">
        <f t="shared" si="2"/>
        <v>0</v>
      </c>
      <c r="G44" s="77">
        <f>SUMIF(积分汇总!$B:$B,C43,积分汇总!$E:$E)</f>
        <v>0</v>
      </c>
      <c r="H44" s="77">
        <f>SUMIF(记录巡查问题条数汇总!$B:$B,C43,记录巡查问题条数汇总!$E:$E)</f>
        <v>0</v>
      </c>
      <c r="I44" s="77"/>
      <c r="J44" s="77">
        <f>SUMIF(安全质量事故!$B:$B,C43,安全质量事故!$G:$G)</f>
        <v>0</v>
      </c>
      <c r="K44" s="72">
        <f>COUNTIF(L44:AP44,标准数据!$A$2)*标准数据!$B$2+COUNTIF(L44:AP44,标准数据!$A$3)*标准数据!$B$3+COUNTIF(L44:AP44,标准数据!$A$4)*标准数据!$B$4</f>
        <v>0</v>
      </c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188"/>
      <c r="AQ44" s="90"/>
      <c r="AR44" s="41"/>
      <c r="AS44" s="41"/>
      <c r="AT44" s="41"/>
    </row>
    <row r="45" spans="1:46" ht="21" customHeight="1">
      <c r="A45" s="227" t="s">
        <v>2109</v>
      </c>
      <c r="B45" s="45" t="s">
        <v>14</v>
      </c>
      <c r="C45" s="46" t="s">
        <v>280</v>
      </c>
      <c r="D45" s="47" t="s">
        <v>271</v>
      </c>
      <c r="E45" s="48">
        <v>45546</v>
      </c>
      <c r="F45" s="49">
        <f t="shared" si="2"/>
        <v>0</v>
      </c>
      <c r="G45" s="77">
        <f>SUMIF(积分汇总!$B:$B,C44,积分汇总!$E:$E)</f>
        <v>0</v>
      </c>
      <c r="H45" s="77">
        <f>SUMIF(记录巡查问题条数汇总!$B:$B,C44,记录巡查问题条数汇总!$E:$E)</f>
        <v>0</v>
      </c>
      <c r="I45" s="77"/>
      <c r="J45" s="77">
        <f>SUMIF(安全质量事故!$B:$B,C44,安全质量事故!$G:$G)</f>
        <v>0</v>
      </c>
      <c r="K45" s="72">
        <f>COUNTIF(L45:AP45,标准数据!$A$2)*标准数据!$B$2+COUNTIF(L45:AP45,标准数据!$A$3)*标准数据!$B$3+COUNTIF(L45:AP45,标准数据!$A$4)*标准数据!$B$4</f>
        <v>0</v>
      </c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188"/>
      <c r="AQ45" s="90"/>
      <c r="AR45" s="41"/>
      <c r="AS45" s="41"/>
      <c r="AT45" s="41"/>
    </row>
    <row r="46" spans="1:46" ht="21" customHeight="1">
      <c r="A46" s="227" t="s">
        <v>2109</v>
      </c>
      <c r="B46" s="45" t="s">
        <v>14</v>
      </c>
      <c r="C46" s="46" t="s">
        <v>370</v>
      </c>
      <c r="D46" s="52" t="s">
        <v>363</v>
      </c>
      <c r="E46" s="48">
        <v>45700</v>
      </c>
      <c r="F46" s="49">
        <f t="shared" si="2"/>
        <v>0</v>
      </c>
      <c r="G46" s="77">
        <f>SUMIF(积分汇总!$B:$B,,积分汇总!$E:$E)</f>
        <v>0</v>
      </c>
      <c r="H46" s="77">
        <f>SUMIF(记录巡查问题条数汇总!$B:$B,,记录巡查问题条数汇总!$E:$E)</f>
        <v>0</v>
      </c>
      <c r="I46" s="77"/>
      <c r="J46" s="77">
        <f>SUMIF(安全质量事故!$B:$B,,安全质量事故!$G:$G)</f>
        <v>0</v>
      </c>
      <c r="K46" s="72">
        <f>COUNTIF(L46:AP46,标准数据!$A$2)*标准数据!$B$2+COUNTIF(L46:AP46,标准数据!$A$3)*标准数据!$B$3+COUNTIF(L46:AP46,标准数据!$A$4)*标准数据!$B$4</f>
        <v>0</v>
      </c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188"/>
      <c r="AQ46" s="90"/>
      <c r="AR46" s="41"/>
      <c r="AS46" s="41"/>
      <c r="AT46" s="41"/>
    </row>
    <row r="47" spans="1:46" ht="21" customHeight="1">
      <c r="A47" s="227" t="s">
        <v>2109</v>
      </c>
      <c r="B47" s="45" t="s">
        <v>14</v>
      </c>
      <c r="C47" s="46" t="s">
        <v>371</v>
      </c>
      <c r="D47" s="52" t="s">
        <v>365</v>
      </c>
      <c r="E47" s="48">
        <v>45700</v>
      </c>
      <c r="F47" s="49">
        <f t="shared" si="2"/>
        <v>0</v>
      </c>
      <c r="G47" s="77">
        <f>SUMIF(积分汇总!$B:$B,C46,积分汇总!$E:$E)</f>
        <v>0</v>
      </c>
      <c r="H47" s="77">
        <f>SUMIF(记录巡查问题条数汇总!$B:$B,C46,记录巡查问题条数汇总!$E:$E)</f>
        <v>0</v>
      </c>
      <c r="I47" s="77"/>
      <c r="J47" s="77">
        <f>SUMIF(安全质量事故!$B:$B,C46,安全质量事故!$G:$G)</f>
        <v>0</v>
      </c>
      <c r="K47" s="72">
        <f>COUNTIF(L47:AP47,标准数据!$A$2)*标准数据!$B$2+COUNTIF(L47:AP47,标准数据!$A$3)*标准数据!$B$3+COUNTIF(L47:AP47,标准数据!$A$4)*标准数据!$B$4</f>
        <v>0</v>
      </c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188"/>
      <c r="AQ47" s="90"/>
      <c r="AR47" s="41"/>
      <c r="AS47" s="41"/>
      <c r="AT47" s="41"/>
    </row>
    <row r="48" spans="1:46" ht="21" customHeight="1">
      <c r="A48" s="227" t="s">
        <v>2109</v>
      </c>
      <c r="B48" s="45" t="s">
        <v>14</v>
      </c>
      <c r="C48" s="46" t="s">
        <v>372</v>
      </c>
      <c r="D48" s="52" t="s">
        <v>366</v>
      </c>
      <c r="E48" s="48">
        <v>45700</v>
      </c>
      <c r="F48" s="49">
        <f t="shared" si="2"/>
        <v>0</v>
      </c>
      <c r="G48" s="77">
        <f>SUMIF(积分汇总!$B:$B,C47,积分汇总!$E:$E)</f>
        <v>0</v>
      </c>
      <c r="H48" s="77">
        <f>SUMIF(记录巡查问题条数汇总!$B:$B,C47,记录巡查问题条数汇总!$E:$E)</f>
        <v>0</v>
      </c>
      <c r="I48" s="77"/>
      <c r="J48" s="77">
        <f>SUMIF(安全质量事故!$B:$B,C47,安全质量事故!$G:$G)</f>
        <v>0</v>
      </c>
      <c r="K48" s="72">
        <f>COUNTIF(L48:AP48,标准数据!$A$2)*标准数据!$B$2+COUNTIF(L48:AP48,标准数据!$A$3)*标准数据!$B$3+COUNTIF(L48:AP48,标准数据!$A$4)*标准数据!$B$4</f>
        <v>0</v>
      </c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188"/>
      <c r="AQ48" s="90"/>
      <c r="AR48" s="41"/>
      <c r="AS48" s="41"/>
      <c r="AT48" s="41"/>
    </row>
    <row r="49" spans="1:46" ht="21" customHeight="1">
      <c r="A49" s="227" t="s">
        <v>2109</v>
      </c>
      <c r="B49" s="45" t="s">
        <v>14</v>
      </c>
      <c r="C49" s="46" t="s">
        <v>373</v>
      </c>
      <c r="D49" s="52" t="s">
        <v>367</v>
      </c>
      <c r="E49" s="48">
        <v>45700</v>
      </c>
      <c r="F49" s="49">
        <f t="shared" si="2"/>
        <v>0</v>
      </c>
      <c r="G49" s="77">
        <f>SUMIF(积分汇总!$B:$B,C48,积分汇总!$E:$E)</f>
        <v>0</v>
      </c>
      <c r="H49" s="77">
        <f>SUMIF(记录巡查问题条数汇总!$B:$B,C48,记录巡查问题条数汇总!$E:$E)</f>
        <v>0</v>
      </c>
      <c r="I49" s="77"/>
      <c r="J49" s="77">
        <f>SUMIF(安全质量事故!$B:$B,C48,安全质量事故!$G:$G)</f>
        <v>0</v>
      </c>
      <c r="K49" s="72">
        <f>COUNTIF(L49:AP49,标准数据!$A$2)*标准数据!$B$2+COUNTIF(L49:AP49,标准数据!$A$3)*标准数据!$B$3+COUNTIF(L49:AP49,标准数据!$A$4)*标准数据!$B$4</f>
        <v>0</v>
      </c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188"/>
      <c r="AQ49" s="90"/>
      <c r="AR49" s="41"/>
      <c r="AS49" s="41"/>
      <c r="AT49" s="41"/>
    </row>
    <row r="50" spans="1:46" ht="21" customHeight="1">
      <c r="A50" s="227" t="s">
        <v>2109</v>
      </c>
      <c r="B50" s="45" t="s">
        <v>14</v>
      </c>
      <c r="C50" s="46" t="s">
        <v>397</v>
      </c>
      <c r="D50" s="52" t="s">
        <v>384</v>
      </c>
      <c r="E50" s="48">
        <v>45770</v>
      </c>
      <c r="F50" s="49">
        <f t="shared" si="2"/>
        <v>0</v>
      </c>
      <c r="G50" s="77">
        <f>SUMIF(积分汇总!$B:$B,C49,积分汇总!$E:$E)</f>
        <v>0</v>
      </c>
      <c r="H50" s="77">
        <f>SUMIF(记录巡查问题条数汇总!$B:$B,C49,记录巡查问题条数汇总!$E:$E)</f>
        <v>0</v>
      </c>
      <c r="I50" s="77"/>
      <c r="J50" s="77">
        <f>SUMIF(安全质量事故!$B:$B,C49,安全质量事故!$G:$G)</f>
        <v>0</v>
      </c>
      <c r="K50" s="72">
        <f>COUNTIF(L50:AP50,标准数据!$A$2)*标准数据!$B$2+COUNTIF(L50:AP50,标准数据!$A$3)*标准数据!$B$3+COUNTIF(L50:AP50,标准数据!$A$4)*标准数据!$B$4</f>
        <v>0</v>
      </c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188"/>
      <c r="AQ50" s="90"/>
      <c r="AR50" s="41"/>
      <c r="AS50" s="41"/>
      <c r="AT50" s="41"/>
    </row>
    <row r="51" spans="1:46" ht="21" customHeight="1">
      <c r="A51" s="227" t="s">
        <v>2109</v>
      </c>
      <c r="B51" s="45" t="s">
        <v>14</v>
      </c>
      <c r="C51" s="46" t="s">
        <v>277</v>
      </c>
      <c r="D51" s="52" t="s">
        <v>273</v>
      </c>
      <c r="E51" s="46">
        <v>44389</v>
      </c>
      <c r="F51" s="49">
        <f t="shared" si="2"/>
        <v>0</v>
      </c>
      <c r="G51" s="77">
        <f>SUMIF(积分汇总!$B:$B,C50,积分汇总!$E:$E)</f>
        <v>0</v>
      </c>
      <c r="H51" s="77">
        <f>SUMIF(记录巡查问题条数汇总!$B:$B,C50,记录巡查问题条数汇总!$E:$E)</f>
        <v>0</v>
      </c>
      <c r="I51" s="77"/>
      <c r="J51" s="77">
        <f>SUMIF(安全质量事故!$B:$B,C50,安全质量事故!$G:$G)</f>
        <v>0</v>
      </c>
      <c r="K51" s="72">
        <f>COUNTIF(L51:AP51,标准数据!$A$2)*标准数据!$B$2+COUNTIF(L51:AP51,标准数据!$A$3)*标准数据!$B$3+COUNTIF(L51:AP51,标准数据!$A$4)*标准数据!$B$4</f>
        <v>0</v>
      </c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188"/>
      <c r="AQ51" s="90"/>
      <c r="AR51" s="41"/>
      <c r="AS51" s="41"/>
      <c r="AT51" s="41"/>
    </row>
    <row r="52" spans="1:46" ht="21" customHeight="1">
      <c r="A52" s="227" t="s">
        <v>2109</v>
      </c>
      <c r="B52" s="45" t="s">
        <v>14</v>
      </c>
      <c r="C52" s="46" t="s">
        <v>191</v>
      </c>
      <c r="D52" s="52" t="s">
        <v>95</v>
      </c>
      <c r="E52" s="48">
        <v>44753</v>
      </c>
      <c r="F52" s="49">
        <f t="shared" si="2"/>
        <v>0</v>
      </c>
      <c r="G52" s="77">
        <f>SUMIF(积分汇总!$B:$B,,积分汇总!$E:$E)</f>
        <v>0</v>
      </c>
      <c r="H52" s="77">
        <f>SUMIF(记录巡查问题条数汇总!$B:$B,,记录巡查问题条数汇总!$E:$E)</f>
        <v>0</v>
      </c>
      <c r="I52" s="77"/>
      <c r="J52" s="77">
        <f>SUMIF(安全质量事故!$B:$B,,安全质量事故!$G:$G)</f>
        <v>0</v>
      </c>
      <c r="K52" s="72">
        <f>COUNTIF(L52:AP52,标准数据!$A$2)*标准数据!$B$2+COUNTIF(L52:AP52,标准数据!$A$3)*标准数据!$B$3+COUNTIF(L52:AP52,标准数据!$A$4)*标准数据!$B$4</f>
        <v>0</v>
      </c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188"/>
      <c r="AQ52" s="90"/>
      <c r="AR52" s="41"/>
      <c r="AS52" s="41"/>
      <c r="AT52" s="41"/>
    </row>
    <row r="53" spans="1:46" ht="21" customHeight="1">
      <c r="A53" s="227" t="s">
        <v>2109</v>
      </c>
      <c r="B53" s="45" t="s">
        <v>14</v>
      </c>
      <c r="C53" s="46" t="s">
        <v>406</v>
      </c>
      <c r="D53" s="47" t="s">
        <v>401</v>
      </c>
      <c r="E53" s="48">
        <v>45791</v>
      </c>
      <c r="F53" s="49">
        <f t="shared" si="2"/>
        <v>0</v>
      </c>
      <c r="G53" s="77">
        <f>SUMIF(积分汇总!$B:$B,C52,积分汇总!$E:$E)</f>
        <v>0</v>
      </c>
      <c r="H53" s="77">
        <f>SUMIF(记录巡查问题条数汇总!$B:$B,C52,记录巡查问题条数汇总!$E:$E)</f>
        <v>0</v>
      </c>
      <c r="I53" s="77"/>
      <c r="J53" s="77">
        <f>SUMIF(安全质量事故!$B:$B,C52,安全质量事故!$G:$G)</f>
        <v>0</v>
      </c>
      <c r="K53" s="72">
        <f>COUNTIF(L53:AP53,标准数据!$A$2)*标准数据!$B$2+COUNTIF(L53:AP53,标准数据!$A$3)*标准数据!$B$3+COUNTIF(L53:AP53,标准数据!$A$4)*标准数据!$B$4</f>
        <v>0</v>
      </c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188"/>
      <c r="AQ53" s="90"/>
      <c r="AR53" s="41"/>
      <c r="AS53" s="41"/>
      <c r="AT53" s="41"/>
    </row>
    <row r="54" spans="1:46" ht="21" customHeight="1">
      <c r="A54" s="227" t="s">
        <v>2109</v>
      </c>
      <c r="B54" s="45" t="s">
        <v>14</v>
      </c>
      <c r="C54" s="46" t="s">
        <v>425</v>
      </c>
      <c r="D54" s="47" t="s">
        <v>418</v>
      </c>
      <c r="E54" s="48">
        <v>45819</v>
      </c>
      <c r="F54" s="49">
        <f t="shared" si="2"/>
        <v>0</v>
      </c>
      <c r="G54" s="77">
        <f>SUMIF(积分汇总!$B:$B,C53,积分汇总!$E:$E)</f>
        <v>0</v>
      </c>
      <c r="H54" s="77">
        <f>SUMIF(记录巡查问题条数汇总!$B:$B,C53,记录巡查问题条数汇总!$E:$E)</f>
        <v>0</v>
      </c>
      <c r="I54" s="77"/>
      <c r="J54" s="77">
        <f>SUMIF(安全质量事故!$B:$B,C53,安全质量事故!$G:$G)</f>
        <v>0</v>
      </c>
      <c r="K54" s="72">
        <f>COUNTIF(L54:AP54,标准数据!$A$2)*标准数据!$B$2+COUNTIF(L54:AP54,标准数据!$A$3)*标准数据!$B$3+COUNTIF(L54:AP54,标准数据!$A$4)*标准数据!$B$4</f>
        <v>0</v>
      </c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188"/>
      <c r="AQ54" s="90"/>
      <c r="AR54" s="41"/>
      <c r="AS54" s="41"/>
      <c r="AT54" s="41"/>
    </row>
    <row r="55" spans="1:46" ht="21" customHeight="1">
      <c r="A55" s="227" t="s">
        <v>2109</v>
      </c>
      <c r="B55" s="45" t="s">
        <v>14</v>
      </c>
      <c r="C55" s="46" t="s">
        <v>426</v>
      </c>
      <c r="D55" s="47" t="s">
        <v>419</v>
      </c>
      <c r="E55" s="48">
        <v>45826</v>
      </c>
      <c r="F55" s="49">
        <f t="shared" si="2"/>
        <v>0</v>
      </c>
      <c r="G55" s="77">
        <f>SUMIF(积分汇总!$B:$B,,积分汇总!$E:$E)</f>
        <v>0</v>
      </c>
      <c r="H55" s="77">
        <f>SUMIF(记录巡查问题条数汇总!$B:$B,,记录巡查问题条数汇总!$E:$E)</f>
        <v>0</v>
      </c>
      <c r="I55" s="77"/>
      <c r="J55" s="77">
        <f>SUMIF(安全质量事故!$B:$B,,安全质量事故!$G:$G)</f>
        <v>0</v>
      </c>
      <c r="K55" s="72">
        <f>COUNTIF(L55:AP55,标准数据!$A$2)*标准数据!$B$2+COUNTIF(L55:AP55,标准数据!$A$3)*标准数据!$B$3+COUNTIF(L55:AP55,标准数据!$A$4)*标准数据!$B$4</f>
        <v>0</v>
      </c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188"/>
      <c r="AQ55" s="90"/>
      <c r="AR55" s="41"/>
      <c r="AS55" s="41"/>
      <c r="AT55" s="41"/>
    </row>
    <row r="56" spans="1:46" ht="21" customHeight="1">
      <c r="A56" s="227" t="s">
        <v>2109</v>
      </c>
      <c r="B56" s="45" t="s">
        <v>14</v>
      </c>
      <c r="C56" s="46" t="s">
        <v>469</v>
      </c>
      <c r="D56" s="47" t="s">
        <v>429</v>
      </c>
      <c r="E56" s="48">
        <v>45840</v>
      </c>
      <c r="F56" s="49">
        <f t="shared" si="2"/>
        <v>0</v>
      </c>
      <c r="G56" s="77">
        <f>SUMIF(积分汇总!$B:$B,C55,积分汇总!$E:$E)</f>
        <v>0</v>
      </c>
      <c r="H56" s="77">
        <f>SUMIF(记录巡查问题条数汇总!$B:$B,C55,记录巡查问题条数汇总!$E:$E)</f>
        <v>0</v>
      </c>
      <c r="I56" s="77"/>
      <c r="J56" s="77">
        <f>SUMIF(安全质量事故!$B:$B,C55,安全质量事故!$G:$G)</f>
        <v>0</v>
      </c>
      <c r="K56" s="72">
        <f>COUNTIF(L56:AP56,标准数据!$A$2)*标准数据!$B$2+COUNTIF(L56:AP56,标准数据!$A$3)*标准数据!$B$3+COUNTIF(L56:AP56,标准数据!$A$4)*标准数据!$B$4</f>
        <v>0</v>
      </c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188"/>
      <c r="AQ56" s="90"/>
      <c r="AR56" s="41"/>
      <c r="AS56" s="41"/>
      <c r="AT56" s="41"/>
    </row>
    <row r="57" spans="1:46" ht="21" customHeight="1">
      <c r="A57" s="227" t="s">
        <v>2109</v>
      </c>
      <c r="B57" s="45" t="s">
        <v>14</v>
      </c>
      <c r="C57" s="46" t="s">
        <v>539</v>
      </c>
      <c r="D57" s="47" t="s">
        <v>503</v>
      </c>
      <c r="E57" s="48">
        <v>45882</v>
      </c>
      <c r="F57" s="49">
        <f t="shared" si="2"/>
        <v>0</v>
      </c>
      <c r="G57" s="77">
        <f>SUMIF(积分汇总!$B:$B,C56,积分汇总!$E:$E)</f>
        <v>0</v>
      </c>
      <c r="H57" s="77">
        <f>SUMIF(记录巡查问题条数汇总!$B:$B,C56,记录巡查问题条数汇总!$E:$E)</f>
        <v>0</v>
      </c>
      <c r="I57" s="77"/>
      <c r="J57" s="77">
        <f>SUMIF(安全质量事故!$B:$B,C56,安全质量事故!$G:$G)</f>
        <v>0</v>
      </c>
      <c r="K57" s="72">
        <f>COUNTIF(L57:AP57,标准数据!$A$2)*标准数据!$B$2+COUNTIF(L57:AP57,标准数据!$A$3)*标准数据!$B$3+COUNTIF(L57:AP57,标准数据!$A$4)*标准数据!$B$4</f>
        <v>0</v>
      </c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188"/>
      <c r="AQ57" s="90"/>
    </row>
    <row r="58" spans="1:46" ht="21" customHeight="1">
      <c r="A58" s="227" t="s">
        <v>2109</v>
      </c>
      <c r="B58" s="45" t="s">
        <v>14</v>
      </c>
      <c r="C58" s="46" t="s">
        <v>540</v>
      </c>
      <c r="D58" s="47" t="s">
        <v>505</v>
      </c>
      <c r="E58" s="48">
        <v>45875</v>
      </c>
      <c r="F58" s="49">
        <f t="shared" si="2"/>
        <v>0</v>
      </c>
      <c r="G58" s="77">
        <f>SUMIF(积分汇总!$B:$B,C57,积分汇总!$E:$E)</f>
        <v>0</v>
      </c>
      <c r="H58" s="77">
        <f>SUMIF(记录巡查问题条数汇总!$B:$B,C57,记录巡查问题条数汇总!$E:$E)</f>
        <v>0</v>
      </c>
      <c r="I58" s="77"/>
      <c r="J58" s="77">
        <f>SUMIF(安全质量事故!$B:$B,C57,安全质量事故!$G:$G)</f>
        <v>0</v>
      </c>
      <c r="K58" s="72">
        <f>COUNTIF(L58:AP58,标准数据!$A$2)*标准数据!$B$2+COUNTIF(L58:AP58,标准数据!$A$3)*标准数据!$B$3+COUNTIF(L58:AP58,标准数据!$A$4)*标准数据!$B$4</f>
        <v>0</v>
      </c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188"/>
      <c r="AQ58" s="90"/>
      <c r="AR58" s="41"/>
      <c r="AS58" s="41"/>
      <c r="AT58" s="41"/>
    </row>
    <row r="59" spans="1:46" ht="21" customHeight="1">
      <c r="A59" s="227" t="s">
        <v>2109</v>
      </c>
      <c r="B59" s="45" t="s">
        <v>14</v>
      </c>
      <c r="C59" s="46" t="s">
        <v>541</v>
      </c>
      <c r="D59" s="47" t="s">
        <v>506</v>
      </c>
      <c r="E59" s="48">
        <v>45875</v>
      </c>
      <c r="F59" s="49">
        <f t="shared" si="2"/>
        <v>0</v>
      </c>
      <c r="G59" s="77">
        <f>SUMIF(积分汇总!$B:$B,C58,积分汇总!$E:$E)</f>
        <v>0</v>
      </c>
      <c r="H59" s="77">
        <f>SUMIF(记录巡查问题条数汇总!$B:$B,C58,记录巡查问题条数汇总!$E:$E)</f>
        <v>0</v>
      </c>
      <c r="I59" s="77"/>
      <c r="J59" s="77">
        <f>SUMIF(安全质量事故!$B:$B,C58,安全质量事故!$G:$G)</f>
        <v>0</v>
      </c>
      <c r="K59" s="72">
        <f>COUNTIF(L59:AP59,标准数据!$A$2)*标准数据!$B$2+COUNTIF(L59:AP59,标准数据!$A$3)*标准数据!$B$3+COUNTIF(L59:AP59,标准数据!$A$4)*标准数据!$B$4</f>
        <v>0</v>
      </c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188"/>
      <c r="AQ59" s="90"/>
      <c r="AR59" s="41"/>
      <c r="AS59" s="41"/>
      <c r="AT59" s="41"/>
    </row>
    <row r="60" spans="1:46" ht="21" customHeight="1">
      <c r="A60" s="227" t="s">
        <v>2109</v>
      </c>
      <c r="B60" s="45" t="s">
        <v>14</v>
      </c>
      <c r="C60" s="46" t="s">
        <v>847</v>
      </c>
      <c r="D60" s="47" t="s">
        <v>764</v>
      </c>
      <c r="E60" s="48">
        <v>45392</v>
      </c>
      <c r="F60" s="49">
        <f t="shared" si="2"/>
        <v>0</v>
      </c>
      <c r="G60" s="77">
        <f>SUMIF(积分汇总!$B:$B,C59,积分汇总!$E:$E)</f>
        <v>0</v>
      </c>
      <c r="H60" s="77">
        <f>SUMIF(记录巡查问题条数汇总!$B:$B,C59,记录巡查问题条数汇总!$E:$E)</f>
        <v>0</v>
      </c>
      <c r="I60" s="77"/>
      <c r="J60" s="77">
        <f>SUMIF(安全质量事故!$B:$B,C59,安全质量事故!$G:$G)</f>
        <v>0</v>
      </c>
      <c r="K60" s="72">
        <f>COUNTIF(L60:AP60,标准数据!$A$2)*标准数据!$B$2+COUNTIF(L60:AP60,标准数据!$A$3)*标准数据!$B$3+COUNTIF(L60:AP60,标准数据!$A$4)*标准数据!$B$4</f>
        <v>0</v>
      </c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188"/>
      <c r="AQ60" s="90"/>
      <c r="AR60" s="41"/>
      <c r="AS60" s="41"/>
      <c r="AT60" s="41"/>
    </row>
    <row r="61" spans="1:46" ht="21" customHeight="1">
      <c r="A61" s="227" t="s">
        <v>2109</v>
      </c>
      <c r="B61" s="45" t="s">
        <v>14</v>
      </c>
      <c r="C61" s="46" t="s">
        <v>848</v>
      </c>
      <c r="D61" s="47" t="s">
        <v>766</v>
      </c>
      <c r="E61" s="48">
        <v>45889</v>
      </c>
      <c r="F61" s="49">
        <f t="shared" si="2"/>
        <v>0</v>
      </c>
      <c r="G61" s="77">
        <f>SUMIF(积分汇总!$B:$B,C60,积分汇总!$E:$E)</f>
        <v>0</v>
      </c>
      <c r="H61" s="77">
        <f>SUMIF(记录巡查问题条数汇总!$B:$B,C60,记录巡查问题条数汇总!$E:$E)</f>
        <v>0</v>
      </c>
      <c r="I61" s="77"/>
      <c r="J61" s="77">
        <f>SUMIF(安全质量事故!$B:$B,C60,安全质量事故!$G:$G)</f>
        <v>0</v>
      </c>
      <c r="K61" s="72">
        <f>COUNTIF(L61:AP61,标准数据!$A$2)*标准数据!$B$2+COUNTIF(L61:AP61,标准数据!$A$3)*标准数据!$B$3+COUNTIF(L61:AP61,标准数据!$A$4)*标准数据!$B$4</f>
        <v>0</v>
      </c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188"/>
      <c r="AQ61" s="90"/>
      <c r="AR61" s="41"/>
      <c r="AS61" s="41"/>
      <c r="AT61" s="41"/>
    </row>
    <row r="62" spans="1:46" ht="21" customHeight="1">
      <c r="A62" s="227" t="s">
        <v>2109</v>
      </c>
      <c r="B62" s="45" t="s">
        <v>14</v>
      </c>
      <c r="C62" s="46" t="s">
        <v>742</v>
      </c>
      <c r="D62" s="52" t="s">
        <v>678</v>
      </c>
      <c r="E62" s="46">
        <v>45959</v>
      </c>
      <c r="F62" s="49">
        <f t="shared" si="2"/>
        <v>0</v>
      </c>
      <c r="G62" s="77">
        <f>SUMIF(积分汇总!$B:$B,C61,积分汇总!$E:$E)</f>
        <v>0</v>
      </c>
      <c r="H62" s="77">
        <f>SUMIF(记录巡查问题条数汇总!$B:$B,C61,记录巡查问题条数汇总!$E:$E)</f>
        <v>0</v>
      </c>
      <c r="I62" s="77"/>
      <c r="J62" s="77">
        <f>SUMIF(安全质量事故!$B:$B,C61,安全质量事故!$G:$G)</f>
        <v>0</v>
      </c>
      <c r="K62" s="72">
        <f>COUNTIF(L62:AP62,标准数据!$A$2)*标准数据!$B$2+COUNTIF(L62:AP62,标准数据!$A$3)*标准数据!$B$3+COUNTIF(L62:AP62,标准数据!$A$4)*标准数据!$B$4</f>
        <v>0</v>
      </c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188"/>
      <c r="AQ62" s="90"/>
    </row>
    <row r="63" spans="1:46" ht="21" customHeight="1">
      <c r="A63" s="227" t="s">
        <v>2109</v>
      </c>
      <c r="B63" s="45" t="s">
        <v>14</v>
      </c>
      <c r="C63" s="46" t="s">
        <v>918</v>
      </c>
      <c r="D63" s="47" t="s">
        <v>870</v>
      </c>
      <c r="E63" s="48">
        <v>46029</v>
      </c>
      <c r="F63" s="49">
        <f t="shared" si="2"/>
        <v>0</v>
      </c>
      <c r="G63" s="77">
        <f>SUMIF(积分汇总!$B:$B,C62,积分汇总!$E:$E)</f>
        <v>0</v>
      </c>
      <c r="H63" s="77">
        <f>SUMIF(记录巡查问题条数汇总!$B:$B,C62,记录巡查问题条数汇总!$E:$E)</f>
        <v>0</v>
      </c>
      <c r="I63" s="77"/>
      <c r="J63" s="77">
        <f>SUMIF(安全质量事故!$B:$B,C62,安全质量事故!$G:$G)</f>
        <v>0</v>
      </c>
      <c r="K63" s="72">
        <f>COUNTIF(L63:AP63,标准数据!$A$2)*标准数据!$B$2+COUNTIF(L63:AP63,标准数据!$A$3)*标准数据!$B$3+COUNTIF(L63:AP63,标准数据!$A$4)*标准数据!$B$4</f>
        <v>0</v>
      </c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188"/>
      <c r="AQ63" s="90"/>
    </row>
    <row r="64" spans="1:46" ht="21" customHeight="1">
      <c r="A64" s="227" t="s">
        <v>2109</v>
      </c>
      <c r="B64" s="45" t="s">
        <v>14</v>
      </c>
      <c r="C64" s="46" t="s">
        <v>920</v>
      </c>
      <c r="D64" s="47" t="s">
        <v>872</v>
      </c>
      <c r="E64" s="48">
        <v>46029</v>
      </c>
      <c r="F64" s="49">
        <f t="shared" si="2"/>
        <v>0</v>
      </c>
      <c r="G64" s="77">
        <f>SUMIF(积分汇总!$B:$B,,积分汇总!$E:$E)</f>
        <v>0</v>
      </c>
      <c r="H64" s="77">
        <f>SUMIF(记录巡查问题条数汇总!$B:$B,,记录巡查问题条数汇总!$E:$E)</f>
        <v>0</v>
      </c>
      <c r="I64" s="77"/>
      <c r="J64" s="77">
        <f>SUMIF(安全质量事故!$B:$B,,安全质量事故!$G:$G)</f>
        <v>0</v>
      </c>
      <c r="K64" s="72">
        <f>COUNTIF(L64:AP64,标准数据!$A$2)*标准数据!$B$2+COUNTIF(L64:AP64,标准数据!$A$3)*标准数据!$B$3+COUNTIF(L64:AP64,标准数据!$A$4)*标准数据!$B$4</f>
        <v>0</v>
      </c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188"/>
      <c r="AQ64" s="90"/>
    </row>
    <row r="65" spans="1:46" ht="21" customHeight="1">
      <c r="A65" s="227" t="s">
        <v>2109</v>
      </c>
      <c r="B65" s="45" t="s">
        <v>14</v>
      </c>
      <c r="C65" s="46" t="s">
        <v>982</v>
      </c>
      <c r="D65" s="47" t="s">
        <v>961</v>
      </c>
      <c r="E65" s="48">
        <v>45973</v>
      </c>
      <c r="F65" s="49">
        <f t="shared" si="2"/>
        <v>0</v>
      </c>
      <c r="G65" s="77">
        <f>SUMIF(积分汇总!$B:$B,C64,积分汇总!$E:$E)</f>
        <v>0</v>
      </c>
      <c r="H65" s="77">
        <f>SUMIF(记录巡查问题条数汇总!$B:$B,C64,记录巡查问题条数汇总!$E:$E)</f>
        <v>0</v>
      </c>
      <c r="I65" s="77"/>
      <c r="J65" s="77">
        <f>SUMIF(安全质量事故!$B:$B,C64,安全质量事故!$G:$G)</f>
        <v>0</v>
      </c>
      <c r="K65" s="72">
        <f>COUNTIF(L65:AP65,标准数据!$A$2)*标准数据!$B$2+COUNTIF(L65:AP65,标准数据!$A$3)*标准数据!$B$3+COUNTIF(L65:AP65,标准数据!$A$4)*标准数据!$B$4</f>
        <v>0</v>
      </c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188"/>
      <c r="AQ65" s="90"/>
      <c r="AR65" s="41"/>
      <c r="AS65" s="41"/>
      <c r="AT65" s="41"/>
    </row>
    <row r="66" spans="1:46" ht="21" customHeight="1">
      <c r="A66" s="227" t="s">
        <v>2109</v>
      </c>
      <c r="B66" s="45" t="s">
        <v>14</v>
      </c>
      <c r="C66" s="46" t="s">
        <v>983</v>
      </c>
      <c r="D66" s="47" t="s">
        <v>968</v>
      </c>
      <c r="E66" s="48">
        <v>45987</v>
      </c>
      <c r="F66" s="49">
        <f t="shared" si="2"/>
        <v>0</v>
      </c>
      <c r="G66" s="77">
        <f>SUMIF(积分汇总!$B:$B,C65,积分汇总!$E:$E)</f>
        <v>0</v>
      </c>
      <c r="H66" s="77">
        <f>SUMIF(记录巡查问题条数汇总!$B:$B,C65,记录巡查问题条数汇总!$E:$E)</f>
        <v>0</v>
      </c>
      <c r="I66" s="77"/>
      <c r="J66" s="77">
        <f>SUMIF(安全质量事故!$B:$B,C65,安全质量事故!$G:$G)</f>
        <v>0</v>
      </c>
      <c r="K66" s="72">
        <f>COUNTIF(L66:AP66,标准数据!$A$2)*标准数据!$B$2+COUNTIF(L66:AP66,标准数据!$A$3)*标准数据!$B$3+COUNTIF(L66:AP66,标准数据!$A$4)*标准数据!$B$4</f>
        <v>0</v>
      </c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188"/>
      <c r="AQ66" s="90"/>
      <c r="AR66" s="41"/>
      <c r="AS66" s="41"/>
      <c r="AT66" s="41"/>
    </row>
    <row r="67" spans="1:46" ht="21" customHeight="1">
      <c r="A67" s="227" t="s">
        <v>2109</v>
      </c>
      <c r="B67" s="45" t="s">
        <v>14</v>
      </c>
      <c r="C67" s="46" t="s">
        <v>984</v>
      </c>
      <c r="D67" s="52" t="s">
        <v>969</v>
      </c>
      <c r="E67" s="46">
        <v>45987</v>
      </c>
      <c r="F67" s="49">
        <f t="shared" ref="F67:F68" si="3">(K67+G67+H67+I67-J67)</f>
        <v>0</v>
      </c>
      <c r="G67" s="77">
        <f>SUMIF(积分汇总!$B:$B,C65,积分汇总!$E:$E)</f>
        <v>0</v>
      </c>
      <c r="H67" s="77">
        <f>SUMIF(记录巡查问题条数汇总!$B:$B,C65,记录巡查问题条数汇总!$E:$E)</f>
        <v>0</v>
      </c>
      <c r="I67" s="77"/>
      <c r="J67" s="77">
        <f>SUMIF(安全质量事故!$B:$B,C65,安全质量事故!$G:$G)</f>
        <v>0</v>
      </c>
      <c r="K67" s="72">
        <f>COUNTIF(L67:AP67,标准数据!$A$2)*标准数据!$B$2+COUNTIF(L67:AP67,标准数据!$A$3)*标准数据!$B$3+COUNTIF(L67:AP67,标准数据!$A$4)*标准数据!$B$4</f>
        <v>0</v>
      </c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188"/>
      <c r="AQ67" s="90"/>
      <c r="AR67" s="41"/>
      <c r="AS67" s="41"/>
      <c r="AT67" s="41"/>
    </row>
    <row r="68" spans="1:46" ht="21" customHeight="1">
      <c r="A68" s="227" t="s">
        <v>2109</v>
      </c>
      <c r="B68" s="45" t="s">
        <v>14</v>
      </c>
      <c r="C68" s="46" t="s">
        <v>1569</v>
      </c>
      <c r="D68" s="52" t="s">
        <v>1570</v>
      </c>
      <c r="E68" s="46">
        <v>46197</v>
      </c>
      <c r="F68" s="49">
        <f t="shared" si="3"/>
        <v>0</v>
      </c>
      <c r="G68" s="77">
        <f>SUMIF(积分汇总!$B:$B,C67,积分汇总!$E:$E)</f>
        <v>0</v>
      </c>
      <c r="H68" s="77">
        <f>SUMIF(记录巡查问题条数汇总!$B:$B,C67,记录巡查问题条数汇总!$E:$E)</f>
        <v>0</v>
      </c>
      <c r="I68" s="77"/>
      <c r="J68" s="77">
        <f>SUMIF(安全质量事故!$B:$B,C67,安全质量事故!$G:$G)</f>
        <v>0</v>
      </c>
      <c r="K68" s="72">
        <f>COUNTIF(L68:AP68,标准数据!$A$2)*标准数据!$B$2+COUNTIF(L68:AP68,标准数据!$A$3)*标准数据!$B$3+COUNTIF(L68:AP68,标准数据!$A$4)*标准数据!$B$4</f>
        <v>0</v>
      </c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188"/>
      <c r="AQ68" s="90"/>
    </row>
    <row r="69" spans="1:46" ht="21" customHeight="1">
      <c r="A69" s="227" t="s">
        <v>2109</v>
      </c>
      <c r="B69" s="45" t="s">
        <v>14</v>
      </c>
      <c r="C69" s="46" t="s">
        <v>1571</v>
      </c>
      <c r="D69" s="47" t="s">
        <v>1572</v>
      </c>
      <c r="E69" s="48">
        <v>46197</v>
      </c>
      <c r="F69" s="49">
        <f t="shared" si="2"/>
        <v>0</v>
      </c>
      <c r="G69" s="77">
        <f>SUMIF(积分汇总!$B:$B,,积分汇总!$E:$E)</f>
        <v>0</v>
      </c>
      <c r="H69" s="77">
        <f>SUMIF(记录巡查问题条数汇总!$B:$B,,记录巡查问题条数汇总!$E:$E)</f>
        <v>0</v>
      </c>
      <c r="I69" s="77"/>
      <c r="J69" s="77">
        <f>SUMIF(安全质量事故!$B:$B,,安全质量事故!$G:$G)</f>
        <v>0</v>
      </c>
      <c r="K69" s="72">
        <f>COUNTIF(L69:AP69,标准数据!$A$2)*标准数据!$B$2+COUNTIF(L69:AP69,标准数据!$A$3)*标准数据!$B$3+COUNTIF(L69:AP69,标准数据!$A$4)*标准数据!$B$4</f>
        <v>0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188"/>
      <c r="AQ69" s="90"/>
      <c r="AR69" s="41"/>
      <c r="AS69" s="41"/>
      <c r="AT69" s="41"/>
    </row>
    <row r="70" spans="1:46" ht="21" customHeight="1">
      <c r="A70" s="227" t="s">
        <v>2109</v>
      </c>
      <c r="B70" s="45" t="s">
        <v>14</v>
      </c>
      <c r="C70" s="46" t="s">
        <v>1573</v>
      </c>
      <c r="D70" s="47" t="s">
        <v>1574</v>
      </c>
      <c r="E70" s="48">
        <v>46195</v>
      </c>
      <c r="F70" s="49">
        <f t="shared" si="2"/>
        <v>0</v>
      </c>
      <c r="G70" s="77">
        <f>SUMIF(积分汇总!$B:$B,C69,积分汇总!$E:$E)</f>
        <v>0</v>
      </c>
      <c r="H70" s="77">
        <f>SUMIF(记录巡查问题条数汇总!$B:$B,C69,记录巡查问题条数汇总!$E:$E)</f>
        <v>0</v>
      </c>
      <c r="I70" s="77"/>
      <c r="J70" s="77">
        <f>SUMIF(安全质量事故!$B:$B,C69,安全质量事故!$G:$G)</f>
        <v>0</v>
      </c>
      <c r="K70" s="72">
        <f>COUNTIF(L70:AP70,标准数据!$A$2)*标准数据!$B$2+COUNTIF(L70:AP70,标准数据!$A$3)*标准数据!$B$3+COUNTIF(L70:AP70,标准数据!$A$4)*标准数据!$B$4</f>
        <v>0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188"/>
      <c r="AQ70" s="90"/>
    </row>
    <row r="71" spans="1:46" ht="21" customHeight="1">
      <c r="A71" s="227" t="s">
        <v>2109</v>
      </c>
      <c r="B71" s="45" t="s">
        <v>14</v>
      </c>
      <c r="C71" s="46" t="s">
        <v>1095</v>
      </c>
      <c r="D71" s="47" t="s">
        <v>1096</v>
      </c>
      <c r="E71" s="48">
        <v>44389</v>
      </c>
      <c r="F71" s="49">
        <f t="shared" si="2"/>
        <v>0</v>
      </c>
      <c r="G71" s="77">
        <f>SUMIF(积分汇总!$B:$B,,积分汇总!$E:$E)</f>
        <v>0</v>
      </c>
      <c r="H71" s="77">
        <f>SUMIF(记录巡查问题条数汇总!$B:$B,,记录巡查问题条数汇总!$E:$E)</f>
        <v>0</v>
      </c>
      <c r="I71" s="77"/>
      <c r="J71" s="77">
        <f>SUMIF(安全质量事故!$B:$B,,安全质量事故!$G:$G)</f>
        <v>0</v>
      </c>
      <c r="K71" s="72">
        <f>COUNTIF(L71:AP71,标准数据!$A$2)*标准数据!$B$2+COUNTIF(L71:AP71,标准数据!$A$3)*标准数据!$B$3+COUNTIF(L71:AP71,标准数据!$A$4)*标准数据!$B$4</f>
        <v>0</v>
      </c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188"/>
      <c r="AQ71" s="90"/>
    </row>
    <row r="72" spans="1:46" ht="21" customHeight="1">
      <c r="A72" s="227" t="s">
        <v>2109</v>
      </c>
      <c r="B72" s="45" t="s">
        <v>14</v>
      </c>
      <c r="C72" s="46" t="s">
        <v>1502</v>
      </c>
      <c r="D72" s="52" t="s">
        <v>1503</v>
      </c>
      <c r="E72" s="46">
        <v>46160</v>
      </c>
      <c r="F72" s="49">
        <f t="shared" si="2"/>
        <v>0</v>
      </c>
      <c r="G72" s="77">
        <f>SUMIF(积分汇总!$B:$B,C71,积分汇总!$E:$E)</f>
        <v>0</v>
      </c>
      <c r="H72" s="77">
        <f>SUMIF(记录巡查问题条数汇总!$B:$B,C71,记录巡查问题条数汇总!$E:$E)</f>
        <v>0</v>
      </c>
      <c r="I72" s="77"/>
      <c r="J72" s="77">
        <f>SUMIF(安全质量事故!$B:$B,C71,安全质量事故!$G:$G)</f>
        <v>0</v>
      </c>
      <c r="K72" s="72">
        <f>COUNTIF(L72:AP72,标准数据!$A$2)*标准数据!$B$2+COUNTIF(L72:AP72,标准数据!$A$3)*标准数据!$B$3+COUNTIF(L72:AP72,标准数据!$A$4)*标准数据!$B$4</f>
        <v>0</v>
      </c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188"/>
      <c r="AQ72" s="90"/>
    </row>
    <row r="73" spans="1:46" ht="21" customHeight="1">
      <c r="A73" s="227" t="s">
        <v>2109</v>
      </c>
      <c r="B73" s="45" t="s">
        <v>14</v>
      </c>
      <c r="C73" s="46" t="s">
        <v>1621</v>
      </c>
      <c r="D73" s="47" t="s">
        <v>1622</v>
      </c>
      <c r="E73" s="48">
        <v>46215</v>
      </c>
      <c r="F73" s="49">
        <f t="shared" si="2"/>
        <v>0</v>
      </c>
      <c r="G73" s="77">
        <f>SUMIF(积分汇总!$B:$B,C72,积分汇总!$E:$E)</f>
        <v>0</v>
      </c>
      <c r="H73" s="77">
        <f>SUMIF(记录巡查问题条数汇总!$B:$B,C72,记录巡查问题条数汇总!$E:$E)</f>
        <v>0</v>
      </c>
      <c r="I73" s="77"/>
      <c r="J73" s="77">
        <f>SUMIF(安全质量事故!$B:$B,C72,安全质量事故!$G:$G)</f>
        <v>0</v>
      </c>
      <c r="K73" s="72">
        <f>COUNTIF(L73:AP73,标准数据!$A$2)*标准数据!$B$2+COUNTIF(L73:AP73,标准数据!$A$3)*标准数据!$B$3+COUNTIF(L73:AP73,标准数据!$A$4)*标准数据!$B$4</f>
        <v>0</v>
      </c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188"/>
      <c r="AQ73" s="90"/>
    </row>
    <row r="74" spans="1:46" ht="21" customHeight="1">
      <c r="A74" s="227" t="s">
        <v>2109</v>
      </c>
      <c r="B74" s="45" t="s">
        <v>14</v>
      </c>
      <c r="C74" s="46" t="s">
        <v>1623</v>
      </c>
      <c r="D74" s="52" t="s">
        <v>1624</v>
      </c>
      <c r="E74" s="46">
        <v>46215</v>
      </c>
      <c r="F74" s="49">
        <f t="shared" si="2"/>
        <v>0</v>
      </c>
      <c r="G74" s="77">
        <f>SUMIF(积分汇总!$B:$B,C73,积分汇总!$E:$E)</f>
        <v>0</v>
      </c>
      <c r="H74" s="77">
        <f>SUMIF(记录巡查问题条数汇总!$B:$B,C73,记录巡查问题条数汇总!$E:$E)</f>
        <v>0</v>
      </c>
      <c r="I74" s="77"/>
      <c r="J74" s="77">
        <f>SUMIF(安全质量事故!$B:$B,C73,安全质量事故!$G:$G)</f>
        <v>0</v>
      </c>
      <c r="K74" s="72">
        <f>COUNTIF(L74:AP74,标准数据!$A$2)*标准数据!$B$2+COUNTIF(L74:AP74,标准数据!$A$3)*标准数据!$B$3+COUNTIF(L74:AP74,标准数据!$A$4)*标准数据!$B$4</f>
        <v>0</v>
      </c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188"/>
      <c r="AQ74" s="90"/>
    </row>
    <row r="75" spans="1:46" ht="21" customHeight="1">
      <c r="A75" s="227" t="s">
        <v>2109</v>
      </c>
      <c r="B75" s="45" t="s">
        <v>14</v>
      </c>
      <c r="C75" s="46" t="s">
        <v>1964</v>
      </c>
      <c r="D75" s="52" t="s">
        <v>1965</v>
      </c>
      <c r="E75" s="46">
        <v>46239</v>
      </c>
      <c r="F75" s="49">
        <f t="shared" si="2"/>
        <v>0</v>
      </c>
      <c r="G75" s="77">
        <f>SUMIF(积分汇总!$B:$B,C74,积分汇总!$E:$E)</f>
        <v>0</v>
      </c>
      <c r="H75" s="77">
        <f>SUMIF(记录巡查问题条数汇总!$B:$B,C74,记录巡查问题条数汇总!$E:$E)</f>
        <v>0</v>
      </c>
      <c r="I75" s="77"/>
      <c r="J75" s="77">
        <f>SUMIF(安全质量事故!$B:$B,C74,安全质量事故!$G:$G)</f>
        <v>0</v>
      </c>
      <c r="K75" s="72">
        <f>COUNTIF(L75:AP75,标准数据!$A$2)*标准数据!$B$2+COUNTIF(L75:AP75,标准数据!$A$3)*标准数据!$B$3+COUNTIF(L75:AP75,标准数据!$A$4)*标准数据!$B$4</f>
        <v>0</v>
      </c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188"/>
      <c r="AQ75" s="90"/>
      <c r="AR75" s="41"/>
      <c r="AS75" s="41"/>
      <c r="AT75" s="41"/>
    </row>
    <row r="76" spans="1:46" ht="21" customHeight="1">
      <c r="A76" s="227" t="s">
        <v>2109</v>
      </c>
      <c r="B76" s="45" t="s">
        <v>14</v>
      </c>
      <c r="C76" s="46" t="s">
        <v>1966</v>
      </c>
      <c r="D76" s="52" t="s">
        <v>1967</v>
      </c>
      <c r="E76" s="46">
        <v>46232</v>
      </c>
      <c r="F76" s="49">
        <f t="shared" si="2"/>
        <v>0</v>
      </c>
      <c r="G76" s="77">
        <f>SUMIF(积分汇总!$B:$B,C75,积分汇总!$E:$E)</f>
        <v>0</v>
      </c>
      <c r="H76" s="77">
        <f>SUMIF(记录巡查问题条数汇总!$B:$B,C75,记录巡查问题条数汇总!$E:$E)</f>
        <v>0</v>
      </c>
      <c r="I76" s="77"/>
      <c r="J76" s="77">
        <f>SUMIF(安全质量事故!$B:$B,C75,安全质量事故!$G:$G)</f>
        <v>0</v>
      </c>
      <c r="K76" s="72">
        <f>COUNTIF(L76:AP76,标准数据!$A$2)*标准数据!$B$2+COUNTIF(L76:AP76,标准数据!$A$3)*标准数据!$B$3+COUNTIF(L76:AP76,标准数据!$A$4)*标准数据!$B$4</f>
        <v>0</v>
      </c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188"/>
      <c r="AQ76" s="90"/>
      <c r="AR76" s="41"/>
      <c r="AS76" s="41"/>
      <c r="AT76" s="41"/>
    </row>
    <row r="77" spans="1:46" ht="21" customHeight="1">
      <c r="A77" s="227" t="s">
        <v>2109</v>
      </c>
      <c r="B77" s="45" t="s">
        <v>14</v>
      </c>
      <c r="C77" s="46" t="s">
        <v>1968</v>
      </c>
      <c r="D77" s="52" t="s">
        <v>1969</v>
      </c>
      <c r="E77" s="46">
        <v>46232</v>
      </c>
      <c r="F77" s="49">
        <f t="shared" si="2"/>
        <v>0</v>
      </c>
      <c r="G77" s="77">
        <f>SUMIF(积分汇总!$B:$B,C76,积分汇总!$E:$E)</f>
        <v>0</v>
      </c>
      <c r="H77" s="77">
        <f>SUMIF(记录巡查问题条数汇总!$B:$B,C76,记录巡查问题条数汇总!$E:$E)</f>
        <v>0</v>
      </c>
      <c r="I77" s="77"/>
      <c r="J77" s="77">
        <f>SUMIF(安全质量事故!$B:$B,C76,安全质量事故!$G:$G)</f>
        <v>0</v>
      </c>
      <c r="K77" s="72">
        <f>COUNTIF(L77:AP77,标准数据!$A$2)*标准数据!$B$2+COUNTIF(L77:AP77,标准数据!$A$3)*标准数据!$B$3+COUNTIF(L77:AP77,标准数据!$A$4)*标准数据!$B$4</f>
        <v>0</v>
      </c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188"/>
      <c r="AQ77" s="90"/>
      <c r="AR77" s="41"/>
      <c r="AS77" s="41"/>
      <c r="AT77" s="41"/>
    </row>
    <row r="78" spans="1:46" ht="21" customHeight="1">
      <c r="A78" s="227" t="s">
        <v>2109</v>
      </c>
      <c r="B78" s="45" t="s">
        <v>14</v>
      </c>
      <c r="C78" s="46" t="s">
        <v>1970</v>
      </c>
      <c r="D78" s="52" t="s">
        <v>1971</v>
      </c>
      <c r="E78" s="46">
        <v>46232</v>
      </c>
      <c r="F78" s="49">
        <f t="shared" ref="F78:F95" si="4">(K78+G78+H78+I78-J78)</f>
        <v>0</v>
      </c>
      <c r="G78" s="77">
        <f>SUMIF(积分汇总!$B:$B,C77,积分汇总!$E:$E)</f>
        <v>0</v>
      </c>
      <c r="H78" s="77">
        <f>SUMIF(记录巡查问题条数汇总!$B:$B,C77,记录巡查问题条数汇总!$E:$E)</f>
        <v>0</v>
      </c>
      <c r="I78" s="77"/>
      <c r="J78" s="77">
        <f>SUMIF(安全质量事故!$B:$B,C77,安全质量事故!$G:$G)</f>
        <v>0</v>
      </c>
      <c r="K78" s="72">
        <f>COUNTIF(L78:AP78,标准数据!$A$2)*标准数据!$B$2+COUNTIF(L78:AP78,标准数据!$A$3)*标准数据!$B$3+COUNTIF(L78:AP78,标准数据!$A$4)*标准数据!$B$4</f>
        <v>0</v>
      </c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188"/>
      <c r="AQ78" s="90"/>
      <c r="AR78" s="41"/>
      <c r="AS78" s="41"/>
      <c r="AT78" s="41"/>
    </row>
    <row r="79" spans="1:46" ht="21" customHeight="1">
      <c r="A79" s="227" t="s">
        <v>2109</v>
      </c>
      <c r="B79" s="45" t="s">
        <v>146</v>
      </c>
      <c r="C79" s="46" t="s">
        <v>190</v>
      </c>
      <c r="D79" s="47" t="s">
        <v>147</v>
      </c>
      <c r="E79" s="48">
        <v>44620</v>
      </c>
      <c r="F79" s="49">
        <f t="shared" si="4"/>
        <v>0</v>
      </c>
      <c r="G79" s="77">
        <f>SUMIF(积分汇总!$B:$B,C78,积分汇总!$E:$E)</f>
        <v>0</v>
      </c>
      <c r="H79" s="77">
        <f>SUMIF(记录巡查问题条数汇总!$B:$B,C78,记录巡查问题条数汇总!$E:$E)</f>
        <v>0</v>
      </c>
      <c r="I79" s="77"/>
      <c r="J79" s="77">
        <f>SUMIF(安全质量事故!$B:$B,C78,安全质量事故!$G:$G)</f>
        <v>0</v>
      </c>
      <c r="K79" s="72">
        <f>COUNTIF(L79:AP79,标准数据!$A$2)*标准数据!$B$2+COUNTIF(L79:AP79,标准数据!$A$3)*标准数据!$B$3+COUNTIF(L79:AP79,标准数据!$A$4)*标准数据!$B$4</f>
        <v>0</v>
      </c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188"/>
      <c r="AQ79" s="90"/>
    </row>
    <row r="80" spans="1:46" ht="21" customHeight="1">
      <c r="A80" s="227" t="s">
        <v>2109</v>
      </c>
      <c r="B80" s="45" t="s">
        <v>146</v>
      </c>
      <c r="C80" s="46" t="s">
        <v>234</v>
      </c>
      <c r="D80" s="47" t="s">
        <v>235</v>
      </c>
      <c r="E80" s="48">
        <v>45476</v>
      </c>
      <c r="F80" s="49">
        <f t="shared" si="4"/>
        <v>0</v>
      </c>
      <c r="G80" s="77">
        <f>SUMIF(积分汇总!$B:$B,C79,积分汇总!$E:$E)</f>
        <v>0</v>
      </c>
      <c r="H80" s="77">
        <f>SUMIF(记录巡查问题条数汇总!$B:$B,C79,记录巡查问题条数汇总!$E:$E)</f>
        <v>0</v>
      </c>
      <c r="I80" s="77"/>
      <c r="J80" s="77">
        <f>SUMIF(安全质量事故!$B:$B,C79,安全质量事故!$G:$G)</f>
        <v>0</v>
      </c>
      <c r="K80" s="72">
        <f>COUNTIF(L80:AP80,标准数据!$A$2)*标准数据!$B$2+COUNTIF(L80:AP80,标准数据!$A$3)*标准数据!$B$3+COUNTIF(L80:AP80,标准数据!$A$4)*标准数据!$B$4</f>
        <v>0</v>
      </c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188"/>
      <c r="AQ80" s="90"/>
    </row>
    <row r="81" spans="1:43" ht="21" customHeight="1">
      <c r="A81" s="227" t="s">
        <v>2109</v>
      </c>
      <c r="B81" s="45" t="s">
        <v>146</v>
      </c>
      <c r="C81" s="46" t="s">
        <v>297</v>
      </c>
      <c r="D81" s="47" t="s">
        <v>290</v>
      </c>
      <c r="E81" s="48">
        <v>45574</v>
      </c>
      <c r="F81" s="49">
        <f t="shared" si="4"/>
        <v>0</v>
      </c>
      <c r="G81" s="77">
        <f>SUMIF(积分汇总!$B:$B,C80,积分汇总!$E:$E)</f>
        <v>0</v>
      </c>
      <c r="H81" s="77">
        <f>SUMIF(记录巡查问题条数汇总!$B:$B,C80,记录巡查问题条数汇总!$E:$E)</f>
        <v>0</v>
      </c>
      <c r="I81" s="77"/>
      <c r="J81" s="77">
        <f>SUMIF(安全质量事故!$B:$B,C80,安全质量事故!$G:$G)</f>
        <v>0</v>
      </c>
      <c r="K81" s="72">
        <f>COUNTIF(L81:AP81,标准数据!$A$2)*标准数据!$B$2+COUNTIF(L81:AP81,标准数据!$A$3)*标准数据!$B$3+COUNTIF(L81:AP81,标准数据!$A$4)*标准数据!$B$4</f>
        <v>0</v>
      </c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188"/>
      <c r="AQ81" s="90"/>
    </row>
    <row r="82" spans="1:43" ht="21" customHeight="1">
      <c r="A82" s="227" t="s">
        <v>2109</v>
      </c>
      <c r="B82" s="45" t="s">
        <v>146</v>
      </c>
      <c r="C82" s="46" t="s">
        <v>330</v>
      </c>
      <c r="D82" s="47" t="s">
        <v>311</v>
      </c>
      <c r="E82" s="48">
        <v>45616</v>
      </c>
      <c r="F82" s="49">
        <f t="shared" si="4"/>
        <v>0</v>
      </c>
      <c r="G82" s="77">
        <f>SUMIF(积分汇总!$B:$B,,积分汇总!$E:$E)</f>
        <v>0</v>
      </c>
      <c r="H82" s="77">
        <f>SUMIF(记录巡查问题条数汇总!$B:$B,,记录巡查问题条数汇总!$E:$E)</f>
        <v>0</v>
      </c>
      <c r="I82" s="77"/>
      <c r="J82" s="77">
        <f>SUMIF(安全质量事故!$B:$B,,安全质量事故!$G:$G)</f>
        <v>0</v>
      </c>
      <c r="K82" s="72">
        <f>COUNTIF(L82:AP82,标准数据!$A$2)*标准数据!$B$2+COUNTIF(L82:AP82,标准数据!$A$3)*标准数据!$B$3+COUNTIF(L82:AP82,标准数据!$A$4)*标准数据!$B$4</f>
        <v>0</v>
      </c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188"/>
      <c r="AQ82" s="90"/>
    </row>
    <row r="83" spans="1:43" ht="21" customHeight="1">
      <c r="A83" s="227" t="s">
        <v>2109</v>
      </c>
      <c r="B83" s="45" t="s">
        <v>129</v>
      </c>
      <c r="C83" s="46" t="s">
        <v>374</v>
      </c>
      <c r="D83" s="47" t="s">
        <v>364</v>
      </c>
      <c r="E83" s="48">
        <v>45700</v>
      </c>
      <c r="F83" s="49">
        <f t="shared" si="4"/>
        <v>0</v>
      </c>
      <c r="G83" s="77">
        <f>SUMIF(积分汇总!$B:$B,C82,积分汇总!$E:$E)</f>
        <v>0</v>
      </c>
      <c r="H83" s="77">
        <f>SUMIF(记录巡查问题条数汇总!$B:$B,C82,记录巡查问题条数汇总!$E:$E)</f>
        <v>0</v>
      </c>
      <c r="I83" s="77"/>
      <c r="J83" s="77">
        <f>SUMIF(安全质量事故!$B:$B,C82,安全质量事故!$G:$G)</f>
        <v>0</v>
      </c>
      <c r="K83" s="72">
        <f>COUNTIF(L83:AP83,标准数据!$A$2)*标准数据!$B$2+COUNTIF(L83:AP83,标准数据!$A$3)*标准数据!$B$3+COUNTIF(L83:AP83,标准数据!$A$4)*标准数据!$B$4</f>
        <v>0</v>
      </c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188"/>
      <c r="AQ83" s="90"/>
    </row>
    <row r="84" spans="1:43" ht="21" customHeight="1">
      <c r="A84" s="227" t="s">
        <v>2109</v>
      </c>
      <c r="B84" s="45" t="s">
        <v>129</v>
      </c>
      <c r="C84" s="46" t="s">
        <v>379</v>
      </c>
      <c r="D84" s="47" t="s">
        <v>375</v>
      </c>
      <c r="E84" s="48">
        <v>45735</v>
      </c>
      <c r="F84" s="49">
        <f t="shared" si="4"/>
        <v>0</v>
      </c>
      <c r="G84" s="77">
        <f>SUMIF(积分汇总!$B:$B,C83,积分汇总!$E:$E)</f>
        <v>0</v>
      </c>
      <c r="H84" s="77">
        <f>SUMIF(记录巡查问题条数汇总!$B:$B,C83,记录巡查问题条数汇总!$E:$E)</f>
        <v>0</v>
      </c>
      <c r="I84" s="77"/>
      <c r="J84" s="77">
        <f>SUMIF(安全质量事故!$B:$B,C83,安全质量事故!$G:$G)</f>
        <v>0</v>
      </c>
      <c r="K84" s="72">
        <f>COUNTIF(L84:AP84,标准数据!$A$2)*标准数据!$B$2+COUNTIF(L84:AP84,标准数据!$A$3)*标准数据!$B$3+COUNTIF(L84:AP84,标准数据!$A$4)*标准数据!$B$4</f>
        <v>0</v>
      </c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188"/>
      <c r="AQ84" s="90"/>
    </row>
    <row r="85" spans="1:43" ht="21" customHeight="1">
      <c r="A85" s="227" t="s">
        <v>2109</v>
      </c>
      <c r="B85" s="45" t="s">
        <v>129</v>
      </c>
      <c r="C85" s="46" t="s">
        <v>343</v>
      </c>
      <c r="D85" s="47" t="s">
        <v>336</v>
      </c>
      <c r="E85" s="48">
        <v>45630</v>
      </c>
      <c r="F85" s="49">
        <f t="shared" si="4"/>
        <v>0</v>
      </c>
      <c r="G85" s="77">
        <f>SUMIF(积分汇总!$B:$B,,积分汇总!$E:$E)</f>
        <v>0</v>
      </c>
      <c r="H85" s="77">
        <f>SUMIF(记录巡查问题条数汇总!$B:$B,,记录巡查问题条数汇总!$E:$E)</f>
        <v>0</v>
      </c>
      <c r="I85" s="77"/>
      <c r="J85" s="77">
        <f>SUMIF(安全质量事故!$B:$B,,安全质量事故!$G:$G)</f>
        <v>0</v>
      </c>
      <c r="K85" s="72">
        <f>COUNTIF(L85:AP85,标准数据!$A$2)*标准数据!$B$2+COUNTIF(L85:AP85,标准数据!$A$3)*标准数据!$B$3+COUNTIF(L85:AP85,标准数据!$A$4)*标准数据!$B$4</f>
        <v>0</v>
      </c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188"/>
      <c r="AQ85" s="90"/>
    </row>
    <row r="86" spans="1:43" ht="21" customHeight="1">
      <c r="A86" s="227" t="s">
        <v>2109</v>
      </c>
      <c r="B86" s="45" t="s">
        <v>129</v>
      </c>
      <c r="C86" s="46" t="s">
        <v>475</v>
      </c>
      <c r="D86" s="47" t="s">
        <v>436</v>
      </c>
      <c r="E86" s="48">
        <v>45812</v>
      </c>
      <c r="F86" s="49">
        <f t="shared" si="4"/>
        <v>0</v>
      </c>
      <c r="G86" s="77">
        <f>SUMIF(积分汇总!$B:$B,C85,积分汇总!$E:$E)</f>
        <v>0</v>
      </c>
      <c r="H86" s="77">
        <f>SUMIF(记录巡查问题条数汇总!$B:$B,C85,记录巡查问题条数汇总!$E:$E)</f>
        <v>0</v>
      </c>
      <c r="I86" s="77"/>
      <c r="J86" s="77">
        <f>SUMIF(安全质量事故!$B:$B,C85,安全质量事故!$G:$G)</f>
        <v>0</v>
      </c>
      <c r="K86" s="72">
        <f>COUNTIF(L86:AP86,标准数据!$A$2)*标准数据!$B$2+COUNTIF(L86:AP86,标准数据!$A$3)*标准数据!$B$3+COUNTIF(L86:AP86,标准数据!$A$4)*标准数据!$B$4</f>
        <v>0</v>
      </c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188"/>
      <c r="AQ86" s="90"/>
    </row>
    <row r="87" spans="1:43" ht="21" customHeight="1">
      <c r="A87" s="227" t="s">
        <v>2109</v>
      </c>
      <c r="B87" s="45" t="s">
        <v>129</v>
      </c>
      <c r="C87" s="46" t="s">
        <v>543</v>
      </c>
      <c r="D87" s="47" t="s">
        <v>504</v>
      </c>
      <c r="E87" s="48">
        <v>45875</v>
      </c>
      <c r="F87" s="49">
        <f t="shared" si="4"/>
        <v>0</v>
      </c>
      <c r="G87" s="77">
        <f>SUMIF(积分汇总!$B:$B,,积分汇总!$E:$E)</f>
        <v>0</v>
      </c>
      <c r="H87" s="77">
        <f>SUMIF(记录巡查问题条数汇总!$B:$B,,记录巡查问题条数汇总!$E:$E)</f>
        <v>0</v>
      </c>
      <c r="I87" s="77"/>
      <c r="J87" s="77">
        <f>SUMIF(安全质量事故!$B:$B,,安全质量事故!$G:$G)</f>
        <v>0</v>
      </c>
      <c r="K87" s="72">
        <f>COUNTIF(L87:AP87,标准数据!$A$2)*标准数据!$B$2+COUNTIF(L87:AP87,标准数据!$A$3)*标准数据!$B$3+COUNTIF(L87:AP87,标准数据!$A$4)*标准数据!$B$4</f>
        <v>0</v>
      </c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188"/>
      <c r="AQ87" s="90"/>
    </row>
    <row r="88" spans="1:43" ht="21" customHeight="1">
      <c r="A88" s="227" t="s">
        <v>2109</v>
      </c>
      <c r="B88" s="45" t="s">
        <v>129</v>
      </c>
      <c r="C88" s="46" t="s">
        <v>544</v>
      </c>
      <c r="D88" s="47" t="s">
        <v>507</v>
      </c>
      <c r="E88" s="48">
        <v>45875</v>
      </c>
      <c r="F88" s="49">
        <f t="shared" si="4"/>
        <v>0</v>
      </c>
      <c r="G88" s="77">
        <f>SUMIF(积分汇总!$B:$B,C87,积分汇总!$E:$E)</f>
        <v>0</v>
      </c>
      <c r="H88" s="77">
        <f>SUMIF(记录巡查问题条数汇总!$B:$B,C87,记录巡查问题条数汇总!$E:$E)</f>
        <v>0</v>
      </c>
      <c r="I88" s="77"/>
      <c r="J88" s="77">
        <f>SUMIF(安全质量事故!$B:$B,C87,安全质量事故!$G:$G)</f>
        <v>0</v>
      </c>
      <c r="K88" s="72">
        <f>COUNTIF(L88:AP88,标准数据!$A$2)*标准数据!$B$2+COUNTIF(L88:AP88,标准数据!$A$3)*标准数据!$B$3+COUNTIF(L88:AP88,标准数据!$A$4)*标准数据!$B$4</f>
        <v>0</v>
      </c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188"/>
      <c r="AQ88" s="90"/>
    </row>
    <row r="89" spans="1:43" ht="21" customHeight="1">
      <c r="A89" s="227" t="s">
        <v>2109</v>
      </c>
      <c r="B89" s="45" t="s">
        <v>129</v>
      </c>
      <c r="C89" s="46" t="s">
        <v>616</v>
      </c>
      <c r="D89" s="47" t="s">
        <v>569</v>
      </c>
      <c r="E89" s="48">
        <v>45896</v>
      </c>
      <c r="F89" s="49">
        <f t="shared" si="4"/>
        <v>0</v>
      </c>
      <c r="G89" s="77">
        <f>SUMIF(积分汇总!$B:$B,C88,积分汇总!$E:$E)</f>
        <v>0</v>
      </c>
      <c r="H89" s="77">
        <f>SUMIF(记录巡查问题条数汇总!$B:$B,C88,记录巡查问题条数汇总!$E:$E)</f>
        <v>0</v>
      </c>
      <c r="I89" s="77"/>
      <c r="J89" s="77">
        <f>SUMIF(安全质量事故!$B:$B,C88,安全质量事故!$G:$G)</f>
        <v>0</v>
      </c>
      <c r="K89" s="72">
        <f>COUNTIF(L89:AP89,标准数据!$A$2)*标准数据!$B$2+COUNTIF(L89:AP89,标准数据!$A$3)*标准数据!$B$3+COUNTIF(L89:AP89,标准数据!$A$4)*标准数据!$B$4</f>
        <v>0</v>
      </c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188"/>
      <c r="AQ89" s="90"/>
    </row>
    <row r="90" spans="1:43" ht="21" customHeight="1">
      <c r="A90" s="227" t="s">
        <v>2109</v>
      </c>
      <c r="B90" s="45" t="s">
        <v>129</v>
      </c>
      <c r="C90" s="46" t="s">
        <v>849</v>
      </c>
      <c r="D90" s="47" t="s">
        <v>765</v>
      </c>
      <c r="E90" s="48">
        <v>45575</v>
      </c>
      <c r="F90" s="49">
        <f t="shared" si="4"/>
        <v>0</v>
      </c>
      <c r="G90" s="77">
        <f>SUMIF(积分汇总!$B:$B,,积分汇总!$E:$E)</f>
        <v>0</v>
      </c>
      <c r="H90" s="77">
        <f>SUMIF(记录巡查问题条数汇总!$B:$B,,记录巡查问题条数汇总!$E:$E)</f>
        <v>0</v>
      </c>
      <c r="I90" s="77"/>
      <c r="J90" s="77">
        <f>SUMIF(安全质量事故!$B:$B,,安全质量事故!$G:$G)</f>
        <v>0</v>
      </c>
      <c r="K90" s="72">
        <f>COUNTIF(L90:AP90,标准数据!$A$2)*标准数据!$B$2+COUNTIF(L90:AP90,标准数据!$A$3)*标准数据!$B$3+COUNTIF(L90:AP90,标准数据!$A$4)*标准数据!$B$4</f>
        <v>0</v>
      </c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188"/>
      <c r="AQ90" s="90"/>
    </row>
    <row r="91" spans="1:43" ht="21" customHeight="1">
      <c r="A91" s="227" t="s">
        <v>2109</v>
      </c>
      <c r="B91" s="45" t="s">
        <v>129</v>
      </c>
      <c r="C91" s="46" t="s">
        <v>851</v>
      </c>
      <c r="D91" s="47" t="s">
        <v>768</v>
      </c>
      <c r="E91" s="48">
        <v>45763</v>
      </c>
      <c r="F91" s="49">
        <f t="shared" si="4"/>
        <v>0</v>
      </c>
      <c r="G91" s="77">
        <f>SUMIF(积分汇总!$B:$B,C90,积分汇总!$E:$E)</f>
        <v>0</v>
      </c>
      <c r="H91" s="77">
        <f>SUMIF(记录巡查问题条数汇总!$B:$B,C90,记录巡查问题条数汇总!$E:$E)</f>
        <v>0</v>
      </c>
      <c r="I91" s="77"/>
      <c r="J91" s="77">
        <f>SUMIF(安全质量事故!$B:$B,C90,安全质量事故!$G:$G)</f>
        <v>0</v>
      </c>
      <c r="K91" s="72">
        <f>COUNTIF(L91:AP91,标准数据!$A$2)*标准数据!$B$2+COUNTIF(L91:AP91,标准数据!$A$3)*标准数据!$B$3+COUNTIF(L91:AP91,标准数据!$A$4)*标准数据!$B$4</f>
        <v>0</v>
      </c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188"/>
      <c r="AQ91" s="90"/>
    </row>
    <row r="92" spans="1:43" ht="21" customHeight="1">
      <c r="A92" s="227" t="s">
        <v>2109</v>
      </c>
      <c r="B92" s="45" t="s">
        <v>129</v>
      </c>
      <c r="C92" s="46" t="s">
        <v>852</v>
      </c>
      <c r="D92" s="47" t="s">
        <v>769</v>
      </c>
      <c r="E92" s="48">
        <v>45896</v>
      </c>
      <c r="F92" s="49">
        <f t="shared" si="4"/>
        <v>0</v>
      </c>
      <c r="G92" s="77">
        <f>SUMIF(积分汇总!$B:$B,C91,积分汇总!$E:$E)</f>
        <v>0</v>
      </c>
      <c r="H92" s="77">
        <f>SUMIF(记录巡查问题条数汇总!$B:$B,C91,记录巡查问题条数汇总!$E:$E)</f>
        <v>0</v>
      </c>
      <c r="I92" s="77"/>
      <c r="J92" s="77">
        <f>SUMIF(安全质量事故!$B:$B,C91,安全质量事故!$G:$G)</f>
        <v>0</v>
      </c>
      <c r="K92" s="72">
        <f>COUNTIF(L92:AP92,标准数据!$A$2)*标准数据!$B$2+COUNTIF(L92:AP92,标准数据!$A$3)*标准数据!$B$3+COUNTIF(L92:AP92,标准数据!$A$4)*标准数据!$B$4</f>
        <v>0</v>
      </c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188"/>
      <c r="AQ92" s="90"/>
    </row>
    <row r="93" spans="1:43" ht="21" customHeight="1">
      <c r="A93" s="227" t="s">
        <v>2109</v>
      </c>
      <c r="B93" s="45" t="s">
        <v>129</v>
      </c>
      <c r="C93" s="46" t="s">
        <v>993</v>
      </c>
      <c r="D93" s="47" t="s">
        <v>960</v>
      </c>
      <c r="E93" s="48">
        <v>45973</v>
      </c>
      <c r="F93" s="49">
        <f t="shared" si="4"/>
        <v>0</v>
      </c>
      <c r="G93" s="77">
        <f>SUMIF(积分汇总!$B:$B,C92,积分汇总!$E:$E)</f>
        <v>0</v>
      </c>
      <c r="H93" s="77">
        <f>SUMIF(记录巡查问题条数汇总!$B:$B,C92,记录巡查问题条数汇总!$E:$E)</f>
        <v>0</v>
      </c>
      <c r="I93" s="77"/>
      <c r="J93" s="77">
        <f>SUMIF(安全质量事故!$B:$B,C92,安全质量事故!$G:$G)</f>
        <v>0</v>
      </c>
      <c r="K93" s="72">
        <f>COUNTIF(L93:AP93,标准数据!$A$2)*标准数据!$B$2+COUNTIF(L93:AP93,标准数据!$A$3)*标准数据!$B$3+COUNTIF(L93:AP93,标准数据!$A$4)*标准数据!$B$4</f>
        <v>0</v>
      </c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188"/>
      <c r="AQ93" s="90"/>
    </row>
    <row r="94" spans="1:43" ht="21" customHeight="1">
      <c r="A94" s="227" t="s">
        <v>2109</v>
      </c>
      <c r="B94" s="45" t="s">
        <v>129</v>
      </c>
      <c r="C94" s="46" t="s">
        <v>1240</v>
      </c>
      <c r="D94" s="47" t="s">
        <v>1241</v>
      </c>
      <c r="E94" s="48">
        <v>46127</v>
      </c>
      <c r="F94" s="49">
        <f t="shared" si="4"/>
        <v>0</v>
      </c>
      <c r="G94" s="77">
        <f>SUMIF(积分汇总!$B:$B,C93,积分汇总!$E:$E)</f>
        <v>0</v>
      </c>
      <c r="H94" s="77">
        <f>SUMIF(记录巡查问题条数汇总!$B:$B,C93,记录巡查问题条数汇总!$E:$E)</f>
        <v>0</v>
      </c>
      <c r="I94" s="77"/>
      <c r="J94" s="77">
        <f>SUMIF(安全质量事故!$B:$B,C93,安全质量事故!$G:$G)</f>
        <v>0</v>
      </c>
      <c r="K94" s="72">
        <f>COUNTIF(L94:AP94,标准数据!$A$2)*标准数据!$B$2+COUNTIF(L94:AP94,标准数据!$A$3)*标准数据!$B$3+COUNTIF(L94:AP94,标准数据!$A$4)*标准数据!$B$4</f>
        <v>0</v>
      </c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188"/>
      <c r="AQ94" s="90"/>
    </row>
    <row r="95" spans="1:43" ht="21" customHeight="1">
      <c r="A95" s="227" t="s">
        <v>2109</v>
      </c>
      <c r="B95" s="45" t="s">
        <v>129</v>
      </c>
      <c r="C95" s="46" t="s">
        <v>747</v>
      </c>
      <c r="D95" s="47" t="s">
        <v>674</v>
      </c>
      <c r="E95" s="48">
        <v>45847</v>
      </c>
      <c r="F95" s="49">
        <f t="shared" si="4"/>
        <v>0</v>
      </c>
      <c r="G95" s="77">
        <f>SUMIF(积分汇总!$B:$B,C94,积分汇总!$E:$E)</f>
        <v>0</v>
      </c>
      <c r="H95" s="77">
        <f>SUMIF(记录巡查问题条数汇总!$B:$B,C94,记录巡查问题条数汇总!$E:$E)</f>
        <v>0</v>
      </c>
      <c r="I95" s="77"/>
      <c r="J95" s="77">
        <f>SUMIF(安全质量事故!$B:$B,C94,安全质量事故!$G:$G)</f>
        <v>0</v>
      </c>
      <c r="K95" s="72">
        <f>COUNTIF(L95:AP95,标准数据!$A$2)*标准数据!$B$2+COUNTIF(L95:AP95,标准数据!$A$3)*标准数据!$B$3+COUNTIF(L95:AP95,标准数据!$A$4)*标准数据!$B$4</f>
        <v>0</v>
      </c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188"/>
      <c r="AQ95" s="90"/>
    </row>
    <row r="96" spans="1:43" ht="21" customHeight="1">
      <c r="A96" s="227" t="s">
        <v>2109</v>
      </c>
      <c r="B96" s="45" t="s">
        <v>129</v>
      </c>
      <c r="C96" s="46" t="s">
        <v>748</v>
      </c>
      <c r="D96" s="47" t="s">
        <v>675</v>
      </c>
      <c r="E96" s="48">
        <v>45854</v>
      </c>
      <c r="F96" s="49">
        <f t="shared" ref="F96:F97" si="5">(K96+G96+H96+I96-J96)</f>
        <v>0</v>
      </c>
      <c r="G96" s="77">
        <f>SUMIF(积分汇总!$B:$B,C93,积分汇总!$E:$E)</f>
        <v>0</v>
      </c>
      <c r="H96" s="77">
        <f>SUMIF(记录巡查问题条数汇总!$B:$B,C93,记录巡查问题条数汇总!$E:$E)</f>
        <v>0</v>
      </c>
      <c r="I96" s="77"/>
      <c r="J96" s="77">
        <f>SUMIF(安全质量事故!$B:$B,C93,安全质量事故!$G:$G)</f>
        <v>0</v>
      </c>
      <c r="K96" s="72">
        <f>COUNTIF(L96:AP96,标准数据!$A$2)*标准数据!$B$2+COUNTIF(L96:AP96,标准数据!$A$3)*标准数据!$B$3+COUNTIF(L96:AP96,标准数据!$A$4)*标准数据!$B$4</f>
        <v>0</v>
      </c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188"/>
      <c r="AQ96" s="90"/>
    </row>
    <row r="97" spans="1:46" ht="21" customHeight="1">
      <c r="A97" s="227" t="s">
        <v>2109</v>
      </c>
      <c r="B97" s="45" t="s">
        <v>129</v>
      </c>
      <c r="C97" s="46" t="s">
        <v>749</v>
      </c>
      <c r="D97" s="47" t="s">
        <v>676</v>
      </c>
      <c r="E97" s="48">
        <v>45847</v>
      </c>
      <c r="F97" s="49">
        <f t="shared" si="5"/>
        <v>0</v>
      </c>
      <c r="G97" s="77">
        <f>SUMIF(积分汇总!$B:$B,C96,积分汇总!$E:$E)</f>
        <v>0</v>
      </c>
      <c r="H97" s="77">
        <f>SUMIF(记录巡查问题条数汇总!$B:$B,C96,记录巡查问题条数汇总!$E:$E)</f>
        <v>0</v>
      </c>
      <c r="I97" s="77"/>
      <c r="J97" s="77">
        <f>SUMIF(安全质量事故!$B:$B,C96,安全质量事故!$G:$G)</f>
        <v>0</v>
      </c>
      <c r="K97" s="72">
        <f>COUNTIF(L97:AP97,标准数据!$A$2)*标准数据!$B$2+COUNTIF(L97:AP97,标准数据!$A$3)*标准数据!$B$3+COUNTIF(L97:AP97,标准数据!$A$4)*标准数据!$B$4</f>
        <v>0</v>
      </c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188"/>
      <c r="AQ97" s="90"/>
    </row>
    <row r="98" spans="1:46" ht="21" customHeight="1">
      <c r="A98" s="227" t="s">
        <v>2109</v>
      </c>
      <c r="B98" s="45" t="s">
        <v>129</v>
      </c>
      <c r="C98" s="46" t="s">
        <v>998</v>
      </c>
      <c r="D98" s="47" t="s">
        <v>999</v>
      </c>
      <c r="E98" s="48">
        <v>45980</v>
      </c>
      <c r="F98" s="49">
        <f>(K98+G98+H98+I98-J98)</f>
        <v>0</v>
      </c>
      <c r="G98" s="77">
        <f>SUMIF(积分汇总!$B:$B,C95,积分汇总!$E:$E)</f>
        <v>0</v>
      </c>
      <c r="H98" s="77">
        <f>SUMIF(记录巡查问题条数汇总!$B:$B,C95,记录巡查问题条数汇总!$E:$E)</f>
        <v>0</v>
      </c>
      <c r="I98" s="77"/>
      <c r="J98" s="77">
        <f>SUMIF(安全质量事故!$B:$B,C95,安全质量事故!$G:$G)</f>
        <v>0</v>
      </c>
      <c r="K98" s="72">
        <f>COUNTIF(L98:AP98,标准数据!$A$2)*标准数据!$B$2+COUNTIF(L98:AP98,标准数据!$A$3)*标准数据!$B$3+COUNTIF(L98:AP98,标准数据!$A$4)*标准数据!$B$4</f>
        <v>0</v>
      </c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188"/>
      <c r="AQ98" s="90"/>
    </row>
    <row r="99" spans="1:46" ht="21" customHeight="1">
      <c r="A99" s="227" t="s">
        <v>2109</v>
      </c>
      <c r="B99" s="45" t="s">
        <v>146</v>
      </c>
      <c r="C99" s="46" t="s">
        <v>1972</v>
      </c>
      <c r="D99" s="47" t="s">
        <v>1973</v>
      </c>
      <c r="E99" s="48">
        <v>46225</v>
      </c>
      <c r="F99" s="49">
        <f>(K99+G99+H99+I99-J99)</f>
        <v>0</v>
      </c>
      <c r="G99" s="77">
        <f>SUMIF(积分汇总!$B:$B,C98,积分汇总!$E:$E)</f>
        <v>0</v>
      </c>
      <c r="H99" s="77">
        <f>SUMIF(记录巡查问题条数汇总!$B:$B,C98,记录巡查问题条数汇总!$E:$E)</f>
        <v>0</v>
      </c>
      <c r="I99" s="77"/>
      <c r="J99" s="77">
        <f>SUMIF(安全质量事故!$B:$B,C98,安全质量事故!$G:$G)</f>
        <v>0</v>
      </c>
      <c r="K99" s="72">
        <f>COUNTIF(L99:AP99,标准数据!$A$2)*标准数据!$B$2+COUNTIF(L99:AP99,标准数据!$A$3)*标准数据!$B$3+COUNTIF(L99:AP99,标准数据!$A$4)*标准数据!$B$4</f>
        <v>0</v>
      </c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188"/>
      <c r="AQ99" s="90"/>
    </row>
    <row r="100" spans="1:46" ht="21" customHeight="1">
      <c r="A100" s="267" t="s">
        <v>2108</v>
      </c>
      <c r="B100" s="45" t="s">
        <v>13</v>
      </c>
      <c r="C100" s="46" t="s">
        <v>465</v>
      </c>
      <c r="D100" s="47" t="s">
        <v>438</v>
      </c>
      <c r="E100" s="48">
        <v>45840</v>
      </c>
      <c r="F100" s="49">
        <f t="shared" ref="F100:F133" si="6">(K100+G100+H100+I100-J100)</f>
        <v>0</v>
      </c>
      <c r="G100" s="77">
        <f>SUMIF(积分汇总!$B:$B,C185,积分汇总!$E:$E)</f>
        <v>0</v>
      </c>
      <c r="H100" s="77">
        <f>SUMIF(记录巡查问题条数汇总!$B:$B,C185,记录巡查问题条数汇总!$E:$E)</f>
        <v>0</v>
      </c>
      <c r="I100" s="77"/>
      <c r="J100" s="77">
        <f>SUMIF(安全质量事故!$B:$B,C185,安全质量事故!$G:$G)</f>
        <v>0</v>
      </c>
      <c r="K100" s="72">
        <f>COUNTIF(L100:AP100,标准数据!$A$2)*标准数据!$B$2+COUNTIF(L100:AP100,标准数据!$A$3)*标准数据!$B$3+COUNTIF(L100:AP100,标准数据!$A$4)*标准数据!$B$4</f>
        <v>0</v>
      </c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188"/>
      <c r="AQ100" s="90"/>
      <c r="AR100" s="283" t="s">
        <v>2142</v>
      </c>
      <c r="AS100" s="284"/>
      <c r="AT100" s="284"/>
    </row>
    <row r="101" spans="1:46" ht="21" customHeight="1">
      <c r="A101" s="267" t="s">
        <v>2108</v>
      </c>
      <c r="B101" s="45" t="s">
        <v>13</v>
      </c>
      <c r="C101" s="46" t="s">
        <v>744</v>
      </c>
      <c r="D101" s="47" t="s">
        <v>677</v>
      </c>
      <c r="E101" s="48">
        <v>45980</v>
      </c>
      <c r="F101" s="49">
        <f t="shared" si="6"/>
        <v>0</v>
      </c>
      <c r="G101" s="77">
        <f>SUMIF(积分汇总!$B:$B,C100,积分汇总!$E:$E)</f>
        <v>0</v>
      </c>
      <c r="H101" s="77">
        <f>SUMIF(记录巡查问题条数汇总!$B:$B,C100,记录巡查问题条数汇总!$E:$E)</f>
        <v>0</v>
      </c>
      <c r="I101" s="77"/>
      <c r="J101" s="77">
        <f>SUMIF(安全质量事故!$B:$B,C100,安全质量事故!$G:$G)</f>
        <v>0</v>
      </c>
      <c r="K101" s="72">
        <f>COUNTIF(L101:AP101,标准数据!$A$2)*标准数据!$B$2+COUNTIF(L101:AP101,标准数据!$A$3)*标准数据!$B$3+COUNTIF(L101:AP101,标准数据!$A$4)*标准数据!$B$4</f>
        <v>0</v>
      </c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188"/>
      <c r="AQ101" s="90"/>
      <c r="AR101" s="43" t="s">
        <v>1026</v>
      </c>
      <c r="AS101" s="44" t="s">
        <v>1027</v>
      </c>
      <c r="AT101" s="44" t="s">
        <v>1028</v>
      </c>
    </row>
    <row r="102" spans="1:46" ht="21" customHeight="1">
      <c r="A102" s="267" t="s">
        <v>2108</v>
      </c>
      <c r="B102" s="45" t="s">
        <v>13</v>
      </c>
      <c r="C102" s="46" t="s">
        <v>972</v>
      </c>
      <c r="D102" s="47" t="s">
        <v>948</v>
      </c>
      <c r="E102" s="48">
        <v>46050</v>
      </c>
      <c r="F102" s="49">
        <f t="shared" si="6"/>
        <v>0</v>
      </c>
      <c r="G102" s="77">
        <f>SUMIF(积分汇总!$B:$B,C101,积分汇总!$E:$E)</f>
        <v>0</v>
      </c>
      <c r="H102" s="77">
        <f>SUMIF(记录巡查问题条数汇总!$B:$B,C101,记录巡查问题条数汇总!$E:$E)</f>
        <v>0</v>
      </c>
      <c r="I102" s="77"/>
      <c r="J102" s="77">
        <f>SUMIF(安全质量事故!$B:$B,C101,安全质量事故!$G:$G)</f>
        <v>0</v>
      </c>
      <c r="K102" s="72">
        <f>COUNTIF(L102:AP102,标准数据!$A$2)*标准数据!$B$2+COUNTIF(L102:AP102,标准数据!$A$3)*标准数据!$B$3+COUNTIF(L102:AP102,标准数据!$A$4)*标准数据!$B$4</f>
        <v>0</v>
      </c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188"/>
      <c r="AQ102" s="90"/>
      <c r="AR102" s="64">
        <f>COUNTIF($L$100:$AP$184,"a")</f>
        <v>0</v>
      </c>
      <c r="AS102" s="64">
        <f>COUNTIF($L$100:$AP$184,"b")</f>
        <v>0</v>
      </c>
      <c r="AT102" s="64">
        <f>COUNTIF($L$100:$AP$184,"c")</f>
        <v>0</v>
      </c>
    </row>
    <row r="103" spans="1:46" ht="21" customHeight="1">
      <c r="A103" s="267" t="s">
        <v>2108</v>
      </c>
      <c r="B103" s="45" t="s">
        <v>13</v>
      </c>
      <c r="C103" s="46" t="s">
        <v>1401</v>
      </c>
      <c r="D103" s="47" t="s">
        <v>1402</v>
      </c>
      <c r="E103" s="48">
        <v>46153</v>
      </c>
      <c r="F103" s="49">
        <f t="shared" si="6"/>
        <v>0</v>
      </c>
      <c r="G103" s="77">
        <f>SUMIF(积分汇总!$B:$B,C102,积分汇总!$E:$E)</f>
        <v>0</v>
      </c>
      <c r="H103" s="77">
        <f>SUMIF(记录巡查问题条数汇总!$B:$B,C102,记录巡查问题条数汇总!$E:$E)</f>
        <v>0</v>
      </c>
      <c r="I103" s="77"/>
      <c r="J103" s="77">
        <f>SUMIF(安全质量事故!$B:$B,C102,安全质量事故!$G:$G)</f>
        <v>0</v>
      </c>
      <c r="K103" s="72">
        <f>COUNTIF(L103:AP103,标准数据!$A$2)*标准数据!$B$2+COUNTIF(L103:AP103,标准数据!$A$3)*标准数据!$B$3+COUNTIF(L103:AP103,标准数据!$A$4)*标准数据!$B$4</f>
        <v>0</v>
      </c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188"/>
      <c r="AQ103" s="90"/>
      <c r="AR103" s="50" t="e">
        <f>AR102/($AR$102+$AS$102+$AT$102)</f>
        <v>#DIV/0!</v>
      </c>
      <c r="AS103" s="50" t="e">
        <f>AS102/($AR$102+$AS$102+$AT$102)</f>
        <v>#DIV/0!</v>
      </c>
      <c r="AT103" s="50" t="e">
        <f>AT102/($AR$102+$AS$102+$AT$102)</f>
        <v>#DIV/0!</v>
      </c>
    </row>
    <row r="104" spans="1:46" ht="21" customHeight="1">
      <c r="A104" s="267" t="s">
        <v>2108</v>
      </c>
      <c r="B104" s="45" t="s">
        <v>13</v>
      </c>
      <c r="C104" s="46" t="s">
        <v>178</v>
      </c>
      <c r="D104" s="47" t="s">
        <v>99</v>
      </c>
      <c r="E104" s="48">
        <v>45019</v>
      </c>
      <c r="F104" s="49">
        <f t="shared" si="6"/>
        <v>0</v>
      </c>
      <c r="G104" s="77">
        <f>SUMIF(积分汇总!$B:$B,C103,积分汇总!$E:$E)</f>
        <v>0</v>
      </c>
      <c r="H104" s="77">
        <f>SUMIF(记录巡查问题条数汇总!$B:$B,C103,记录巡查问题条数汇总!$E:$E)</f>
        <v>0</v>
      </c>
      <c r="I104" s="77"/>
      <c r="J104" s="77">
        <f>SUMIF(安全质量事故!$B:$B,C103,安全质量事故!$G:$G)</f>
        <v>0</v>
      </c>
      <c r="K104" s="72">
        <f>COUNTIF(L104:AP104,标准数据!$A$2)*标准数据!$B$2+COUNTIF(L104:AP104,标准数据!$A$3)*标准数据!$B$3+COUNTIF(L104:AP104,标准数据!$A$4)*标准数据!$B$4</f>
        <v>0</v>
      </c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188"/>
      <c r="AQ104" s="90"/>
    </row>
    <row r="105" spans="1:46" ht="21" customHeight="1">
      <c r="A105" s="267" t="s">
        <v>2108</v>
      </c>
      <c r="B105" s="45" t="s">
        <v>13</v>
      </c>
      <c r="C105" s="46" t="s">
        <v>1602</v>
      </c>
      <c r="D105" s="47" t="s">
        <v>1579</v>
      </c>
      <c r="E105" s="48">
        <v>46208</v>
      </c>
      <c r="F105" s="49">
        <f t="shared" si="6"/>
        <v>0</v>
      </c>
      <c r="G105" s="77">
        <f>SUMIF(积分汇总!$B:$B,C104,积分汇总!$E:$E)</f>
        <v>0</v>
      </c>
      <c r="H105" s="77">
        <f>SUMIF(记录巡查问题条数汇总!$B:$B,C104,记录巡查问题条数汇总!$E:$E)</f>
        <v>0</v>
      </c>
      <c r="I105" s="77"/>
      <c r="J105" s="77">
        <f>SUMIF(安全质量事故!$B:$B,C104,安全质量事故!$G:$G)</f>
        <v>0</v>
      </c>
      <c r="K105" s="72">
        <f>COUNTIF(L105:AP105,标准数据!$A$2)*标准数据!$B$2+COUNTIF(L105:AP105,标准数据!$A$3)*标准数据!$B$3+COUNTIF(L105:AP105,标准数据!$A$4)*标准数据!$B$4</f>
        <v>0</v>
      </c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188"/>
      <c r="AQ105" s="90"/>
      <c r="AR105" s="41"/>
      <c r="AS105" s="41"/>
      <c r="AT105" s="41"/>
    </row>
    <row r="106" spans="1:46" ht="21" customHeight="1">
      <c r="A106" s="267" t="s">
        <v>2141</v>
      </c>
      <c r="B106" s="45" t="s">
        <v>13</v>
      </c>
      <c r="C106" s="46" t="s">
        <v>1596</v>
      </c>
      <c r="D106" s="47" t="s">
        <v>1597</v>
      </c>
      <c r="E106" s="48">
        <v>46215</v>
      </c>
      <c r="F106" s="49">
        <f t="shared" si="6"/>
        <v>0</v>
      </c>
      <c r="G106" s="77">
        <f>SUMIF(积分汇总!$B:$B,C105,积分汇总!$E:$E)</f>
        <v>0</v>
      </c>
      <c r="H106" s="77">
        <f>SUMIF(记录巡查问题条数汇总!$B:$B,C105,记录巡查问题条数汇总!$E:$E)</f>
        <v>0</v>
      </c>
      <c r="I106" s="77"/>
      <c r="J106" s="77">
        <f>SUMIF(安全质量事故!$B:$B,C105,安全质量事故!$G:$G)</f>
        <v>0</v>
      </c>
      <c r="K106" s="72">
        <f>COUNTIF(L106:AP106,标准数据!$A$2)*标准数据!$B$2+COUNTIF(L106:AP106,标准数据!$A$3)*标准数据!$B$3+COUNTIF(L106:AP106,标准数据!$A$4)*标准数据!$B$4</f>
        <v>0</v>
      </c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188"/>
      <c r="AQ106" s="90"/>
      <c r="AR106" s="41"/>
      <c r="AS106" s="41"/>
      <c r="AT106" s="41"/>
    </row>
    <row r="107" spans="1:46" ht="21" customHeight="1">
      <c r="A107" s="267" t="s">
        <v>2108</v>
      </c>
      <c r="B107" s="45" t="s">
        <v>13</v>
      </c>
      <c r="C107" s="46" t="s">
        <v>1598</v>
      </c>
      <c r="D107" s="47" t="s">
        <v>1599</v>
      </c>
      <c r="E107" s="48">
        <v>46215</v>
      </c>
      <c r="F107" s="49">
        <f t="shared" ref="F107:F108" si="7">(K107+G107+H107+I107-J107)</f>
        <v>0</v>
      </c>
      <c r="G107" s="77">
        <f>SUMIF(积分汇总!$B:$B,C104,积分汇总!$E:$E)</f>
        <v>0</v>
      </c>
      <c r="H107" s="77">
        <f>SUMIF(记录巡查问题条数汇总!$B:$B,C104,记录巡查问题条数汇总!$E:$E)</f>
        <v>0</v>
      </c>
      <c r="I107" s="77"/>
      <c r="J107" s="77">
        <f>SUMIF(安全质量事故!$B:$B,C104,安全质量事故!$G:$G)</f>
        <v>0</v>
      </c>
      <c r="K107" s="72">
        <f>COUNTIF(L107:AP107,标准数据!$A$2)*标准数据!$B$2+COUNTIF(L107:AP107,标准数据!$A$3)*标准数据!$B$3+COUNTIF(L107:AP107,标准数据!$A$4)*标准数据!$B$4</f>
        <v>0</v>
      </c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188"/>
      <c r="AQ107" s="90"/>
    </row>
    <row r="108" spans="1:46" ht="21" customHeight="1">
      <c r="A108" s="267" t="s">
        <v>2108</v>
      </c>
      <c r="B108" s="45" t="s">
        <v>13</v>
      </c>
      <c r="C108" s="47" t="s">
        <v>1600</v>
      </c>
      <c r="D108" s="86" t="s">
        <v>1601</v>
      </c>
      <c r="E108" s="85">
        <v>46215</v>
      </c>
      <c r="F108" s="49">
        <f t="shared" si="7"/>
        <v>0</v>
      </c>
      <c r="G108" s="77">
        <f>SUMIF(积分汇总!$B:$B,C107,积分汇总!$E:$E)</f>
        <v>0</v>
      </c>
      <c r="H108" s="77">
        <f>SUMIF(记录巡查问题条数汇总!$B:$B,C107,记录巡查问题条数汇总!$E:$E)</f>
        <v>0</v>
      </c>
      <c r="I108" s="77"/>
      <c r="J108" s="77">
        <f>SUMIF(安全质量事故!$B:$B,C107,安全质量事故!$G:$G)</f>
        <v>0</v>
      </c>
      <c r="K108" s="72">
        <f>COUNTIF(L108:AP108,标准数据!$A$2)*标准数据!$B$2+COUNTIF(L108:AP108,标准数据!$A$3)*标准数据!$B$3+COUNTIF(L108:AP108,标准数据!$A$4)*标准数据!$B$4</f>
        <v>0</v>
      </c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188"/>
      <c r="AQ108" s="90"/>
      <c r="AR108" s="41"/>
      <c r="AS108" s="41"/>
      <c r="AT108" s="41"/>
    </row>
    <row r="109" spans="1:46" ht="21" customHeight="1">
      <c r="A109" s="267" t="s">
        <v>2108</v>
      </c>
      <c r="B109" s="45" t="s">
        <v>13</v>
      </c>
      <c r="C109" s="46" t="s">
        <v>405</v>
      </c>
      <c r="D109" s="47" t="s">
        <v>402</v>
      </c>
      <c r="E109" s="48">
        <v>45448</v>
      </c>
      <c r="F109" s="49">
        <f t="shared" si="6"/>
        <v>0</v>
      </c>
      <c r="G109" s="77">
        <f>SUMIF(积分汇总!$B:$B,C106,积分汇总!$E:$E)</f>
        <v>0</v>
      </c>
      <c r="H109" s="77">
        <f>SUMIF(记录巡查问题条数汇总!$B:$B,C106,记录巡查问题条数汇总!$E:$E)</f>
        <v>0</v>
      </c>
      <c r="I109" s="77"/>
      <c r="J109" s="77">
        <f>SUMIF(安全质量事故!$B:$B,C106,安全质量事故!$G:$G)</f>
        <v>0</v>
      </c>
      <c r="K109" s="72">
        <f>COUNTIF(L109:AP109,标准数据!$A$2)*标准数据!$B$2+COUNTIF(L109:AP109,标准数据!$A$3)*标准数据!$B$3+COUNTIF(L109:AP109,标准数据!$A$4)*标准数据!$B$4</f>
        <v>0</v>
      </c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188"/>
      <c r="AQ109" s="90"/>
    </row>
    <row r="110" spans="1:46" ht="21" customHeight="1">
      <c r="A110" s="267" t="s">
        <v>2108</v>
      </c>
      <c r="B110" s="45" t="s">
        <v>13</v>
      </c>
      <c r="C110" s="47" t="s">
        <v>1097</v>
      </c>
      <c r="D110" s="86" t="s">
        <v>1098</v>
      </c>
      <c r="E110" s="85">
        <v>43237</v>
      </c>
      <c r="F110" s="49">
        <f t="shared" si="6"/>
        <v>0</v>
      </c>
      <c r="G110" s="77">
        <f>SUMIF(积分汇总!$B:$B,C109,积分汇总!$E:$E)</f>
        <v>0</v>
      </c>
      <c r="H110" s="77">
        <f>SUMIF(记录巡查问题条数汇总!$B:$B,C109,记录巡查问题条数汇总!$E:$E)</f>
        <v>0</v>
      </c>
      <c r="I110" s="77"/>
      <c r="J110" s="77">
        <f>SUMIF(安全质量事故!$B:$B,C109,安全质量事故!$G:$G)</f>
        <v>0</v>
      </c>
      <c r="K110" s="72">
        <f>COUNTIF(L110:AP110,标准数据!$A$2)*标准数据!$B$2+COUNTIF(L110:AP110,标准数据!$A$3)*标准数据!$B$3+COUNTIF(L110:AP110,标准数据!$A$4)*标准数据!$B$4</f>
        <v>0</v>
      </c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188"/>
      <c r="AQ110" s="90"/>
      <c r="AR110" s="41"/>
      <c r="AS110" s="41"/>
      <c r="AT110" s="41"/>
    </row>
    <row r="111" spans="1:46" ht="21" customHeight="1">
      <c r="A111" s="267" t="s">
        <v>2108</v>
      </c>
      <c r="B111" s="45" t="s">
        <v>131</v>
      </c>
      <c r="C111" s="46" t="s">
        <v>159</v>
      </c>
      <c r="D111" s="52" t="s">
        <v>84</v>
      </c>
      <c r="E111" s="46">
        <v>44732</v>
      </c>
      <c r="F111" s="49">
        <f t="shared" si="6"/>
        <v>0</v>
      </c>
      <c r="G111" s="77">
        <f>SUMIF(积分汇总!$B:$B,C110,积分汇总!$E:$E)</f>
        <v>0</v>
      </c>
      <c r="H111" s="77">
        <f>SUMIF(记录巡查问题条数汇总!$B:$B,C110,记录巡查问题条数汇总!$E:$E)</f>
        <v>0</v>
      </c>
      <c r="I111" s="77"/>
      <c r="J111" s="77">
        <f>SUMIF(安全质量事故!$B:$B,C110,安全质量事故!$G:$G)</f>
        <v>0</v>
      </c>
      <c r="K111" s="72">
        <f>COUNTIF(L111:AP111,标准数据!$A$2)*标准数据!$B$2+COUNTIF(L111:AP111,标准数据!$A$3)*标准数据!$B$3+COUNTIF(L111:AP111,标准数据!$A$4)*标准数据!$B$4</f>
        <v>0</v>
      </c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188"/>
      <c r="AQ111" s="90"/>
      <c r="AR111" s="41"/>
      <c r="AS111" s="41"/>
      <c r="AT111" s="41"/>
    </row>
    <row r="112" spans="1:46" ht="21" customHeight="1">
      <c r="A112" s="267" t="s">
        <v>2108</v>
      </c>
      <c r="B112" s="45" t="s">
        <v>131</v>
      </c>
      <c r="C112" s="46" t="s">
        <v>157</v>
      </c>
      <c r="D112" s="47" t="s">
        <v>76</v>
      </c>
      <c r="E112" s="48">
        <v>44774</v>
      </c>
      <c r="F112" s="49">
        <f t="shared" si="6"/>
        <v>0</v>
      </c>
      <c r="G112" s="77">
        <f>SUMIF(积分汇总!$B:$B,C112,积分汇总!$E:$E)</f>
        <v>0</v>
      </c>
      <c r="H112" s="77">
        <f>SUMIF(记录巡查问题条数汇总!$B:$B,C112,记录巡查问题条数汇总!$E:$E)</f>
        <v>0</v>
      </c>
      <c r="I112" s="77"/>
      <c r="J112" s="77">
        <f>SUMIF(安全质量事故!$B:$B,C112,安全质量事故!$G:$G)</f>
        <v>0</v>
      </c>
      <c r="K112" s="72">
        <f>COUNTIF(L112:AP112,标准数据!$A$2)*标准数据!$B$2+COUNTIF(L112:AP112,标准数据!$A$3)*标准数据!$B$3+COUNTIF(L112:AP112,标准数据!$A$4)*标准数据!$B$4</f>
        <v>0</v>
      </c>
      <c r="L112" s="47"/>
      <c r="M112" s="90"/>
      <c r="N112" s="91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188"/>
      <c r="AQ112" s="90"/>
    </row>
    <row r="113" spans="1:46" ht="21" customHeight="1">
      <c r="A113" s="267" t="s">
        <v>2108</v>
      </c>
      <c r="B113" s="45" t="s">
        <v>14</v>
      </c>
      <c r="C113" s="46" t="s">
        <v>156</v>
      </c>
      <c r="D113" s="47" t="s">
        <v>74</v>
      </c>
      <c r="E113" s="48">
        <v>44774</v>
      </c>
      <c r="F113" s="49">
        <f t="shared" si="6"/>
        <v>0</v>
      </c>
      <c r="G113" s="77">
        <f>SUMIF(积分汇总!$B:$B,C112,积分汇总!$E:$E)</f>
        <v>0</v>
      </c>
      <c r="H113" s="77">
        <f>SUMIF(记录巡查问题条数汇总!$B:$B,C112,记录巡查问题条数汇总!$E:$E)</f>
        <v>0</v>
      </c>
      <c r="I113" s="77"/>
      <c r="J113" s="77">
        <f>SUMIF(安全质量事故!$B:$B,C112,安全质量事故!$G:$G)</f>
        <v>0</v>
      </c>
      <c r="K113" s="72">
        <f>COUNTIF(L113:AP113,标准数据!$A$2)*标准数据!$B$2+COUNTIF(L113:AP113,标准数据!$A$3)*标准数据!$B$3+COUNTIF(L113:AP113,标准数据!$A$4)*标准数据!$B$4</f>
        <v>0</v>
      </c>
      <c r="L113" s="47"/>
      <c r="M113" s="90"/>
      <c r="N113" s="91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188"/>
      <c r="AQ113" s="90"/>
    </row>
    <row r="114" spans="1:46" ht="21" customHeight="1">
      <c r="A114" s="267" t="s">
        <v>2108</v>
      </c>
      <c r="B114" s="45" t="s">
        <v>87</v>
      </c>
      <c r="C114" s="46" t="s">
        <v>867</v>
      </c>
      <c r="D114" s="52" t="s">
        <v>94</v>
      </c>
      <c r="E114" s="46">
        <v>44998</v>
      </c>
      <c r="F114" s="49">
        <f t="shared" si="6"/>
        <v>0</v>
      </c>
      <c r="G114" s="77">
        <f>SUMIF(积分汇总!$B:$B,C113,积分汇总!$E:$E)</f>
        <v>0</v>
      </c>
      <c r="H114" s="77">
        <f>SUMIF(记录巡查问题条数汇总!$B:$B,C113,记录巡查问题条数汇总!$E:$E)</f>
        <v>0</v>
      </c>
      <c r="I114" s="77"/>
      <c r="J114" s="77">
        <f>SUMIF(安全质量事故!$B:$B,C113,安全质量事故!$G:$G)</f>
        <v>0</v>
      </c>
      <c r="K114" s="72">
        <f>COUNTIF(L114:AP114,标准数据!$A$2)*标准数据!$B$2+COUNTIF(L114:AP114,标准数据!$A$3)*标准数据!$B$3+COUNTIF(L114:AP114,标准数据!$A$4)*标准数据!$B$4</f>
        <v>0</v>
      </c>
      <c r="L114" s="90"/>
      <c r="M114" s="90"/>
      <c r="N114" s="91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188"/>
      <c r="AQ114" s="90"/>
      <c r="AS114" s="41"/>
      <c r="AT114" s="41"/>
    </row>
    <row r="115" spans="1:46" ht="21" customHeight="1">
      <c r="A115" s="267" t="s">
        <v>2108</v>
      </c>
      <c r="B115" s="45" t="s">
        <v>87</v>
      </c>
      <c r="C115" s="46" t="s">
        <v>106</v>
      </c>
      <c r="D115" s="47" t="s">
        <v>98</v>
      </c>
      <c r="E115" s="48">
        <v>45019</v>
      </c>
      <c r="F115" s="49">
        <f t="shared" si="6"/>
        <v>0</v>
      </c>
      <c r="G115" s="77">
        <f>SUMIF(积分汇总!$B:$B,C114,积分汇总!$E:$E)</f>
        <v>0</v>
      </c>
      <c r="H115" s="77">
        <f>SUMIF(记录巡查问题条数汇总!$B:$B,C114,记录巡查问题条数汇总!$E:$E)</f>
        <v>0</v>
      </c>
      <c r="I115" s="77"/>
      <c r="J115" s="77">
        <f>SUMIF(安全质量事故!$B:$B,C114,安全质量事故!$G:$G)</f>
        <v>0</v>
      </c>
      <c r="K115" s="72">
        <f>COUNTIF(L115:AP115,标准数据!$A$2)*标准数据!$B$2+COUNTIF(L115:AP115,标准数据!$A$3)*标准数据!$B$3+COUNTIF(L115:AP115,标准数据!$A$4)*标准数据!$B$4</f>
        <v>0</v>
      </c>
      <c r="L115" s="92"/>
      <c r="M115" s="92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188"/>
      <c r="AQ115" s="90"/>
      <c r="AS115" s="41"/>
      <c r="AT115" s="41"/>
    </row>
    <row r="116" spans="1:46" ht="21" customHeight="1">
      <c r="A116" s="267" t="s">
        <v>2108</v>
      </c>
      <c r="B116" s="45" t="s">
        <v>87</v>
      </c>
      <c r="C116" s="46" t="s">
        <v>112</v>
      </c>
      <c r="D116" s="47" t="s">
        <v>111</v>
      </c>
      <c r="E116" s="48">
        <v>45138</v>
      </c>
      <c r="F116" s="49">
        <f t="shared" si="6"/>
        <v>0</v>
      </c>
      <c r="G116" s="77">
        <f>SUMIF(积分汇总!$B:$B,C115,积分汇总!$E:$E)</f>
        <v>0</v>
      </c>
      <c r="H116" s="77">
        <f>SUMIF(记录巡查问题条数汇总!$B:$B,C115,记录巡查问题条数汇总!$E:$E)</f>
        <v>0</v>
      </c>
      <c r="I116" s="77"/>
      <c r="J116" s="77">
        <f>SUMIF(安全质量事故!$B:$B,C115,安全质量事故!$G:$G)</f>
        <v>0</v>
      </c>
      <c r="K116" s="72">
        <f>COUNTIF(L116:AP116,标准数据!$A$2)*标准数据!$B$2+COUNTIF(L116:AP116,标准数据!$A$3)*标准数据!$B$3+COUNTIF(L116:AP116,标准数据!$A$4)*标准数据!$B$4</f>
        <v>0</v>
      </c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188"/>
      <c r="AQ116" s="90"/>
      <c r="AS116" s="41"/>
      <c r="AT116" s="41"/>
    </row>
    <row r="117" spans="1:46" ht="21" customHeight="1">
      <c r="A117" s="267" t="s">
        <v>2108</v>
      </c>
      <c r="B117" s="45" t="s">
        <v>87</v>
      </c>
      <c r="C117" s="46" t="s">
        <v>110</v>
      </c>
      <c r="D117" s="52" t="s">
        <v>93</v>
      </c>
      <c r="E117" s="46">
        <v>44998</v>
      </c>
      <c r="F117" s="49">
        <f t="shared" si="6"/>
        <v>0</v>
      </c>
      <c r="G117" s="77">
        <f>SUMIF(积分汇总!$B:$B,C116,积分汇总!$E:$E)</f>
        <v>0</v>
      </c>
      <c r="H117" s="77">
        <f>SUMIF(记录巡查问题条数汇总!$B:$B,C116,记录巡查问题条数汇总!$E:$E)</f>
        <v>0</v>
      </c>
      <c r="I117" s="77"/>
      <c r="J117" s="77">
        <f>SUMIF(安全质量事故!$B:$B,C116,安全质量事故!$G:$G)</f>
        <v>0</v>
      </c>
      <c r="K117" s="72">
        <f>COUNTIF(L117:AP117,标准数据!$A$2)*标准数据!$B$2+COUNTIF(L117:AP117,标准数据!$A$3)*标准数据!$B$3+COUNTIF(L117:AP117,标准数据!$A$4)*标准数据!$B$4</f>
        <v>0</v>
      </c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188"/>
      <c r="AQ117" s="90"/>
    </row>
    <row r="118" spans="1:46" ht="21" customHeight="1">
      <c r="A118" s="267" t="s">
        <v>2108</v>
      </c>
      <c r="B118" s="45" t="s">
        <v>87</v>
      </c>
      <c r="C118" s="46" t="s">
        <v>120</v>
      </c>
      <c r="D118" s="47" t="s">
        <v>122</v>
      </c>
      <c r="E118" s="48">
        <v>45231</v>
      </c>
      <c r="F118" s="49">
        <f t="shared" si="6"/>
        <v>0</v>
      </c>
      <c r="G118" s="77">
        <f>SUMIF(积分汇总!$B:$B,C117,积分汇总!$E:$E)</f>
        <v>0</v>
      </c>
      <c r="H118" s="77">
        <f>SUMIF(记录巡查问题条数汇总!$B:$B,C117,记录巡查问题条数汇总!$E:$E)</f>
        <v>0</v>
      </c>
      <c r="I118" s="77"/>
      <c r="J118" s="77">
        <f>SUMIF(安全质量事故!$B:$B,C117,安全质量事故!$G:$G)</f>
        <v>0</v>
      </c>
      <c r="K118" s="72">
        <f>COUNTIF(L118:AP118,标准数据!$A$2)*标准数据!$B$2+COUNTIF(L118:AP118,标准数据!$A$3)*标准数据!$B$3+COUNTIF(L118:AP118,标准数据!$A$4)*标准数据!$B$4</f>
        <v>0</v>
      </c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188"/>
      <c r="AQ118" s="90"/>
    </row>
    <row r="119" spans="1:46" ht="21" customHeight="1">
      <c r="A119" s="267" t="s">
        <v>2108</v>
      </c>
      <c r="B119" s="45" t="s">
        <v>14</v>
      </c>
      <c r="C119" s="46" t="s">
        <v>236</v>
      </c>
      <c r="D119" s="47" t="s">
        <v>237</v>
      </c>
      <c r="E119" s="48">
        <v>45476</v>
      </c>
      <c r="F119" s="49">
        <f t="shared" si="6"/>
        <v>0</v>
      </c>
      <c r="G119" s="77">
        <f>SUMIF(积分汇总!$B:$B,C118,积分汇总!$E:$E)</f>
        <v>0</v>
      </c>
      <c r="H119" s="77">
        <f>SUMIF(记录巡查问题条数汇总!$B:$B,C118,记录巡查问题条数汇总!$E:$E)</f>
        <v>0</v>
      </c>
      <c r="I119" s="77"/>
      <c r="J119" s="77">
        <f>SUMIF(安全质量事故!$B:$B,C118,安全质量事故!$G:$G)</f>
        <v>0</v>
      </c>
      <c r="K119" s="72">
        <f>COUNTIF(L119:AP119,标准数据!$A$2)*标准数据!$B$2+COUNTIF(L119:AP119,标准数据!$A$3)*标准数据!$B$3+COUNTIF(L119:AP119,标准数据!$A$4)*标准数据!$B$4</f>
        <v>0</v>
      </c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188"/>
      <c r="AQ119" s="90"/>
    </row>
    <row r="120" spans="1:46" ht="21" customHeight="1">
      <c r="A120" s="267" t="s">
        <v>2108</v>
      </c>
      <c r="B120" s="45" t="s">
        <v>14</v>
      </c>
      <c r="C120" s="46" t="s">
        <v>238</v>
      </c>
      <c r="D120" s="47" t="s">
        <v>239</v>
      </c>
      <c r="E120" s="48">
        <v>45497</v>
      </c>
      <c r="F120" s="49">
        <f t="shared" si="6"/>
        <v>0</v>
      </c>
      <c r="G120" s="77">
        <f>SUMIF(积分汇总!$B:$B,C119,积分汇总!$E:$E)</f>
        <v>0</v>
      </c>
      <c r="H120" s="77">
        <f>SUMIF(记录巡查问题条数汇总!$B:$B,C119,记录巡查问题条数汇总!$E:$E)</f>
        <v>0</v>
      </c>
      <c r="I120" s="77"/>
      <c r="J120" s="77">
        <f>SUMIF(安全质量事故!$B:$B,C119,安全质量事故!$G:$G)</f>
        <v>0</v>
      </c>
      <c r="K120" s="72">
        <f>COUNTIF(L120:AP120,标准数据!$A$2)*标准数据!$B$2+COUNTIF(L120:AP120,标准数据!$A$3)*标准数据!$B$3+COUNTIF(L120:AP120,标准数据!$A$4)*标准数据!$B$4</f>
        <v>0</v>
      </c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188"/>
      <c r="AQ120" s="90"/>
    </row>
    <row r="121" spans="1:46" ht="21" customHeight="1">
      <c r="A121" s="267" t="s">
        <v>2108</v>
      </c>
      <c r="B121" s="45" t="s">
        <v>14</v>
      </c>
      <c r="C121" s="46" t="s">
        <v>240</v>
      </c>
      <c r="D121" s="47" t="s">
        <v>241</v>
      </c>
      <c r="E121" s="48">
        <v>45476</v>
      </c>
      <c r="F121" s="49">
        <f t="shared" si="6"/>
        <v>0</v>
      </c>
      <c r="G121" s="77">
        <f>SUMIF(积分汇总!$B:$B,C120,积分汇总!$E:$E)</f>
        <v>0</v>
      </c>
      <c r="H121" s="77">
        <f>SUMIF(记录巡查问题条数汇总!$B:$B,C120,记录巡查问题条数汇总!$E:$E)</f>
        <v>0</v>
      </c>
      <c r="I121" s="77"/>
      <c r="J121" s="77">
        <f>SUMIF(安全质量事故!$B:$B,C120,安全质量事故!$G:$G)</f>
        <v>0</v>
      </c>
      <c r="K121" s="72">
        <f>COUNTIF(L121:AP121,标准数据!$A$2)*标准数据!$B$2+COUNTIF(L121:AP121,标准数据!$A$3)*标准数据!$B$3+COUNTIF(L121:AP121,标准数据!$A$4)*标准数据!$B$4</f>
        <v>0</v>
      </c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188"/>
      <c r="AQ121" s="90"/>
    </row>
    <row r="122" spans="1:46" ht="21" customHeight="1">
      <c r="A122" s="267" t="s">
        <v>2108</v>
      </c>
      <c r="B122" s="45" t="s">
        <v>14</v>
      </c>
      <c r="C122" s="46" t="s">
        <v>242</v>
      </c>
      <c r="D122" s="47" t="s">
        <v>243</v>
      </c>
      <c r="E122" s="48">
        <v>45490</v>
      </c>
      <c r="F122" s="49">
        <f t="shared" si="6"/>
        <v>0</v>
      </c>
      <c r="G122" s="77">
        <f>SUMIF(积分汇总!$B:$B,C121,积分汇总!$E:$E)</f>
        <v>0</v>
      </c>
      <c r="H122" s="77">
        <f>SUMIF(记录巡查问题条数汇总!$B:$B,C121,记录巡查问题条数汇总!$E:$E)</f>
        <v>0</v>
      </c>
      <c r="I122" s="77"/>
      <c r="J122" s="77">
        <f>SUMIF(安全质量事故!$B:$B,C121,安全质量事故!$G:$G)</f>
        <v>0</v>
      </c>
      <c r="K122" s="72">
        <f>COUNTIF(L122:AP122,标准数据!$A$2)*标准数据!$B$2+COUNTIF(L122:AP122,标准数据!$A$3)*标准数据!$B$3+COUNTIF(L122:AP122,标准数据!$A$4)*标准数据!$B$4</f>
        <v>0</v>
      </c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188"/>
      <c r="AQ122" s="90"/>
    </row>
    <row r="123" spans="1:46" ht="21" customHeight="1">
      <c r="A123" s="267" t="s">
        <v>2108</v>
      </c>
      <c r="B123" s="45" t="s">
        <v>87</v>
      </c>
      <c r="C123" s="46" t="s">
        <v>198</v>
      </c>
      <c r="D123" s="47" t="s">
        <v>199</v>
      </c>
      <c r="E123" s="48">
        <v>44396</v>
      </c>
      <c r="F123" s="49">
        <f t="shared" si="6"/>
        <v>0</v>
      </c>
      <c r="G123" s="77">
        <f>SUMIF(积分汇总!$B:$B,C122,积分汇总!$E:$E)</f>
        <v>0</v>
      </c>
      <c r="H123" s="77">
        <f>SUMIF(记录巡查问题条数汇总!$B:$B,C122,记录巡查问题条数汇总!$E:$E)</f>
        <v>0</v>
      </c>
      <c r="I123" s="77"/>
      <c r="J123" s="77">
        <f>SUMIF(安全质量事故!$B:$B,C122,安全质量事故!$G:$G)</f>
        <v>0</v>
      </c>
      <c r="K123" s="72">
        <f>COUNTIF(L123:AP123,标准数据!$A$2)*标准数据!$B$2+COUNTIF(L123:AP123,标准数据!$A$3)*标准数据!$B$3+COUNTIF(L123:AP123,标准数据!$A$4)*标准数据!$B$4</f>
        <v>0</v>
      </c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188"/>
      <c r="AQ123" s="90"/>
    </row>
    <row r="124" spans="1:46" ht="21" customHeight="1">
      <c r="A124" s="267" t="s">
        <v>2108</v>
      </c>
      <c r="B124" s="45" t="s">
        <v>87</v>
      </c>
      <c r="C124" s="46" t="s">
        <v>322</v>
      </c>
      <c r="D124" s="47" t="s">
        <v>314</v>
      </c>
      <c r="E124" s="48">
        <v>45602</v>
      </c>
      <c r="F124" s="49">
        <f t="shared" si="6"/>
        <v>0</v>
      </c>
      <c r="G124" s="77">
        <f>SUMIF(积分汇总!$B:$B,C123,积分汇总!$E:$E)</f>
        <v>0</v>
      </c>
      <c r="H124" s="77">
        <f>SUMIF(记录巡查问题条数汇总!$B:$B,C123,记录巡查问题条数汇总!$E:$E)</f>
        <v>0</v>
      </c>
      <c r="I124" s="77"/>
      <c r="J124" s="77">
        <f>SUMIF(安全质量事故!$B:$B,C123,安全质量事故!$G:$G)</f>
        <v>0</v>
      </c>
      <c r="K124" s="72">
        <f>COUNTIF(L124:AP124,标准数据!$A$2)*标准数据!$B$2+COUNTIF(L124:AP124,标准数据!$A$3)*标准数据!$B$3+COUNTIF(L124:AP124,标准数据!$A$4)*标准数据!$B$4</f>
        <v>0</v>
      </c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188"/>
      <c r="AQ124" s="90"/>
    </row>
    <row r="125" spans="1:46" ht="21" customHeight="1">
      <c r="A125" s="267" t="s">
        <v>2108</v>
      </c>
      <c r="B125" s="45" t="s">
        <v>14</v>
      </c>
      <c r="C125" s="46" t="s">
        <v>395</v>
      </c>
      <c r="D125" s="52" t="s">
        <v>385</v>
      </c>
      <c r="E125" s="48">
        <v>45756</v>
      </c>
      <c r="F125" s="49">
        <f t="shared" si="6"/>
        <v>0</v>
      </c>
      <c r="G125" s="77">
        <f>SUMIF(积分汇总!$B:$B,C124,积分汇总!$E:$E)</f>
        <v>0</v>
      </c>
      <c r="H125" s="77">
        <f>SUMIF(记录巡查问题条数汇总!$B:$B,C124,记录巡查问题条数汇总!$E:$E)</f>
        <v>0</v>
      </c>
      <c r="I125" s="77"/>
      <c r="J125" s="77">
        <f>SUMIF(安全质量事故!$B:$B,C124,安全质量事故!$G:$G)</f>
        <v>0</v>
      </c>
      <c r="K125" s="72">
        <f>COUNTIF(L125:AP125,标准数据!$A$2)*标准数据!$B$2+COUNTIF(L125:AP125,标准数据!$A$3)*标准数据!$B$3+COUNTIF(L125:AP125,标准数据!$A$4)*标准数据!$B$4</f>
        <v>0</v>
      </c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188"/>
      <c r="AQ125" s="90"/>
    </row>
    <row r="126" spans="1:46" ht="21" customHeight="1">
      <c r="A126" s="267" t="s">
        <v>2108</v>
      </c>
      <c r="B126" s="45" t="s">
        <v>87</v>
      </c>
      <c r="C126" s="46" t="s">
        <v>181</v>
      </c>
      <c r="D126" s="52" t="s">
        <v>180</v>
      </c>
      <c r="E126" s="46">
        <v>44397</v>
      </c>
      <c r="F126" s="49">
        <f t="shared" si="6"/>
        <v>0</v>
      </c>
      <c r="G126" s="77">
        <f>SUMIF(积分汇总!$B:$B,C125,积分汇总!$E:$E)</f>
        <v>0</v>
      </c>
      <c r="H126" s="77">
        <f>SUMIF(记录巡查问题条数汇总!$B:$B,C125,记录巡查问题条数汇总!$E:$E)</f>
        <v>0</v>
      </c>
      <c r="I126" s="77"/>
      <c r="J126" s="77">
        <f>SUMIF(安全质量事故!$B:$B,C125,安全质量事故!$G:$G)</f>
        <v>0</v>
      </c>
      <c r="K126" s="72">
        <f>COUNTIF(L126:AP126,标准数据!$A$2)*标准数据!$B$2+COUNTIF(L126:AP126,标准数据!$A$3)*标准数据!$B$3+COUNTIF(L126:AP126,标准数据!$A$4)*标准数据!$B$4</f>
        <v>0</v>
      </c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188"/>
      <c r="AQ126" s="90"/>
    </row>
    <row r="127" spans="1:46" ht="21" customHeight="1">
      <c r="A127" s="267" t="s">
        <v>2108</v>
      </c>
      <c r="B127" s="45" t="s">
        <v>87</v>
      </c>
      <c r="C127" s="46" t="s">
        <v>416</v>
      </c>
      <c r="D127" s="52" t="s">
        <v>411</v>
      </c>
      <c r="E127" s="46">
        <v>45798</v>
      </c>
      <c r="F127" s="49">
        <f t="shared" si="6"/>
        <v>0</v>
      </c>
      <c r="G127" s="77">
        <f>SUMIF(积分汇总!$B:$B,C126,积分汇总!$E:$E)</f>
        <v>0</v>
      </c>
      <c r="H127" s="77">
        <f>SUMIF(记录巡查问题条数汇总!$B:$B,C126,记录巡查问题条数汇总!$E:$E)</f>
        <v>0</v>
      </c>
      <c r="I127" s="77"/>
      <c r="J127" s="77">
        <f>SUMIF(安全质量事故!$B:$B,C126,安全质量事故!$G:$G)</f>
        <v>0</v>
      </c>
      <c r="K127" s="72">
        <f>COUNTIF(L127:AP127,标准数据!$A$2)*标准数据!$B$2+COUNTIF(L127:AP127,标准数据!$A$3)*标准数据!$B$3+COUNTIF(L127:AP127,标准数据!$A$4)*标准数据!$B$4</f>
        <v>0</v>
      </c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188"/>
      <c r="AQ127" s="90"/>
    </row>
    <row r="128" spans="1:46" ht="21" customHeight="1">
      <c r="A128" s="267" t="s">
        <v>2108</v>
      </c>
      <c r="B128" s="45" t="s">
        <v>14</v>
      </c>
      <c r="C128" s="46" t="s">
        <v>424</v>
      </c>
      <c r="D128" s="52" t="s">
        <v>420</v>
      </c>
      <c r="E128" s="46">
        <v>45826</v>
      </c>
      <c r="F128" s="49">
        <f t="shared" si="6"/>
        <v>0</v>
      </c>
      <c r="G128" s="77">
        <f>SUMIF(积分汇总!$B:$B,C127,积分汇总!$E:$E)</f>
        <v>0</v>
      </c>
      <c r="H128" s="77">
        <f>SUMIF(记录巡查问题条数汇总!$B:$B,C127,记录巡查问题条数汇总!$E:$E)</f>
        <v>0</v>
      </c>
      <c r="I128" s="77"/>
      <c r="J128" s="77">
        <f>SUMIF(安全质量事故!$B:$B,C127,安全质量事故!$G:$G)</f>
        <v>0</v>
      </c>
      <c r="K128" s="72">
        <f>COUNTIF(L128:AP128,标准数据!$A$2)*标准数据!$B$2+COUNTIF(L128:AP128,标准数据!$A$3)*标准数据!$B$3+COUNTIF(L128:AP128,标准数据!$A$4)*标准数据!$B$4</f>
        <v>0</v>
      </c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188"/>
      <c r="AQ128" s="90"/>
    </row>
    <row r="129" spans="1:43" ht="21" customHeight="1">
      <c r="A129" s="267" t="s">
        <v>2108</v>
      </c>
      <c r="B129" s="45" t="s">
        <v>14</v>
      </c>
      <c r="C129" s="46" t="s">
        <v>535</v>
      </c>
      <c r="D129" s="52" t="s">
        <v>509</v>
      </c>
      <c r="E129" s="46">
        <v>45889</v>
      </c>
      <c r="F129" s="49">
        <f t="shared" si="6"/>
        <v>0</v>
      </c>
      <c r="G129" s="77">
        <f>SUMIF(积分汇总!$B:$B,C128,积分汇总!$E:$E)</f>
        <v>0</v>
      </c>
      <c r="H129" s="77">
        <f>SUMIF(记录巡查问题条数汇总!$B:$B,C128,记录巡查问题条数汇总!$E:$E)</f>
        <v>0</v>
      </c>
      <c r="I129" s="77"/>
      <c r="J129" s="77">
        <f>SUMIF(安全质量事故!$B:$B,C128,安全质量事故!$G:$G)</f>
        <v>0</v>
      </c>
      <c r="K129" s="72">
        <f>COUNTIF(L129:AP129,标准数据!$A$2)*标准数据!$B$2+COUNTIF(L129:AP129,标准数据!$A$3)*标准数据!$B$3+COUNTIF(L129:AP129,标准数据!$A$4)*标准数据!$B$4</f>
        <v>0</v>
      </c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188"/>
      <c r="AQ129" s="90"/>
    </row>
    <row r="130" spans="1:43" ht="21" customHeight="1">
      <c r="A130" s="267" t="s">
        <v>2108</v>
      </c>
      <c r="B130" s="45" t="s">
        <v>14</v>
      </c>
      <c r="C130" s="46" t="s">
        <v>612</v>
      </c>
      <c r="D130" s="52" t="s">
        <v>570</v>
      </c>
      <c r="E130" s="46">
        <v>45896</v>
      </c>
      <c r="F130" s="49">
        <f t="shared" si="6"/>
        <v>0</v>
      </c>
      <c r="G130" s="77">
        <f>SUMIF(积分汇总!$B:$B,C129,积分汇总!$E:$E)</f>
        <v>0</v>
      </c>
      <c r="H130" s="77">
        <f>SUMIF(记录巡查问题条数汇总!$B:$B,C129,记录巡查问题条数汇总!$E:$E)</f>
        <v>0</v>
      </c>
      <c r="I130" s="77"/>
      <c r="J130" s="77">
        <f>SUMIF(安全质量事故!$B:$B,C129,安全质量事故!$G:$G)</f>
        <v>0</v>
      </c>
      <c r="K130" s="72">
        <f>COUNTIF(L130:AP130,标准数据!$A$2)*标准数据!$B$2+COUNTIF(L130:AP130,标准数据!$A$3)*标准数据!$B$3+COUNTIF(L130:AP130,标准数据!$A$4)*标准数据!$B$4</f>
        <v>0</v>
      </c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188"/>
      <c r="AQ130" s="90"/>
    </row>
    <row r="131" spans="1:43" ht="21" customHeight="1">
      <c r="A131" s="267" t="s">
        <v>2108</v>
      </c>
      <c r="B131" s="45" t="s">
        <v>14</v>
      </c>
      <c r="C131" s="46" t="s">
        <v>613</v>
      </c>
      <c r="D131" s="52" t="s">
        <v>571</v>
      </c>
      <c r="E131" s="46">
        <v>45917</v>
      </c>
      <c r="F131" s="49">
        <f t="shared" si="6"/>
        <v>0</v>
      </c>
      <c r="G131" s="77">
        <f>SUMIF(积分汇总!$B:$B,C130,积分汇总!$E:$E)</f>
        <v>0</v>
      </c>
      <c r="H131" s="77">
        <f>SUMIF(记录巡查问题条数汇总!$B:$B,C130,记录巡查问题条数汇总!$E:$E)</f>
        <v>0</v>
      </c>
      <c r="I131" s="77"/>
      <c r="J131" s="77">
        <f>SUMIF(安全质量事故!$B:$B,C130,安全质量事故!$G:$G)</f>
        <v>0</v>
      </c>
      <c r="K131" s="72">
        <f>COUNTIF(L131:AP131,标准数据!$A$2)*标准数据!$B$2+COUNTIF(L131:AP131,标准数据!$A$3)*标准数据!$B$3+COUNTIF(L131:AP131,标准数据!$A$4)*标准数据!$B$4</f>
        <v>0</v>
      </c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188"/>
      <c r="AQ131" s="90"/>
    </row>
    <row r="132" spans="1:43" ht="21" customHeight="1">
      <c r="A132" s="267" t="s">
        <v>2108</v>
      </c>
      <c r="B132" s="45" t="s">
        <v>14</v>
      </c>
      <c r="C132" s="46" t="s">
        <v>614</v>
      </c>
      <c r="D132" s="52" t="s">
        <v>572</v>
      </c>
      <c r="E132" s="46">
        <v>45917</v>
      </c>
      <c r="F132" s="49">
        <f t="shared" si="6"/>
        <v>0</v>
      </c>
      <c r="G132" s="77">
        <f>SUMIF(积分汇总!$B:$B,C131,积分汇总!$E:$E)</f>
        <v>0</v>
      </c>
      <c r="H132" s="77">
        <f>SUMIF(记录巡查问题条数汇总!$B:$B,C131,记录巡查问题条数汇总!$E:$E)</f>
        <v>0</v>
      </c>
      <c r="I132" s="77"/>
      <c r="J132" s="77">
        <f>SUMIF(安全质量事故!$B:$B,C131,安全质量事故!$G:$G)</f>
        <v>0</v>
      </c>
      <c r="K132" s="72">
        <f>COUNTIF(L132:AP132,标准数据!$A$2)*标准数据!$B$2+COUNTIF(L132:AP132,标准数据!$A$3)*标准数据!$B$3+COUNTIF(L132:AP132,标准数据!$A$4)*标准数据!$B$4</f>
        <v>0</v>
      </c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188"/>
      <c r="AQ132" s="90"/>
    </row>
    <row r="133" spans="1:43" ht="21" customHeight="1">
      <c r="A133" s="267" t="s">
        <v>2108</v>
      </c>
      <c r="B133" s="45" t="s">
        <v>14</v>
      </c>
      <c r="C133" s="46" t="s">
        <v>743</v>
      </c>
      <c r="D133" s="52" t="s">
        <v>679</v>
      </c>
      <c r="E133" s="46">
        <v>45971</v>
      </c>
      <c r="F133" s="49">
        <f t="shared" si="6"/>
        <v>0</v>
      </c>
      <c r="G133" s="77">
        <f>SUMIF(积分汇总!$B:$B,C132,积分汇总!$E:$E)</f>
        <v>0</v>
      </c>
      <c r="H133" s="77">
        <f>SUMIF(记录巡查问题条数汇总!$B:$B,C132,记录巡查问题条数汇总!$E:$E)</f>
        <v>0</v>
      </c>
      <c r="I133" s="77"/>
      <c r="J133" s="77">
        <f>SUMIF(安全质量事故!$B:$B,C132,安全质量事故!$G:$G)</f>
        <v>0</v>
      </c>
      <c r="K133" s="72">
        <f>COUNTIF(L133:AP133,标准数据!$A$2)*标准数据!$B$2+COUNTIF(L133:AP133,标准数据!$A$3)*标准数据!$B$3+COUNTIF(L133:AP133,标准数据!$A$4)*标准数据!$B$4</f>
        <v>0</v>
      </c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188"/>
      <c r="AQ133" s="90"/>
    </row>
    <row r="134" spans="1:43" ht="21" customHeight="1">
      <c r="A134" s="267" t="s">
        <v>2108</v>
      </c>
      <c r="B134" s="45" t="s">
        <v>14</v>
      </c>
      <c r="C134" s="46" t="s">
        <v>917</v>
      </c>
      <c r="D134" s="52" t="s">
        <v>877</v>
      </c>
      <c r="E134" s="46">
        <v>46036</v>
      </c>
      <c r="F134" s="49">
        <f t="shared" ref="F134" si="8">(K134+G134+H134+I134-J134)</f>
        <v>0</v>
      </c>
      <c r="G134" s="77">
        <f>SUMIF(积分汇总!$B:$B,,积分汇总!$E:$E)</f>
        <v>0</v>
      </c>
      <c r="H134" s="77">
        <f>SUMIF(记录巡查问题条数汇总!$B:$B,,记录巡查问题条数汇总!$E:$E)</f>
        <v>0</v>
      </c>
      <c r="I134" s="77"/>
      <c r="J134" s="77">
        <f>SUMIF(安全质量事故!$B:$B,,安全质量事故!$G:$G)</f>
        <v>0</v>
      </c>
      <c r="K134" s="72">
        <f>COUNTIF(L134:AP134,标准数据!$A$2)*标准数据!$B$2+COUNTIF(L134:AP134,标准数据!$A$3)*标准数据!$B$3+COUNTIF(L134:AP134,标准数据!$A$4)*标准数据!$B$4</f>
        <v>0</v>
      </c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188"/>
      <c r="AQ134" s="90"/>
    </row>
    <row r="135" spans="1:43" ht="21" customHeight="1">
      <c r="A135" s="267" t="s">
        <v>2108</v>
      </c>
      <c r="B135" s="45" t="s">
        <v>14</v>
      </c>
      <c r="C135" s="46" t="s">
        <v>977</v>
      </c>
      <c r="D135" s="52" t="s">
        <v>949</v>
      </c>
      <c r="E135" s="46">
        <v>45728</v>
      </c>
      <c r="F135" s="49">
        <f t="shared" ref="F135:F184" si="9">(K135+G135+H135+I135-J135)</f>
        <v>0</v>
      </c>
      <c r="G135" s="77">
        <f>SUMIF(积分汇总!$B:$B,C134,积分汇总!$E:$E)</f>
        <v>0</v>
      </c>
      <c r="H135" s="77">
        <f>SUMIF(记录巡查问题条数汇总!$B:$B,C134,记录巡查问题条数汇总!$E:$E)</f>
        <v>0</v>
      </c>
      <c r="I135" s="77"/>
      <c r="J135" s="77">
        <f>SUMIF(安全质量事故!$B:$B,C134,安全质量事故!$G:$G)</f>
        <v>0</v>
      </c>
      <c r="K135" s="72">
        <f>COUNTIF(L135:AP135,标准数据!$A$2)*标准数据!$B$2+COUNTIF(L135:AP135,标准数据!$A$3)*标准数据!$B$3+COUNTIF(L135:AP135,标准数据!$A$4)*标准数据!$B$4</f>
        <v>0</v>
      </c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188"/>
      <c r="AQ135" s="90"/>
    </row>
    <row r="136" spans="1:43" ht="21" customHeight="1">
      <c r="A136" s="267" t="s">
        <v>2108</v>
      </c>
      <c r="B136" s="45" t="s">
        <v>14</v>
      </c>
      <c r="C136" s="46" t="s">
        <v>978</v>
      </c>
      <c r="D136" s="52" t="s">
        <v>950</v>
      </c>
      <c r="E136" s="46">
        <v>41828</v>
      </c>
      <c r="F136" s="49">
        <f t="shared" si="9"/>
        <v>0</v>
      </c>
      <c r="G136" s="77">
        <f>SUMIF(积分汇总!$B:$B,C135,积分汇总!$E:$E)</f>
        <v>0</v>
      </c>
      <c r="H136" s="77">
        <f>SUMIF(记录巡查问题条数汇总!$B:$B,C135,记录巡查问题条数汇总!$E:$E)</f>
        <v>0</v>
      </c>
      <c r="I136" s="77"/>
      <c r="J136" s="77">
        <f>SUMIF(安全质量事故!$B:$B,C135,安全质量事故!$G:$G)</f>
        <v>0</v>
      </c>
      <c r="K136" s="72">
        <f>COUNTIF(L136:AP136,标准数据!$A$2)*标准数据!$B$2+COUNTIF(L136:AP136,标准数据!$A$3)*标准数据!$B$3+COUNTIF(L136:AP136,标准数据!$A$4)*标准数据!$B$4</f>
        <v>0</v>
      </c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188"/>
      <c r="AQ136" s="90"/>
    </row>
    <row r="137" spans="1:43" ht="21" customHeight="1">
      <c r="A137" s="267" t="s">
        <v>2108</v>
      </c>
      <c r="B137" s="45" t="s">
        <v>14</v>
      </c>
      <c r="C137" s="46" t="s">
        <v>979</v>
      </c>
      <c r="D137" s="52" t="s">
        <v>962</v>
      </c>
      <c r="E137" s="46">
        <v>45980</v>
      </c>
      <c r="F137" s="49">
        <f t="shared" si="9"/>
        <v>0</v>
      </c>
      <c r="G137" s="77">
        <f>SUMIF(积分汇总!$B:$B,C136,积分汇总!$E:$E)</f>
        <v>0</v>
      </c>
      <c r="H137" s="77">
        <f>SUMIF(记录巡查问题条数汇总!$B:$B,C136,记录巡查问题条数汇总!$E:$E)</f>
        <v>0</v>
      </c>
      <c r="I137" s="77"/>
      <c r="J137" s="77">
        <f>SUMIF(安全质量事故!$B:$B,C136,安全质量事故!$G:$G)</f>
        <v>0</v>
      </c>
      <c r="K137" s="72">
        <f>COUNTIF(L137:AP137,标准数据!$A$2)*标准数据!$B$2+COUNTIF(L137:AP137,标准数据!$A$3)*标准数据!$B$3+COUNTIF(L137:AP137,标准数据!$A$4)*标准数据!$B$4</f>
        <v>0</v>
      </c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188"/>
      <c r="AQ137" s="90"/>
    </row>
    <row r="138" spans="1:43" ht="21" customHeight="1">
      <c r="A138" s="267" t="s">
        <v>2108</v>
      </c>
      <c r="B138" s="45" t="s">
        <v>14</v>
      </c>
      <c r="C138" s="46" t="s">
        <v>980</v>
      </c>
      <c r="D138" s="52" t="s">
        <v>963</v>
      </c>
      <c r="E138" s="46">
        <v>45980</v>
      </c>
      <c r="F138" s="49">
        <f t="shared" si="9"/>
        <v>0</v>
      </c>
      <c r="G138" s="77">
        <f>SUMIF(积分汇总!$B:$B,C137,积分汇总!$E:$E)</f>
        <v>0</v>
      </c>
      <c r="H138" s="77">
        <f>SUMIF(记录巡查问题条数汇总!$B:$B,C137,记录巡查问题条数汇总!$E:$E)</f>
        <v>0</v>
      </c>
      <c r="I138" s="77"/>
      <c r="J138" s="77">
        <f>SUMIF(安全质量事故!$B:$B,C137,安全质量事故!$G:$G)</f>
        <v>0</v>
      </c>
      <c r="K138" s="72">
        <f>COUNTIF(L138:AP138,标准数据!$A$2)*标准数据!$B$2+COUNTIF(L138:AP138,标准数据!$A$3)*标准数据!$B$3+COUNTIF(L138:AP138,标准数据!$A$4)*标准数据!$B$4</f>
        <v>0</v>
      </c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188"/>
      <c r="AQ138" s="90"/>
    </row>
    <row r="139" spans="1:43" ht="21" customHeight="1">
      <c r="A139" s="267" t="s">
        <v>2108</v>
      </c>
      <c r="B139" s="45" t="s">
        <v>14</v>
      </c>
      <c r="C139" s="46" t="s">
        <v>981</v>
      </c>
      <c r="D139" s="52" t="s">
        <v>964</v>
      </c>
      <c r="E139" s="46">
        <v>45980</v>
      </c>
      <c r="F139" s="49">
        <f t="shared" si="9"/>
        <v>0</v>
      </c>
      <c r="G139" s="77">
        <f>SUMIF(积分汇总!$B:$B,C138,积分汇总!$E:$E)</f>
        <v>0</v>
      </c>
      <c r="H139" s="77">
        <f>SUMIF(记录巡查问题条数汇总!$B:$B,C138,记录巡查问题条数汇总!$E:$E)</f>
        <v>0</v>
      </c>
      <c r="I139" s="77"/>
      <c r="J139" s="77">
        <f>SUMIF(安全质量事故!$B:$B,C138,安全质量事故!$G:$G)</f>
        <v>0</v>
      </c>
      <c r="K139" s="72">
        <f>COUNTIF(L139:AP139,标准数据!$A$2)*标准数据!$B$2+COUNTIF(L139:AP139,标准数据!$A$3)*标准数据!$B$3+COUNTIF(L139:AP139,标准数据!$A$4)*标准数据!$B$4</f>
        <v>0</v>
      </c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188"/>
      <c r="AQ139" s="90"/>
    </row>
    <row r="140" spans="1:43" ht="21" customHeight="1">
      <c r="A140" s="267" t="s">
        <v>2108</v>
      </c>
      <c r="B140" s="45" t="s">
        <v>14</v>
      </c>
      <c r="C140" s="46" t="s">
        <v>974</v>
      </c>
      <c r="D140" s="52" t="s">
        <v>954</v>
      </c>
      <c r="E140" s="46">
        <v>46006</v>
      </c>
      <c r="F140" s="49">
        <f t="shared" si="9"/>
        <v>0</v>
      </c>
      <c r="G140" s="77">
        <f>SUMIF(积分汇总!$B:$B,C139,积分汇总!$E:$E)</f>
        <v>0</v>
      </c>
      <c r="H140" s="77">
        <f>SUMIF(记录巡查问题条数汇总!$B:$B,C139,记录巡查问题条数汇总!$E:$E)</f>
        <v>0</v>
      </c>
      <c r="I140" s="77"/>
      <c r="J140" s="77">
        <f>SUMIF(安全质量事故!$B:$B,C139,安全质量事故!$G:$G)</f>
        <v>0</v>
      </c>
      <c r="K140" s="72">
        <f>COUNTIF(L140:AP140,标准数据!$A$2)*标准数据!$B$2+COUNTIF(L140:AP140,标准数据!$A$3)*标准数据!$B$3+COUNTIF(L140:AP140,标准数据!$A$4)*标准数据!$B$4</f>
        <v>0</v>
      </c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188"/>
      <c r="AQ140" s="90"/>
    </row>
    <row r="141" spans="1:43" ht="21" customHeight="1">
      <c r="A141" s="267" t="s">
        <v>2108</v>
      </c>
      <c r="B141" s="45" t="s">
        <v>14</v>
      </c>
      <c r="C141" s="46" t="s">
        <v>1000</v>
      </c>
      <c r="D141" s="47" t="s">
        <v>1001</v>
      </c>
      <c r="E141" s="48">
        <v>46097</v>
      </c>
      <c r="F141" s="49">
        <f t="shared" si="9"/>
        <v>0</v>
      </c>
      <c r="G141" s="77">
        <f>SUMIF(积分汇总!$B:$B,C140,积分汇总!$E:$E)</f>
        <v>0</v>
      </c>
      <c r="H141" s="77">
        <f>SUMIF(记录巡查问题条数汇总!$B:$B,C140,记录巡查问题条数汇总!$E:$E)</f>
        <v>0</v>
      </c>
      <c r="I141" s="77"/>
      <c r="J141" s="77">
        <f>SUMIF(安全质量事故!$B:$B,C140,安全质量事故!$G:$G)</f>
        <v>0</v>
      </c>
      <c r="K141" s="72">
        <f>COUNTIF(L141:AP141,标准数据!$A$2)*标准数据!$B$2+COUNTIF(L141:AP141,标准数据!$A$3)*标准数据!$B$3+COUNTIF(L141:AP141,标准数据!$A$4)*标准数据!$B$4</f>
        <v>0</v>
      </c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188"/>
      <c r="AQ141" s="90"/>
    </row>
    <row r="142" spans="1:43" ht="21" customHeight="1">
      <c r="A142" s="267" t="s">
        <v>2108</v>
      </c>
      <c r="B142" s="45" t="s">
        <v>14</v>
      </c>
      <c r="C142" s="46" t="s">
        <v>1218</v>
      </c>
      <c r="D142" s="52" t="s">
        <v>1219</v>
      </c>
      <c r="E142" s="46">
        <v>46120</v>
      </c>
      <c r="F142" s="49">
        <f t="shared" si="9"/>
        <v>0</v>
      </c>
      <c r="G142" s="77">
        <f>SUMIF(积分汇总!$B:$B,C141,积分汇总!$E:$E)</f>
        <v>0</v>
      </c>
      <c r="H142" s="77">
        <f>SUMIF(记录巡查问题条数汇总!$B:$B,C141,记录巡查问题条数汇总!$E:$E)</f>
        <v>0</v>
      </c>
      <c r="I142" s="77"/>
      <c r="J142" s="77">
        <f>SUMIF(安全质量事故!$B:$B,C141,安全质量事故!$G:$G)</f>
        <v>0</v>
      </c>
      <c r="K142" s="72">
        <f>COUNTIF(L142:AP142,标准数据!$A$2)*标准数据!$B$2+COUNTIF(L142:AP142,标准数据!$A$3)*标准数据!$B$3+COUNTIF(L142:AP142,标准数据!$A$4)*标准数据!$B$4</f>
        <v>0</v>
      </c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188"/>
      <c r="AQ142" s="90"/>
    </row>
    <row r="143" spans="1:43" ht="21" customHeight="1">
      <c r="A143" s="267" t="s">
        <v>2108</v>
      </c>
      <c r="B143" s="45" t="s">
        <v>14</v>
      </c>
      <c r="C143" s="46" t="s">
        <v>1220</v>
      </c>
      <c r="D143" s="52" t="s">
        <v>1221</v>
      </c>
      <c r="E143" s="46">
        <v>46120</v>
      </c>
      <c r="F143" s="49">
        <f t="shared" si="9"/>
        <v>0</v>
      </c>
      <c r="G143" s="77">
        <f>SUMIF(积分汇总!$B:$B,C142,积分汇总!$E:$E)</f>
        <v>0</v>
      </c>
      <c r="H143" s="77">
        <f>SUMIF(记录巡查问题条数汇总!$B:$B,C142,记录巡查问题条数汇总!$E:$E)</f>
        <v>0</v>
      </c>
      <c r="I143" s="77"/>
      <c r="J143" s="77">
        <f>SUMIF(安全质量事故!$B:$B,C142,安全质量事故!$G:$G)</f>
        <v>0</v>
      </c>
      <c r="K143" s="72">
        <f>COUNTIF(L143:AP143,标准数据!$A$2)*标准数据!$B$2+COUNTIF(L143:AP143,标准数据!$A$3)*标准数据!$B$3+COUNTIF(L143:AP143,标准数据!$A$4)*标准数据!$B$4</f>
        <v>0</v>
      </c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188"/>
      <c r="AQ143" s="90"/>
    </row>
    <row r="144" spans="1:43" ht="21" customHeight="1">
      <c r="A144" s="267" t="s">
        <v>2108</v>
      </c>
      <c r="B144" s="45" t="s">
        <v>14</v>
      </c>
      <c r="C144" s="46" t="s">
        <v>1222</v>
      </c>
      <c r="D144" s="52" t="s">
        <v>1223</v>
      </c>
      <c r="E144" s="46">
        <v>46120</v>
      </c>
      <c r="F144" s="49">
        <f t="shared" si="9"/>
        <v>0</v>
      </c>
      <c r="G144" s="77">
        <f>SUMIF(积分汇总!$B:$B,C143,积分汇总!$E:$E)</f>
        <v>0</v>
      </c>
      <c r="H144" s="77">
        <f>SUMIF(记录巡查问题条数汇总!$B:$B,C143,记录巡查问题条数汇总!$E:$E)</f>
        <v>0</v>
      </c>
      <c r="I144" s="77"/>
      <c r="J144" s="77">
        <f>SUMIF(安全质量事故!$B:$B,C143,安全质量事故!$G:$G)</f>
        <v>0</v>
      </c>
      <c r="K144" s="72">
        <f>COUNTIF(L144:AP144,标准数据!$A$2)*标准数据!$B$2+COUNTIF(L144:AP144,标准数据!$A$3)*标准数据!$B$3+COUNTIF(L144:AP144,标准数据!$A$4)*标准数据!$B$4</f>
        <v>0</v>
      </c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188"/>
      <c r="AQ144" s="90"/>
    </row>
    <row r="145" spans="1:43" ht="21" customHeight="1">
      <c r="A145" s="267" t="s">
        <v>2108</v>
      </c>
      <c r="B145" s="45" t="s">
        <v>14</v>
      </c>
      <c r="C145" s="46" t="s">
        <v>1224</v>
      </c>
      <c r="D145" s="52" t="s">
        <v>1225</v>
      </c>
      <c r="E145" s="46">
        <v>46120</v>
      </c>
      <c r="F145" s="49">
        <f t="shared" si="9"/>
        <v>0</v>
      </c>
      <c r="G145" s="77">
        <f>SUMIF(积分汇总!$B:$B,C144,积分汇总!$E:$E)</f>
        <v>0</v>
      </c>
      <c r="H145" s="77">
        <f>SUMIF(记录巡查问题条数汇总!$B:$B,C144,记录巡查问题条数汇总!$E:$E)</f>
        <v>0</v>
      </c>
      <c r="I145" s="77"/>
      <c r="J145" s="77">
        <f>SUMIF(安全质量事故!$B:$B,C144,安全质量事故!$G:$G)</f>
        <v>0</v>
      </c>
      <c r="K145" s="72">
        <f>COUNTIF(L145:AP145,标准数据!$A$2)*标准数据!$B$2+COUNTIF(L145:AP145,标准数据!$A$3)*标准数据!$B$3+COUNTIF(L145:AP145,标准数据!$A$4)*标准数据!$B$4</f>
        <v>0</v>
      </c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188"/>
      <c r="AQ145" s="90"/>
    </row>
    <row r="146" spans="1:43" ht="21" customHeight="1">
      <c r="A146" s="267" t="s">
        <v>2108</v>
      </c>
      <c r="B146" s="45" t="s">
        <v>14</v>
      </c>
      <c r="C146" s="46" t="s">
        <v>1226</v>
      </c>
      <c r="D146" s="52" t="s">
        <v>1227</v>
      </c>
      <c r="E146" s="46">
        <v>46125</v>
      </c>
      <c r="F146" s="49">
        <f t="shared" si="9"/>
        <v>0</v>
      </c>
      <c r="G146" s="77">
        <f>SUMIF(积分汇总!$B:$B,C145,积分汇总!$E:$E)</f>
        <v>0</v>
      </c>
      <c r="H146" s="77">
        <f>SUMIF(记录巡查问题条数汇总!$B:$B,C145,记录巡查问题条数汇总!$E:$E)</f>
        <v>0</v>
      </c>
      <c r="I146" s="77"/>
      <c r="J146" s="77">
        <f>SUMIF(安全质量事故!$B:$B,C145,安全质量事故!$G:$G)</f>
        <v>0</v>
      </c>
      <c r="K146" s="72">
        <f>COUNTIF(L146:AP146,标准数据!$A$2)*标准数据!$B$2+COUNTIF(L146:AP146,标准数据!$A$3)*标准数据!$B$3+COUNTIF(L146:AP146,标准数据!$A$4)*标准数据!$B$4</f>
        <v>0</v>
      </c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188"/>
      <c r="AQ146" s="90"/>
    </row>
    <row r="147" spans="1:43" ht="21" customHeight="1">
      <c r="A147" s="267" t="s">
        <v>2108</v>
      </c>
      <c r="B147" s="45" t="s">
        <v>14</v>
      </c>
      <c r="C147" s="46" t="s">
        <v>1230</v>
      </c>
      <c r="D147" s="47" t="s">
        <v>1231</v>
      </c>
      <c r="E147" s="48">
        <v>46127</v>
      </c>
      <c r="F147" s="49">
        <f t="shared" si="9"/>
        <v>0</v>
      </c>
      <c r="G147" s="77">
        <f>SUMIF(积分汇总!$B:$B,C146,积分汇总!$E:$E)</f>
        <v>0</v>
      </c>
      <c r="H147" s="77">
        <f>SUMIF(记录巡查问题条数汇总!$B:$B,C146,记录巡查问题条数汇总!$E:$E)</f>
        <v>0</v>
      </c>
      <c r="I147" s="77"/>
      <c r="J147" s="77">
        <f>SUMIF(安全质量事故!$B:$B,C146,安全质量事故!$G:$G)</f>
        <v>0</v>
      </c>
      <c r="K147" s="72">
        <f>COUNTIF(L147:AP147,标准数据!$A$2)*标准数据!$B$2+COUNTIF(L147:AP147,标准数据!$A$3)*标准数据!$B$3+COUNTIF(L147:AP147,标准数据!$A$4)*标准数据!$B$4</f>
        <v>0</v>
      </c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188"/>
      <c r="AQ147" s="90"/>
    </row>
    <row r="148" spans="1:43" ht="21" customHeight="1">
      <c r="A148" s="267" t="s">
        <v>2108</v>
      </c>
      <c r="B148" s="45" t="s">
        <v>14</v>
      </c>
      <c r="C148" s="46" t="s">
        <v>1232</v>
      </c>
      <c r="D148" s="47" t="s">
        <v>1233</v>
      </c>
      <c r="E148" s="48">
        <v>46127</v>
      </c>
      <c r="F148" s="49">
        <f t="shared" si="9"/>
        <v>0</v>
      </c>
      <c r="G148" s="77">
        <f>SUMIF(积分汇总!$B:$B,C147,积分汇总!$E:$E)</f>
        <v>0</v>
      </c>
      <c r="H148" s="77">
        <f>SUMIF(记录巡查问题条数汇总!$B:$B,C147,记录巡查问题条数汇总!$E:$E)</f>
        <v>0</v>
      </c>
      <c r="I148" s="77"/>
      <c r="J148" s="77">
        <f>SUMIF(安全质量事故!$B:$B,C147,安全质量事故!$G:$G)</f>
        <v>0</v>
      </c>
      <c r="K148" s="72">
        <f>COUNTIF(L148:AP148,标准数据!$A$2)*标准数据!$B$2+COUNTIF(L148:AP148,标准数据!$A$3)*标准数据!$B$3+COUNTIF(L148:AP148,标准数据!$A$4)*标准数据!$B$4</f>
        <v>0</v>
      </c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188"/>
      <c r="AQ148" s="90"/>
    </row>
    <row r="149" spans="1:43" ht="21" customHeight="1">
      <c r="A149" s="267" t="s">
        <v>2108</v>
      </c>
      <c r="B149" s="45" t="s">
        <v>14</v>
      </c>
      <c r="C149" s="46" t="s">
        <v>1494</v>
      </c>
      <c r="D149" s="47" t="s">
        <v>1495</v>
      </c>
      <c r="E149" s="48">
        <v>46169</v>
      </c>
      <c r="F149" s="49">
        <f t="shared" si="9"/>
        <v>0</v>
      </c>
      <c r="G149" s="77">
        <f>SUMIF(积分汇总!$B:$B,C148,积分汇总!$E:$E)</f>
        <v>0</v>
      </c>
      <c r="H149" s="77">
        <f>SUMIF(记录巡查问题条数汇总!$B:$B,C148,记录巡查问题条数汇总!$E:$E)</f>
        <v>0</v>
      </c>
      <c r="I149" s="77"/>
      <c r="J149" s="77">
        <f>SUMIF(安全质量事故!$B:$B,C148,安全质量事故!$G:$G)</f>
        <v>0</v>
      </c>
      <c r="K149" s="72">
        <f>COUNTIF(L149:AP149,标准数据!$A$2)*标准数据!$B$2+COUNTIF(L149:AP149,标准数据!$A$3)*标准数据!$B$3+COUNTIF(L149:AP149,标准数据!$A$4)*标准数据!$B$4</f>
        <v>0</v>
      </c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188"/>
      <c r="AQ149" s="90"/>
    </row>
    <row r="150" spans="1:43" ht="21" customHeight="1">
      <c r="A150" s="267" t="s">
        <v>2108</v>
      </c>
      <c r="B150" s="45" t="s">
        <v>14</v>
      </c>
      <c r="C150" s="46" t="s">
        <v>1496</v>
      </c>
      <c r="D150" s="47" t="s">
        <v>1497</v>
      </c>
      <c r="E150" s="48">
        <v>46169</v>
      </c>
      <c r="F150" s="49">
        <f t="shared" si="9"/>
        <v>0</v>
      </c>
      <c r="G150" s="77">
        <f>SUMIF(积分汇总!$B:$B,C149,积分汇总!$E:$E)</f>
        <v>0</v>
      </c>
      <c r="H150" s="77">
        <f>SUMIF(记录巡查问题条数汇总!$B:$B,C149,记录巡查问题条数汇总!$E:$E)</f>
        <v>0</v>
      </c>
      <c r="I150" s="77"/>
      <c r="J150" s="77">
        <f>SUMIF(安全质量事故!$B:$B,C149,安全质量事故!$G:$G)</f>
        <v>0</v>
      </c>
      <c r="K150" s="72">
        <f>COUNTIF(L150:AP150,标准数据!$A$2)*标准数据!$B$2+COUNTIF(L150:AP150,标准数据!$A$3)*标准数据!$B$3+COUNTIF(L150:AP150,标准数据!$A$4)*标准数据!$B$4</f>
        <v>0</v>
      </c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188"/>
      <c r="AQ150" s="90"/>
    </row>
    <row r="151" spans="1:43" ht="21" customHeight="1">
      <c r="A151" s="267" t="s">
        <v>2108</v>
      </c>
      <c r="B151" s="45" t="s">
        <v>14</v>
      </c>
      <c r="C151" s="46" t="s">
        <v>1498</v>
      </c>
      <c r="D151" s="47" t="s">
        <v>1499</v>
      </c>
      <c r="E151" s="48">
        <v>46169</v>
      </c>
      <c r="F151" s="49">
        <f t="shared" si="9"/>
        <v>0</v>
      </c>
      <c r="G151" s="77">
        <f>SUMIF(积分汇总!$B:$B,C150,积分汇总!$E:$E)</f>
        <v>0</v>
      </c>
      <c r="H151" s="77">
        <f>SUMIF(记录巡查问题条数汇总!$B:$B,C150,记录巡查问题条数汇总!$E:$E)</f>
        <v>0</v>
      </c>
      <c r="I151" s="77"/>
      <c r="J151" s="77">
        <f>SUMIF(安全质量事故!$B:$B,C150,安全质量事故!$G:$G)</f>
        <v>0</v>
      </c>
      <c r="K151" s="72">
        <f>COUNTIF(L151:AP151,标准数据!$A$2)*标准数据!$B$2+COUNTIF(L151:AP151,标准数据!$A$3)*标准数据!$B$3+COUNTIF(L151:AP151,标准数据!$A$4)*标准数据!$B$4</f>
        <v>0</v>
      </c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188"/>
      <c r="AQ151" s="90"/>
    </row>
    <row r="152" spans="1:43" ht="21" customHeight="1">
      <c r="A152" s="267" t="s">
        <v>2108</v>
      </c>
      <c r="B152" s="45" t="s">
        <v>14</v>
      </c>
      <c r="C152" s="46" t="s">
        <v>1580</v>
      </c>
      <c r="D152" s="47" t="s">
        <v>1581</v>
      </c>
      <c r="E152" s="48">
        <v>46197</v>
      </c>
      <c r="F152" s="49">
        <f t="shared" si="9"/>
        <v>0</v>
      </c>
      <c r="G152" s="77">
        <f>SUMIF(积分汇总!$B:$B,C151,积分汇总!$E:$E)</f>
        <v>0</v>
      </c>
      <c r="H152" s="77">
        <f>SUMIF(记录巡查问题条数汇总!$B:$B,C151,记录巡查问题条数汇总!$E:$E)</f>
        <v>0</v>
      </c>
      <c r="I152" s="77"/>
      <c r="J152" s="77">
        <f>SUMIF(安全质量事故!$B:$B,C151,安全质量事故!$G:$G)</f>
        <v>0</v>
      </c>
      <c r="K152" s="72">
        <f>COUNTIF(L152:AP152,标准数据!$A$2)*标准数据!$B$2+COUNTIF(L152:AP152,标准数据!$A$3)*标准数据!$B$3+COUNTIF(L152:AP152,标准数据!$A$4)*标准数据!$B$4</f>
        <v>0</v>
      </c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188"/>
      <c r="AQ152" s="90"/>
    </row>
    <row r="153" spans="1:43" ht="21" customHeight="1">
      <c r="A153" s="267" t="s">
        <v>2108</v>
      </c>
      <c r="B153" s="45" t="s">
        <v>14</v>
      </c>
      <c r="C153" s="46" t="s">
        <v>1584</v>
      </c>
      <c r="D153" s="47" t="s">
        <v>1585</v>
      </c>
      <c r="E153" s="48">
        <v>46204</v>
      </c>
      <c r="F153" s="49">
        <f t="shared" si="9"/>
        <v>0</v>
      </c>
      <c r="G153" s="77">
        <f>SUMIF(积分汇总!$B:$B,,积分汇总!$E:$E)</f>
        <v>0</v>
      </c>
      <c r="H153" s="77">
        <f>SUMIF(记录巡查问题条数汇总!$B:$B,,记录巡查问题条数汇总!$E:$E)</f>
        <v>0</v>
      </c>
      <c r="I153" s="77"/>
      <c r="J153" s="77">
        <f>SUMIF(安全质量事故!$B:$B,,安全质量事故!$G:$G)</f>
        <v>0</v>
      </c>
      <c r="K153" s="72">
        <f>COUNTIF(L153:AP153,标准数据!$A$2)*标准数据!$B$2+COUNTIF(L153:AP153,标准数据!$A$3)*标准数据!$B$3+COUNTIF(L153:AP153,标准数据!$A$4)*标准数据!$B$4</f>
        <v>0</v>
      </c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188"/>
      <c r="AQ153" s="90"/>
    </row>
    <row r="154" spans="1:43" ht="21" customHeight="1">
      <c r="A154" s="267" t="s">
        <v>2108</v>
      </c>
      <c r="B154" s="45" t="s">
        <v>14</v>
      </c>
      <c r="C154" s="46" t="s">
        <v>1586</v>
      </c>
      <c r="D154" s="47" t="s">
        <v>1587</v>
      </c>
      <c r="E154" s="48">
        <v>46204</v>
      </c>
      <c r="F154" s="49">
        <f t="shared" si="9"/>
        <v>0</v>
      </c>
      <c r="G154" s="77">
        <f>SUMIF(积分汇总!$B:$B,C153,积分汇总!$E:$E)</f>
        <v>0</v>
      </c>
      <c r="H154" s="77">
        <f>SUMIF(记录巡查问题条数汇总!$B:$B,C153,记录巡查问题条数汇总!$E:$E)</f>
        <v>0</v>
      </c>
      <c r="I154" s="77"/>
      <c r="J154" s="77">
        <f>SUMIF(安全质量事故!$B:$B,C153,安全质量事故!$G:$G)</f>
        <v>0</v>
      </c>
      <c r="K154" s="72">
        <f>COUNTIF(L154:AP154,标准数据!$A$2)*标准数据!$B$2+COUNTIF(L154:AP154,标准数据!$A$3)*标准数据!$B$3+COUNTIF(L154:AP154,标准数据!$A$4)*标准数据!$B$4</f>
        <v>0</v>
      </c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188"/>
      <c r="AQ154" s="90"/>
    </row>
    <row r="155" spans="1:43" ht="21" customHeight="1">
      <c r="A155" s="267" t="s">
        <v>2108</v>
      </c>
      <c r="B155" s="45" t="s">
        <v>14</v>
      </c>
      <c r="C155" s="46" t="s">
        <v>1588</v>
      </c>
      <c r="D155" s="47" t="s">
        <v>1589</v>
      </c>
      <c r="E155" s="48">
        <v>46204</v>
      </c>
      <c r="F155" s="49">
        <f t="shared" si="9"/>
        <v>0</v>
      </c>
      <c r="G155" s="77">
        <f>SUMIF(积分汇总!$B:$B,C154,积分汇总!$E:$E)</f>
        <v>0</v>
      </c>
      <c r="H155" s="77">
        <f>SUMIF(记录巡查问题条数汇总!$B:$B,C154,记录巡查问题条数汇总!$E:$E)</f>
        <v>0</v>
      </c>
      <c r="I155" s="77"/>
      <c r="J155" s="77">
        <f>SUMIF(安全质量事故!$B:$B,C154,安全质量事故!$G:$G)</f>
        <v>0</v>
      </c>
      <c r="K155" s="72">
        <f>COUNTIF(L155:AP155,标准数据!$A$2)*标准数据!$B$2+COUNTIF(L155:AP155,标准数据!$A$3)*标准数据!$B$3+COUNTIF(L155:AP155,标准数据!$A$4)*标准数据!$B$4</f>
        <v>0</v>
      </c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188"/>
      <c r="AQ155" s="90"/>
    </row>
    <row r="156" spans="1:43" ht="21" customHeight="1">
      <c r="A156" s="267" t="s">
        <v>2108</v>
      </c>
      <c r="B156" s="45" t="s">
        <v>14</v>
      </c>
      <c r="C156" s="46" t="s">
        <v>1590</v>
      </c>
      <c r="D156" s="47" t="s">
        <v>1591</v>
      </c>
      <c r="E156" s="48">
        <v>46208</v>
      </c>
      <c r="F156" s="49">
        <f t="shared" si="9"/>
        <v>0</v>
      </c>
      <c r="G156" s="77">
        <f>SUMIF(积分汇总!$B:$B,C155,积分汇总!$E:$E)</f>
        <v>0</v>
      </c>
      <c r="H156" s="77">
        <f>SUMIF(记录巡查问题条数汇总!$B:$B,C155,记录巡查问题条数汇总!$E:$E)</f>
        <v>0</v>
      </c>
      <c r="I156" s="77"/>
      <c r="J156" s="77">
        <f>SUMIF(安全质量事故!$B:$B,C155,安全质量事故!$G:$G)</f>
        <v>0</v>
      </c>
      <c r="K156" s="72">
        <f>COUNTIF(L156:AP156,标准数据!$A$2)*标准数据!$B$2+COUNTIF(L156:AP156,标准数据!$A$3)*标准数据!$B$3+COUNTIF(L156:AP156,标准数据!$A$4)*标准数据!$B$4</f>
        <v>0</v>
      </c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189"/>
      <c r="AQ156" s="55"/>
    </row>
    <row r="157" spans="1:43" ht="21" customHeight="1">
      <c r="A157" s="267" t="s">
        <v>2108</v>
      </c>
      <c r="B157" s="45" t="s">
        <v>14</v>
      </c>
      <c r="C157" s="46" t="s">
        <v>1592</v>
      </c>
      <c r="D157" s="47" t="s">
        <v>1593</v>
      </c>
      <c r="E157" s="48">
        <v>46208</v>
      </c>
      <c r="F157" s="49">
        <f t="shared" si="9"/>
        <v>0</v>
      </c>
      <c r="G157" s="77">
        <f>SUMIF(积分汇总!$B:$B,,积分汇总!$E:$E)</f>
        <v>0</v>
      </c>
      <c r="H157" s="77">
        <f>SUMIF(记录巡查问题条数汇总!$B:$B,,记录巡查问题条数汇总!$E:$E)</f>
        <v>0</v>
      </c>
      <c r="I157" s="77"/>
      <c r="J157" s="77">
        <f>SUMIF(安全质量事故!$B:$B,,安全质量事故!$G:$G)</f>
        <v>0</v>
      </c>
      <c r="K157" s="72">
        <f>COUNTIF(L157:AP157,标准数据!$A$2)*标准数据!$B$2+COUNTIF(L157:AP157,标准数据!$A$3)*标准数据!$B$3+COUNTIF(L157:AP157,标准数据!$A$4)*标准数据!$B$4</f>
        <v>0</v>
      </c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189"/>
      <c r="AQ157" s="55"/>
    </row>
    <row r="158" spans="1:43" ht="21" customHeight="1">
      <c r="A158" s="267" t="s">
        <v>2108</v>
      </c>
      <c r="B158" s="45" t="s">
        <v>14</v>
      </c>
      <c r="C158" s="46" t="s">
        <v>1603</v>
      </c>
      <c r="D158" s="47" t="s">
        <v>1604</v>
      </c>
      <c r="E158" s="48">
        <v>46215</v>
      </c>
      <c r="F158" s="49">
        <f t="shared" si="9"/>
        <v>0</v>
      </c>
      <c r="G158" s="77">
        <f>SUMIF(积分汇总!$B:$B,,积分汇总!$E:$E)</f>
        <v>0</v>
      </c>
      <c r="H158" s="77">
        <f>SUMIF(记录巡查问题条数汇总!$B:$B,,记录巡查问题条数汇总!$E:$E)</f>
        <v>0</v>
      </c>
      <c r="I158" s="77"/>
      <c r="J158" s="77">
        <f>SUMIF(安全质量事故!$B:$B,,安全质量事故!$G:$G)</f>
        <v>0</v>
      </c>
      <c r="K158" s="72">
        <f>COUNTIF(L158:AP158,标准数据!$A$2)*标准数据!$B$2+COUNTIF(L158:AP158,标准数据!$A$3)*标准数据!$B$3+COUNTIF(L158:AP158,标准数据!$A$4)*标准数据!$B$4</f>
        <v>0</v>
      </c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189"/>
      <c r="AQ158" s="55"/>
    </row>
    <row r="159" spans="1:43" ht="21" customHeight="1">
      <c r="A159" s="267" t="s">
        <v>2108</v>
      </c>
      <c r="B159" s="45" t="s">
        <v>14</v>
      </c>
      <c r="C159" s="46" t="s">
        <v>1605</v>
      </c>
      <c r="D159" s="47" t="s">
        <v>1606</v>
      </c>
      <c r="E159" s="48">
        <v>46215</v>
      </c>
      <c r="F159" s="49">
        <f t="shared" si="9"/>
        <v>0</v>
      </c>
      <c r="G159" s="77">
        <f>SUMIF(积分汇总!$B:$B,C158,积分汇总!$E:$E)</f>
        <v>0</v>
      </c>
      <c r="H159" s="77">
        <f>SUMIF(记录巡查问题条数汇总!$B:$B,C158,记录巡查问题条数汇总!$E:$E)</f>
        <v>0</v>
      </c>
      <c r="I159" s="77"/>
      <c r="J159" s="77">
        <f>SUMIF(安全质量事故!$B:$B,C158,安全质量事故!$G:$G)</f>
        <v>0</v>
      </c>
      <c r="K159" s="72">
        <f>COUNTIF(L159:AP159,标准数据!$A$2)*标准数据!$B$2+COUNTIF(L159:AP159,标准数据!$A$3)*标准数据!$B$3+COUNTIF(L159:AP159,标准数据!$A$4)*标准数据!$B$4</f>
        <v>0</v>
      </c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189"/>
      <c r="AQ159" s="55"/>
    </row>
    <row r="160" spans="1:43" ht="21" customHeight="1">
      <c r="A160" s="267" t="s">
        <v>2108</v>
      </c>
      <c r="B160" s="45" t="s">
        <v>14</v>
      </c>
      <c r="C160" s="46" t="s">
        <v>1609</v>
      </c>
      <c r="D160" s="47" t="s">
        <v>1610</v>
      </c>
      <c r="E160" s="48">
        <v>46215</v>
      </c>
      <c r="F160" s="49">
        <f t="shared" si="9"/>
        <v>0</v>
      </c>
      <c r="G160" s="77">
        <f>SUMIF(积分汇总!$B:$B,,积分汇总!$E:$E)</f>
        <v>0</v>
      </c>
      <c r="H160" s="77">
        <f>SUMIF(记录巡查问题条数汇总!$B:$B,,记录巡查问题条数汇总!$E:$E)</f>
        <v>0</v>
      </c>
      <c r="I160" s="77"/>
      <c r="J160" s="77">
        <f>SUMIF(安全质量事故!$B:$B,,安全质量事故!$G:$G)</f>
        <v>0</v>
      </c>
      <c r="K160" s="72">
        <f>COUNTIF(L160:AP160,标准数据!$A$2)*标准数据!$B$2+COUNTIF(L160:AP160,标准数据!$A$3)*标准数据!$B$3+COUNTIF(L160:AP160,标准数据!$A$4)*标准数据!$B$4</f>
        <v>0</v>
      </c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189"/>
      <c r="AQ160" s="55"/>
    </row>
    <row r="161" spans="1:46" ht="21" customHeight="1">
      <c r="A161" s="267" t="s">
        <v>2108</v>
      </c>
      <c r="B161" s="45" t="s">
        <v>14</v>
      </c>
      <c r="C161" s="46" t="s">
        <v>1615</v>
      </c>
      <c r="D161" s="47" t="s">
        <v>1616</v>
      </c>
      <c r="E161" s="48">
        <v>46215</v>
      </c>
      <c r="F161" s="49">
        <f t="shared" si="9"/>
        <v>0</v>
      </c>
      <c r="G161" s="77">
        <f>SUMIF(积分汇总!$B:$B,C155,积分汇总!$E:$E)</f>
        <v>0</v>
      </c>
      <c r="H161" s="77">
        <f>SUMIF(记录巡查问题条数汇总!$B:$B,C155,记录巡查问题条数汇总!$E:$E)</f>
        <v>0</v>
      </c>
      <c r="I161" s="77"/>
      <c r="J161" s="77">
        <f>SUMIF(安全质量事故!$B:$B,C155,安全质量事故!$G:$G)</f>
        <v>0</v>
      </c>
      <c r="K161" s="72">
        <f>COUNTIF(L161:AP161,标准数据!$A$2)*标准数据!$B$2+COUNTIF(L161:AP161,标准数据!$A$3)*标准数据!$B$3+COUNTIF(L161:AP161,标准数据!$A$4)*标准数据!$B$4</f>
        <v>0</v>
      </c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188"/>
      <c r="AQ161" s="90"/>
    </row>
    <row r="162" spans="1:46" ht="21" customHeight="1">
      <c r="A162" s="267" t="s">
        <v>2108</v>
      </c>
      <c r="B162" s="45" t="s">
        <v>14</v>
      </c>
      <c r="C162" s="46" t="s">
        <v>1617</v>
      </c>
      <c r="D162" s="47" t="s">
        <v>1618</v>
      </c>
      <c r="E162" s="48">
        <v>46215</v>
      </c>
      <c r="F162" s="49">
        <f t="shared" si="9"/>
        <v>0</v>
      </c>
      <c r="G162" s="77">
        <f>SUMIF(积分汇总!$B:$B,C161,积分汇总!$E:$E)</f>
        <v>0</v>
      </c>
      <c r="H162" s="77">
        <f>SUMIF(记录巡查问题条数汇总!$B:$B,C161,记录巡查问题条数汇总!$E:$E)</f>
        <v>0</v>
      </c>
      <c r="I162" s="77"/>
      <c r="J162" s="77">
        <f>SUMIF(安全质量事故!$B:$B,C161,安全质量事故!$G:$G)</f>
        <v>0</v>
      </c>
      <c r="K162" s="72">
        <f>COUNTIF(L162:AP162,标准数据!$A$2)*标准数据!$B$2+COUNTIF(L162:AP162,标准数据!$A$3)*标准数据!$B$3+COUNTIF(L162:AP162,标准数据!$A$4)*标准数据!$B$4</f>
        <v>0</v>
      </c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188"/>
      <c r="AQ162" s="90"/>
    </row>
    <row r="163" spans="1:46" ht="21" customHeight="1">
      <c r="A163" s="267" t="s">
        <v>2108</v>
      </c>
      <c r="B163" s="45" t="s">
        <v>14</v>
      </c>
      <c r="C163" s="46" t="s">
        <v>1892</v>
      </c>
      <c r="D163" s="47" t="s">
        <v>1893</v>
      </c>
      <c r="E163" s="48">
        <v>46208</v>
      </c>
      <c r="F163" s="49">
        <f t="shared" si="9"/>
        <v>0</v>
      </c>
      <c r="G163" s="77">
        <f>SUMIF(积分汇总!$B:$B,C162,积分汇总!$E:$E)</f>
        <v>0</v>
      </c>
      <c r="H163" s="77">
        <f>SUMIF(记录巡查问题条数汇总!$B:$B,C162,记录巡查问题条数汇总!$E:$E)</f>
        <v>0</v>
      </c>
      <c r="I163" s="77"/>
      <c r="J163" s="77">
        <f>SUMIF(安全质量事故!$B:$B,C162,安全质量事故!$G:$G)</f>
        <v>0</v>
      </c>
      <c r="K163" s="72">
        <f>COUNTIF(L163:AP163,标准数据!$A$2)*标准数据!$B$2+COUNTIF(L163:AP163,标准数据!$A$3)*标准数据!$B$3+COUNTIF(L163:AP163,标准数据!$A$4)*标准数据!$B$4</f>
        <v>0</v>
      </c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188"/>
      <c r="AQ163" s="90"/>
    </row>
    <row r="164" spans="1:46" ht="21" customHeight="1">
      <c r="A164" s="267" t="s">
        <v>2108</v>
      </c>
      <c r="B164" s="45" t="s">
        <v>14</v>
      </c>
      <c r="C164" s="75" t="s">
        <v>973</v>
      </c>
      <c r="D164" s="74" t="s">
        <v>953</v>
      </c>
      <c r="E164" s="78">
        <v>46027</v>
      </c>
      <c r="F164" s="49">
        <f t="shared" si="9"/>
        <v>0</v>
      </c>
      <c r="G164" s="77">
        <f>SUMIF(积分汇总!$B:$B,C163,积分汇总!$E:$E)</f>
        <v>0</v>
      </c>
      <c r="H164" s="77">
        <f>SUMIF(记录巡查问题条数汇总!$B:$B,C163,记录巡查问题条数汇总!$E:$E)</f>
        <v>0</v>
      </c>
      <c r="I164" s="77"/>
      <c r="J164" s="77">
        <f>SUMIF(安全质量事故!$B:$B,C163,安全质量事故!$G:$G)</f>
        <v>0</v>
      </c>
      <c r="K164" s="72">
        <f>COUNTIF(L164:AP164,标准数据!$A$2)*标准数据!$B$2+COUNTIF(L164:AP164,标准数据!$A$3)*标准数据!$B$3+COUNTIF(L164:AP164,标准数据!$A$4)*标准数据!$B$4</f>
        <v>0</v>
      </c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188"/>
      <c r="AQ164" s="90"/>
    </row>
    <row r="165" spans="1:46" ht="21" customHeight="1">
      <c r="A165" s="267" t="s">
        <v>2108</v>
      </c>
      <c r="B165" s="45" t="s">
        <v>129</v>
      </c>
      <c r="C165" s="46" t="s">
        <v>200</v>
      </c>
      <c r="D165" s="47" t="s">
        <v>201</v>
      </c>
      <c r="E165" s="48">
        <v>44979</v>
      </c>
      <c r="F165" s="49">
        <f t="shared" si="9"/>
        <v>0</v>
      </c>
      <c r="G165" s="77">
        <f>SUMIF(积分汇总!$B:$B,C164,积分汇总!$E:$E)</f>
        <v>0</v>
      </c>
      <c r="H165" s="77">
        <f>SUMIF(记录巡查问题条数汇总!$B:$B,C164,记录巡查问题条数汇总!$E:$E)</f>
        <v>0</v>
      </c>
      <c r="I165" s="77"/>
      <c r="J165" s="77">
        <f>SUMIF(安全质量事故!$B:$B,C164,安全质量事故!$G:$G)</f>
        <v>0</v>
      </c>
      <c r="K165" s="72">
        <f>COUNTIF(L165:AP165,标准数据!$A$2)*标准数据!$B$2+COUNTIF(L165:AP165,标准数据!$A$3)*标准数据!$B$3+COUNTIF(L165:AP165,标准数据!$A$4)*标准数据!$B$4</f>
        <v>0</v>
      </c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188"/>
      <c r="AQ165" s="90"/>
    </row>
    <row r="166" spans="1:46" ht="21" customHeight="1">
      <c r="A166" s="267" t="s">
        <v>2108</v>
      </c>
      <c r="B166" s="45" t="s">
        <v>129</v>
      </c>
      <c r="C166" s="46" t="s">
        <v>995</v>
      </c>
      <c r="D166" s="47" t="s">
        <v>994</v>
      </c>
      <c r="E166" s="48">
        <v>45609</v>
      </c>
      <c r="F166" s="49">
        <f t="shared" si="9"/>
        <v>0</v>
      </c>
      <c r="G166" s="77">
        <f>SUMIF(积分汇总!$B:$B,,积分汇总!$E:$E)</f>
        <v>0</v>
      </c>
      <c r="H166" s="77">
        <f>SUMIF(记录巡查问题条数汇总!$B:$B,,记录巡查问题条数汇总!$E:$E)</f>
        <v>0</v>
      </c>
      <c r="I166" s="77"/>
      <c r="J166" s="77">
        <f>SUMIF(安全质量事故!$B:$B,,安全质量事故!$G:$G)</f>
        <v>0</v>
      </c>
      <c r="K166" s="72">
        <f>COUNTIF(L166:AP166,标准数据!$A$2)*标准数据!$B$2+COUNTIF(L166:AP166,标准数据!$A$3)*标准数据!$B$3+COUNTIF(L166:AP166,标准数据!$A$4)*标准数据!$B$4</f>
        <v>0</v>
      </c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188"/>
      <c r="AQ166" s="90"/>
    </row>
    <row r="167" spans="1:46" ht="21" customHeight="1">
      <c r="A167" s="267" t="s">
        <v>2108</v>
      </c>
      <c r="B167" s="45" t="s">
        <v>129</v>
      </c>
      <c r="C167" s="46" t="s">
        <v>378</v>
      </c>
      <c r="D167" s="47" t="s">
        <v>376</v>
      </c>
      <c r="E167" s="48">
        <v>45742</v>
      </c>
      <c r="F167" s="49">
        <f t="shared" si="9"/>
        <v>0</v>
      </c>
      <c r="G167" s="77">
        <f>SUMIF(积分汇总!$B:$B,C166,积分汇总!$E:$E)</f>
        <v>0</v>
      </c>
      <c r="H167" s="77">
        <f>SUMIF(记录巡查问题条数汇总!$B:$B,C166,记录巡查问题条数汇总!$E:$E)</f>
        <v>0</v>
      </c>
      <c r="I167" s="77"/>
      <c r="J167" s="77">
        <f>SUMIF(安全质量事故!$B:$B,C166,安全质量事故!$G:$G)</f>
        <v>0</v>
      </c>
      <c r="K167" s="72">
        <f>COUNTIF(L167:AP167,标准数据!$A$2)*标准数据!$B$2+COUNTIF(L167:AP167,标准数据!$A$3)*标准数据!$B$3+COUNTIF(L167:AP167,标准数据!$A$4)*标准数据!$B$4</f>
        <v>0</v>
      </c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188"/>
      <c r="AQ167" s="90"/>
    </row>
    <row r="168" spans="1:46" ht="21" customHeight="1">
      <c r="A168" s="267" t="s">
        <v>2108</v>
      </c>
      <c r="B168" s="45" t="s">
        <v>129</v>
      </c>
      <c r="C168" s="46" t="s">
        <v>396</v>
      </c>
      <c r="D168" s="47" t="s">
        <v>386</v>
      </c>
      <c r="E168" s="48">
        <v>45756</v>
      </c>
      <c r="F168" s="49">
        <f t="shared" si="9"/>
        <v>0</v>
      </c>
      <c r="G168" s="77">
        <f>SUMIF(积分汇总!$B:$B,C167,积分汇总!$E:$E)</f>
        <v>0</v>
      </c>
      <c r="H168" s="77">
        <f>SUMIF(记录巡查问题条数汇总!$B:$B,C167,记录巡查问题条数汇总!$E:$E)</f>
        <v>0</v>
      </c>
      <c r="I168" s="77"/>
      <c r="J168" s="77">
        <f>SUMIF(安全质量事故!$B:$B,C167,安全质量事故!$G:$G)</f>
        <v>0</v>
      </c>
      <c r="K168" s="72">
        <f>COUNTIF(L168:AP168,标准数据!$A$2)*标准数据!$B$2+COUNTIF(L168:AP168,标准数据!$A$3)*标准数据!$B$3+COUNTIF(L168:AP168,标准数据!$A$4)*标准数据!$B$4</f>
        <v>0</v>
      </c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189"/>
      <c r="AQ168" s="55"/>
    </row>
    <row r="169" spans="1:46" ht="21" customHeight="1">
      <c r="A169" s="267" t="s">
        <v>2108</v>
      </c>
      <c r="B169" s="45" t="s">
        <v>129</v>
      </c>
      <c r="C169" s="46" t="s">
        <v>417</v>
      </c>
      <c r="D169" s="47" t="s">
        <v>412</v>
      </c>
      <c r="E169" s="48">
        <v>45798</v>
      </c>
      <c r="F169" s="49">
        <f t="shared" si="9"/>
        <v>0</v>
      </c>
      <c r="G169" s="77">
        <f>SUMIF(积分汇总!$B:$B,C167,积分汇总!$E:$E)</f>
        <v>0</v>
      </c>
      <c r="H169" s="77">
        <f>SUMIF(记录巡查问题条数汇总!$B:$B,C167,记录巡查问题条数汇总!$E:$E)</f>
        <v>0</v>
      </c>
      <c r="I169" s="77"/>
      <c r="J169" s="77">
        <f>SUMIF(安全质量事故!$B:$B,C167,安全质量事故!$G:$G)</f>
        <v>0</v>
      </c>
      <c r="K169" s="72">
        <f>COUNTIF(L169:AP169,标准数据!$A$2)*标准数据!$B$2+COUNTIF(L169:AP169,标准数据!$A$3)*标准数据!$B$3+COUNTIF(L169:AP169,标准数据!$A$4)*标准数据!$B$4</f>
        <v>0</v>
      </c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188"/>
      <c r="AQ169" s="90"/>
    </row>
    <row r="170" spans="1:46" ht="21" customHeight="1">
      <c r="A170" s="267" t="s">
        <v>2108</v>
      </c>
      <c r="B170" s="45" t="s">
        <v>129</v>
      </c>
      <c r="C170" s="46" t="s">
        <v>466</v>
      </c>
      <c r="D170" s="47" t="s">
        <v>437</v>
      </c>
      <c r="E170" s="48">
        <v>45854</v>
      </c>
      <c r="F170" s="49">
        <f t="shared" ref="F170" si="10">(K170+G170+H170+I170-J170)</f>
        <v>0</v>
      </c>
      <c r="G170" s="77">
        <f>SUMIF(积分汇总!$B:$B,C169,积分汇总!$E:$E)</f>
        <v>0</v>
      </c>
      <c r="H170" s="77">
        <f>SUMIF(记录巡查问题条数汇总!$B:$B,C169,记录巡查问题条数汇总!$E:$E)</f>
        <v>0</v>
      </c>
      <c r="I170" s="77"/>
      <c r="J170" s="77">
        <f>SUMIF(安全质量事故!$B:$B,C169,安全质量事故!$G:$G)</f>
        <v>0</v>
      </c>
      <c r="K170" s="72">
        <f>COUNTIF(L170:AP170,标准数据!$A$2)*标准数据!$B$2+COUNTIF(L170:AP170,标准数据!$A$3)*标准数据!$B$3+COUNTIF(L170:AP170,标准数据!$A$4)*标准数据!$B$4</f>
        <v>0</v>
      </c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188"/>
      <c r="AQ170" s="90"/>
    </row>
    <row r="171" spans="1:46" ht="21" customHeight="1">
      <c r="A171" s="267" t="s">
        <v>2108</v>
      </c>
      <c r="B171" s="45" t="s">
        <v>129</v>
      </c>
      <c r="C171" s="46" t="s">
        <v>536</v>
      </c>
      <c r="D171" s="47" t="s">
        <v>510</v>
      </c>
      <c r="E171" s="48">
        <v>45889</v>
      </c>
      <c r="F171" s="49">
        <f t="shared" si="9"/>
        <v>0</v>
      </c>
      <c r="G171" s="77">
        <f>SUMIF(积分汇总!$B:$B,C169,积分汇总!$E:$E)</f>
        <v>0</v>
      </c>
      <c r="H171" s="77">
        <f>SUMIF(记录巡查问题条数汇总!$B:$B,C169,记录巡查问题条数汇总!$E:$E)</f>
        <v>0</v>
      </c>
      <c r="I171" s="77"/>
      <c r="J171" s="77">
        <f>SUMIF(安全质量事故!$B:$B,C169,安全质量事故!$G:$G)</f>
        <v>0</v>
      </c>
      <c r="K171" s="72">
        <f>COUNTIF(L171:AP171,标准数据!$A$2)*标准数据!$B$2+COUNTIF(L171:AP171,标准数据!$A$3)*标准数据!$B$3+COUNTIF(L171:AP171,标准数据!$A$4)*标准数据!$B$4</f>
        <v>0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189"/>
      <c r="AQ171" s="55"/>
      <c r="AR171" s="183"/>
      <c r="AS171" s="183"/>
      <c r="AT171" s="183"/>
    </row>
    <row r="172" spans="1:46" ht="21" customHeight="1">
      <c r="A172" s="267" t="s">
        <v>2108</v>
      </c>
      <c r="B172" s="45" t="s">
        <v>129</v>
      </c>
      <c r="C172" s="46" t="s">
        <v>537</v>
      </c>
      <c r="D172" s="47" t="s">
        <v>511</v>
      </c>
      <c r="E172" s="48">
        <v>45882</v>
      </c>
      <c r="F172" s="49">
        <f t="shared" si="9"/>
        <v>0</v>
      </c>
      <c r="G172" s="77">
        <f>SUMIF(积分汇总!$B:$B,C171,积分汇总!$E:$E)</f>
        <v>0</v>
      </c>
      <c r="H172" s="77">
        <f>SUMIF(记录巡查问题条数汇总!$B:$B,C171,记录巡查问题条数汇总!$E:$E)</f>
        <v>0</v>
      </c>
      <c r="I172" s="77"/>
      <c r="J172" s="77">
        <f>SUMIF(安全质量事故!$B:$B,C171,安全质量事故!$G:$G)</f>
        <v>0</v>
      </c>
      <c r="K172" s="72">
        <f>COUNTIF(L172:AP172,标准数据!$A$2)*标准数据!$B$2+COUNTIF(L172:AP172,标准数据!$A$3)*标准数据!$B$3+COUNTIF(L172:AP172,标准数据!$A$4)*标准数据!$B$4</f>
        <v>0</v>
      </c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188"/>
      <c r="AQ172" s="90"/>
    </row>
    <row r="173" spans="1:46" ht="21" customHeight="1">
      <c r="A173" s="267" t="s">
        <v>2108</v>
      </c>
      <c r="B173" s="45" t="s">
        <v>129</v>
      </c>
      <c r="C173" s="46" t="s">
        <v>615</v>
      </c>
      <c r="D173" s="47" t="s">
        <v>573</v>
      </c>
      <c r="E173" s="48">
        <v>45910</v>
      </c>
      <c r="F173" s="49">
        <f t="shared" si="9"/>
        <v>0</v>
      </c>
      <c r="G173" s="77">
        <f>SUMIF(积分汇总!$B:$B,C172,积分汇总!$E:$E)</f>
        <v>0</v>
      </c>
      <c r="H173" s="77">
        <f>SUMIF(记录巡查问题条数汇总!$B:$B,C172,记录巡查问题条数汇总!$E:$E)</f>
        <v>0</v>
      </c>
      <c r="I173" s="77"/>
      <c r="J173" s="77">
        <f>SUMIF(安全质量事故!$B:$B,C172,安全质量事故!$G:$G)</f>
        <v>0</v>
      </c>
      <c r="K173" s="72">
        <f>COUNTIF(L173:AP173,标准数据!$A$2)*标准数据!$B$2+COUNTIF(L173:AP173,标准数据!$A$3)*标准数据!$B$3+COUNTIF(L173:AP173,标准数据!$A$4)*标准数据!$B$4</f>
        <v>0</v>
      </c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188"/>
      <c r="AQ173" s="90"/>
    </row>
    <row r="174" spans="1:46" ht="21" customHeight="1">
      <c r="A174" s="267" t="s">
        <v>2108</v>
      </c>
      <c r="B174" s="45" t="s">
        <v>129</v>
      </c>
      <c r="C174" s="46" t="s">
        <v>671</v>
      </c>
      <c r="D174" s="47" t="s">
        <v>672</v>
      </c>
      <c r="E174" s="48">
        <v>45854</v>
      </c>
      <c r="F174" s="49">
        <f t="shared" si="9"/>
        <v>0</v>
      </c>
      <c r="G174" s="77">
        <f>SUMIF(积分汇总!$B:$B,C173,积分汇总!$E:$E)</f>
        <v>0</v>
      </c>
      <c r="H174" s="77">
        <f>SUMIF(记录巡查问题条数汇总!$B:$B,C173,记录巡查问题条数汇总!$E:$E)</f>
        <v>0</v>
      </c>
      <c r="I174" s="77"/>
      <c r="J174" s="77">
        <f>SUMIF(安全质量事故!$B:$B,C173,安全质量事故!$G:$G)</f>
        <v>0</v>
      </c>
      <c r="K174" s="72">
        <f>COUNTIF(L174:AP174,标准数据!$A$2)*标准数据!$B$2+COUNTIF(L174:AP174,标准数据!$A$3)*标准数据!$B$3+COUNTIF(L174:AP174,标准数据!$A$4)*标准数据!$B$4</f>
        <v>0</v>
      </c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188"/>
      <c r="AQ174" s="90"/>
    </row>
    <row r="175" spans="1:46" ht="21" customHeight="1">
      <c r="A175" s="267" t="s">
        <v>2108</v>
      </c>
      <c r="B175" s="45" t="s">
        <v>129</v>
      </c>
      <c r="C175" s="46" t="s">
        <v>745</v>
      </c>
      <c r="D175" s="47" t="s">
        <v>680</v>
      </c>
      <c r="E175" s="48">
        <v>45973</v>
      </c>
      <c r="F175" s="49">
        <f t="shared" si="9"/>
        <v>0</v>
      </c>
      <c r="G175" s="77">
        <f>SUMIF(积分汇总!$B:$B,C174,积分汇总!$E:$E)</f>
        <v>0</v>
      </c>
      <c r="H175" s="77">
        <f>SUMIF(记录巡查问题条数汇总!$B:$B,C174,记录巡查问题条数汇总!$E:$E)</f>
        <v>0</v>
      </c>
      <c r="I175" s="77"/>
      <c r="J175" s="77">
        <f>SUMIF(安全质量事故!$B:$B,C174,安全质量事故!$G:$G)</f>
        <v>0</v>
      </c>
      <c r="K175" s="72">
        <f>COUNTIF(L175:AP175,标准数据!$A$2)*标准数据!$B$2+COUNTIF(L175:AP175,标准数据!$A$3)*标准数据!$B$3+COUNTIF(L175:AP175,标准数据!$A$4)*标准数据!$B$4</f>
        <v>0</v>
      </c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188"/>
      <c r="AQ175" s="90"/>
    </row>
    <row r="176" spans="1:46" ht="21" customHeight="1">
      <c r="A176" s="267" t="s">
        <v>2108</v>
      </c>
      <c r="B176" s="45" t="s">
        <v>129</v>
      </c>
      <c r="C176" s="46" t="s">
        <v>997</v>
      </c>
      <c r="D176" s="47" t="s">
        <v>996</v>
      </c>
      <c r="E176" s="48">
        <v>46057</v>
      </c>
      <c r="F176" s="49">
        <f t="shared" si="9"/>
        <v>0</v>
      </c>
      <c r="G176" s="77">
        <f>SUMIF(积分汇总!$B:$B,C175,积分汇总!$E:$E)</f>
        <v>0</v>
      </c>
      <c r="H176" s="77">
        <f>SUMIF(记录巡查问题条数汇总!$B:$B,C175,记录巡查问题条数汇总!$E:$E)</f>
        <v>0</v>
      </c>
      <c r="I176" s="77"/>
      <c r="J176" s="77">
        <f>SUMIF(安全质量事故!$B:$B,C175,安全质量事故!$G:$G)</f>
        <v>0</v>
      </c>
      <c r="K176" s="72">
        <f>COUNTIF(L176:AP176,标准数据!$A$2)*标准数据!$B$2+COUNTIF(L176:AP176,标准数据!$A$3)*标准数据!$B$3+COUNTIF(L176:AP176,标准数据!$A$4)*标准数据!$B$4</f>
        <v>0</v>
      </c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188"/>
      <c r="AQ176" s="90"/>
    </row>
    <row r="177" spans="1:46" ht="21" customHeight="1">
      <c r="A177" s="267" t="s">
        <v>2108</v>
      </c>
      <c r="B177" s="45" t="s">
        <v>129</v>
      </c>
      <c r="C177" s="46" t="s">
        <v>990</v>
      </c>
      <c r="D177" s="47" t="s">
        <v>965</v>
      </c>
      <c r="E177" s="48">
        <v>45980</v>
      </c>
      <c r="F177" s="49">
        <f t="shared" si="9"/>
        <v>0</v>
      </c>
      <c r="G177" s="77">
        <f>SUMIF(积分汇总!$B:$B,C176,积分汇总!$E:$E)</f>
        <v>0</v>
      </c>
      <c r="H177" s="77">
        <f>SUMIF(记录巡查问题条数汇总!$B:$B,C176,记录巡查问题条数汇总!$E:$E)</f>
        <v>0</v>
      </c>
      <c r="I177" s="77"/>
      <c r="J177" s="77">
        <f>SUMIF(安全质量事故!$B:$B,C176,安全质量事故!$G:$G)</f>
        <v>0</v>
      </c>
      <c r="K177" s="72">
        <f>COUNTIF(L177:AP177,标准数据!$A$2)*标准数据!$B$2+COUNTIF(L177:AP177,标准数据!$A$3)*标准数据!$B$3+COUNTIF(L177:AP177,标准数据!$A$4)*标准数据!$B$4</f>
        <v>0</v>
      </c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188"/>
      <c r="AQ177" s="90"/>
    </row>
    <row r="178" spans="1:46" ht="21" customHeight="1">
      <c r="A178" s="267" t="s">
        <v>2108</v>
      </c>
      <c r="B178" s="45" t="s">
        <v>129</v>
      </c>
      <c r="C178" s="46" t="s">
        <v>991</v>
      </c>
      <c r="D178" s="47" t="s">
        <v>966</v>
      </c>
      <c r="E178" s="48">
        <v>45980</v>
      </c>
      <c r="F178" s="49">
        <f t="shared" si="9"/>
        <v>0</v>
      </c>
      <c r="G178" s="77">
        <f>SUMIF(积分汇总!$B:$B,C177,积分汇总!$E:$E)</f>
        <v>0</v>
      </c>
      <c r="H178" s="77">
        <f>SUMIF(记录巡查问题条数汇总!$B:$B,C177,记录巡查问题条数汇总!$E:$E)</f>
        <v>0</v>
      </c>
      <c r="I178" s="77"/>
      <c r="J178" s="77">
        <f>SUMIF(安全质量事故!$B:$B,C177,安全质量事故!$G:$G)</f>
        <v>0</v>
      </c>
      <c r="K178" s="72">
        <f>COUNTIF(L178:AP178,标准数据!$A$2)*标准数据!$B$2+COUNTIF(L178:AP178,标准数据!$A$3)*标准数据!$B$3+COUNTIF(L178:AP178,标准数据!$A$4)*标准数据!$B$4</f>
        <v>0</v>
      </c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188"/>
      <c r="AQ178" s="90"/>
    </row>
    <row r="179" spans="1:46" ht="21" customHeight="1">
      <c r="A179" s="267" t="s">
        <v>2108</v>
      </c>
      <c r="B179" s="45" t="s">
        <v>129</v>
      </c>
      <c r="C179" s="46" t="s">
        <v>992</v>
      </c>
      <c r="D179" s="47" t="s">
        <v>967</v>
      </c>
      <c r="E179" s="48">
        <v>45987</v>
      </c>
      <c r="F179" s="49">
        <f t="shared" si="9"/>
        <v>0</v>
      </c>
      <c r="G179" s="77">
        <f>SUMIF(积分汇总!$B:$B,C178,积分汇总!$E:$E)</f>
        <v>0</v>
      </c>
      <c r="H179" s="77">
        <f>SUMIF(记录巡查问题条数汇总!$B:$B,C178,记录巡查问题条数汇总!$E:$E)</f>
        <v>0</v>
      </c>
      <c r="I179" s="77"/>
      <c r="J179" s="77">
        <f>SUMIF(安全质量事故!$B:$B,C178,安全质量事故!$G:$G)</f>
        <v>0</v>
      </c>
      <c r="K179" s="72">
        <f>COUNTIF(L179:AP179,标准数据!$A$2)*标准数据!$B$2+COUNTIF(L179:AP179,标准数据!$A$3)*标准数据!$B$3+COUNTIF(L179:AP179,标准数据!$A$4)*标准数据!$B$4</f>
        <v>0</v>
      </c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188"/>
      <c r="AQ179" s="90"/>
    </row>
    <row r="180" spans="1:46" ht="21" customHeight="1">
      <c r="A180" s="267" t="s">
        <v>2108</v>
      </c>
      <c r="B180" s="45" t="s">
        <v>146</v>
      </c>
      <c r="C180" s="46" t="s">
        <v>1002</v>
      </c>
      <c r="D180" s="47" t="s">
        <v>1003</v>
      </c>
      <c r="E180" s="48">
        <v>45980</v>
      </c>
      <c r="F180" s="49">
        <f t="shared" si="9"/>
        <v>0</v>
      </c>
      <c r="G180" s="77">
        <f>SUMIF(积分汇总!$B:$B,C179,积分汇总!$E:$E)</f>
        <v>0</v>
      </c>
      <c r="H180" s="77">
        <f>SUMIF(记录巡查问题条数汇总!$B:$B,C179,记录巡查问题条数汇总!$E:$E)</f>
        <v>0</v>
      </c>
      <c r="I180" s="77"/>
      <c r="J180" s="77">
        <f>SUMIF(安全质量事故!$B:$B,C179,安全质量事故!$G:$G)</f>
        <v>0</v>
      </c>
      <c r="K180" s="72">
        <f>COUNTIF(L180:AP180,标准数据!$A$2)*标准数据!$B$2+COUNTIF(L180:AP180,标准数据!$A$3)*标准数据!$B$3+COUNTIF(L180:AP180,标准数据!$A$4)*标准数据!$B$4</f>
        <v>0</v>
      </c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188"/>
      <c r="AQ180" s="90"/>
    </row>
    <row r="181" spans="1:46" ht="21" customHeight="1">
      <c r="A181" s="267" t="s">
        <v>2108</v>
      </c>
      <c r="B181" s="45" t="s">
        <v>13</v>
      </c>
      <c r="C181" s="46" t="s">
        <v>1960</v>
      </c>
      <c r="D181" s="47" t="s">
        <v>1961</v>
      </c>
      <c r="E181" s="48">
        <v>46253</v>
      </c>
      <c r="F181" s="49">
        <f t="shared" si="9"/>
        <v>0</v>
      </c>
      <c r="G181" s="77">
        <f>SUMIF(积分汇总!$B:$B,C180,积分汇总!$E:$E)</f>
        <v>0</v>
      </c>
      <c r="H181" s="77">
        <f>SUMIF(记录巡查问题条数汇总!$B:$B,C180,记录巡查问题条数汇总!$E:$E)</f>
        <v>0</v>
      </c>
      <c r="I181" s="77"/>
      <c r="J181" s="77">
        <f>SUMIF(安全质量事故!$B:$B,C180,安全质量事故!$G:$G)</f>
        <v>0</v>
      </c>
      <c r="K181" s="72">
        <f>COUNTIF(L181:AP181,标准数据!$A$2)*标准数据!$B$2+COUNTIF(L181:AP181,标准数据!$A$3)*标准数据!$B$3+COUNTIF(L181:AP181,标准数据!$A$4)*标准数据!$B$4</f>
        <v>0</v>
      </c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188"/>
      <c r="AQ181" s="90"/>
    </row>
    <row r="182" spans="1:46" ht="21" customHeight="1">
      <c r="A182" s="267" t="s">
        <v>2108</v>
      </c>
      <c r="B182" s="45" t="s">
        <v>13</v>
      </c>
      <c r="C182" s="46" t="s">
        <v>1962</v>
      </c>
      <c r="D182" s="47" t="s">
        <v>1963</v>
      </c>
      <c r="E182" s="48">
        <v>46251</v>
      </c>
      <c r="F182" s="49">
        <f t="shared" si="9"/>
        <v>0</v>
      </c>
      <c r="G182" s="77">
        <f>SUMIF(积分汇总!$B:$B,C181,积分汇总!$E:$E)</f>
        <v>0</v>
      </c>
      <c r="H182" s="77">
        <f>SUMIF(记录巡查问题条数汇总!$B:$B,C181,记录巡查问题条数汇总!$E:$E)</f>
        <v>0</v>
      </c>
      <c r="I182" s="77"/>
      <c r="J182" s="77">
        <f>SUMIF(安全质量事故!$B:$B,C181,安全质量事故!$G:$G)</f>
        <v>0</v>
      </c>
      <c r="K182" s="72">
        <f>COUNTIF(L182:AP182,标准数据!$A$2)*标准数据!$B$2+COUNTIF(L182:AP182,标准数据!$A$3)*标准数据!$B$3+COUNTIF(L182:AP182,标准数据!$A$4)*标准数据!$B$4</f>
        <v>0</v>
      </c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188"/>
      <c r="AQ182" s="90"/>
    </row>
    <row r="183" spans="1:46" ht="21" customHeight="1">
      <c r="A183" s="267" t="s">
        <v>2108</v>
      </c>
      <c r="B183" s="45" t="s">
        <v>129</v>
      </c>
      <c r="C183" s="46" t="s">
        <v>746</v>
      </c>
      <c r="D183" s="47" t="s">
        <v>673</v>
      </c>
      <c r="E183" s="48">
        <v>45840</v>
      </c>
      <c r="F183" s="49">
        <f t="shared" si="9"/>
        <v>0</v>
      </c>
      <c r="G183" s="77">
        <f>SUMIF(积分汇总!$B:$B,C182,积分汇总!$E:$E)</f>
        <v>0</v>
      </c>
      <c r="H183" s="77">
        <f>SUMIF(记录巡查问题条数汇总!$B:$B,C182,记录巡查问题条数汇总!$E:$E)</f>
        <v>0</v>
      </c>
      <c r="I183" s="77"/>
      <c r="J183" s="77">
        <f>SUMIF(安全质量事故!$B:$B,C182,安全质量事故!$G:$G)</f>
        <v>0</v>
      </c>
      <c r="K183" s="72">
        <f>COUNTIF(L183:AP183,标准数据!$A$2)*标准数据!$B$2+COUNTIF(L183:AP183,标准数据!$A$3)*标准数据!$B$3+COUNTIF(L183:AP183,标准数据!$A$4)*标准数据!$B$4</f>
        <v>0</v>
      </c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188"/>
      <c r="AQ183" s="90"/>
    </row>
    <row r="184" spans="1:46" ht="21" customHeight="1">
      <c r="A184" s="267" t="s">
        <v>2108</v>
      </c>
      <c r="B184" s="45" t="s">
        <v>129</v>
      </c>
      <c r="C184" s="46" t="s">
        <v>1106</v>
      </c>
      <c r="D184" s="47" t="s">
        <v>1107</v>
      </c>
      <c r="E184" s="48">
        <v>45994</v>
      </c>
      <c r="F184" s="49">
        <f t="shared" si="9"/>
        <v>0</v>
      </c>
      <c r="G184" s="77">
        <f>SUMIF(积分汇总!$B:$B,C183,积分汇总!$E:$E)</f>
        <v>0</v>
      </c>
      <c r="H184" s="77">
        <f>SUMIF(记录巡查问题条数汇总!$B:$B,C183,记录巡查问题条数汇总!$E:$E)</f>
        <v>0</v>
      </c>
      <c r="I184" s="77"/>
      <c r="J184" s="77">
        <f>SUMIF(安全质量事故!$B:$B,C183,安全质量事故!$G:$G)</f>
        <v>0</v>
      </c>
      <c r="K184" s="72">
        <f>COUNTIF(L184:AP184,标准数据!$A$2)*标准数据!$B$2+COUNTIF(L184:AP184,标准数据!$A$3)*标准数据!$B$3+COUNTIF(L184:AP184,标准数据!$A$4)*标准数据!$B$4</f>
        <v>0</v>
      </c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188"/>
      <c r="AQ184" s="90"/>
    </row>
    <row r="185" spans="1:46" ht="21" customHeight="1">
      <c r="A185" s="227" t="s">
        <v>2138</v>
      </c>
      <c r="B185" s="45" t="s">
        <v>13</v>
      </c>
      <c r="C185" s="46" t="s">
        <v>203</v>
      </c>
      <c r="D185" s="47" t="s">
        <v>254</v>
      </c>
      <c r="E185" s="48">
        <v>45462</v>
      </c>
      <c r="F185" s="49">
        <f t="shared" ref="F185:F295" si="11">(K185+G185+H185+I185-J185)</f>
        <v>0</v>
      </c>
      <c r="G185" s="77">
        <f>SUMIF(积分汇总!$B:$B,C99,积分汇总!$E:$E)</f>
        <v>0</v>
      </c>
      <c r="H185" s="77">
        <f>SUMIF(记录巡查问题条数汇总!$B:$B,C99,记录巡查问题条数汇总!$E:$E)</f>
        <v>0</v>
      </c>
      <c r="I185" s="77"/>
      <c r="J185" s="77">
        <f>SUMIF(安全质量事故!$B:$B,C99,安全质量事故!$G:$G)</f>
        <v>0</v>
      </c>
      <c r="K185" s="72">
        <f>COUNTIF(L185:AP185,标准数据!$A$2)*标准数据!$B$2+COUNTIF(L185:AP185,标准数据!$A$3)*标准数据!$B$3+COUNTIF(L185:AP185,标准数据!$A$4)*标准数据!$B$4</f>
        <v>0</v>
      </c>
      <c r="L185" s="55"/>
      <c r="M185" s="55"/>
      <c r="N185" s="55"/>
      <c r="O185" s="55"/>
      <c r="P185" s="56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190"/>
      <c r="AQ185" s="55"/>
      <c r="AR185" s="283" t="s">
        <v>1566</v>
      </c>
      <c r="AS185" s="284"/>
      <c r="AT185" s="284"/>
    </row>
    <row r="186" spans="1:46" ht="21" customHeight="1">
      <c r="A186" s="227" t="s">
        <v>2138</v>
      </c>
      <c r="B186" s="45" t="s">
        <v>14</v>
      </c>
      <c r="C186" s="46" t="s">
        <v>105</v>
      </c>
      <c r="D186" s="52" t="s">
        <v>101</v>
      </c>
      <c r="E186" s="46">
        <v>45042</v>
      </c>
      <c r="F186" s="49">
        <f t="shared" si="11"/>
        <v>0</v>
      </c>
      <c r="G186" s="77">
        <f>SUMIF(积分汇总!$B:$B,C185,积分汇总!$E:$E)</f>
        <v>0</v>
      </c>
      <c r="H186" s="77">
        <f>SUMIF(记录巡查问题条数汇总!$B:$B,C185,记录巡查问题条数汇总!$E:$E)</f>
        <v>0</v>
      </c>
      <c r="I186" s="77"/>
      <c r="J186" s="77">
        <f>SUMIF(安全质量事故!$B:$B,C185,安全质量事故!$G:$G)</f>
        <v>0</v>
      </c>
      <c r="K186" s="72">
        <f>COUNTIF(L186:AP186,标准数据!$A$2)*标准数据!$B$2+COUNTIF(L186:AP186,标准数据!$A$3)*标准数据!$B$3+COUNTIF(L186:AP186,标准数据!$A$4)*标准数据!$B$4</f>
        <v>0</v>
      </c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189"/>
      <c r="AQ186" s="55"/>
      <c r="AR186" s="101" t="s">
        <v>1026</v>
      </c>
      <c r="AS186" s="102" t="s">
        <v>1027</v>
      </c>
      <c r="AT186" s="102" t="s">
        <v>1028</v>
      </c>
    </row>
    <row r="187" spans="1:46" ht="21" customHeight="1">
      <c r="A187" s="227" t="s">
        <v>2138</v>
      </c>
      <c r="B187" s="45" t="s">
        <v>14</v>
      </c>
      <c r="C187" s="46" t="s">
        <v>1488</v>
      </c>
      <c r="D187" s="52" t="s">
        <v>1489</v>
      </c>
      <c r="E187" s="46">
        <v>46176</v>
      </c>
      <c r="F187" s="49">
        <f t="shared" si="11"/>
        <v>0</v>
      </c>
      <c r="G187" s="77">
        <f>SUMIF(积分汇总!$B:$B,C186,积分汇总!$E:$E)</f>
        <v>0</v>
      </c>
      <c r="H187" s="77">
        <f>SUMIF(记录巡查问题条数汇总!$B:$B,C186,记录巡查问题条数汇总!$E:$E)</f>
        <v>0</v>
      </c>
      <c r="I187" s="77"/>
      <c r="J187" s="77">
        <f>SUMIF(安全质量事故!$B:$B,C186,安全质量事故!$G:$G)</f>
        <v>0</v>
      </c>
      <c r="K187" s="72">
        <f>COUNTIF(L187:AP187,标准数据!$A$2)*标准数据!$B$2+COUNTIF(L187:AP187,标准数据!$A$3)*标准数据!$B$3+COUNTIF(L187:AP187,标准数据!$A$4)*标准数据!$B$4</f>
        <v>0</v>
      </c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189"/>
      <c r="AQ187" s="55"/>
      <c r="AR187" s="64">
        <f>COUNTIF($L$185:$AP$200,"a")</f>
        <v>0</v>
      </c>
      <c r="AS187" s="64">
        <f>COUNTIF($L$185:$AP$200,"b")</f>
        <v>0</v>
      </c>
      <c r="AT187" s="64">
        <f>COUNTIF(L$186:AP$200,"c")</f>
        <v>0</v>
      </c>
    </row>
    <row r="188" spans="1:46" ht="21" customHeight="1">
      <c r="A188" s="227" t="s">
        <v>2138</v>
      </c>
      <c r="B188" s="45" t="s">
        <v>14</v>
      </c>
      <c r="C188" s="46" t="s">
        <v>1492</v>
      </c>
      <c r="D188" s="47" t="s">
        <v>1493</v>
      </c>
      <c r="E188" s="48">
        <v>46183</v>
      </c>
      <c r="F188" s="49">
        <f t="shared" si="11"/>
        <v>0</v>
      </c>
      <c r="G188" s="77">
        <f>SUMIF(积分汇总!$B:$B,C187,积分汇总!$E:$E)</f>
        <v>0</v>
      </c>
      <c r="H188" s="77">
        <f>SUMIF(记录巡查问题条数汇总!$B:$B,C187,记录巡查问题条数汇总!$E:$E)</f>
        <v>0</v>
      </c>
      <c r="I188" s="77"/>
      <c r="J188" s="77">
        <f>SUMIF(安全质量事故!$B:$B,C187,安全质量事故!$G:$G)</f>
        <v>0</v>
      </c>
      <c r="K188" s="72">
        <f>COUNTIF(L188:AP188,标准数据!$A$2)*标准数据!$B$2+COUNTIF(L188:AP188,标准数据!$A$3)*标准数据!$B$3+COUNTIF(L188:AP188,标准数据!$A$4)*标准数据!$B$4</f>
        <v>0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189"/>
      <c r="AQ188" s="55"/>
      <c r="AR188" s="50" t="e">
        <f>AR187/($AR$187+$AS$187+$AT$187)</f>
        <v>#DIV/0!</v>
      </c>
      <c r="AS188" s="50" t="e">
        <f>AS187/($AR$187+$AS$187+$AT$187)</f>
        <v>#DIV/0!</v>
      </c>
      <c r="AT188" s="50" t="e">
        <f>AT187/($AR$187+$AS$187+$AT$187)</f>
        <v>#DIV/0!</v>
      </c>
    </row>
    <row r="189" spans="1:46" ht="21" customHeight="1">
      <c r="A189" s="227" t="s">
        <v>2138</v>
      </c>
      <c r="B189" s="45" t="s">
        <v>14</v>
      </c>
      <c r="C189" s="46" t="s">
        <v>1486</v>
      </c>
      <c r="D189" s="47" t="s">
        <v>1487</v>
      </c>
      <c r="E189" s="48">
        <v>46174</v>
      </c>
      <c r="F189" s="49">
        <f t="shared" si="11"/>
        <v>0</v>
      </c>
      <c r="G189" s="77">
        <f>SUMIF(积分汇总!$B:$B,C188,积分汇总!$E:$E)</f>
        <v>0</v>
      </c>
      <c r="H189" s="77">
        <f>SUMIF(记录巡查问题条数汇总!$B:$B,C188,记录巡查问题条数汇总!$E:$E)</f>
        <v>0</v>
      </c>
      <c r="I189" s="77"/>
      <c r="J189" s="77">
        <f>SUMIF(安全质量事故!$B:$B,C188,安全质量事故!$G:$G)</f>
        <v>0</v>
      </c>
      <c r="K189" s="72">
        <f>COUNTIF(L189:AP189,标准数据!$A$2)*标准数据!$B$2+COUNTIF(L189:AP189,标准数据!$A$3)*标准数据!$B$3+COUNTIF(L189:AP189,标准数据!$A$4)*标准数据!$B$4</f>
        <v>0</v>
      </c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189"/>
      <c r="AQ189" s="55"/>
      <c r="AR189" s="183"/>
      <c r="AS189" s="183"/>
      <c r="AT189" s="183"/>
    </row>
    <row r="190" spans="1:46" ht="21" customHeight="1">
      <c r="A190" s="227" t="s">
        <v>2138</v>
      </c>
      <c r="B190" s="45" t="s">
        <v>14</v>
      </c>
      <c r="C190" s="46" t="s">
        <v>1490</v>
      </c>
      <c r="D190" s="47" t="s">
        <v>1491</v>
      </c>
      <c r="E190" s="48">
        <v>46176</v>
      </c>
      <c r="F190" s="49">
        <f t="shared" si="11"/>
        <v>0</v>
      </c>
      <c r="G190" s="77">
        <f>SUMIF(积分汇总!$B:$B,C189,积分汇总!$E:$E)</f>
        <v>0</v>
      </c>
      <c r="H190" s="77">
        <f>SUMIF(记录巡查问题条数汇总!$B:$B,C189,记录巡查问题条数汇总!$E:$E)</f>
        <v>0</v>
      </c>
      <c r="I190" s="77"/>
      <c r="J190" s="77">
        <f>SUMIF(安全质量事故!$B:$B,C189,安全质量事故!$G:$G)</f>
        <v>0</v>
      </c>
      <c r="K190" s="72">
        <f>COUNTIF(L190:AP190,标准数据!$A$2)*标准数据!$B$2+COUNTIF(L190:AP190,标准数据!$A$3)*标准数据!$B$3+COUNTIF(L190:AP190,标准数据!$A$4)*标准数据!$B$4</f>
        <v>0</v>
      </c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189"/>
      <c r="AQ190" s="55"/>
      <c r="AR190" s="183"/>
      <c r="AS190" s="183"/>
      <c r="AT190" s="183"/>
    </row>
    <row r="191" spans="1:46" ht="21" customHeight="1">
      <c r="A191" s="227" t="s">
        <v>2138</v>
      </c>
      <c r="B191" s="45" t="s">
        <v>146</v>
      </c>
      <c r="C191" s="46" t="s">
        <v>467</v>
      </c>
      <c r="D191" s="47" t="s">
        <v>439</v>
      </c>
      <c r="E191" s="48">
        <v>45833</v>
      </c>
      <c r="F191" s="49">
        <f t="shared" si="11"/>
        <v>0</v>
      </c>
      <c r="G191" s="77">
        <f>SUMIF(积分汇总!$B:$B,C190,积分汇总!$E:$E)</f>
        <v>0</v>
      </c>
      <c r="H191" s="77">
        <f>SUMIF(记录巡查问题条数汇总!$B:$B,C190,记录巡查问题条数汇总!$E:$E)</f>
        <v>0</v>
      </c>
      <c r="I191" s="77"/>
      <c r="J191" s="77">
        <f>SUMIF(安全质量事故!$B:$B,C190,安全质量事故!$G:$G)</f>
        <v>0</v>
      </c>
      <c r="K191" s="72">
        <f>COUNTIF(L191:AP191,标准数据!$A$2)*标准数据!$B$2+COUNTIF(L191:AP191,标准数据!$A$3)*标准数据!$B$3+COUNTIF(L191:AP191,标准数据!$A$4)*标准数据!$B$4</f>
        <v>0</v>
      </c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189"/>
      <c r="AQ191" s="55"/>
      <c r="AR191" s="183"/>
      <c r="AS191" s="183"/>
      <c r="AT191" s="183"/>
    </row>
    <row r="192" spans="1:46" ht="21" customHeight="1">
      <c r="A192" s="227" t="s">
        <v>2138</v>
      </c>
      <c r="B192" s="45" t="s">
        <v>146</v>
      </c>
      <c r="C192" s="46" t="s">
        <v>938</v>
      </c>
      <c r="D192" s="47" t="s">
        <v>875</v>
      </c>
      <c r="E192" s="48">
        <v>46029</v>
      </c>
      <c r="F192" s="49">
        <f t="shared" si="11"/>
        <v>0</v>
      </c>
      <c r="G192" s="77">
        <f>SUMIF(积分汇总!$B:$B,C191,积分汇总!$E:$E)</f>
        <v>0</v>
      </c>
      <c r="H192" s="77">
        <f>SUMIF(记录巡查问题条数汇总!$B:$B,C191,记录巡查问题条数汇总!$E:$E)</f>
        <v>0</v>
      </c>
      <c r="I192" s="77"/>
      <c r="J192" s="77">
        <f>SUMIF(安全质量事故!$B:$B,C191,安全质量事故!$G:$G)</f>
        <v>0</v>
      </c>
      <c r="K192" s="72">
        <f>COUNTIF(L192:AP192,标准数据!$A$2)*标准数据!$B$2+COUNTIF(L192:AP192,标准数据!$A$3)*标准数据!$B$3+COUNTIF(L192:AP192,标准数据!$A$4)*标准数据!$B$4</f>
        <v>0</v>
      </c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189"/>
      <c r="AQ192" s="55"/>
      <c r="AR192" s="183"/>
      <c r="AS192" s="183"/>
      <c r="AT192" s="183"/>
    </row>
    <row r="193" spans="1:48" ht="21" customHeight="1">
      <c r="A193" s="227" t="s">
        <v>2138</v>
      </c>
      <c r="B193" s="45" t="s">
        <v>1092</v>
      </c>
      <c r="C193" s="75" t="s">
        <v>975</v>
      </c>
      <c r="D193" s="73" t="s">
        <v>955</v>
      </c>
      <c r="E193" s="78">
        <v>46027</v>
      </c>
      <c r="F193" s="49">
        <f t="shared" si="11"/>
        <v>0</v>
      </c>
      <c r="G193" s="77">
        <f>SUMIF(积分汇总!$B:$B,C192,积分汇总!$E:$E)</f>
        <v>0</v>
      </c>
      <c r="H193" s="77">
        <f>SUMIF(记录巡查问题条数汇总!$B:$B,C192,记录巡查问题条数汇总!$E:$E)</f>
        <v>0</v>
      </c>
      <c r="I193" s="77"/>
      <c r="J193" s="77">
        <f>SUMIF(安全质量事故!$B:$B,C192,安全质量事故!$G:$G)</f>
        <v>0</v>
      </c>
      <c r="K193" s="72">
        <f>COUNTIF(L193:AP193,标准数据!$A$2)*标准数据!$B$2+COUNTIF(L193:AP193,标准数据!$A$3)*标准数据!$B$3+COUNTIF(L193:AP193,标准数据!$A$4)*标准数据!$B$4</f>
        <v>0</v>
      </c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189"/>
      <c r="AQ193" s="55"/>
      <c r="AR193" s="41"/>
      <c r="AS193" s="41"/>
      <c r="AT193" s="41"/>
    </row>
    <row r="194" spans="1:48" s="51" customFormat="1" ht="21" customHeight="1">
      <c r="A194" s="227" t="s">
        <v>2138</v>
      </c>
      <c r="B194" s="45" t="s">
        <v>1092</v>
      </c>
      <c r="C194" s="75" t="s">
        <v>976</v>
      </c>
      <c r="D194" s="74" t="s">
        <v>956</v>
      </c>
      <c r="E194" s="75">
        <v>46027</v>
      </c>
      <c r="F194" s="49">
        <f t="shared" si="11"/>
        <v>0</v>
      </c>
      <c r="G194" s="77">
        <f>SUMIF(积分汇总!$B:$B,C193,积分汇总!$E:$E)</f>
        <v>0</v>
      </c>
      <c r="H194" s="77">
        <f>SUMIF(记录巡查问题条数汇总!$B:$B,C193,记录巡查问题条数汇总!$E:$E)</f>
        <v>0</v>
      </c>
      <c r="I194" s="77"/>
      <c r="J194" s="77">
        <f>SUMIF(安全质量事故!$B:$B,C193,安全质量事故!$G:$G)</f>
        <v>0</v>
      </c>
      <c r="K194" s="72">
        <f>COUNTIF(L194:AP194,标准数据!$A$2)*标准数据!$B$2+COUNTIF(L194:AP194,标准数据!$A$3)*标准数据!$B$3+COUNTIF(L194:AP194,标准数据!$A$4)*标准数据!$B$4</f>
        <v>0</v>
      </c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189"/>
      <c r="AQ194" s="55"/>
      <c r="AU194" s="76"/>
      <c r="AV194" s="41"/>
    </row>
    <row r="195" spans="1:48" ht="21" customHeight="1">
      <c r="A195" s="227" t="s">
        <v>2138</v>
      </c>
      <c r="B195" s="45" t="s">
        <v>1092</v>
      </c>
      <c r="C195" s="75" t="s">
        <v>930</v>
      </c>
      <c r="D195" s="73" t="s">
        <v>869</v>
      </c>
      <c r="E195" s="78">
        <v>46043</v>
      </c>
      <c r="F195" s="49">
        <f t="shared" si="11"/>
        <v>0</v>
      </c>
      <c r="G195" s="77">
        <f>SUMIF(积分汇总!$B:$B,C194,积分汇总!$E:$E)</f>
        <v>0</v>
      </c>
      <c r="H195" s="77">
        <f>SUMIF(记录巡查问题条数汇总!$B:$B,C194,记录巡查问题条数汇总!$E:$E)</f>
        <v>0</v>
      </c>
      <c r="I195" s="77"/>
      <c r="J195" s="77">
        <f>SUMIF(安全质量事故!$B:$B,C194,安全质量事故!$G:$G)</f>
        <v>0</v>
      </c>
      <c r="K195" s="72">
        <f>COUNTIF(L195:AP195,标准数据!$A$2)*标准数据!$B$2+COUNTIF(L195:AP195,标准数据!$A$3)*标准数据!$B$3+COUNTIF(L195:AP195,标准数据!$A$4)*标准数据!$B$4</f>
        <v>0</v>
      </c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189"/>
      <c r="AQ195" s="55"/>
    </row>
    <row r="196" spans="1:48" ht="21" customHeight="1">
      <c r="A196" s="227" t="s">
        <v>2138</v>
      </c>
      <c r="B196" s="45" t="s">
        <v>1092</v>
      </c>
      <c r="C196" s="75" t="s">
        <v>1236</v>
      </c>
      <c r="D196" s="74" t="s">
        <v>1237</v>
      </c>
      <c r="E196" s="75">
        <v>46106</v>
      </c>
      <c r="F196" s="49">
        <f t="shared" si="11"/>
        <v>0</v>
      </c>
      <c r="G196" s="77">
        <f>SUMIF(积分汇总!$B:$B,C195,积分汇总!$E:$E)</f>
        <v>0</v>
      </c>
      <c r="H196" s="77">
        <f>SUMIF(记录巡查问题条数汇总!$B:$B,C195,记录巡查问题条数汇总!$E:$E)</f>
        <v>0</v>
      </c>
      <c r="I196" s="77"/>
      <c r="J196" s="77">
        <f>SUMIF(安全质量事故!$B:$B,C195,安全质量事故!$G:$G)</f>
        <v>0</v>
      </c>
      <c r="K196" s="72">
        <f>COUNTIF(L196:AP196,标准数据!$A$2)*标准数据!$B$2+COUNTIF(L196:AP196,标准数据!$A$3)*标准数据!$B$3+COUNTIF(L196:AP196,标准数据!$A$4)*标准数据!$B$4</f>
        <v>0</v>
      </c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189"/>
      <c r="AQ196" s="55"/>
    </row>
    <row r="197" spans="1:48" ht="21" customHeight="1">
      <c r="A197" s="227" t="s">
        <v>2138</v>
      </c>
      <c r="B197" s="45" t="s">
        <v>1092</v>
      </c>
      <c r="C197" s="75" t="s">
        <v>919</v>
      </c>
      <c r="D197" s="73" t="s">
        <v>871</v>
      </c>
      <c r="E197" s="78">
        <v>46029</v>
      </c>
      <c r="F197" s="49">
        <f t="shared" si="11"/>
        <v>0</v>
      </c>
      <c r="G197" s="77">
        <f>SUMIF(积分汇总!$B:$B,C196,积分汇总!$E:$E)</f>
        <v>0</v>
      </c>
      <c r="H197" s="77">
        <f>SUMIF(记录巡查问题条数汇总!$B:$B,C196,记录巡查问题条数汇总!$E:$E)</f>
        <v>0</v>
      </c>
      <c r="I197" s="77"/>
      <c r="J197" s="77">
        <f>SUMIF(安全质量事故!$B:$B,C196,安全质量事故!$G:$G)</f>
        <v>0</v>
      </c>
      <c r="K197" s="72">
        <f>COUNTIF(L197:AP197,标准数据!$A$2)*标准数据!$B$2+COUNTIF(L197:AP197,标准数据!$A$3)*标准数据!$B$3+COUNTIF(L197:AP197,标准数据!$A$4)*标准数据!$B$4</f>
        <v>0</v>
      </c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189"/>
      <c r="AQ197" s="55"/>
    </row>
    <row r="198" spans="1:48" ht="21" customHeight="1">
      <c r="A198" s="227" t="s">
        <v>2138</v>
      </c>
      <c r="B198" s="45" t="s">
        <v>1092</v>
      </c>
      <c r="C198" s="75" t="s">
        <v>921</v>
      </c>
      <c r="D198" s="73" t="s">
        <v>873</v>
      </c>
      <c r="E198" s="78">
        <v>46029</v>
      </c>
      <c r="F198" s="49">
        <f t="shared" si="11"/>
        <v>0</v>
      </c>
      <c r="G198" s="77">
        <f>SUMIF(积分汇总!$B:$B,C197,积分汇总!$E:$E)</f>
        <v>0</v>
      </c>
      <c r="H198" s="77">
        <f>SUMIF(记录巡查问题条数汇总!$B:$B,C197,记录巡查问题条数汇总!$E:$E)</f>
        <v>0</v>
      </c>
      <c r="I198" s="77"/>
      <c r="J198" s="77">
        <f>SUMIF(安全质量事故!$B:$B,C197,安全质量事故!$G:$G)</f>
        <v>0</v>
      </c>
      <c r="K198" s="72">
        <f>COUNTIF(L198:AP198,标准数据!$A$2)*标准数据!$B$2+COUNTIF(L198:AP198,标准数据!$A$3)*标准数据!$B$3+COUNTIF(L198:AP198,标准数据!$A$4)*标准数据!$B$4</f>
        <v>0</v>
      </c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189"/>
      <c r="AQ198" s="55"/>
      <c r="AR198" s="41"/>
      <c r="AS198" s="41"/>
      <c r="AT198" s="41"/>
    </row>
    <row r="199" spans="1:48" ht="21" customHeight="1">
      <c r="A199" s="227" t="s">
        <v>2138</v>
      </c>
      <c r="B199" s="45" t="s">
        <v>1092</v>
      </c>
      <c r="C199" s="75" t="s">
        <v>922</v>
      </c>
      <c r="D199" s="73" t="s">
        <v>874</v>
      </c>
      <c r="E199" s="78">
        <v>46043</v>
      </c>
      <c r="F199" s="49">
        <f t="shared" si="11"/>
        <v>0</v>
      </c>
      <c r="G199" s="77">
        <f>SUMIF(积分汇总!$B:$B,C198,积分汇总!$E:$E)</f>
        <v>0</v>
      </c>
      <c r="H199" s="77">
        <f>SUMIF(记录巡查问题条数汇总!$B:$B,C198,记录巡查问题条数汇总!$E:$E)</f>
        <v>0</v>
      </c>
      <c r="I199" s="77"/>
      <c r="J199" s="77">
        <f>SUMIF(安全质量事故!$B:$B,C198,安全质量事故!$G:$G)</f>
        <v>0</v>
      </c>
      <c r="K199" s="72">
        <f>COUNTIF(L199:AP199,标准数据!$A$2)*标准数据!$B$2+COUNTIF(L199:AP199,标准数据!$A$3)*标准数据!$B$3+COUNTIF(L199:AP199,标准数据!$A$4)*标准数据!$B$4</f>
        <v>0</v>
      </c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189"/>
      <c r="AQ199" s="55"/>
    </row>
    <row r="200" spans="1:48" ht="21" customHeight="1">
      <c r="A200" s="227" t="s">
        <v>2138</v>
      </c>
      <c r="B200" s="45" t="s">
        <v>14</v>
      </c>
      <c r="C200" s="75" t="s">
        <v>1974</v>
      </c>
      <c r="D200" s="73" t="s">
        <v>1975</v>
      </c>
      <c r="E200" s="78">
        <v>46225</v>
      </c>
      <c r="F200" s="49">
        <f t="shared" si="11"/>
        <v>0</v>
      </c>
      <c r="G200" s="77">
        <f>SUMIF(积分汇总!$B:$B,C199,积分汇总!$E:$E)</f>
        <v>0</v>
      </c>
      <c r="H200" s="77">
        <f>SUMIF(记录巡查问题条数汇总!$B:$B,C199,记录巡查问题条数汇总!$E:$E)</f>
        <v>0</v>
      </c>
      <c r="I200" s="77"/>
      <c r="J200" s="77">
        <f>SUMIF(安全质量事故!$B:$B,C199,安全质量事故!$G:$G)</f>
        <v>0</v>
      </c>
      <c r="K200" s="72">
        <f>COUNTIF(L200:AP200,标准数据!$A$2)*标准数据!$B$2+COUNTIF(L200:AP200,标准数据!$A$3)*标准数据!$B$3+COUNTIF(L200:AP200,标准数据!$A$4)*标准数据!$B$4</f>
        <v>0</v>
      </c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189"/>
      <c r="AQ200" s="55"/>
    </row>
    <row r="201" spans="1:48" ht="21" customHeight="1">
      <c r="A201" s="267" t="s">
        <v>2111</v>
      </c>
      <c r="B201" s="45" t="s">
        <v>81</v>
      </c>
      <c r="C201" s="46" t="s">
        <v>476</v>
      </c>
      <c r="D201" s="52" t="s">
        <v>441</v>
      </c>
      <c r="E201" s="46">
        <v>45138</v>
      </c>
      <c r="F201" s="49">
        <f>(K201+G201+H201+I201-J201)</f>
        <v>0</v>
      </c>
      <c r="G201" s="77">
        <f>SUMIF(积分汇总!$B:$B,C380,积分汇总!$E:$E)</f>
        <v>0</v>
      </c>
      <c r="H201" s="77">
        <f>SUMIF(记录巡查问题条数汇总!$B:$B,C380,记录巡查问题条数汇总!$E:$E)</f>
        <v>0</v>
      </c>
      <c r="I201" s="77"/>
      <c r="J201" s="77">
        <f>SUMIF(安全质量事故!$B:$B,C380,安全质量事故!$G:$G)</f>
        <v>0</v>
      </c>
      <c r="K201" s="72">
        <f>COUNTIF(L201:AP201,标准数据!$A$2)*标准数据!$B$2+COUNTIF(L201:AP201,标准数据!$A$3)*标准数据!$B$3+COUNTIF(L201:AP201,标准数据!$A$4)*标准数据!$B$4</f>
        <v>0</v>
      </c>
      <c r="L201" s="58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190"/>
      <c r="AQ201" s="55"/>
      <c r="AR201" s="283" t="s">
        <v>1035</v>
      </c>
      <c r="AS201" s="284"/>
      <c r="AT201" s="284"/>
    </row>
    <row r="202" spans="1:48" s="62" customFormat="1" ht="21" customHeight="1">
      <c r="A202" s="267" t="s">
        <v>2111</v>
      </c>
      <c r="B202" s="45" t="s">
        <v>81</v>
      </c>
      <c r="C202" s="46" t="s">
        <v>485</v>
      </c>
      <c r="D202" s="52" t="s">
        <v>452</v>
      </c>
      <c r="E202" s="46">
        <v>45847</v>
      </c>
      <c r="F202" s="49">
        <f>(K202+G202+H202+I202-J202)</f>
        <v>0</v>
      </c>
      <c r="G202" s="77">
        <f>SUMIF(积分汇总!$B:$B,C201,积分汇总!$E:$E)</f>
        <v>0</v>
      </c>
      <c r="H202" s="77">
        <f>SUMIF(记录巡查问题条数汇总!$B:$B,C201,记录巡查问题条数汇总!$E:$E)</f>
        <v>0</v>
      </c>
      <c r="I202" s="77"/>
      <c r="J202" s="77">
        <f>SUMIF(安全质量事故!$B:$B,C201,安全质量事故!$G:$G)</f>
        <v>0</v>
      </c>
      <c r="K202" s="72">
        <f>COUNTIF(L202:AP202,标准数据!$A$2)*标准数据!$B$2+COUNTIF(L202:AP202,标准数据!$A$3)*标准数据!$B$3+COUNTIF(L202:AP202,标准数据!$A$4)*标准数据!$B$4</f>
        <v>0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189"/>
      <c r="AQ202" s="55"/>
      <c r="AR202" s="82" t="s">
        <v>1031</v>
      </c>
      <c r="AS202" s="83" t="s">
        <v>1027</v>
      </c>
      <c r="AT202" s="83" t="s">
        <v>1028</v>
      </c>
      <c r="AU202" s="76"/>
      <c r="AV202" s="41"/>
    </row>
    <row r="203" spans="1:48" ht="21" customHeight="1">
      <c r="A203" s="267" t="s">
        <v>2111</v>
      </c>
      <c r="B203" s="45" t="s">
        <v>81</v>
      </c>
      <c r="C203" s="46" t="s">
        <v>1625</v>
      </c>
      <c r="D203" s="47" t="s">
        <v>1626</v>
      </c>
      <c r="E203" s="48">
        <v>46208</v>
      </c>
      <c r="F203" s="49">
        <f>(K203+G203+H203+I203-J203)</f>
        <v>0</v>
      </c>
      <c r="G203" s="77">
        <f>SUMIF(积分汇总!$B:$B,C202,积分汇总!$E:$E)</f>
        <v>0</v>
      </c>
      <c r="H203" s="77">
        <f>SUMIF(记录巡查问题条数汇总!$B:$B,C202,记录巡查问题条数汇总!$E:$E)</f>
        <v>0</v>
      </c>
      <c r="I203" s="77"/>
      <c r="J203" s="77">
        <f>SUMIF(安全质量事故!$B:$B,C202,安全质量事故!$G:$G)</f>
        <v>0</v>
      </c>
      <c r="K203" s="72">
        <f>COUNTIF(L203:AP203,标准数据!$A$2)*标准数据!$B$2+COUNTIF(L203:AP203,标准数据!$A$3)*标准数据!$B$3+COUNTIF(L203:AP203,标准数据!$A$4)*标准数据!$B$4</f>
        <v>0</v>
      </c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190"/>
      <c r="AQ203" s="55"/>
      <c r="AR203" s="64">
        <f>COUNTIF($L$201:$AP$272,"a")</f>
        <v>0</v>
      </c>
      <c r="AS203" s="64">
        <f>COUNTIF($L$201:$AP$272,"b")</f>
        <v>0</v>
      </c>
      <c r="AT203" s="64">
        <f>COUNTIF($L$201:$AP$272,"c")</f>
        <v>0</v>
      </c>
    </row>
    <row r="204" spans="1:48" ht="21" customHeight="1">
      <c r="A204" s="267" t="s">
        <v>2111</v>
      </c>
      <c r="B204" s="45" t="s">
        <v>81</v>
      </c>
      <c r="C204" s="46" t="s">
        <v>1627</v>
      </c>
      <c r="D204" s="52" t="s">
        <v>1628</v>
      </c>
      <c r="E204" s="48">
        <v>46213</v>
      </c>
      <c r="F204" s="49">
        <f>(K204+G204+H204+I204-J204)</f>
        <v>0</v>
      </c>
      <c r="G204" s="77">
        <f>SUMIF(积分汇总!$B:$B,C203,积分汇总!$E:$E)</f>
        <v>0</v>
      </c>
      <c r="H204" s="77">
        <f>SUMIF(记录巡查问题条数汇总!$B:$B,C203,记录巡查问题条数汇总!$E:$E)</f>
        <v>0</v>
      </c>
      <c r="I204" s="77"/>
      <c r="J204" s="77">
        <f>SUMIF(安全质量事故!$B:$B,C203,安全质量事故!$G:$G)</f>
        <v>0</v>
      </c>
      <c r="K204" s="72">
        <f>COUNTIF(L204:AP204,标准数据!$A$2)*标准数据!$B$2+COUNTIF(L204:AP204,标准数据!$A$3)*标准数据!$B$3+COUNTIF(L204:AP204,标准数据!$A$4)*标准数据!$B$4</f>
        <v>0</v>
      </c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189"/>
      <c r="AQ204" s="55"/>
      <c r="AR204" s="50" t="e">
        <f>AR203/($AR$203+$AS$203+$AT$203)</f>
        <v>#DIV/0!</v>
      </c>
      <c r="AS204" s="50" t="e">
        <f>AS203/($AR$203+$AS$203+$AT$203)</f>
        <v>#DIV/0!</v>
      </c>
      <c r="AT204" s="50" t="e">
        <f>AT203/($AR$203+$AS$203+$AT$203)</f>
        <v>#DIV/0!</v>
      </c>
    </row>
    <row r="205" spans="1:48" ht="21" customHeight="1">
      <c r="A205" s="267" t="s">
        <v>2111</v>
      </c>
      <c r="B205" s="45" t="s">
        <v>81</v>
      </c>
      <c r="C205" s="47" t="s">
        <v>928</v>
      </c>
      <c r="D205" s="52" t="s">
        <v>879</v>
      </c>
      <c r="E205" s="46">
        <v>46015</v>
      </c>
      <c r="F205" s="49">
        <f t="shared" ref="F205:F209" si="12">(K205+G205+H205+I205-J205)</f>
        <v>0</v>
      </c>
      <c r="G205" s="77">
        <f>SUMIF(积分汇总!$B:$B,,积分汇总!$E:$E)</f>
        <v>0</v>
      </c>
      <c r="H205" s="77">
        <f>SUMIF(记录巡查问题条数汇总!$B:$B,,记录巡查问题条数汇总!$E:$E)</f>
        <v>0</v>
      </c>
      <c r="I205" s="77"/>
      <c r="J205" s="77">
        <f>SUMIF(安全质量事故!$B:$B,,安全质量事故!$G:$G)</f>
        <v>0</v>
      </c>
      <c r="K205" s="72">
        <f>COUNTIF(L205:AP205,标准数据!$A$2)*标准数据!$B$2+COUNTIF(L205:AP205,标准数据!$A$3)*标准数据!$B$3+COUNTIF(L205:AP205,标准数据!$A$4)*标准数据!$B$4</f>
        <v>0</v>
      </c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189"/>
      <c r="AQ205" s="55"/>
      <c r="AR205" s="41"/>
      <c r="AS205" s="41"/>
      <c r="AT205" s="41"/>
    </row>
    <row r="206" spans="1:48" ht="21" customHeight="1">
      <c r="A206" s="267" t="s">
        <v>2111</v>
      </c>
      <c r="B206" s="45" t="s">
        <v>131</v>
      </c>
      <c r="C206" s="46" t="s">
        <v>175</v>
      </c>
      <c r="D206" s="47" t="s">
        <v>176</v>
      </c>
      <c r="E206" s="48">
        <v>38548</v>
      </c>
      <c r="F206" s="49">
        <f t="shared" si="12"/>
        <v>0</v>
      </c>
      <c r="G206" s="77">
        <f>SUMIF(积分汇总!$B:$B,,积分汇总!$E:$E)</f>
        <v>0</v>
      </c>
      <c r="H206" s="77">
        <f>SUMIF(记录巡查问题条数汇总!$B:$B,,记录巡查问题条数汇总!$E:$E)</f>
        <v>0</v>
      </c>
      <c r="I206" s="77"/>
      <c r="J206" s="77">
        <f>SUMIF(安全质量事故!$B:$B,,安全质量事故!$G:$G)</f>
        <v>0</v>
      </c>
      <c r="K206" s="72">
        <f>COUNTIF(L206:AP206,标准数据!$A$2)*标准数据!$B$2+COUNTIF(L206:AP206,标准数据!$A$3)*标准数据!$B$3+COUNTIF(L206:AP206,标准数据!$A$4)*标准数据!$B$4</f>
        <v>0</v>
      </c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189"/>
      <c r="AQ206" s="55"/>
      <c r="AR206" s="193"/>
      <c r="AS206" s="41"/>
      <c r="AT206" s="41"/>
    </row>
    <row r="207" spans="1:48" ht="21" customHeight="1">
      <c r="A207" s="267" t="s">
        <v>2111</v>
      </c>
      <c r="B207" s="45" t="s">
        <v>154</v>
      </c>
      <c r="C207" s="46" t="s">
        <v>212</v>
      </c>
      <c r="D207" s="52" t="s">
        <v>213</v>
      </c>
      <c r="E207" s="46">
        <v>44774</v>
      </c>
      <c r="F207" s="49">
        <f t="shared" si="12"/>
        <v>0</v>
      </c>
      <c r="G207" s="77">
        <f>SUMIF(积分汇总!$B:$B,C206,积分汇总!$E:$E)</f>
        <v>0</v>
      </c>
      <c r="H207" s="77">
        <f>SUMIF(记录巡查问题条数汇总!$B:$B,C206,记录巡查问题条数汇总!$E:$E)</f>
        <v>0</v>
      </c>
      <c r="I207" s="77"/>
      <c r="J207" s="77">
        <f>SUMIF(安全质量事故!$B:$B,C206,安全质量事故!$G:$G)</f>
        <v>0</v>
      </c>
      <c r="K207" s="72">
        <f>COUNTIF(L207:AP207,标准数据!$A$2)*标准数据!$B$2+COUNTIF(L207:AP207,标准数据!$A$3)*标准数据!$B$3+COUNTIF(L207:AP207,标准数据!$A$4)*标准数据!$B$4</f>
        <v>0</v>
      </c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189"/>
      <c r="AQ207" s="55"/>
      <c r="AR207" s="41"/>
      <c r="AS207" s="41"/>
      <c r="AT207" s="41"/>
    </row>
    <row r="208" spans="1:48" ht="21" customHeight="1">
      <c r="A208" s="267" t="s">
        <v>2111</v>
      </c>
      <c r="B208" s="45" t="s">
        <v>154</v>
      </c>
      <c r="C208" s="46" t="s">
        <v>1647</v>
      </c>
      <c r="D208" s="52" t="s">
        <v>1648</v>
      </c>
      <c r="E208" s="46">
        <v>46204</v>
      </c>
      <c r="F208" s="49">
        <f t="shared" si="12"/>
        <v>0</v>
      </c>
      <c r="G208" s="77">
        <f>SUMIF(积分汇总!$B:$B,C207,积分汇总!$E:$E)</f>
        <v>0</v>
      </c>
      <c r="H208" s="77">
        <f>SUMIF(记录巡查问题条数汇总!$B:$B,C207,记录巡查问题条数汇总!$E:$E)</f>
        <v>0</v>
      </c>
      <c r="I208" s="77"/>
      <c r="J208" s="77">
        <f>SUMIF(安全质量事故!$B:$B,C207,安全质量事故!$G:$G)</f>
        <v>0</v>
      </c>
      <c r="K208" s="72">
        <f>COUNTIF(L208:AP208,标准数据!$A$2)*标准数据!$B$2+COUNTIF(L208:AP208,标准数据!$A$3)*标准数据!$B$3+COUNTIF(L208:AP208,标准数据!$A$4)*标准数据!$B$4</f>
        <v>0</v>
      </c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189"/>
      <c r="AQ208" s="55"/>
      <c r="AR208" s="41"/>
      <c r="AS208" s="41"/>
      <c r="AT208" s="41"/>
    </row>
    <row r="209" spans="1:48" ht="21" customHeight="1">
      <c r="A209" s="267" t="s">
        <v>2111</v>
      </c>
      <c r="B209" s="45" t="s">
        <v>14</v>
      </c>
      <c r="C209" s="46" t="s">
        <v>220</v>
      </c>
      <c r="D209" s="47" t="s">
        <v>221</v>
      </c>
      <c r="E209" s="48">
        <v>45490</v>
      </c>
      <c r="F209" s="49">
        <f t="shared" si="12"/>
        <v>0</v>
      </c>
      <c r="G209" s="77">
        <f>SUMIF(积分汇总!$B:$B,C208,积分汇总!$E:$E)</f>
        <v>0</v>
      </c>
      <c r="H209" s="77">
        <f>SUMIF(记录巡查问题条数汇总!$B:$B,C208,记录巡查问题条数汇总!$E:$E)</f>
        <v>0</v>
      </c>
      <c r="I209" s="77"/>
      <c r="J209" s="77">
        <f>SUMIF(安全质量事故!$B:$B,C208,安全质量事故!$G:$G)</f>
        <v>0</v>
      </c>
      <c r="K209" s="72">
        <f>COUNTIF(L209:AP209,标准数据!$A$2)*标准数据!$B$2+COUNTIF(L209:AP209,标准数据!$A$3)*标准数据!$B$3+COUNTIF(L209:AP209,标准数据!$A$4)*标准数据!$B$4</f>
        <v>0</v>
      </c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189"/>
      <c r="AQ209" s="55"/>
      <c r="AR209" s="183"/>
      <c r="AS209" s="183"/>
      <c r="AT209" s="183"/>
    </row>
    <row r="210" spans="1:48" ht="21" customHeight="1">
      <c r="A210" s="267" t="s">
        <v>2111</v>
      </c>
      <c r="B210" s="45" t="s">
        <v>14</v>
      </c>
      <c r="C210" s="46" t="s">
        <v>216</v>
      </c>
      <c r="D210" s="52" t="s">
        <v>217</v>
      </c>
      <c r="E210" s="48">
        <v>45469</v>
      </c>
      <c r="F210" s="49">
        <f>(K210+G210+H210+I210-J210)</f>
        <v>0</v>
      </c>
      <c r="G210" s="77">
        <f>SUMIF(积分汇总!$B:$B,C204,积分汇总!$E:$E)</f>
        <v>0</v>
      </c>
      <c r="H210" s="77">
        <f>SUMIF(记录巡查问题条数汇总!$B:$B,C204,记录巡查问题条数汇总!$E:$E)</f>
        <v>0</v>
      </c>
      <c r="I210" s="77"/>
      <c r="J210" s="77">
        <f>SUMIF(安全质量事故!$B:$B,C204,安全质量事故!$G:$G)</f>
        <v>0</v>
      </c>
      <c r="K210" s="72">
        <f>COUNTIF(L210:AP210,标准数据!$A$2)*标准数据!$B$2+COUNTIF(L210:AP210,标准数据!$A$3)*标准数据!$B$3+COUNTIF(L210:AP210,标准数据!$A$4)*标准数据!$B$4</f>
        <v>0</v>
      </c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189"/>
      <c r="AQ210" s="55"/>
      <c r="AR210" s="41"/>
      <c r="AS210" s="41"/>
      <c r="AT210" s="41"/>
    </row>
    <row r="211" spans="1:48" ht="21" customHeight="1">
      <c r="A211" s="267" t="s">
        <v>2111</v>
      </c>
      <c r="B211" s="45" t="s">
        <v>14</v>
      </c>
      <c r="C211" s="46" t="s">
        <v>248</v>
      </c>
      <c r="D211" s="47" t="s">
        <v>224</v>
      </c>
      <c r="E211" s="48">
        <v>44753</v>
      </c>
      <c r="F211" s="49">
        <f>(K211+G211+H211+I211-J211)</f>
        <v>0</v>
      </c>
      <c r="G211" s="77">
        <f>SUMIF(积分汇总!$B:$B,C210,积分汇总!$E:$E)</f>
        <v>0</v>
      </c>
      <c r="H211" s="77">
        <f>SUMIF(记录巡查问题条数汇总!$B:$B,C210,记录巡查问题条数汇总!$E:$E)</f>
        <v>0</v>
      </c>
      <c r="I211" s="77"/>
      <c r="J211" s="77">
        <f>SUMIF(安全质量事故!$B:$B,C210,安全质量事故!$G:$G)</f>
        <v>0</v>
      </c>
      <c r="K211" s="72">
        <f>COUNTIF(L211:AP211,标准数据!$A$2)*标准数据!$B$2+COUNTIF(L211:AP211,标准数据!$A$3)*标准数据!$B$3+COUNTIF(L211:AP211,标准数据!$A$4)*标准数据!$B$4</f>
        <v>0</v>
      </c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189"/>
      <c r="AQ211" s="55"/>
      <c r="AR211" s="41"/>
      <c r="AS211" s="41"/>
      <c r="AT211" s="41"/>
    </row>
    <row r="212" spans="1:48" ht="21" customHeight="1">
      <c r="A212" s="267" t="s">
        <v>2111</v>
      </c>
      <c r="B212" s="45" t="s">
        <v>14</v>
      </c>
      <c r="C212" s="46" t="s">
        <v>249</v>
      </c>
      <c r="D212" s="47" t="s">
        <v>225</v>
      </c>
      <c r="E212" s="48">
        <v>44753</v>
      </c>
      <c r="F212" s="49">
        <f>(K212+G212+H212+I212-J212)</f>
        <v>0</v>
      </c>
      <c r="G212" s="77">
        <f>SUMIF(积分汇总!$B:$B,C211,积分汇总!$E:$E)</f>
        <v>0</v>
      </c>
      <c r="H212" s="77">
        <f>SUMIF(记录巡查问题条数汇总!$B:$B,C211,记录巡查问题条数汇总!$E:$E)</f>
        <v>0</v>
      </c>
      <c r="I212" s="77"/>
      <c r="J212" s="77">
        <f>SUMIF(安全质量事故!$B:$B,C211,安全质量事故!$G:$G)</f>
        <v>0</v>
      </c>
      <c r="K212" s="72">
        <f>COUNTIF(L212:AP212,标准数据!$A$2)*标准数据!$B$2+COUNTIF(L212:AP212,标准数据!$A$3)*标准数据!$B$3+COUNTIF(L212:AP212,标准数据!$A$4)*标准数据!$B$4</f>
        <v>0</v>
      </c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189"/>
      <c r="AQ212" s="55"/>
      <c r="AR212" s="41"/>
      <c r="AS212" s="41"/>
      <c r="AT212" s="41"/>
    </row>
    <row r="213" spans="1:48" ht="21" customHeight="1">
      <c r="A213" s="267" t="s">
        <v>2111</v>
      </c>
      <c r="B213" s="45" t="s">
        <v>14</v>
      </c>
      <c r="C213" s="46" t="s">
        <v>428</v>
      </c>
      <c r="D213" s="47" t="s">
        <v>423</v>
      </c>
      <c r="E213" s="48">
        <v>45826</v>
      </c>
      <c r="F213" s="49">
        <f>(K213+G213+H213+I213-J213)</f>
        <v>0</v>
      </c>
      <c r="G213" s="77">
        <f>SUMIF(积分汇总!$B:$B,C212,积分汇总!$E:$E)</f>
        <v>0</v>
      </c>
      <c r="H213" s="77">
        <f>SUMIF(记录巡查问题条数汇总!$B:$B,C212,记录巡查问题条数汇总!$E:$E)</f>
        <v>0</v>
      </c>
      <c r="I213" s="77"/>
      <c r="J213" s="77">
        <f>SUMIF(安全质量事故!$B:$B,C212,安全质量事故!$G:$G)</f>
        <v>0</v>
      </c>
      <c r="K213" s="72">
        <f>COUNTIF(L213:AP213,标准数据!$A$2)*标准数据!$B$2+COUNTIF(L213:AP213,标准数据!$A$3)*标准数据!$B$3+COUNTIF(L213:AP213,标准数据!$A$4)*标准数据!$B$4</f>
        <v>0</v>
      </c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189"/>
      <c r="AQ213" s="55"/>
      <c r="AR213" s="41"/>
      <c r="AS213" s="41"/>
      <c r="AT213" s="41"/>
    </row>
    <row r="214" spans="1:48" s="51" customFormat="1" ht="21" customHeight="1">
      <c r="A214" s="267" t="s">
        <v>2111</v>
      </c>
      <c r="B214" s="45" t="s">
        <v>14</v>
      </c>
      <c r="C214" s="46" t="s">
        <v>214</v>
      </c>
      <c r="D214" s="52" t="s">
        <v>215</v>
      </c>
      <c r="E214" s="46">
        <v>45462</v>
      </c>
      <c r="F214" s="49">
        <f>(K214+G214+H214+I214-J214)</f>
        <v>0</v>
      </c>
      <c r="G214" s="77">
        <f>SUMIF(积分汇总!$B:$B,C213,积分汇总!$E:$E)</f>
        <v>0</v>
      </c>
      <c r="H214" s="77">
        <f>SUMIF(记录巡查问题条数汇总!$B:$B,C213,记录巡查问题条数汇总!$E:$E)</f>
        <v>0</v>
      </c>
      <c r="I214" s="77"/>
      <c r="J214" s="77">
        <f>SUMIF(安全质量事故!$B:$B,C213,安全质量事故!$G:$G)</f>
        <v>0</v>
      </c>
      <c r="K214" s="72">
        <f>COUNTIF(L214:AP214,标准数据!$A$2)*标准数据!$B$2+COUNTIF(L214:AP214,标准数据!$A$3)*标准数据!$B$3+COUNTIF(L214:AP214,标准数据!$A$4)*标准数据!$B$4</f>
        <v>0</v>
      </c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189"/>
      <c r="AQ214" s="55"/>
      <c r="AU214" s="76"/>
      <c r="AV214" s="41"/>
    </row>
    <row r="215" spans="1:48" ht="21" customHeight="1">
      <c r="A215" s="267" t="s">
        <v>2111</v>
      </c>
      <c r="B215" s="45" t="s">
        <v>14</v>
      </c>
      <c r="C215" s="46" t="s">
        <v>276</v>
      </c>
      <c r="D215" s="47" t="s">
        <v>272</v>
      </c>
      <c r="E215" s="48">
        <v>45532</v>
      </c>
      <c r="F215" s="49">
        <f t="shared" ref="F215:F271" si="13">(K215+G215+H215+I215-J215)</f>
        <v>0</v>
      </c>
      <c r="G215" s="77">
        <f>SUMIF(积分汇总!$B:$B,,积分汇总!$E:$E)</f>
        <v>0</v>
      </c>
      <c r="H215" s="77">
        <f>SUMIF(记录巡查问题条数汇总!$B:$B,,记录巡查问题条数汇总!$E:$E)</f>
        <v>0</v>
      </c>
      <c r="I215" s="77"/>
      <c r="J215" s="77">
        <f>SUMIF(安全质量事故!$B:$B,,安全质量事故!$G:$G)</f>
        <v>0</v>
      </c>
      <c r="K215" s="72">
        <f>COUNTIF(L215:AP215,标准数据!$A$2)*标准数据!$B$2+COUNTIF(L215:AP215,标准数据!$A$3)*标准数据!$B$3+COUNTIF(L215:AP215,标准数据!$A$4)*标准数据!$B$4</f>
        <v>0</v>
      </c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189"/>
      <c r="AQ215" s="55"/>
    </row>
    <row r="216" spans="1:48" ht="21" customHeight="1">
      <c r="A216" s="267" t="s">
        <v>2111</v>
      </c>
      <c r="B216" s="45" t="s">
        <v>87</v>
      </c>
      <c r="C216" s="46" t="s">
        <v>545</v>
      </c>
      <c r="D216" s="47" t="s">
        <v>512</v>
      </c>
      <c r="E216" s="48">
        <v>45889</v>
      </c>
      <c r="F216" s="49">
        <f t="shared" si="13"/>
        <v>0</v>
      </c>
      <c r="G216" s="77">
        <f>SUMIF(积分汇总!$B:$B,C215,积分汇总!$E:$E)</f>
        <v>0</v>
      </c>
      <c r="H216" s="77">
        <f>SUMIF(记录巡查问题条数汇总!$B:$B,C215,记录巡查问题条数汇总!$E:$E)</f>
        <v>0</v>
      </c>
      <c r="I216" s="77"/>
      <c r="J216" s="77">
        <f>SUMIF(安全质量事故!$B:$B,C215,安全质量事故!$G:$G)</f>
        <v>0</v>
      </c>
      <c r="K216" s="72">
        <f>COUNTIF(L216:AP216,标准数据!$A$2)*标准数据!$B$2+COUNTIF(L216:AP216,标准数据!$A$3)*标准数据!$B$3+COUNTIF(L216:AP216,标准数据!$A$4)*标准数据!$B$4</f>
        <v>0</v>
      </c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189"/>
      <c r="AQ216" s="55"/>
    </row>
    <row r="217" spans="1:48" ht="21" customHeight="1">
      <c r="A217" s="267" t="s">
        <v>2111</v>
      </c>
      <c r="B217" s="45" t="s">
        <v>14</v>
      </c>
      <c r="C217" s="46" t="s">
        <v>1280</v>
      </c>
      <c r="D217" s="47" t="s">
        <v>685</v>
      </c>
      <c r="E217" s="48">
        <v>45980</v>
      </c>
      <c r="F217" s="49">
        <f t="shared" si="13"/>
        <v>0</v>
      </c>
      <c r="G217" s="77">
        <f>SUMIF(积分汇总!$B:$B,C216,积分汇总!$E:$E)</f>
        <v>0</v>
      </c>
      <c r="H217" s="77">
        <f>SUMIF(记录巡查问题条数汇总!$B:$B,C216,记录巡查问题条数汇总!$E:$E)</f>
        <v>0</v>
      </c>
      <c r="I217" s="77"/>
      <c r="J217" s="77">
        <f>SUMIF(安全质量事故!$B:$B,C216,安全质量事故!$G:$G)</f>
        <v>0</v>
      </c>
      <c r="K217" s="72">
        <f>COUNTIF(L217:AP217,标准数据!$A$2)*标准数据!$B$2+COUNTIF(L217:AP217,标准数据!$A$3)*标准数据!$B$3+COUNTIF(L217:AP217,标准数据!$A$4)*标准数据!$B$4</f>
        <v>0</v>
      </c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189"/>
      <c r="AQ217" s="55"/>
    </row>
    <row r="218" spans="1:48" ht="21" customHeight="1">
      <c r="A218" s="267" t="s">
        <v>2111</v>
      </c>
      <c r="B218" s="45" t="s">
        <v>14</v>
      </c>
      <c r="C218" s="46" t="s">
        <v>818</v>
      </c>
      <c r="D218" s="47" t="s">
        <v>770</v>
      </c>
      <c r="E218" s="48">
        <v>45987</v>
      </c>
      <c r="F218" s="49">
        <f t="shared" si="13"/>
        <v>0</v>
      </c>
      <c r="G218" s="77">
        <f>SUMIF(积分汇总!$B:$B,,积分汇总!$E:$E)</f>
        <v>0</v>
      </c>
      <c r="H218" s="77">
        <f>SUMIF(记录巡查问题条数汇总!$B:$B,,记录巡查问题条数汇总!$E:$E)</f>
        <v>0</v>
      </c>
      <c r="I218" s="77"/>
      <c r="J218" s="77">
        <f>SUMIF(安全质量事故!$B:$B,,安全质量事故!$G:$G)</f>
        <v>0</v>
      </c>
      <c r="K218" s="72">
        <f>COUNTIF(L218:AP218,标准数据!$A$2)*标准数据!$B$2+COUNTIF(L218:AP218,标准数据!$A$3)*标准数据!$B$3+COUNTIF(L218:AP218,标准数据!$A$4)*标准数据!$B$4</f>
        <v>0</v>
      </c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189"/>
      <c r="AQ218" s="55"/>
    </row>
    <row r="219" spans="1:48" ht="21" customHeight="1">
      <c r="A219" s="267" t="s">
        <v>2111</v>
      </c>
      <c r="B219" s="45" t="s">
        <v>14</v>
      </c>
      <c r="C219" s="46" t="s">
        <v>819</v>
      </c>
      <c r="D219" s="47" t="s">
        <v>771</v>
      </c>
      <c r="E219" s="48">
        <v>46008</v>
      </c>
      <c r="F219" s="49">
        <f t="shared" si="13"/>
        <v>0</v>
      </c>
      <c r="G219" s="77">
        <f>SUMIF(积分汇总!$B:$B,C218,积分汇总!$E:$E)</f>
        <v>0</v>
      </c>
      <c r="H219" s="77">
        <f>SUMIF(记录巡查问题条数汇总!$B:$B,C218,记录巡查问题条数汇总!$E:$E)</f>
        <v>0</v>
      </c>
      <c r="I219" s="77"/>
      <c r="J219" s="77">
        <f>SUMIF(安全质量事故!$B:$B,C218,安全质量事故!$G:$G)</f>
        <v>0</v>
      </c>
      <c r="K219" s="72">
        <f>COUNTIF(L219:AP219,标准数据!$A$2)*标准数据!$B$2+COUNTIF(L219:AP219,标准数据!$A$3)*标准数据!$B$3+COUNTIF(L219:AP219,标准数据!$A$4)*标准数据!$B$4</f>
        <v>0</v>
      </c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189"/>
      <c r="AQ219" s="55"/>
    </row>
    <row r="220" spans="1:48" ht="21" customHeight="1">
      <c r="A220" s="267" t="s">
        <v>2111</v>
      </c>
      <c r="B220" s="45" t="s">
        <v>87</v>
      </c>
      <c r="C220" s="46" t="s">
        <v>820</v>
      </c>
      <c r="D220" s="52" t="s">
        <v>772</v>
      </c>
      <c r="E220" s="46">
        <v>46008</v>
      </c>
      <c r="F220" s="49">
        <f t="shared" si="13"/>
        <v>0</v>
      </c>
      <c r="G220" s="77">
        <f>SUMIF(积分汇总!$B:$B,C219,积分汇总!$E:$E)</f>
        <v>0</v>
      </c>
      <c r="H220" s="77">
        <f>SUMIF(记录巡查问题条数汇总!$B:$B,C219,记录巡查问题条数汇总!$E:$E)</f>
        <v>0</v>
      </c>
      <c r="I220" s="77"/>
      <c r="J220" s="77">
        <f>SUMIF(安全质量事故!$B:$B,C219,安全质量事故!$G:$G)</f>
        <v>0</v>
      </c>
      <c r="K220" s="72">
        <f>COUNTIF(L220:AP220,标准数据!$A$2)*标准数据!$B$2+COUNTIF(L220:AP220,标准数据!$A$3)*标准数据!$B$3+COUNTIF(L220:AP220,标准数据!$A$4)*标准数据!$B$4</f>
        <v>0</v>
      </c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189"/>
      <c r="AQ220" s="55"/>
    </row>
    <row r="221" spans="1:48" ht="21" customHeight="1">
      <c r="A221" s="267" t="s">
        <v>2111</v>
      </c>
      <c r="B221" s="45" t="s">
        <v>14</v>
      </c>
      <c r="C221" s="46" t="s">
        <v>1108</v>
      </c>
      <c r="D221" s="47" t="s">
        <v>1109</v>
      </c>
      <c r="E221" s="48">
        <v>46127</v>
      </c>
      <c r="F221" s="49">
        <f t="shared" si="13"/>
        <v>0</v>
      </c>
      <c r="G221" s="77">
        <f>SUMIF(积分汇总!$B:$B,C220,积分汇总!$E:$E)</f>
        <v>0</v>
      </c>
      <c r="H221" s="77">
        <f>SUMIF(记录巡查问题条数汇总!$B:$B,C220,记录巡查问题条数汇总!$E:$E)</f>
        <v>0</v>
      </c>
      <c r="I221" s="77"/>
      <c r="J221" s="77">
        <f>SUMIF(安全质量事故!$B:$B,C220,安全质量事故!$G:$G)</f>
        <v>0</v>
      </c>
      <c r="K221" s="72">
        <f>COUNTIF(L221:AP221,标准数据!$A$2)*标准数据!$B$2+COUNTIF(L221:AP221,标准数据!$A$3)*标准数据!$B$3+COUNTIF(L221:AP221,标准数据!$A$4)*标准数据!$B$4</f>
        <v>0</v>
      </c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189"/>
      <c r="AQ221" s="55"/>
    </row>
    <row r="222" spans="1:48" ht="21" customHeight="1">
      <c r="A222" s="267" t="s">
        <v>2111</v>
      </c>
      <c r="B222" s="45" t="s">
        <v>14</v>
      </c>
      <c r="C222" s="46" t="s">
        <v>1110</v>
      </c>
      <c r="D222" s="47" t="s">
        <v>1111</v>
      </c>
      <c r="E222" s="48">
        <v>46127</v>
      </c>
      <c r="F222" s="49">
        <f t="shared" si="13"/>
        <v>0</v>
      </c>
      <c r="G222" s="77">
        <f>SUMIF(积分汇总!$B:$B,C221,积分汇总!$E:$E)</f>
        <v>0</v>
      </c>
      <c r="H222" s="77">
        <f>SUMIF(记录巡查问题条数汇总!$B:$B,C221,记录巡查问题条数汇总!$E:$E)</f>
        <v>0</v>
      </c>
      <c r="I222" s="77"/>
      <c r="J222" s="77">
        <f>SUMIF(安全质量事故!$B:$B,C221,安全质量事故!$G:$G)</f>
        <v>0</v>
      </c>
      <c r="K222" s="72">
        <f>COUNTIF(L222:AP222,标准数据!$A$2)*标准数据!$B$2+COUNTIF(L222:AP222,标准数据!$A$3)*标准数据!$B$3+COUNTIF(L222:AP222,标准数据!$A$4)*标准数据!$B$4</f>
        <v>0</v>
      </c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189"/>
      <c r="AQ222" s="55"/>
    </row>
    <row r="223" spans="1:48" ht="21" customHeight="1">
      <c r="A223" s="267" t="s">
        <v>2111</v>
      </c>
      <c r="B223" s="45" t="s">
        <v>14</v>
      </c>
      <c r="C223" s="46" t="s">
        <v>1112</v>
      </c>
      <c r="D223" s="47" t="s">
        <v>1113</v>
      </c>
      <c r="E223" s="48">
        <v>46120</v>
      </c>
      <c r="F223" s="49">
        <f t="shared" si="13"/>
        <v>0</v>
      </c>
      <c r="G223" s="77">
        <f>SUMIF(积分汇总!$B:$B,C222,积分汇总!$E:$E)</f>
        <v>0</v>
      </c>
      <c r="H223" s="77">
        <f>SUMIF(记录巡查问题条数汇总!$B:$B,C222,记录巡查问题条数汇总!$E:$E)</f>
        <v>0</v>
      </c>
      <c r="I223" s="77"/>
      <c r="J223" s="77">
        <f>SUMIF(安全质量事故!$B:$B,C222,安全质量事故!$G:$G)</f>
        <v>0</v>
      </c>
      <c r="K223" s="72">
        <f>COUNTIF(L223:AP223,标准数据!$A$2)*标准数据!$B$2+COUNTIF(L223:AP223,标准数据!$A$3)*标准数据!$B$3+COUNTIF(L223:AP223,标准数据!$A$4)*标准数据!$B$4</f>
        <v>0</v>
      </c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189"/>
      <c r="AQ223" s="55"/>
    </row>
    <row r="224" spans="1:48" ht="21" customHeight="1">
      <c r="A224" s="267" t="s">
        <v>2111</v>
      </c>
      <c r="B224" s="45" t="s">
        <v>14</v>
      </c>
      <c r="C224" s="46" t="s">
        <v>907</v>
      </c>
      <c r="D224" s="47" t="s">
        <v>880</v>
      </c>
      <c r="E224" s="48">
        <v>46015</v>
      </c>
      <c r="F224" s="49">
        <f t="shared" si="13"/>
        <v>0</v>
      </c>
      <c r="G224" s="77">
        <f>SUMIF(积分汇总!$B:$B,C223,积分汇总!$E:$E)</f>
        <v>0</v>
      </c>
      <c r="H224" s="77">
        <f>SUMIF(记录巡查问题条数汇总!$B:$B,C223,记录巡查问题条数汇总!$E:$E)</f>
        <v>0</v>
      </c>
      <c r="I224" s="77"/>
      <c r="J224" s="77">
        <f>SUMIF(安全质量事故!$B:$B,C223,安全质量事故!$G:$G)</f>
        <v>0</v>
      </c>
      <c r="K224" s="72">
        <f>COUNTIF(L224:AP224,标准数据!$A$2)*标准数据!$B$2+COUNTIF(L224:AP224,标准数据!$A$3)*标准数据!$B$3+COUNTIF(L224:AP224,标准数据!$A$4)*标准数据!$B$4</f>
        <v>0</v>
      </c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189"/>
      <c r="AQ224" s="55"/>
    </row>
    <row r="225" spans="1:46" ht="21" customHeight="1">
      <c r="A225" s="267" t="s">
        <v>2111</v>
      </c>
      <c r="B225" s="45" t="s">
        <v>14</v>
      </c>
      <c r="C225" s="46" t="s">
        <v>1125</v>
      </c>
      <c r="D225" s="47" t="s">
        <v>1126</v>
      </c>
      <c r="E225" s="48">
        <v>46120</v>
      </c>
      <c r="F225" s="49">
        <f t="shared" si="13"/>
        <v>0</v>
      </c>
      <c r="G225" s="77">
        <f>SUMIF(积分汇总!$B:$B,C224,积分汇总!$E:$E)</f>
        <v>0</v>
      </c>
      <c r="H225" s="77">
        <f>SUMIF(记录巡查问题条数汇总!$B:$B,C224,记录巡查问题条数汇总!$E:$E)</f>
        <v>0</v>
      </c>
      <c r="I225" s="77"/>
      <c r="J225" s="77">
        <f>SUMIF(安全质量事故!$B:$B,C224,安全质量事故!$G:$G)</f>
        <v>0</v>
      </c>
      <c r="K225" s="72">
        <f>COUNTIF(L225:AP225,标准数据!$A$2)*标准数据!$B$2+COUNTIF(L225:AP225,标准数据!$A$3)*标准数据!$B$3+COUNTIF(L225:AP225,标准数据!$A$4)*标准数据!$B$4</f>
        <v>0</v>
      </c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189"/>
      <c r="AQ225" s="55"/>
    </row>
    <row r="226" spans="1:46" ht="21" customHeight="1">
      <c r="A226" s="267" t="s">
        <v>2111</v>
      </c>
      <c r="B226" s="45" t="s">
        <v>87</v>
      </c>
      <c r="C226" s="46" t="s">
        <v>1127</v>
      </c>
      <c r="D226" s="47" t="s">
        <v>1128</v>
      </c>
      <c r="E226" s="48">
        <v>46120</v>
      </c>
      <c r="F226" s="49">
        <f t="shared" si="13"/>
        <v>0</v>
      </c>
      <c r="G226" s="77">
        <f>SUMIF(积分汇总!$B:$B,C225,积分汇总!$E:$E)</f>
        <v>0</v>
      </c>
      <c r="H226" s="77">
        <f>SUMIF(记录巡查问题条数汇总!$B:$B,C225,记录巡查问题条数汇总!$E:$E)</f>
        <v>0</v>
      </c>
      <c r="I226" s="77"/>
      <c r="J226" s="77">
        <f>SUMIF(安全质量事故!$B:$B,C225,安全质量事故!$G:$G)</f>
        <v>0</v>
      </c>
      <c r="K226" s="72">
        <f>COUNTIF(L226:AP226,标准数据!$A$2)*标准数据!$B$2+COUNTIF(L226:AP226,标准数据!$A$3)*标准数据!$B$3+COUNTIF(L226:AP226,标准数据!$A$4)*标准数据!$B$4</f>
        <v>0</v>
      </c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189"/>
      <c r="AQ226" s="55"/>
    </row>
    <row r="227" spans="1:46" ht="21" customHeight="1">
      <c r="A227" s="267" t="s">
        <v>2111</v>
      </c>
      <c r="B227" s="45" t="s">
        <v>14</v>
      </c>
      <c r="C227" s="46" t="s">
        <v>1129</v>
      </c>
      <c r="D227" s="47" t="s">
        <v>1130</v>
      </c>
      <c r="E227" s="48">
        <v>46120</v>
      </c>
      <c r="F227" s="49">
        <f t="shared" si="13"/>
        <v>0</v>
      </c>
      <c r="G227" s="77">
        <f>SUMIF(积分汇总!$B:$B,C226,积分汇总!$E:$E)</f>
        <v>0</v>
      </c>
      <c r="H227" s="77">
        <f>SUMIF(记录巡查问题条数汇总!$B:$B,C226,记录巡查问题条数汇总!$E:$E)</f>
        <v>0</v>
      </c>
      <c r="I227" s="77"/>
      <c r="J227" s="77">
        <f>SUMIF(安全质量事故!$B:$B,C226,安全质量事故!$G:$G)</f>
        <v>0</v>
      </c>
      <c r="K227" s="72">
        <f>COUNTIF(L227:AP227,标准数据!$A$2)*标准数据!$B$2+COUNTIF(L227:AP227,标准数据!$A$3)*标准数据!$B$3+COUNTIF(L227:AP227,标准数据!$A$4)*标准数据!$B$4</f>
        <v>0</v>
      </c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189"/>
      <c r="AQ227" s="55"/>
    </row>
    <row r="228" spans="1:46" ht="21" customHeight="1">
      <c r="A228" s="267" t="s">
        <v>2111</v>
      </c>
      <c r="B228" s="45" t="s">
        <v>14</v>
      </c>
      <c r="C228" s="46" t="s">
        <v>1010</v>
      </c>
      <c r="D228" s="47" t="s">
        <v>1011</v>
      </c>
      <c r="E228" s="48">
        <v>46104</v>
      </c>
      <c r="F228" s="49">
        <f t="shared" si="13"/>
        <v>0</v>
      </c>
      <c r="G228" s="77">
        <f>SUMIF(积分汇总!$B:$B,C227,积分汇总!$E:$E)</f>
        <v>0</v>
      </c>
      <c r="H228" s="77">
        <f>SUMIF(记录巡查问题条数汇总!$B:$B,C227,记录巡查问题条数汇总!$E:$E)</f>
        <v>0</v>
      </c>
      <c r="I228" s="77"/>
      <c r="J228" s="77">
        <f>SUMIF(安全质量事故!$B:$B,C227,安全质量事故!$G:$G)</f>
        <v>0</v>
      </c>
      <c r="K228" s="72">
        <f>COUNTIF(L228:AP228,标准数据!$A$2)*标准数据!$B$2+COUNTIF(L228:AP228,标准数据!$A$3)*标准数据!$B$3+COUNTIF(L228:AP228,标准数据!$A$4)*标准数据!$B$4</f>
        <v>0</v>
      </c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189"/>
      <c r="AQ228" s="55"/>
      <c r="AR228" s="41"/>
      <c r="AS228" s="41"/>
      <c r="AT228" s="41"/>
    </row>
    <row r="229" spans="1:46" ht="21" customHeight="1">
      <c r="A229" s="267" t="s">
        <v>2111</v>
      </c>
      <c r="B229" s="45" t="s">
        <v>87</v>
      </c>
      <c r="C229" s="46" t="s">
        <v>923</v>
      </c>
      <c r="D229" s="52" t="s">
        <v>1291</v>
      </c>
      <c r="E229" s="46">
        <v>46132</v>
      </c>
      <c r="F229" s="49">
        <f t="shared" si="13"/>
        <v>0</v>
      </c>
      <c r="G229" s="77">
        <f>SUMIF(积分汇总!$B:$B,C228,积分汇总!$E:$E)</f>
        <v>0</v>
      </c>
      <c r="H229" s="77">
        <f>SUMIF(记录巡查问题条数汇总!$B:$B,C228,记录巡查问题条数汇总!$E:$E)</f>
        <v>0</v>
      </c>
      <c r="I229" s="77"/>
      <c r="J229" s="77">
        <f>SUMIF(安全质量事故!$B:$B,C228,安全质量事故!$G:$G)</f>
        <v>0</v>
      </c>
      <c r="K229" s="72">
        <f>COUNTIF(L229:AP229,标准数据!$A$2)*标准数据!$B$2+COUNTIF(L229:AP229,标准数据!$A$3)*标准数据!$B$3+COUNTIF(L229:AP229,标准数据!$A$4)*标准数据!$B$4</f>
        <v>0</v>
      </c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189"/>
      <c r="AQ229" s="55"/>
      <c r="AR229" s="41"/>
      <c r="AS229" s="41"/>
      <c r="AT229" s="41"/>
    </row>
    <row r="230" spans="1:46" ht="21" customHeight="1">
      <c r="A230" s="267" t="s">
        <v>2111</v>
      </c>
      <c r="B230" s="45" t="s">
        <v>14</v>
      </c>
      <c r="C230" s="46" t="s">
        <v>1292</v>
      </c>
      <c r="D230" s="47" t="s">
        <v>1293</v>
      </c>
      <c r="E230" s="48">
        <v>46134</v>
      </c>
      <c r="F230" s="49">
        <f t="shared" si="13"/>
        <v>0</v>
      </c>
      <c r="G230" s="77">
        <f>SUMIF(积分汇总!$B:$B,C229,积分汇总!$E:$E)</f>
        <v>0</v>
      </c>
      <c r="H230" s="77">
        <f>SUMIF(记录巡查问题条数汇总!$B:$B,C229,记录巡查问题条数汇总!$E:$E)</f>
        <v>0</v>
      </c>
      <c r="I230" s="77"/>
      <c r="J230" s="77">
        <f>SUMIF(安全质量事故!$B:$B,C229,安全质量事故!$G:$G)</f>
        <v>0</v>
      </c>
      <c r="K230" s="72">
        <f>COUNTIF(L230:AP230,标准数据!$A$2)*标准数据!$B$2+COUNTIF(L230:AP230,标准数据!$A$3)*标准数据!$B$3+COUNTIF(L230:AP230,标准数据!$A$4)*标准数据!$B$4</f>
        <v>0</v>
      </c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189"/>
      <c r="AQ230" s="55"/>
    </row>
    <row r="231" spans="1:46" ht="21" customHeight="1">
      <c r="A231" s="267" t="s">
        <v>2111</v>
      </c>
      <c r="B231" s="45" t="s">
        <v>14</v>
      </c>
      <c r="C231" s="46" t="s">
        <v>1294</v>
      </c>
      <c r="D231" s="47" t="s">
        <v>1295</v>
      </c>
      <c r="E231" s="48">
        <v>46134</v>
      </c>
      <c r="F231" s="49">
        <f t="shared" si="13"/>
        <v>0</v>
      </c>
      <c r="G231" s="77">
        <f>SUMIF(积分汇总!$B:$B,C230,积分汇总!$E:$E)</f>
        <v>0</v>
      </c>
      <c r="H231" s="77">
        <f>SUMIF(记录巡查问题条数汇总!$B:$B,C230,记录巡查问题条数汇总!$E:$E)</f>
        <v>0</v>
      </c>
      <c r="I231" s="77"/>
      <c r="J231" s="77">
        <f>SUMIF(安全质量事故!$B:$B,C230,安全质量事故!$G:$G)</f>
        <v>0</v>
      </c>
      <c r="K231" s="72">
        <f>COUNTIF(L231:AP231,标准数据!$A$2)*标准数据!$B$2+COUNTIF(L231:AP231,标准数据!$A$3)*标准数据!$B$3+COUNTIF(L231:AP231,标准数据!$A$4)*标准数据!$B$4</f>
        <v>0</v>
      </c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189"/>
      <c r="AQ231" s="55"/>
    </row>
    <row r="232" spans="1:46" ht="21" customHeight="1">
      <c r="A232" s="267" t="s">
        <v>2111</v>
      </c>
      <c r="B232" s="45" t="s">
        <v>14</v>
      </c>
      <c r="C232" s="46" t="s">
        <v>1297</v>
      </c>
      <c r="D232" s="47" t="s">
        <v>1298</v>
      </c>
      <c r="E232" s="48">
        <v>46132</v>
      </c>
      <c r="F232" s="49">
        <f t="shared" si="13"/>
        <v>0</v>
      </c>
      <c r="G232" s="77">
        <f>SUMIF(积分汇总!$B:$B,,积分汇总!$E:$E)</f>
        <v>0</v>
      </c>
      <c r="H232" s="77">
        <f>SUMIF(记录巡查问题条数汇总!$B:$B,,记录巡查问题条数汇总!$E:$E)</f>
        <v>0</v>
      </c>
      <c r="I232" s="77"/>
      <c r="J232" s="77">
        <f>SUMIF(安全质量事故!$B:$B,,安全质量事故!$G:$G)</f>
        <v>0</v>
      </c>
      <c r="K232" s="72">
        <f>COUNTIF(L232:AP232,标准数据!$A$2)*标准数据!$B$2+COUNTIF(L232:AP232,标准数据!$A$3)*标准数据!$B$3+COUNTIF(L232:AP232,标准数据!$A$4)*标准数据!$B$4</f>
        <v>0</v>
      </c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189"/>
      <c r="AQ232" s="55"/>
    </row>
    <row r="233" spans="1:46" ht="21" customHeight="1">
      <c r="A233" s="267" t="s">
        <v>2111</v>
      </c>
      <c r="B233" s="45" t="s">
        <v>14</v>
      </c>
      <c r="C233" s="46" t="s">
        <v>1299</v>
      </c>
      <c r="D233" s="47" t="s">
        <v>1300</v>
      </c>
      <c r="E233" s="48">
        <v>46139</v>
      </c>
      <c r="F233" s="49">
        <f t="shared" si="13"/>
        <v>0</v>
      </c>
      <c r="G233" s="77">
        <f>SUMIF(积分汇总!$B:$B,C232,积分汇总!$E:$E)</f>
        <v>0</v>
      </c>
      <c r="H233" s="77">
        <f>SUMIF(记录巡查问题条数汇总!$B:$B,C232,记录巡查问题条数汇总!$E:$E)</f>
        <v>0</v>
      </c>
      <c r="I233" s="77"/>
      <c r="J233" s="77">
        <f>SUMIF(安全质量事故!$B:$B,C232,安全质量事故!$G:$G)</f>
        <v>0</v>
      </c>
      <c r="K233" s="72">
        <f>COUNTIF(L233:AP233,标准数据!$A$2)*标准数据!$B$2+COUNTIF(L233:AP233,标准数据!$A$3)*标准数据!$B$3+COUNTIF(L233:AP233,标准数据!$A$4)*标准数据!$B$4</f>
        <v>0</v>
      </c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189"/>
      <c r="AQ233" s="55"/>
    </row>
    <row r="234" spans="1:46" ht="21" customHeight="1">
      <c r="A234" s="267" t="s">
        <v>2111</v>
      </c>
      <c r="B234" s="45" t="s">
        <v>14</v>
      </c>
      <c r="C234" s="46" t="s">
        <v>1331</v>
      </c>
      <c r="D234" s="47" t="s">
        <v>1332</v>
      </c>
      <c r="E234" s="48">
        <v>46139</v>
      </c>
      <c r="F234" s="49">
        <f t="shared" si="13"/>
        <v>0</v>
      </c>
      <c r="G234" s="77">
        <f>SUMIF(积分汇总!$B:$B,C233,积分汇总!$E:$E)</f>
        <v>0</v>
      </c>
      <c r="H234" s="77">
        <f>SUMIF(记录巡查问题条数汇总!$B:$B,C233,记录巡查问题条数汇总!$E:$E)</f>
        <v>0</v>
      </c>
      <c r="I234" s="77"/>
      <c r="J234" s="77">
        <f>SUMIF(安全质量事故!$B:$B,C233,安全质量事故!$G:$G)</f>
        <v>0</v>
      </c>
      <c r="K234" s="72">
        <f>COUNTIF(L234:AP234,标准数据!$A$2)*标准数据!$B$2+COUNTIF(L234:AP234,标准数据!$A$3)*标准数据!$B$3+COUNTIF(L234:AP234,标准数据!$A$4)*标准数据!$B$4</f>
        <v>0</v>
      </c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189"/>
      <c r="AQ234" s="55"/>
    </row>
    <row r="235" spans="1:46" ht="21" customHeight="1">
      <c r="A235" s="267" t="s">
        <v>2111</v>
      </c>
      <c r="B235" s="45" t="s">
        <v>14</v>
      </c>
      <c r="C235" s="46" t="s">
        <v>1437</v>
      </c>
      <c r="D235" s="47" t="s">
        <v>1438</v>
      </c>
      <c r="E235" s="48">
        <v>46169</v>
      </c>
      <c r="F235" s="49">
        <f t="shared" si="13"/>
        <v>0</v>
      </c>
      <c r="G235" s="77">
        <f>SUMIF(积分汇总!$B:$B,C234,积分汇总!$E:$E)</f>
        <v>0</v>
      </c>
      <c r="H235" s="77">
        <f>SUMIF(记录巡查问题条数汇总!$B:$B,C234,记录巡查问题条数汇总!$E:$E)</f>
        <v>0</v>
      </c>
      <c r="I235" s="77"/>
      <c r="J235" s="77">
        <f>SUMIF(安全质量事故!$B:$B,C234,安全质量事故!$G:$G)</f>
        <v>0</v>
      </c>
      <c r="K235" s="72">
        <f>COUNTIF(L235:AP235,标准数据!$A$2)*标准数据!$B$2+COUNTIF(L235:AP235,标准数据!$A$3)*标准数据!$B$3+COUNTIF(L235:AP235,标准数据!$A$4)*标准数据!$B$4</f>
        <v>0</v>
      </c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189"/>
      <c r="AQ235" s="55"/>
    </row>
    <row r="236" spans="1:46" ht="21" customHeight="1">
      <c r="A236" s="267" t="s">
        <v>2111</v>
      </c>
      <c r="B236" s="45" t="s">
        <v>14</v>
      </c>
      <c r="C236" s="46" t="s">
        <v>1633</v>
      </c>
      <c r="D236" s="47" t="s">
        <v>1634</v>
      </c>
      <c r="E236" s="48">
        <v>46197</v>
      </c>
      <c r="F236" s="49">
        <f t="shared" si="13"/>
        <v>0</v>
      </c>
      <c r="G236" s="77">
        <f>SUMIF(积分汇总!$B:$B,C235,积分汇总!$E:$E)</f>
        <v>0</v>
      </c>
      <c r="H236" s="77">
        <f>SUMIF(记录巡查问题条数汇总!$B:$B,C235,记录巡查问题条数汇总!$E:$E)</f>
        <v>0</v>
      </c>
      <c r="I236" s="77"/>
      <c r="J236" s="77">
        <f>SUMIF(安全质量事故!$B:$B,C235,安全质量事故!$G:$G)</f>
        <v>0</v>
      </c>
      <c r="K236" s="72">
        <f>COUNTIF(L236:AP236,标准数据!$A$2)*标准数据!$B$2+COUNTIF(L236:AP236,标准数据!$A$3)*标准数据!$B$3+COUNTIF(L236:AP236,标准数据!$A$4)*标准数据!$B$4</f>
        <v>0</v>
      </c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189"/>
      <c r="AQ236" s="55"/>
    </row>
    <row r="237" spans="1:46" ht="21" customHeight="1">
      <c r="A237" s="267" t="s">
        <v>2111</v>
      </c>
      <c r="B237" s="45" t="s">
        <v>14</v>
      </c>
      <c r="C237" s="46" t="s">
        <v>1635</v>
      </c>
      <c r="D237" s="47" t="s">
        <v>1636</v>
      </c>
      <c r="E237" s="48">
        <v>46197</v>
      </c>
      <c r="F237" s="49">
        <f t="shared" si="13"/>
        <v>0</v>
      </c>
      <c r="G237" s="77">
        <f>SUMIF(积分汇总!$B:$B,C236,积分汇总!$E:$E)</f>
        <v>0</v>
      </c>
      <c r="H237" s="77">
        <f>SUMIF(记录巡查问题条数汇总!$B:$B,C236,记录巡查问题条数汇总!$E:$E)</f>
        <v>0</v>
      </c>
      <c r="I237" s="77"/>
      <c r="J237" s="77">
        <f>SUMIF(安全质量事故!$B:$B,C236,安全质量事故!$G:$G)</f>
        <v>0</v>
      </c>
      <c r="K237" s="72">
        <f>COUNTIF(L237:AP237,标准数据!$A$2)*标准数据!$B$2+COUNTIF(L237:AP237,标准数据!$A$3)*标准数据!$B$3+COUNTIF(L237:AP237,标准数据!$A$4)*标准数据!$B$4</f>
        <v>0</v>
      </c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189"/>
      <c r="AQ237" s="55"/>
    </row>
    <row r="238" spans="1:46" ht="21" customHeight="1">
      <c r="A238" s="267" t="s">
        <v>2111</v>
      </c>
      <c r="B238" s="45" t="s">
        <v>14</v>
      </c>
      <c r="C238" s="46" t="s">
        <v>1650</v>
      </c>
      <c r="D238" s="52" t="s">
        <v>1651</v>
      </c>
      <c r="E238" s="46">
        <v>46215</v>
      </c>
      <c r="F238" s="49">
        <f t="shared" si="13"/>
        <v>0</v>
      </c>
      <c r="G238" s="77">
        <f>SUMIF(积分汇总!$B:$B,C237,积分汇总!$E:$E)</f>
        <v>0</v>
      </c>
      <c r="H238" s="77">
        <f>SUMIF(记录巡查问题条数汇总!$B:$B,C237,记录巡查问题条数汇总!$E:$E)</f>
        <v>0</v>
      </c>
      <c r="I238" s="77"/>
      <c r="J238" s="77">
        <f>SUMIF(安全质量事故!$B:$B,C237,安全质量事故!$G:$G)</f>
        <v>0</v>
      </c>
      <c r="K238" s="72">
        <f>COUNTIF(L238:AP238,标准数据!$A$2)*标准数据!$B$2+COUNTIF(L238:AP238,标准数据!$A$3)*标准数据!$B$3+COUNTIF(L238:AP238,标准数据!$A$4)*标准数据!$B$4</f>
        <v>0</v>
      </c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189"/>
      <c r="AQ238" s="55"/>
    </row>
    <row r="239" spans="1:46" ht="21" customHeight="1">
      <c r="A239" s="267" t="s">
        <v>2111</v>
      </c>
      <c r="B239" s="45" t="s">
        <v>14</v>
      </c>
      <c r="C239" s="47" t="s">
        <v>1652</v>
      </c>
      <c r="D239" s="52" t="s">
        <v>1653</v>
      </c>
      <c r="E239" s="46">
        <v>46215</v>
      </c>
      <c r="F239" s="49">
        <f t="shared" si="13"/>
        <v>0</v>
      </c>
      <c r="G239" s="77">
        <f>SUMIF(积分汇总!$B:$B,C238,积分汇总!$E:$E)</f>
        <v>0</v>
      </c>
      <c r="H239" s="77">
        <f>SUMIF(记录巡查问题条数汇总!$B:$B,C238,记录巡查问题条数汇总!$E:$E)</f>
        <v>0</v>
      </c>
      <c r="I239" s="77"/>
      <c r="J239" s="77">
        <f>SUMIF(安全质量事故!$B:$B,C238,安全质量事故!$G:$G)</f>
        <v>0</v>
      </c>
      <c r="K239" s="72">
        <f>COUNTIF(L239:AP239,标准数据!$A$2)*标准数据!$B$2+COUNTIF(L239:AP239,标准数据!$A$3)*标准数据!$B$3+COUNTIF(L239:AP239,标准数据!$A$4)*标准数据!$B$4</f>
        <v>0</v>
      </c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189"/>
      <c r="AQ239" s="55"/>
    </row>
    <row r="240" spans="1:46" ht="21" customHeight="1">
      <c r="A240" s="267" t="s">
        <v>2111</v>
      </c>
      <c r="B240" s="45" t="s">
        <v>14</v>
      </c>
      <c r="C240" s="46" t="s">
        <v>1656</v>
      </c>
      <c r="D240" s="47" t="s">
        <v>1657</v>
      </c>
      <c r="E240" s="48">
        <v>46215</v>
      </c>
      <c r="F240" s="49">
        <f t="shared" si="13"/>
        <v>0</v>
      </c>
      <c r="G240" s="77">
        <f>SUMIF(积分汇总!$B:$B,C239,积分汇总!$E:$E)</f>
        <v>0</v>
      </c>
      <c r="H240" s="77">
        <f>SUMIF(记录巡查问题条数汇总!$B:$B,C239,记录巡查问题条数汇总!$E:$E)</f>
        <v>0</v>
      </c>
      <c r="I240" s="77"/>
      <c r="J240" s="77">
        <f>SUMIF(安全质量事故!$B:$B,C239,安全质量事故!$G:$G)</f>
        <v>0</v>
      </c>
      <c r="K240" s="72">
        <f>COUNTIF(L240:AP240,标准数据!$A$2)*标准数据!$B$2+COUNTIF(L240:AP240,标准数据!$A$3)*标准数据!$B$3+COUNTIF(L240:AP240,标准数据!$A$4)*标准数据!$B$4</f>
        <v>0</v>
      </c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189"/>
      <c r="AQ240" s="55"/>
    </row>
    <row r="241" spans="1:48" ht="21" customHeight="1">
      <c r="A241" s="267" t="s">
        <v>2111</v>
      </c>
      <c r="B241" s="45" t="s">
        <v>14</v>
      </c>
      <c r="C241" s="47" t="s">
        <v>1658</v>
      </c>
      <c r="D241" s="52" t="s">
        <v>1659</v>
      </c>
      <c r="E241" s="46">
        <v>46215</v>
      </c>
      <c r="F241" s="49">
        <f t="shared" si="13"/>
        <v>0</v>
      </c>
      <c r="G241" s="77">
        <f>SUMIF(积分汇总!$B:$B,C240,积分汇总!$E:$E)</f>
        <v>0</v>
      </c>
      <c r="H241" s="77">
        <f>SUMIF(记录巡查问题条数汇总!$B:$B,C240,记录巡查问题条数汇总!$E:$E)</f>
        <v>0</v>
      </c>
      <c r="I241" s="77"/>
      <c r="J241" s="77">
        <f>SUMIF(安全质量事故!$B:$B,C240,安全质量事故!$G:$G)</f>
        <v>0</v>
      </c>
      <c r="K241" s="72">
        <f>COUNTIF(L241:AP241,标准数据!$A$2)*标准数据!$B$2+COUNTIF(L241:AP241,标准数据!$A$3)*标准数据!$B$3+COUNTIF(L241:AP241,标准数据!$A$4)*标准数据!$B$4</f>
        <v>0</v>
      </c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189"/>
      <c r="AQ241" s="55"/>
    </row>
    <row r="242" spans="1:48" ht="21" customHeight="1">
      <c r="A242" s="267" t="s">
        <v>2111</v>
      </c>
      <c r="B242" s="45" t="s">
        <v>14</v>
      </c>
      <c r="C242" s="46" t="s">
        <v>1660</v>
      </c>
      <c r="D242" s="47" t="s">
        <v>1661</v>
      </c>
      <c r="E242" s="48">
        <v>46215</v>
      </c>
      <c r="F242" s="49">
        <f t="shared" si="13"/>
        <v>0</v>
      </c>
      <c r="G242" s="77">
        <f>SUMIF(积分汇总!$B:$B,C241,积分汇总!$E:$E)</f>
        <v>0</v>
      </c>
      <c r="H242" s="77">
        <f>SUMIF(记录巡查问题条数汇总!$B:$B,C241,记录巡查问题条数汇总!$E:$E)</f>
        <v>0</v>
      </c>
      <c r="I242" s="77"/>
      <c r="J242" s="77">
        <f>SUMIF(安全质量事故!$B:$B,C241,安全质量事故!$G:$G)</f>
        <v>0</v>
      </c>
      <c r="K242" s="72">
        <f>COUNTIF(L242:AP242,标准数据!$A$2)*标准数据!$B$2+COUNTIF(L242:AP242,标准数据!$A$3)*标准数据!$B$3+COUNTIF(L242:AP242,标准数据!$A$4)*标准数据!$B$4</f>
        <v>0</v>
      </c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189"/>
      <c r="AQ242" s="55"/>
    </row>
    <row r="243" spans="1:48" ht="21" customHeight="1">
      <c r="A243" s="267" t="s">
        <v>2111</v>
      </c>
      <c r="B243" s="45" t="s">
        <v>14</v>
      </c>
      <c r="C243" s="46" t="s">
        <v>1662</v>
      </c>
      <c r="D243" s="47" t="s">
        <v>1663</v>
      </c>
      <c r="E243" s="48">
        <v>46215</v>
      </c>
      <c r="F243" s="49">
        <f t="shared" si="13"/>
        <v>0</v>
      </c>
      <c r="G243" s="77">
        <f>SUMIF(积分汇总!$B:$B,C242,积分汇总!$E:$E)</f>
        <v>0</v>
      </c>
      <c r="H243" s="77">
        <f>SUMIF(记录巡查问题条数汇总!$B:$B,C242,记录巡查问题条数汇总!$E:$E)</f>
        <v>0</v>
      </c>
      <c r="I243" s="77"/>
      <c r="J243" s="77">
        <f>SUMIF(安全质量事故!$B:$B,C242,安全质量事故!$G:$G)</f>
        <v>0</v>
      </c>
      <c r="K243" s="72">
        <f>COUNTIF(L243:AP243,标准数据!$A$2)*标准数据!$B$2+COUNTIF(L243:AP243,标准数据!$A$3)*标准数据!$B$3+COUNTIF(L243:AP243,标准数据!$A$4)*标准数据!$B$4</f>
        <v>0</v>
      </c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189"/>
      <c r="AQ243" s="55"/>
      <c r="AR243" s="41"/>
      <c r="AS243" s="41"/>
      <c r="AT243" s="41"/>
    </row>
    <row r="244" spans="1:48" ht="21" customHeight="1">
      <c r="A244" s="267" t="s">
        <v>2111</v>
      </c>
      <c r="B244" s="45" t="s">
        <v>14</v>
      </c>
      <c r="C244" s="46" t="s">
        <v>2094</v>
      </c>
      <c r="D244" s="47" t="s">
        <v>2095</v>
      </c>
      <c r="E244" s="48">
        <v>46215</v>
      </c>
      <c r="F244" s="49">
        <f t="shared" si="13"/>
        <v>0</v>
      </c>
      <c r="G244" s="77">
        <f>SUMIF(积分汇总!$B:$B,C243,积分汇总!$E:$E)</f>
        <v>0</v>
      </c>
      <c r="H244" s="77">
        <f>SUMIF(记录巡查问题条数汇总!$B:$B,C243,记录巡查问题条数汇总!$E:$E)</f>
        <v>0</v>
      </c>
      <c r="I244" s="77"/>
      <c r="J244" s="77">
        <f>SUMIF(安全质量事故!$B:$B,C243,安全质量事故!$G:$G)</f>
        <v>0</v>
      </c>
      <c r="K244" s="72">
        <f>COUNTIF(L244:AP244,标准数据!$A$2)*标准数据!$B$2+COUNTIF(L244:AP244,标准数据!$A$3)*标准数据!$B$3+COUNTIF(L244:AP244,标准数据!$A$4)*标准数据!$B$4</f>
        <v>0</v>
      </c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189"/>
      <c r="AQ244" s="55"/>
    </row>
    <row r="245" spans="1:48" s="51" customFormat="1" ht="21" customHeight="1">
      <c r="A245" s="267" t="s">
        <v>2111</v>
      </c>
      <c r="B245" s="45" t="s">
        <v>14</v>
      </c>
      <c r="C245" s="46" t="s">
        <v>2096</v>
      </c>
      <c r="D245" s="47" t="s">
        <v>2097</v>
      </c>
      <c r="E245" s="48">
        <v>46215</v>
      </c>
      <c r="F245" s="49">
        <f t="shared" si="13"/>
        <v>0</v>
      </c>
      <c r="G245" s="77">
        <f>SUMIF(积分汇总!$B:$B,C244,积分汇总!$E:$E)</f>
        <v>0</v>
      </c>
      <c r="H245" s="77">
        <f>SUMIF(记录巡查问题条数汇总!$B:$B,C244,记录巡查问题条数汇总!$E:$E)</f>
        <v>0</v>
      </c>
      <c r="I245" s="77"/>
      <c r="J245" s="77">
        <f>SUMIF(安全质量事故!$B:$B,C244,安全质量事故!$G:$G)</f>
        <v>0</v>
      </c>
      <c r="K245" s="72">
        <f>COUNTIF(L245:AP245,标准数据!$A$2)*标准数据!$B$2+COUNTIF(L245:AP245,标准数据!$A$3)*标准数据!$B$3+COUNTIF(L245:AP245,标准数据!$A$4)*标准数据!$B$4</f>
        <v>0</v>
      </c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189"/>
      <c r="AQ245" s="55"/>
      <c r="AU245" s="76"/>
      <c r="AV245" s="41"/>
    </row>
    <row r="246" spans="1:48" ht="21" customHeight="1">
      <c r="A246" s="267" t="s">
        <v>2111</v>
      </c>
      <c r="B246" s="45" t="s">
        <v>14</v>
      </c>
      <c r="C246" s="46" t="s">
        <v>1119</v>
      </c>
      <c r="D246" s="47" t="s">
        <v>1120</v>
      </c>
      <c r="E246" s="48">
        <v>46029</v>
      </c>
      <c r="F246" s="49">
        <f t="shared" si="13"/>
        <v>0</v>
      </c>
      <c r="G246" s="77">
        <f>SUMIF(积分汇总!$B:$B,C245,积分汇总!$E:$E)</f>
        <v>0</v>
      </c>
      <c r="H246" s="77">
        <f>SUMIF(记录巡查问题条数汇总!$B:$B,C245,记录巡查问题条数汇总!$E:$E)</f>
        <v>0</v>
      </c>
      <c r="I246" s="77"/>
      <c r="J246" s="77">
        <f>SUMIF(安全质量事故!$B:$B,C245,安全质量事故!$G:$G)</f>
        <v>0</v>
      </c>
      <c r="K246" s="72">
        <f>COUNTIF(L246:AP246,标准数据!$A$2)*标准数据!$B$2+COUNTIF(L246:AP246,标准数据!$A$3)*标准数据!$B$3+COUNTIF(L246:AP246,标准数据!$A$4)*标准数据!$B$4</f>
        <v>0</v>
      </c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189"/>
      <c r="AQ246" s="55"/>
      <c r="AR246" s="41"/>
      <c r="AS246" s="41"/>
      <c r="AT246" s="41"/>
    </row>
    <row r="247" spans="1:48" ht="21" customHeight="1">
      <c r="A247" s="267" t="s">
        <v>2111</v>
      </c>
      <c r="B247" s="45" t="s">
        <v>14</v>
      </c>
      <c r="C247" s="46" t="s">
        <v>1121</v>
      </c>
      <c r="D247" s="47" t="s">
        <v>1122</v>
      </c>
      <c r="E247" s="48">
        <v>46029</v>
      </c>
      <c r="F247" s="49">
        <f t="shared" si="13"/>
        <v>0</v>
      </c>
      <c r="G247" s="77">
        <f>SUMIF(积分汇总!$B:$B,C246,积分汇总!$E:$E)</f>
        <v>0</v>
      </c>
      <c r="H247" s="77">
        <f>SUMIF(记录巡查问题条数汇总!$B:$B,C246,记录巡查问题条数汇总!$E:$E)</f>
        <v>0</v>
      </c>
      <c r="I247" s="77"/>
      <c r="J247" s="77">
        <f>SUMIF(安全质量事故!$B:$B,C246,安全质量事故!$G:$G)</f>
        <v>0</v>
      </c>
      <c r="K247" s="72">
        <f>COUNTIF(L247:AP247,标准数据!$A$2)*标准数据!$B$2+COUNTIF(L247:AP247,标准数据!$A$3)*标准数据!$B$3+COUNTIF(L247:AP247,标准数据!$A$4)*标准数据!$B$4</f>
        <v>0</v>
      </c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189"/>
      <c r="AQ247" s="55"/>
    </row>
    <row r="248" spans="1:48" ht="21" customHeight="1">
      <c r="A248" s="267" t="s">
        <v>2111</v>
      </c>
      <c r="B248" s="45" t="s">
        <v>14</v>
      </c>
      <c r="C248" s="46" t="s">
        <v>1123</v>
      </c>
      <c r="D248" s="47" t="s">
        <v>1124</v>
      </c>
      <c r="E248" s="48">
        <v>46029</v>
      </c>
      <c r="F248" s="49">
        <f t="shared" si="13"/>
        <v>0</v>
      </c>
      <c r="G248" s="77">
        <f>SUMIF(积分汇总!$B:$B,C247,积分汇总!$E:$E)</f>
        <v>0</v>
      </c>
      <c r="H248" s="77">
        <f>SUMIF(记录巡查问题条数汇总!$B:$B,C247,记录巡查问题条数汇总!$E:$E)</f>
        <v>0</v>
      </c>
      <c r="I248" s="77"/>
      <c r="J248" s="77">
        <f>SUMIF(安全质量事故!$B:$B,C247,安全质量事故!$G:$G)</f>
        <v>0</v>
      </c>
      <c r="K248" s="72">
        <f>COUNTIF(L248:AP248,标准数据!$A$2)*标准数据!$B$2+COUNTIF(L248:AP248,标准数据!$A$3)*标准数据!$B$3+COUNTIF(L248:AP248,标准数据!$A$4)*标准数据!$B$4</f>
        <v>0</v>
      </c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189"/>
      <c r="AQ248" s="55"/>
    </row>
    <row r="249" spans="1:48" ht="21" customHeight="1">
      <c r="A249" s="267" t="s">
        <v>2111</v>
      </c>
      <c r="B249" s="45" t="s">
        <v>14</v>
      </c>
      <c r="C249" s="46" t="s">
        <v>1976</v>
      </c>
      <c r="D249" s="47" t="s">
        <v>1977</v>
      </c>
      <c r="E249" s="48">
        <v>46223</v>
      </c>
      <c r="F249" s="49">
        <f t="shared" si="13"/>
        <v>0</v>
      </c>
      <c r="G249" s="77">
        <f>SUMIF(积分汇总!$B:$B,C248,积分汇总!$E:$E)</f>
        <v>0</v>
      </c>
      <c r="H249" s="77">
        <f>SUMIF(记录巡查问题条数汇总!$B:$B,C248,记录巡查问题条数汇总!$E:$E)</f>
        <v>0</v>
      </c>
      <c r="I249" s="77"/>
      <c r="J249" s="77">
        <f>SUMIF(安全质量事故!$B:$B,C248,安全质量事故!$G:$G)</f>
        <v>0</v>
      </c>
      <c r="K249" s="72">
        <f>COUNTIF(L249:AP249,标准数据!$A$2)*标准数据!$B$2+COUNTIF(L249:AP249,标准数据!$A$3)*标准数据!$B$3+COUNTIF(L249:AP249,标准数据!$A$4)*标准数据!$B$4</f>
        <v>0</v>
      </c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189"/>
      <c r="AQ249" s="55"/>
      <c r="AR249" s="41"/>
      <c r="AS249" s="41"/>
      <c r="AT249" s="41"/>
    </row>
    <row r="250" spans="1:48" ht="21" customHeight="1">
      <c r="A250" s="267" t="s">
        <v>2111</v>
      </c>
      <c r="B250" s="45" t="s">
        <v>14</v>
      </c>
      <c r="C250" s="46" t="s">
        <v>1978</v>
      </c>
      <c r="D250" s="47" t="s">
        <v>1979</v>
      </c>
      <c r="E250" s="48">
        <v>46223</v>
      </c>
      <c r="F250" s="49">
        <f t="shared" si="13"/>
        <v>0</v>
      </c>
      <c r="G250" s="77">
        <f>SUMIF(积分汇总!$B:$B,C249,积分汇总!$E:$E)</f>
        <v>0</v>
      </c>
      <c r="H250" s="77">
        <f>SUMIF(记录巡查问题条数汇总!$B:$B,C249,记录巡查问题条数汇总!$E:$E)</f>
        <v>0</v>
      </c>
      <c r="I250" s="77"/>
      <c r="J250" s="77">
        <f>SUMIF(安全质量事故!$B:$B,C249,安全质量事故!$G:$G)</f>
        <v>0</v>
      </c>
      <c r="K250" s="72">
        <f>COUNTIF(L250:AP250,标准数据!$A$2)*标准数据!$B$2+COUNTIF(L250:AP250,标准数据!$A$3)*标准数据!$B$3+COUNTIF(L250:AP250,标准数据!$A$4)*标准数据!$B$4</f>
        <v>0</v>
      </c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189"/>
      <c r="AQ250" s="55"/>
    </row>
    <row r="251" spans="1:48" s="51" customFormat="1" ht="21" customHeight="1">
      <c r="A251" s="267" t="s">
        <v>2111</v>
      </c>
      <c r="B251" s="45" t="s">
        <v>14</v>
      </c>
      <c r="C251" s="46" t="s">
        <v>1980</v>
      </c>
      <c r="D251" s="47" t="s">
        <v>1981</v>
      </c>
      <c r="E251" s="48">
        <v>46223</v>
      </c>
      <c r="F251" s="49">
        <f t="shared" si="13"/>
        <v>0</v>
      </c>
      <c r="G251" s="77">
        <f>SUMIF(积分汇总!$B:$B,C250,积分汇总!$E:$E)</f>
        <v>0</v>
      </c>
      <c r="H251" s="77">
        <f>SUMIF(记录巡查问题条数汇总!$B:$B,C250,记录巡查问题条数汇总!$E:$E)</f>
        <v>0</v>
      </c>
      <c r="I251" s="77"/>
      <c r="J251" s="77">
        <f>SUMIF(安全质量事故!$B:$B,C250,安全质量事故!$G:$G)</f>
        <v>0</v>
      </c>
      <c r="K251" s="72">
        <f>COUNTIF(L251:AP251,标准数据!$A$2)*标准数据!$B$2+COUNTIF(L251:AP251,标准数据!$A$3)*标准数据!$B$3+COUNTIF(L251:AP251,标准数据!$A$4)*标准数据!$B$4</f>
        <v>0</v>
      </c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189"/>
      <c r="AQ251" s="55"/>
      <c r="AU251" s="76"/>
      <c r="AV251" s="41"/>
    </row>
    <row r="252" spans="1:48" ht="21" customHeight="1">
      <c r="A252" s="267" t="s">
        <v>2111</v>
      </c>
      <c r="B252" s="45" t="s">
        <v>14</v>
      </c>
      <c r="C252" s="46" t="s">
        <v>831</v>
      </c>
      <c r="D252" s="47" t="s">
        <v>1982</v>
      </c>
      <c r="E252" s="48">
        <v>46225</v>
      </c>
      <c r="F252" s="49">
        <f t="shared" si="13"/>
        <v>0</v>
      </c>
      <c r="G252" s="77">
        <f>SUMIF(积分汇总!$B:$B,C251,积分汇总!$E:$E)</f>
        <v>0</v>
      </c>
      <c r="H252" s="77">
        <f>SUMIF(记录巡查问题条数汇总!$B:$B,C251,记录巡查问题条数汇总!$E:$E)</f>
        <v>0</v>
      </c>
      <c r="I252" s="77"/>
      <c r="J252" s="77">
        <f>SUMIF(安全质量事故!$B:$B,C251,安全质量事故!$G:$G)</f>
        <v>0</v>
      </c>
      <c r="K252" s="72">
        <f>COUNTIF(L252:AP252,标准数据!$A$2)*标准数据!$B$2+COUNTIF(L252:AP252,标准数据!$A$3)*标准数据!$B$3+COUNTIF(L252:AP252,标准数据!$A$4)*标准数据!$B$4</f>
        <v>0</v>
      </c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189"/>
      <c r="AQ252" s="55"/>
      <c r="AR252" s="41"/>
      <c r="AS252" s="41"/>
      <c r="AT252" s="41"/>
    </row>
    <row r="253" spans="1:48" ht="21" customHeight="1">
      <c r="A253" s="267" t="s">
        <v>2111</v>
      </c>
      <c r="B253" s="45" t="s">
        <v>14</v>
      </c>
      <c r="C253" s="46" t="s">
        <v>1985</v>
      </c>
      <c r="D253" s="47" t="s">
        <v>1986</v>
      </c>
      <c r="E253" s="48">
        <v>46225</v>
      </c>
      <c r="F253" s="49">
        <f t="shared" si="13"/>
        <v>0</v>
      </c>
      <c r="G253" s="77">
        <f>SUMIF(积分汇总!$B:$B,C252,积分汇总!$E:$E)</f>
        <v>0</v>
      </c>
      <c r="H253" s="77">
        <f>SUMIF(记录巡查问题条数汇总!$B:$B,C252,记录巡查问题条数汇总!$E:$E)</f>
        <v>0</v>
      </c>
      <c r="I253" s="77"/>
      <c r="J253" s="77">
        <f>SUMIF(安全质量事故!$B:$B,C252,安全质量事故!$G:$G)</f>
        <v>0</v>
      </c>
      <c r="K253" s="72">
        <f>COUNTIF(L253:AP253,标准数据!$A$2)*标准数据!$B$2+COUNTIF(L253:AP253,标准数据!$A$3)*标准数据!$B$3+COUNTIF(L253:AP253,标准数据!$A$4)*标准数据!$B$4</f>
        <v>0</v>
      </c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189"/>
      <c r="AQ253" s="55"/>
    </row>
    <row r="254" spans="1:48" ht="21" customHeight="1">
      <c r="A254" s="267" t="s">
        <v>2111</v>
      </c>
      <c r="B254" s="45" t="s">
        <v>14</v>
      </c>
      <c r="C254" s="46" t="s">
        <v>1987</v>
      </c>
      <c r="D254" s="47" t="s">
        <v>1988</v>
      </c>
      <c r="E254" s="48">
        <v>46225</v>
      </c>
      <c r="F254" s="49">
        <f t="shared" si="13"/>
        <v>0</v>
      </c>
      <c r="G254" s="77">
        <f>SUMIF(积分汇总!$B:$B,C253,积分汇总!$E:$E)</f>
        <v>0</v>
      </c>
      <c r="H254" s="77">
        <f>SUMIF(记录巡查问题条数汇总!$B:$B,C253,记录巡查问题条数汇总!$E:$E)</f>
        <v>0</v>
      </c>
      <c r="I254" s="77"/>
      <c r="J254" s="77">
        <f>SUMIF(安全质量事故!$B:$B,C253,安全质量事故!$G:$G)</f>
        <v>0</v>
      </c>
      <c r="K254" s="72">
        <f>COUNTIF(L254:AP254,标准数据!$A$2)*标准数据!$B$2+COUNTIF(L254:AP254,标准数据!$A$3)*标准数据!$B$3+COUNTIF(L254:AP254,标准数据!$A$4)*标准数据!$B$4</f>
        <v>0</v>
      </c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189"/>
      <c r="AQ254" s="55"/>
    </row>
    <row r="255" spans="1:48" ht="21" customHeight="1">
      <c r="A255" s="267" t="s">
        <v>2111</v>
      </c>
      <c r="B255" s="45" t="s">
        <v>129</v>
      </c>
      <c r="C255" s="46" t="s">
        <v>262</v>
      </c>
      <c r="D255" s="47" t="s">
        <v>258</v>
      </c>
      <c r="E255" s="48">
        <v>42917</v>
      </c>
      <c r="F255" s="49">
        <f t="shared" si="13"/>
        <v>0</v>
      </c>
      <c r="G255" s="77">
        <f>SUMIF(积分汇总!$B:$B,C254,积分汇总!$E:$E)</f>
        <v>0</v>
      </c>
      <c r="H255" s="77">
        <f>SUMIF(记录巡查问题条数汇总!$B:$B,C254,记录巡查问题条数汇总!$E:$E)</f>
        <v>0</v>
      </c>
      <c r="I255" s="77"/>
      <c r="J255" s="77">
        <f>SUMIF(安全质量事故!$B:$B,C254,安全质量事故!$G:$G)</f>
        <v>0</v>
      </c>
      <c r="K255" s="72">
        <f>COUNTIF(L255:AP255,标准数据!$A$2)*标准数据!$B$2+COUNTIF(L255:AP255,标准数据!$A$3)*标准数据!$B$3+COUNTIF(L255:AP255,标准数据!$A$4)*标准数据!$B$4</f>
        <v>0</v>
      </c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189"/>
      <c r="AQ255" s="55"/>
    </row>
    <row r="256" spans="1:48" ht="21" customHeight="1">
      <c r="A256" s="267" t="s">
        <v>2111</v>
      </c>
      <c r="B256" s="45" t="s">
        <v>129</v>
      </c>
      <c r="C256" s="46" t="s">
        <v>484</v>
      </c>
      <c r="D256" s="47" t="s">
        <v>450</v>
      </c>
      <c r="E256" s="48">
        <v>45847</v>
      </c>
      <c r="F256" s="49">
        <f t="shared" si="13"/>
        <v>0</v>
      </c>
      <c r="G256" s="77">
        <f>SUMIF(积分汇总!$B:$B,C255,积分汇总!$E:$E)</f>
        <v>0</v>
      </c>
      <c r="H256" s="77">
        <f>SUMIF(记录巡查问题条数汇总!$B:$B,C255,记录巡查问题条数汇总!$E:$E)</f>
        <v>0</v>
      </c>
      <c r="I256" s="77"/>
      <c r="J256" s="77">
        <f>SUMIF(安全质量事故!$B:$B,C255,安全质量事故!$G:$G)</f>
        <v>0</v>
      </c>
      <c r="K256" s="72">
        <f>COUNTIF(L256:AP256,标准数据!$A$2)*标准数据!$B$2+COUNTIF(L256:AP256,标准数据!$A$3)*标准数据!$B$3+COUNTIF(L256:AP256,标准数据!$A$4)*标准数据!$B$4</f>
        <v>0</v>
      </c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189"/>
      <c r="AQ256" s="55"/>
    </row>
    <row r="257" spans="1:48" ht="21" customHeight="1">
      <c r="A257" s="267" t="s">
        <v>2111</v>
      </c>
      <c r="B257" s="45" t="s">
        <v>129</v>
      </c>
      <c r="C257" s="46" t="s">
        <v>547</v>
      </c>
      <c r="D257" s="47" t="s">
        <v>515</v>
      </c>
      <c r="E257" s="48">
        <v>45889</v>
      </c>
      <c r="F257" s="49">
        <f t="shared" si="13"/>
        <v>0</v>
      </c>
      <c r="G257" s="77">
        <f>SUMIF(积分汇总!$B:$B,C256,积分汇总!$E:$E)</f>
        <v>0</v>
      </c>
      <c r="H257" s="77">
        <f>SUMIF(记录巡查问题条数汇总!$B:$B,C256,记录巡查问题条数汇总!$E:$E)</f>
        <v>0</v>
      </c>
      <c r="I257" s="77"/>
      <c r="J257" s="77">
        <f>SUMIF(安全质量事故!$B:$B,C256,安全质量事故!$G:$G)</f>
        <v>0</v>
      </c>
      <c r="K257" s="72">
        <f>COUNTIF(L257:AP257,标准数据!$A$2)*标准数据!$B$2+COUNTIF(L257:AP257,标准数据!$A$3)*标准数据!$B$3+COUNTIF(L257:AP257,标准数据!$A$4)*标准数据!$B$4</f>
        <v>0</v>
      </c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189"/>
      <c r="AQ257" s="55"/>
    </row>
    <row r="258" spans="1:48" ht="21" customHeight="1">
      <c r="A258" s="267" t="s">
        <v>2111</v>
      </c>
      <c r="B258" s="45" t="s">
        <v>129</v>
      </c>
      <c r="C258" s="46" t="s">
        <v>482</v>
      </c>
      <c r="D258" s="47" t="s">
        <v>447</v>
      </c>
      <c r="E258" s="48">
        <v>44256</v>
      </c>
      <c r="F258" s="49">
        <f t="shared" si="13"/>
        <v>0</v>
      </c>
      <c r="G258" s="77">
        <f>SUMIF(积分汇总!$B:$B,C257,积分汇总!$E:$E)</f>
        <v>0</v>
      </c>
      <c r="H258" s="77">
        <f>SUMIF(记录巡查问题条数汇总!$B:$B,C257,记录巡查问题条数汇总!$E:$E)</f>
        <v>0</v>
      </c>
      <c r="I258" s="77"/>
      <c r="J258" s="77">
        <f>SUMIF(安全质量事故!$B:$B,C257,安全质量事故!$G:$G)</f>
        <v>0</v>
      </c>
      <c r="K258" s="72">
        <f>COUNTIF(L258:AP258,标准数据!$A$2)*标准数据!$B$2+COUNTIF(L258:AP258,标准数据!$A$3)*标准数据!$B$3+COUNTIF(L258:AP258,标准数据!$A$4)*标准数据!$B$4</f>
        <v>0</v>
      </c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189"/>
      <c r="AQ258" s="55"/>
      <c r="AR258" s="41"/>
      <c r="AS258" s="41"/>
      <c r="AT258" s="41"/>
    </row>
    <row r="259" spans="1:48" ht="21" customHeight="1">
      <c r="A259" s="267" t="s">
        <v>2111</v>
      </c>
      <c r="B259" s="45" t="s">
        <v>129</v>
      </c>
      <c r="C259" s="46" t="s">
        <v>821</v>
      </c>
      <c r="D259" s="47" t="s">
        <v>773</v>
      </c>
      <c r="E259" s="48">
        <v>44671</v>
      </c>
      <c r="F259" s="49">
        <f t="shared" si="13"/>
        <v>0</v>
      </c>
      <c r="G259" s="77">
        <f>SUMIF(积分汇总!$B:$B,C258,积分汇总!$E:$E)</f>
        <v>0</v>
      </c>
      <c r="H259" s="77">
        <f>SUMIF(记录巡查问题条数汇总!$B:$B,C258,记录巡查问题条数汇总!$E:$E)</f>
        <v>0</v>
      </c>
      <c r="I259" s="77"/>
      <c r="J259" s="77">
        <f>SUMIF(安全质量事故!$B:$B,C258,安全质量事故!$G:$G)</f>
        <v>0</v>
      </c>
      <c r="K259" s="72">
        <f>COUNTIF(L259:AP259,标准数据!$A$2)*标准数据!$B$2+COUNTIF(L259:AP259,标准数据!$A$3)*标准数据!$B$3+COUNTIF(L259:AP259,标准数据!$A$4)*标准数据!$B$4</f>
        <v>0</v>
      </c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189"/>
      <c r="AQ259" s="55"/>
    </row>
    <row r="260" spans="1:48" ht="21" customHeight="1">
      <c r="A260" s="267" t="s">
        <v>2111</v>
      </c>
      <c r="B260" s="45" t="s">
        <v>129</v>
      </c>
      <c r="C260" s="46" t="s">
        <v>1114</v>
      </c>
      <c r="D260" s="47" t="s">
        <v>1115</v>
      </c>
      <c r="E260" s="48">
        <v>46127</v>
      </c>
      <c r="F260" s="49">
        <f t="shared" si="13"/>
        <v>0</v>
      </c>
      <c r="G260" s="77">
        <f>SUMIF(积分汇总!$B:$B,C259,积分汇总!$E:$E)</f>
        <v>0</v>
      </c>
      <c r="H260" s="77">
        <f>SUMIF(记录巡查问题条数汇总!$B:$B,C259,记录巡查问题条数汇总!$E:$E)</f>
        <v>0</v>
      </c>
      <c r="I260" s="77"/>
      <c r="J260" s="77">
        <f>SUMIF(安全质量事故!$B:$B,C259,安全质量事故!$G:$G)</f>
        <v>0</v>
      </c>
      <c r="K260" s="72">
        <f>COUNTIF(L260:AP260,标准数据!$A$2)*标准数据!$B$2+COUNTIF(L260:AP260,标准数据!$A$3)*标准数据!$B$3+COUNTIF(L260:AP260,标准数据!$A$4)*标准数据!$B$4</f>
        <v>0</v>
      </c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189"/>
      <c r="AQ260" s="55"/>
      <c r="AR260" s="182"/>
    </row>
    <row r="261" spans="1:48" ht="21" customHeight="1">
      <c r="A261" s="267" t="s">
        <v>2111</v>
      </c>
      <c r="B261" s="45" t="s">
        <v>129</v>
      </c>
      <c r="C261" s="46" t="s">
        <v>1117</v>
      </c>
      <c r="D261" s="47" t="s">
        <v>1118</v>
      </c>
      <c r="E261" s="48">
        <v>46120</v>
      </c>
      <c r="F261" s="49">
        <f t="shared" si="13"/>
        <v>0</v>
      </c>
      <c r="G261" s="77">
        <f>SUMIF(积分汇总!$B:$B,C260,积分汇总!$E:$E)</f>
        <v>0</v>
      </c>
      <c r="H261" s="77">
        <f>SUMIF(记录巡查问题条数汇总!$B:$B,C260,记录巡查问题条数汇总!$E:$E)</f>
        <v>0</v>
      </c>
      <c r="I261" s="77"/>
      <c r="J261" s="77">
        <f>SUMIF(安全质量事故!$B:$B,C260,安全质量事故!$G:$G)</f>
        <v>0</v>
      </c>
      <c r="K261" s="72">
        <f>COUNTIF(L261:AP261,标准数据!$A$2)*标准数据!$B$2+COUNTIF(L261:AP261,标准数据!$A$3)*标准数据!$B$3+COUNTIF(L261:AP261,标准数据!$A$4)*标准数据!$B$4</f>
        <v>0</v>
      </c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189"/>
      <c r="AQ261" s="55"/>
      <c r="AR261" s="182"/>
    </row>
    <row r="262" spans="1:48" ht="21" customHeight="1">
      <c r="A262" s="267" t="s">
        <v>2111</v>
      </c>
      <c r="B262" s="45" t="s">
        <v>129</v>
      </c>
      <c r="C262" s="46" t="s">
        <v>1289</v>
      </c>
      <c r="D262" s="47" t="s">
        <v>1290</v>
      </c>
      <c r="E262" s="48">
        <v>46134</v>
      </c>
      <c r="F262" s="49">
        <f t="shared" si="13"/>
        <v>0</v>
      </c>
      <c r="G262" s="77">
        <f>SUMIF(积分汇总!$B:$B,C261,积分汇总!$E:$E)</f>
        <v>0</v>
      </c>
      <c r="H262" s="77">
        <f>SUMIF(记录巡查问题条数汇总!$B:$B,C261,记录巡查问题条数汇总!$E:$E)</f>
        <v>0</v>
      </c>
      <c r="I262" s="77"/>
      <c r="J262" s="77">
        <f>SUMIF(安全质量事故!$B:$B,C261,安全质量事故!$G:$G)</f>
        <v>0</v>
      </c>
      <c r="K262" s="72">
        <f>COUNTIF(L262:AP262,标准数据!$A$2)*标准数据!$B$2+COUNTIF(L262:AP262,标准数据!$A$3)*标准数据!$B$3+COUNTIF(L262:AP262,标准数据!$A$4)*标准数据!$B$4</f>
        <v>0</v>
      </c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189"/>
      <c r="AQ262" s="55"/>
      <c r="AR262" s="182"/>
    </row>
    <row r="263" spans="1:48" ht="21" customHeight="1">
      <c r="A263" s="267" t="s">
        <v>2111</v>
      </c>
      <c r="B263" s="45" t="s">
        <v>129</v>
      </c>
      <c r="C263" s="46" t="s">
        <v>1439</v>
      </c>
      <c r="D263" s="47" t="s">
        <v>1440</v>
      </c>
      <c r="E263" s="48">
        <v>46188</v>
      </c>
      <c r="F263" s="49">
        <f t="shared" si="13"/>
        <v>0</v>
      </c>
      <c r="G263" s="77">
        <f>SUMIF(积分汇总!$B:$B,,积分汇总!$E:$E)</f>
        <v>0</v>
      </c>
      <c r="H263" s="77">
        <f>SUMIF(记录巡查问题条数汇总!$B:$B,,记录巡查问题条数汇总!$E:$E)</f>
        <v>0</v>
      </c>
      <c r="I263" s="77"/>
      <c r="J263" s="77">
        <f>SUMIF(安全质量事故!$B:$B,,安全质量事故!$G:$G)</f>
        <v>0</v>
      </c>
      <c r="K263" s="72">
        <f>COUNTIF(L263:AP263,标准数据!$A$2)*标准数据!$B$2+COUNTIF(L263:AP263,标准数据!$A$3)*标准数据!$B$3+COUNTIF(L263:AP263,标准数据!$A$4)*标准数据!$B$4</f>
        <v>0</v>
      </c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189"/>
      <c r="AQ263" s="55"/>
      <c r="AR263" s="182"/>
    </row>
    <row r="264" spans="1:48" ht="21" customHeight="1">
      <c r="A264" s="267" t="s">
        <v>2111</v>
      </c>
      <c r="B264" s="45" t="s">
        <v>129</v>
      </c>
      <c r="C264" s="46" t="s">
        <v>1639</v>
      </c>
      <c r="D264" s="47" t="s">
        <v>1640</v>
      </c>
      <c r="E264" s="48">
        <v>46204</v>
      </c>
      <c r="F264" s="49">
        <f t="shared" si="13"/>
        <v>0</v>
      </c>
      <c r="G264" s="77">
        <f>SUMIF(积分汇总!$B:$B,C263,积分汇总!$E:$E)</f>
        <v>0</v>
      </c>
      <c r="H264" s="77">
        <f>SUMIF(记录巡查问题条数汇总!$B:$B,C263,记录巡查问题条数汇总!$E:$E)</f>
        <v>0</v>
      </c>
      <c r="I264" s="77"/>
      <c r="J264" s="77">
        <f>SUMIF(安全质量事故!$B:$B,C263,安全质量事故!$G:$G)</f>
        <v>0</v>
      </c>
      <c r="K264" s="72">
        <f>COUNTIF(L264:AP264,标准数据!$A$2)*标准数据!$B$2+COUNTIF(L264:AP264,标准数据!$A$3)*标准数据!$B$3+COUNTIF(L264:AP264,标准数据!$A$4)*标准数据!$B$4</f>
        <v>0</v>
      </c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189"/>
      <c r="AQ264" s="55"/>
      <c r="AR264" s="182"/>
    </row>
    <row r="265" spans="1:48" ht="21" customHeight="1">
      <c r="A265" s="267" t="s">
        <v>2111</v>
      </c>
      <c r="B265" s="45" t="s">
        <v>129</v>
      </c>
      <c r="C265" s="46" t="s">
        <v>1641</v>
      </c>
      <c r="D265" s="47" t="s">
        <v>1642</v>
      </c>
      <c r="E265" s="48">
        <v>46204</v>
      </c>
      <c r="F265" s="49">
        <f t="shared" si="13"/>
        <v>0</v>
      </c>
      <c r="G265" s="77">
        <f>SUMIF(积分汇总!$B:$B,C264,积分汇总!$E:$E)</f>
        <v>0</v>
      </c>
      <c r="H265" s="77">
        <f>SUMIF(记录巡查问题条数汇总!$B:$B,C264,记录巡查问题条数汇总!$E:$E)</f>
        <v>0</v>
      </c>
      <c r="I265" s="77"/>
      <c r="J265" s="77">
        <f>SUMIF(安全质量事故!$B:$B,C264,安全质量事故!$G:$G)</f>
        <v>0</v>
      </c>
      <c r="K265" s="72">
        <f>COUNTIF(L265:AP265,标准数据!$A$2)*标准数据!$B$2+COUNTIF(L265:AP265,标准数据!$A$3)*标准数据!$B$3+COUNTIF(L265:AP265,标准数据!$A$4)*标准数据!$B$4</f>
        <v>0</v>
      </c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189"/>
      <c r="AQ265" s="55"/>
      <c r="AR265" s="182"/>
    </row>
    <row r="266" spans="1:48" ht="21" customHeight="1">
      <c r="A266" s="267" t="s">
        <v>2111</v>
      </c>
      <c r="B266" s="45" t="s">
        <v>129</v>
      </c>
      <c r="C266" s="46" t="s">
        <v>1643</v>
      </c>
      <c r="D266" s="47" t="s">
        <v>1644</v>
      </c>
      <c r="E266" s="48">
        <v>46195</v>
      </c>
      <c r="F266" s="49">
        <f t="shared" si="13"/>
        <v>0</v>
      </c>
      <c r="G266" s="77">
        <f>SUMIF(积分汇总!$B:$B,C265,积分汇总!$E:$E)</f>
        <v>0</v>
      </c>
      <c r="H266" s="77">
        <f>SUMIF(记录巡查问题条数汇总!$B:$B,C265,记录巡查问题条数汇总!$E:$E)</f>
        <v>0</v>
      </c>
      <c r="I266" s="77"/>
      <c r="J266" s="77">
        <f>SUMIF(安全质量事故!$B:$B,C265,安全质量事故!$G:$G)</f>
        <v>0</v>
      </c>
      <c r="K266" s="72">
        <f>COUNTIF(L266:AP266,标准数据!$A$2)*标准数据!$B$2+COUNTIF(L266:AP266,标准数据!$A$3)*标准数据!$B$3+COUNTIF(L266:AP266,标准数据!$A$4)*标准数据!$B$4</f>
        <v>0</v>
      </c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189"/>
      <c r="AQ266" s="55"/>
      <c r="AR266" s="182"/>
    </row>
    <row r="267" spans="1:48" ht="21" customHeight="1">
      <c r="A267" s="267" t="s">
        <v>2111</v>
      </c>
      <c r="B267" s="45" t="s">
        <v>129</v>
      </c>
      <c r="C267" s="46" t="s">
        <v>1645</v>
      </c>
      <c r="D267" s="47" t="s">
        <v>1646</v>
      </c>
      <c r="E267" s="48">
        <v>46195</v>
      </c>
      <c r="F267" s="49">
        <f t="shared" si="13"/>
        <v>0</v>
      </c>
      <c r="G267" s="77">
        <f>SUMIF(积分汇总!$B:$B,C266,积分汇总!$E:$E)</f>
        <v>0</v>
      </c>
      <c r="H267" s="77">
        <f>SUMIF(记录巡查问题条数汇总!$B:$B,C266,记录巡查问题条数汇总!$E:$E)</f>
        <v>0</v>
      </c>
      <c r="I267" s="77"/>
      <c r="J267" s="77">
        <f>SUMIF(安全质量事故!$B:$B,C266,安全质量事故!$G:$G)</f>
        <v>0</v>
      </c>
      <c r="K267" s="72">
        <f>COUNTIF(L267:AP267,标准数据!$A$2)*标准数据!$B$2+COUNTIF(L267:AP267,标准数据!$A$3)*标准数据!$B$3+COUNTIF(L267:AP267,标准数据!$A$4)*标准数据!$B$4</f>
        <v>0</v>
      </c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189"/>
      <c r="AQ267" s="55"/>
      <c r="AR267" s="105"/>
      <c r="AS267" s="41"/>
      <c r="AT267" s="41"/>
    </row>
    <row r="268" spans="1:48" ht="21" customHeight="1">
      <c r="A268" s="267" t="s">
        <v>2111</v>
      </c>
      <c r="B268" s="45" t="s">
        <v>129</v>
      </c>
      <c r="C268" s="46" t="s">
        <v>724</v>
      </c>
      <c r="D268" s="47" t="s">
        <v>686</v>
      </c>
      <c r="E268" s="48">
        <v>45854</v>
      </c>
      <c r="F268" s="49">
        <f t="shared" si="13"/>
        <v>0</v>
      </c>
      <c r="G268" s="77">
        <f>SUMIF(积分汇总!$B:$B,C267,积分汇总!$E:$E)</f>
        <v>0</v>
      </c>
      <c r="H268" s="77">
        <f>SUMIF(记录巡查问题条数汇总!$B:$B,C267,记录巡查问题条数汇总!$E:$E)</f>
        <v>0</v>
      </c>
      <c r="I268" s="77"/>
      <c r="J268" s="77">
        <f>SUMIF(安全质量事故!$B:$B,C267,安全质量事故!$G:$G)</f>
        <v>0</v>
      </c>
      <c r="K268" s="72">
        <f>COUNTIF(L268:AP268,标准数据!$A$2)*标准数据!$B$2+COUNTIF(L268:AP268,标准数据!$A$3)*标准数据!$B$3+COUNTIF(L268:AP268,标准数据!$A$4)*标准数据!$B$4</f>
        <v>0</v>
      </c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189"/>
      <c r="AQ268" s="55"/>
      <c r="AR268" s="182"/>
    </row>
    <row r="269" spans="1:48" ht="21" customHeight="1">
      <c r="A269" s="267" t="s">
        <v>2111</v>
      </c>
      <c r="B269" s="45" t="s">
        <v>146</v>
      </c>
      <c r="C269" s="46" t="s">
        <v>1008</v>
      </c>
      <c r="D269" s="47" t="s">
        <v>1009</v>
      </c>
      <c r="E269" s="48">
        <v>45980</v>
      </c>
      <c r="F269" s="49">
        <f t="shared" si="13"/>
        <v>0</v>
      </c>
      <c r="G269" s="77">
        <f>SUMIF(积分汇总!$B:$B,,积分汇总!$E:$E)</f>
        <v>0</v>
      </c>
      <c r="H269" s="77">
        <f>SUMIF(记录巡查问题条数汇总!$B:$B,,记录巡查问题条数汇总!$E:$E)</f>
        <v>0</v>
      </c>
      <c r="I269" s="77"/>
      <c r="J269" s="77">
        <f>SUMIF(安全质量事故!$B:$B,,安全质量事故!$G:$G)</f>
        <v>0</v>
      </c>
      <c r="K269" s="72">
        <f>COUNTIF(L269:AP269,标准数据!$A$2)*标准数据!$B$2+COUNTIF(L269:AP269,标准数据!$A$3)*标准数据!$B$3+COUNTIF(L269:AP269,标准数据!$A$4)*标准数据!$B$4</f>
        <v>0</v>
      </c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189"/>
      <c r="AQ269" s="55"/>
      <c r="AR269" s="182"/>
    </row>
    <row r="270" spans="1:48" ht="21" customHeight="1">
      <c r="A270" s="267" t="s">
        <v>2111</v>
      </c>
      <c r="B270" s="45" t="s">
        <v>146</v>
      </c>
      <c r="C270" s="46" t="s">
        <v>1989</v>
      </c>
      <c r="D270" s="47" t="s">
        <v>1990</v>
      </c>
      <c r="E270" s="48">
        <v>46225</v>
      </c>
      <c r="F270" s="49">
        <f t="shared" si="13"/>
        <v>0</v>
      </c>
      <c r="G270" s="77">
        <f>SUMIF(积分汇总!$B:$B,C269,积分汇总!$E:$E)</f>
        <v>0</v>
      </c>
      <c r="H270" s="77">
        <f>SUMIF(记录巡查问题条数汇总!$B:$B,C269,记录巡查问题条数汇总!$E:$E)</f>
        <v>0</v>
      </c>
      <c r="I270" s="77"/>
      <c r="J270" s="77">
        <f>SUMIF(安全质量事故!$B:$B,C269,安全质量事故!$G:$G)</f>
        <v>0</v>
      </c>
      <c r="K270" s="72">
        <f>COUNTIF(L270:AP270,标准数据!$A$2)*标准数据!$B$2+COUNTIF(L270:AP270,标准数据!$A$3)*标准数据!$B$3+COUNTIF(L270:AP270,标准数据!$A$4)*标准数据!$B$4</f>
        <v>0</v>
      </c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189"/>
      <c r="AQ270" s="55"/>
      <c r="AR270" s="182"/>
    </row>
    <row r="271" spans="1:48" ht="21" customHeight="1">
      <c r="A271" s="267" t="s">
        <v>2111</v>
      </c>
      <c r="B271" s="45" t="s">
        <v>146</v>
      </c>
      <c r="C271" s="46" t="s">
        <v>1991</v>
      </c>
      <c r="D271" s="47" t="s">
        <v>1992</v>
      </c>
      <c r="E271" s="48">
        <v>46225</v>
      </c>
      <c r="F271" s="49">
        <f t="shared" si="13"/>
        <v>0</v>
      </c>
      <c r="G271" s="77">
        <f>SUMIF(积分汇总!$B:$B,C270,积分汇总!$E:$E)</f>
        <v>0</v>
      </c>
      <c r="H271" s="77">
        <f>SUMIF(记录巡查问题条数汇总!$B:$B,C270,记录巡查问题条数汇总!$E:$E)</f>
        <v>0</v>
      </c>
      <c r="I271" s="77"/>
      <c r="J271" s="77">
        <f>SUMIF(安全质量事故!$B:$B,C270,安全质量事故!$G:$G)</f>
        <v>0</v>
      </c>
      <c r="K271" s="72">
        <f>COUNTIF(L271:AP271,标准数据!$A$2)*标准数据!$B$2+COUNTIF(L271:AP271,标准数据!$A$3)*标准数据!$B$3+COUNTIF(L271:AP271,标准数据!$A$4)*标准数据!$B$4</f>
        <v>0</v>
      </c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189"/>
      <c r="AQ271" s="55"/>
      <c r="AR271" s="182"/>
    </row>
    <row r="272" spans="1:48" s="51" customFormat="1" ht="21" customHeight="1">
      <c r="A272" s="267" t="s">
        <v>2111</v>
      </c>
      <c r="B272" s="45" t="s">
        <v>81</v>
      </c>
      <c r="C272" s="46" t="s">
        <v>1104</v>
      </c>
      <c r="D272" s="52" t="s">
        <v>1105</v>
      </c>
      <c r="E272" s="46">
        <v>43530</v>
      </c>
      <c r="F272" s="49">
        <f t="shared" ref="F272" si="14">(K272+G272+H272+I272-J272)</f>
        <v>0</v>
      </c>
      <c r="G272" s="77">
        <f>SUMIF(积分汇总!$B:$B,C270,积分汇总!$E:$E)</f>
        <v>0</v>
      </c>
      <c r="H272" s="77">
        <f>SUMIF(记录巡查问题条数汇总!$B:$B,C270,记录巡查问题条数汇总!$E:$E)</f>
        <v>0</v>
      </c>
      <c r="I272" s="77"/>
      <c r="J272" s="77">
        <f>SUMIF(安全质量事故!$B:$B,C270,安全质量事故!$G:$G)</f>
        <v>0</v>
      </c>
      <c r="K272" s="72">
        <f>COUNTIF(L272:AP272,标准数据!$A$2)*标准数据!$B$2+COUNTIF(L272:AP272,标准数据!$A$3)*标准数据!$B$3+COUNTIF(L272:AP272,标准数据!$A$4)*标准数据!$B$4</f>
        <v>0</v>
      </c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189"/>
      <c r="AQ272" s="55"/>
      <c r="AR272" s="182"/>
      <c r="AU272" s="76"/>
      <c r="AV272" s="41"/>
    </row>
    <row r="273" spans="1:48" ht="21" customHeight="1">
      <c r="A273" s="227" t="s">
        <v>2112</v>
      </c>
      <c r="B273" s="45" t="s">
        <v>81</v>
      </c>
      <c r="C273" s="47" t="s">
        <v>1435</v>
      </c>
      <c r="D273" s="52" t="s">
        <v>1436</v>
      </c>
      <c r="E273" s="46">
        <v>46176</v>
      </c>
      <c r="F273" s="49">
        <f t="shared" si="11"/>
        <v>0</v>
      </c>
      <c r="G273" s="77">
        <f>SUMIF(积分汇总!$B:$B,,积分汇总!$E:$E)</f>
        <v>0</v>
      </c>
      <c r="H273" s="77">
        <f>SUMIF(记录巡查问题条数汇总!$B:$B,,记录巡查问题条数汇总!$E:$E)</f>
        <v>0</v>
      </c>
      <c r="I273" s="77"/>
      <c r="J273" s="77">
        <f>SUMIF(安全质量事故!$B:$B,,安全质量事故!$G:$G)</f>
        <v>0</v>
      </c>
      <c r="K273" s="72">
        <f>COUNTIF(L273:AP273,标准数据!$A$2)*标准数据!$B$2+COUNTIF(L273:AP273,标准数据!$A$3)*标准数据!$B$3+COUNTIF(L273:AP273,标准数据!$A$4)*标准数据!$B$4</f>
        <v>0</v>
      </c>
      <c r="L273" s="55"/>
      <c r="M273" s="55"/>
      <c r="N273" s="55"/>
      <c r="O273" s="55"/>
      <c r="P273" s="56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190"/>
      <c r="AQ273" s="55"/>
      <c r="AR273" s="283" t="s">
        <v>1033</v>
      </c>
      <c r="AS273" s="284"/>
      <c r="AT273" s="284"/>
    </row>
    <row r="274" spans="1:48" ht="21" customHeight="1">
      <c r="A274" s="227" t="s">
        <v>2112</v>
      </c>
      <c r="B274" s="45" t="s">
        <v>14</v>
      </c>
      <c r="C274" s="46" t="s">
        <v>1983</v>
      </c>
      <c r="D274" s="47" t="s">
        <v>1984</v>
      </c>
      <c r="E274" s="48">
        <v>46246</v>
      </c>
      <c r="F274" s="49">
        <f t="shared" si="11"/>
        <v>0</v>
      </c>
      <c r="G274" s="77">
        <f>SUMIF(积分汇总!$B:$B,C273,积分汇总!$E:$E)</f>
        <v>0</v>
      </c>
      <c r="H274" s="77">
        <f>SUMIF(记录巡查问题条数汇总!$B:$B,C273,记录巡查问题条数汇总!$E:$E)</f>
        <v>0</v>
      </c>
      <c r="I274" s="77"/>
      <c r="J274" s="77">
        <f>SUMIF(安全质量事故!$B:$B,C273,安全质量事故!$G:$G)</f>
        <v>0</v>
      </c>
      <c r="K274" s="72">
        <f>COUNTIF(L274:AP274,标准数据!$A$2)*标准数据!$B$2+COUNTIF(L274:AP274,标准数据!$A$3)*标准数据!$B$3+COUNTIF(L274:AP274,标准数据!$A$4)*标准数据!$B$4</f>
        <v>0</v>
      </c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189"/>
      <c r="AQ274" s="55"/>
      <c r="AR274" s="43" t="s">
        <v>1026</v>
      </c>
      <c r="AS274" s="44" t="s">
        <v>1027</v>
      </c>
      <c r="AT274" s="44" t="s">
        <v>1028</v>
      </c>
    </row>
    <row r="275" spans="1:48" ht="21" customHeight="1">
      <c r="A275" s="227" t="s">
        <v>2112</v>
      </c>
      <c r="B275" s="45" t="s">
        <v>129</v>
      </c>
      <c r="C275" s="46" t="s">
        <v>398</v>
      </c>
      <c r="D275" s="47" t="s">
        <v>390</v>
      </c>
      <c r="E275" s="48">
        <v>45770</v>
      </c>
      <c r="F275" s="49">
        <f t="shared" si="11"/>
        <v>0</v>
      </c>
      <c r="G275" s="77">
        <f>SUMIF(积分汇总!$B:$B,C274,积分汇总!$E:$E)</f>
        <v>0</v>
      </c>
      <c r="H275" s="77">
        <f>SUMIF(记录巡查问题条数汇总!$B:$B,C274,记录巡查问题条数汇总!$E:$E)</f>
        <v>0</v>
      </c>
      <c r="I275" s="77"/>
      <c r="J275" s="77">
        <f>SUMIF(安全质量事故!$B:$B,C274,安全质量事故!$G:$G)</f>
        <v>0</v>
      </c>
      <c r="K275" s="72">
        <f>COUNTIF(L275:AP275,标准数据!$A$2)*标准数据!$B$2+COUNTIF(L275:AP275,标准数据!$A$3)*标准数据!$B$3+COUNTIF(L275:AP275,标准数据!$A$4)*标准数据!$B$4</f>
        <v>0</v>
      </c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189"/>
      <c r="AQ275" s="55"/>
      <c r="AR275" s="64">
        <f>COUNTIF($L$273:$AP$380,"a")</f>
        <v>0</v>
      </c>
      <c r="AS275" s="64">
        <f>COUNTIF($L$273:$AP$380,"b")</f>
        <v>0</v>
      </c>
      <c r="AT275" s="64">
        <f>COUNTIF($L$273:$AP$380,"c")</f>
        <v>0</v>
      </c>
    </row>
    <row r="276" spans="1:48" ht="21" customHeight="1">
      <c r="A276" s="227" t="s">
        <v>2112</v>
      </c>
      <c r="B276" s="45" t="s">
        <v>81</v>
      </c>
      <c r="C276" s="46" t="s">
        <v>246</v>
      </c>
      <c r="D276" s="52" t="s">
        <v>257</v>
      </c>
      <c r="E276" s="46">
        <v>43661</v>
      </c>
      <c r="F276" s="49">
        <f t="shared" si="11"/>
        <v>0</v>
      </c>
      <c r="G276" s="77">
        <f>SUMIF(积分汇总!$B:$B,C275,积分汇总!$E:$E)</f>
        <v>0</v>
      </c>
      <c r="H276" s="77">
        <f>SUMIF(记录巡查问题条数汇总!$B:$B,C275,记录巡查问题条数汇总!$E:$E)</f>
        <v>0</v>
      </c>
      <c r="I276" s="77"/>
      <c r="J276" s="77">
        <f>SUMIF(安全质量事故!$B:$B,C275,安全质量事故!$G:$G)</f>
        <v>0</v>
      </c>
      <c r="K276" s="72">
        <f>COUNTIF(L276:AP276,标准数据!$A$2)*标准数据!$B$2+COUNTIF(L276:AP276,标准数据!$A$3)*标准数据!$B$3+COUNTIF(L276:AP276,标准数据!$A$4)*标准数据!$B$4</f>
        <v>0</v>
      </c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189"/>
      <c r="AQ276" s="55"/>
      <c r="AR276" s="50" t="e">
        <f>AR275/($AR$275+$AS$275+$AT$275)</f>
        <v>#DIV/0!</v>
      </c>
      <c r="AS276" s="50" t="e">
        <f>AS275/($AR$275+$AS$275+$AT$275)</f>
        <v>#DIV/0!</v>
      </c>
      <c r="AT276" s="50" t="e">
        <f>AT275/($AR$275+$AS$275+$AT$275)</f>
        <v>#DIV/0!</v>
      </c>
    </row>
    <row r="277" spans="1:48" s="51" customFormat="1" ht="21" customHeight="1">
      <c r="A277" s="227" t="s">
        <v>2112</v>
      </c>
      <c r="B277" s="45" t="s">
        <v>81</v>
      </c>
      <c r="C277" s="46" t="s">
        <v>929</v>
      </c>
      <c r="D277" s="52" t="s">
        <v>884</v>
      </c>
      <c r="E277" s="46">
        <v>46029</v>
      </c>
      <c r="F277" s="49">
        <f t="shared" ref="F277:F283" si="15">(K277+G277+H277+I277-J277)</f>
        <v>0</v>
      </c>
      <c r="G277" s="77">
        <f>SUMIF(积分汇总!$B:$B,,积分汇总!$E:$E)</f>
        <v>0</v>
      </c>
      <c r="H277" s="77">
        <f>SUMIF(记录巡查问题条数汇总!$B:$B,,记录巡查问题条数汇总!$E:$E)</f>
        <v>0</v>
      </c>
      <c r="I277" s="77"/>
      <c r="J277" s="77">
        <f>SUMIF(安全质量事故!$B:$B,,安全质量事故!$G:$G)</f>
        <v>0</v>
      </c>
      <c r="K277" s="72">
        <f>COUNTIF(L277:AP277,标准数据!$A$2)*标准数据!$B$2+COUNTIF(L277:AP277,标准数据!$A$3)*标准数据!$B$3+COUNTIF(L277:AP277,标准数据!$A$4)*标准数据!$B$4</f>
        <v>0</v>
      </c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189"/>
      <c r="AQ277" s="55"/>
      <c r="AU277" s="76"/>
      <c r="AV277" s="41"/>
    </row>
    <row r="278" spans="1:48" ht="18.75" customHeight="1">
      <c r="A278" s="227" t="s">
        <v>2112</v>
      </c>
      <c r="B278" s="45" t="s">
        <v>81</v>
      </c>
      <c r="C278" s="47" t="s">
        <v>1102</v>
      </c>
      <c r="D278" s="52" t="s">
        <v>1103</v>
      </c>
      <c r="E278" s="46">
        <v>46106</v>
      </c>
      <c r="F278" s="49">
        <f t="shared" si="15"/>
        <v>0</v>
      </c>
      <c r="G278" s="77">
        <f>SUMIF(积分汇总!$B:$B,C277,积分汇总!$E:$E)</f>
        <v>0</v>
      </c>
      <c r="H278" s="77">
        <f>SUMIF(记录巡查问题条数汇总!$B:$B,C277,记录巡查问题条数汇总!$E:$E)</f>
        <v>0</v>
      </c>
      <c r="I278" s="77"/>
      <c r="J278" s="77">
        <f>SUMIF(安全质量事故!$B:$B,C277,安全质量事故!$G:$G)</f>
        <v>0</v>
      </c>
      <c r="K278" s="72">
        <f>COUNTIF(L278:AP278,标准数据!$A$2)*标准数据!$B$2+COUNTIF(L278:AP278,标准数据!$A$3)*标准数据!$B$3+COUNTIF(L278:AP278,标准数据!$A$4)*标准数据!$B$4</f>
        <v>0</v>
      </c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189"/>
      <c r="AQ278" s="55"/>
      <c r="AR278" s="41"/>
      <c r="AS278" s="41"/>
      <c r="AT278" s="41"/>
    </row>
    <row r="279" spans="1:48" ht="21" customHeight="1">
      <c r="A279" s="227" t="s">
        <v>2112</v>
      </c>
      <c r="B279" s="45" t="s">
        <v>81</v>
      </c>
      <c r="C279" s="47" t="s">
        <v>1445</v>
      </c>
      <c r="D279" s="52" t="s">
        <v>1446</v>
      </c>
      <c r="E279" s="46">
        <v>45469</v>
      </c>
      <c r="F279" s="49">
        <f t="shared" si="15"/>
        <v>0</v>
      </c>
      <c r="G279" s="77">
        <f>SUMIF(积分汇总!$B:$B,C278,积分汇总!$E:$E)</f>
        <v>0</v>
      </c>
      <c r="H279" s="77">
        <f>SUMIF(记录巡查问题条数汇总!$B:$B,C278,记录巡查问题条数汇总!$E:$E)</f>
        <v>0</v>
      </c>
      <c r="I279" s="77"/>
      <c r="J279" s="77">
        <f>SUMIF(安全质量事故!$B:$B,C278,安全质量事故!$G:$G)</f>
        <v>0</v>
      </c>
      <c r="K279" s="72">
        <f>COUNTIF(L279:AP279,标准数据!$A$2)*标准数据!$B$2+COUNTIF(L279:AP279,标准数据!$A$3)*标准数据!$B$3+COUNTIF(L279:AP279,标准数据!$A$4)*标准数据!$B$4</f>
        <v>0</v>
      </c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189"/>
      <c r="AQ279" s="55"/>
      <c r="AR279" s="41"/>
      <c r="AS279" s="41"/>
      <c r="AT279" s="41"/>
    </row>
    <row r="280" spans="1:48" ht="21" customHeight="1">
      <c r="A280" s="227" t="s">
        <v>2112</v>
      </c>
      <c r="B280" s="45" t="s">
        <v>81</v>
      </c>
      <c r="C280" s="46" t="s">
        <v>1423</v>
      </c>
      <c r="D280" s="52" t="s">
        <v>1424</v>
      </c>
      <c r="E280" s="46">
        <v>46132</v>
      </c>
      <c r="F280" s="49">
        <f t="shared" si="15"/>
        <v>0</v>
      </c>
      <c r="G280" s="77">
        <f>SUMIF(积分汇总!$B:$B,C279,积分汇总!$E:$E)</f>
        <v>0</v>
      </c>
      <c r="H280" s="77">
        <f>SUMIF(记录巡查问题条数汇总!$B:$B,C279,记录巡查问题条数汇总!$E:$E)</f>
        <v>0</v>
      </c>
      <c r="I280" s="77"/>
      <c r="J280" s="77">
        <f>SUMIF(安全质量事故!$B:$B,C279,安全质量事故!$G:$G)</f>
        <v>0</v>
      </c>
      <c r="K280" s="72">
        <f>COUNTIF(L280:AP280,标准数据!$A$2)*标准数据!$B$2+COUNTIF(L280:AP280,标准数据!$A$3)*标准数据!$B$3+COUNTIF(L280:AP280,标准数据!$A$4)*标准数据!$B$4</f>
        <v>0</v>
      </c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189"/>
      <c r="AQ280" s="55"/>
      <c r="AR280" s="41"/>
      <c r="AS280" s="41"/>
      <c r="AT280" s="41"/>
    </row>
    <row r="281" spans="1:48" s="51" customFormat="1" ht="21" customHeight="1">
      <c r="A281" s="227" t="s">
        <v>2112</v>
      </c>
      <c r="B281" s="45" t="s">
        <v>81</v>
      </c>
      <c r="C281" s="47" t="s">
        <v>1935</v>
      </c>
      <c r="D281" s="52" t="s">
        <v>1936</v>
      </c>
      <c r="E281" s="46">
        <v>46253</v>
      </c>
      <c r="F281" s="49">
        <f t="shared" si="15"/>
        <v>0</v>
      </c>
      <c r="G281" s="77">
        <f>SUMIF(积分汇总!$B:$B,C280,积分汇总!$E:$E)</f>
        <v>0</v>
      </c>
      <c r="H281" s="77">
        <f>SUMIF(记录巡查问题条数汇总!$B:$B,C280,记录巡查问题条数汇总!$E:$E)</f>
        <v>0</v>
      </c>
      <c r="I281" s="77"/>
      <c r="J281" s="77">
        <f>SUMIF(安全质量事故!$B:$B,C280,安全质量事故!$G:$G)</f>
        <v>0</v>
      </c>
      <c r="K281" s="72">
        <f>COUNTIF(L281:AP281,标准数据!$A$2)*标准数据!$B$2+COUNTIF(L281:AP281,标准数据!$A$3)*标准数据!$B$3+COUNTIF(L281:AP281,标准数据!$A$4)*标准数据!$B$4</f>
        <v>0</v>
      </c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189"/>
      <c r="AQ281" s="55"/>
      <c r="AU281" s="76"/>
      <c r="AV281" s="41"/>
    </row>
    <row r="282" spans="1:48" s="51" customFormat="1" ht="21" customHeight="1">
      <c r="A282" s="227" t="s">
        <v>2112</v>
      </c>
      <c r="B282" s="45" t="s">
        <v>154</v>
      </c>
      <c r="C282" s="46" t="s">
        <v>230</v>
      </c>
      <c r="D282" s="47" t="s">
        <v>231</v>
      </c>
      <c r="E282" s="48">
        <v>45483</v>
      </c>
      <c r="F282" s="49">
        <f t="shared" si="15"/>
        <v>0</v>
      </c>
      <c r="G282" s="77">
        <f>SUMIF(积分汇总!$B:$B,C281,积分汇总!$E:$E)</f>
        <v>0</v>
      </c>
      <c r="H282" s="77">
        <f>SUMIF(记录巡查问题条数汇总!$B:$B,C281,记录巡查问题条数汇总!$E:$E)</f>
        <v>0</v>
      </c>
      <c r="I282" s="77"/>
      <c r="J282" s="77">
        <f>SUMIF(安全质量事故!$B:$B,C281,安全质量事故!$G:$G)</f>
        <v>0</v>
      </c>
      <c r="K282" s="72">
        <f>COUNTIF(L282:AP282,标准数据!$A$2)*标准数据!$B$2+COUNTIF(L282:AP282,标准数据!$A$3)*标准数据!$B$3+COUNTIF(L282:AP282,标准数据!$A$4)*标准数据!$B$4</f>
        <v>0</v>
      </c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189"/>
      <c r="AQ282" s="55"/>
      <c r="AU282" s="76"/>
      <c r="AV282" s="41"/>
    </row>
    <row r="283" spans="1:48" s="51" customFormat="1" ht="21" customHeight="1">
      <c r="A283" s="227" t="s">
        <v>2112</v>
      </c>
      <c r="B283" s="45" t="s">
        <v>154</v>
      </c>
      <c r="C283" s="46" t="s">
        <v>2101</v>
      </c>
      <c r="D283" s="47" t="s">
        <v>58</v>
      </c>
      <c r="E283" s="48">
        <v>44489</v>
      </c>
      <c r="F283" s="49">
        <f t="shared" si="15"/>
        <v>0</v>
      </c>
      <c r="G283" s="77">
        <f>SUMIF(积分汇总!$B:$B,,积分汇总!$E:$E)</f>
        <v>0</v>
      </c>
      <c r="H283" s="77">
        <f>SUMIF(记录巡查问题条数汇总!$B:$B,,记录巡查问题条数汇总!$E:$E)</f>
        <v>0</v>
      </c>
      <c r="I283" s="77"/>
      <c r="J283" s="77">
        <f>SUMIF(安全质量事故!$B:$B,,安全质量事故!$G:$G)</f>
        <v>0</v>
      </c>
      <c r="K283" s="72">
        <f>COUNTIF(L283:AP283,标准数据!$A$2)*标准数据!$B$2+COUNTIF(L283:AP283,标准数据!$A$3)*标准数据!$B$3+COUNTIF(L283:AP283,标准数据!$A$4)*标准数据!$B$4</f>
        <v>0</v>
      </c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189"/>
      <c r="AQ283" s="55"/>
      <c r="AU283" s="76"/>
      <c r="AV283" s="41"/>
    </row>
    <row r="284" spans="1:48" s="51" customFormat="1" ht="21" customHeight="1">
      <c r="A284" s="227" t="s">
        <v>2112</v>
      </c>
      <c r="B284" s="45" t="s">
        <v>131</v>
      </c>
      <c r="C284" s="46" t="s">
        <v>250</v>
      </c>
      <c r="D284" s="47" t="s">
        <v>232</v>
      </c>
      <c r="E284" s="48">
        <v>44753</v>
      </c>
      <c r="F284" s="49">
        <f t="shared" si="11"/>
        <v>0</v>
      </c>
      <c r="G284" s="77">
        <f>SUMIF(积分汇总!$B:$B,,积分汇总!$E:$E)</f>
        <v>0</v>
      </c>
      <c r="H284" s="77">
        <f>SUMIF(记录巡查问题条数汇总!$B:$B,,记录巡查问题条数汇总!$E:$E)</f>
        <v>0</v>
      </c>
      <c r="I284" s="77"/>
      <c r="J284" s="77">
        <f>SUMIF(安全质量事故!$B:$B,,安全质量事故!$G:$G)</f>
        <v>0</v>
      </c>
      <c r="K284" s="72">
        <f>COUNTIF(L284:AP284,标准数据!$A$2)*标准数据!$B$2+COUNTIF(L284:AP284,标准数据!$A$3)*标准数据!$B$3+COUNTIF(L284:AP284,标准数据!$A$4)*标准数据!$B$4</f>
        <v>0</v>
      </c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189"/>
      <c r="AQ284" s="55"/>
      <c r="AU284" s="76"/>
      <c r="AV284" s="41"/>
    </row>
    <row r="285" spans="1:48" ht="18.75" customHeight="1">
      <c r="A285" s="227" t="s">
        <v>2112</v>
      </c>
      <c r="B285" s="45" t="s">
        <v>131</v>
      </c>
      <c r="C285" s="46" t="s">
        <v>194</v>
      </c>
      <c r="D285" s="52" t="s">
        <v>179</v>
      </c>
      <c r="E285" s="46">
        <v>45000</v>
      </c>
      <c r="F285" s="49">
        <f t="shared" si="11"/>
        <v>0</v>
      </c>
      <c r="G285" s="77">
        <f>SUMIF(积分汇总!$B:$B,C284,积分汇总!$E:$E)</f>
        <v>0</v>
      </c>
      <c r="H285" s="77">
        <f>SUMIF(记录巡查问题条数汇总!$B:$B,C284,记录巡查问题条数汇总!$E:$E)</f>
        <v>0</v>
      </c>
      <c r="I285" s="77"/>
      <c r="J285" s="77">
        <f>SUMIF(安全质量事故!$B:$B,C284,安全质量事故!$G:$G)</f>
        <v>0</v>
      </c>
      <c r="K285" s="72">
        <f>COUNTIF(L285:AP285,标准数据!$A$2)*标准数据!$B$2+COUNTIF(L285:AP285,标准数据!$A$3)*标准数据!$B$3+COUNTIF(L285:AP285,标准数据!$A$4)*标准数据!$B$4</f>
        <v>0</v>
      </c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189"/>
      <c r="AQ285" s="55"/>
      <c r="AR285" s="41"/>
      <c r="AS285" s="41"/>
      <c r="AT285" s="41"/>
    </row>
    <row r="286" spans="1:48" ht="18.75" customHeight="1">
      <c r="A286" s="227" t="s">
        <v>2112</v>
      </c>
      <c r="B286" s="45" t="s">
        <v>131</v>
      </c>
      <c r="C286" s="46" t="s">
        <v>1993</v>
      </c>
      <c r="D286" s="52" t="s">
        <v>1994</v>
      </c>
      <c r="E286" s="46">
        <v>46246</v>
      </c>
      <c r="F286" s="49">
        <f t="shared" si="11"/>
        <v>0</v>
      </c>
      <c r="G286" s="77">
        <f>SUMIF(积分汇总!$B:$B,,积分汇总!$E:$E)</f>
        <v>0</v>
      </c>
      <c r="H286" s="77">
        <f>SUMIF(记录巡查问题条数汇总!$B:$B,,记录巡查问题条数汇总!$E:$E)</f>
        <v>0</v>
      </c>
      <c r="I286" s="77"/>
      <c r="J286" s="77">
        <f>SUMIF(安全质量事故!$B:$B,,安全质量事故!$G:$G)</f>
        <v>0</v>
      </c>
      <c r="K286" s="72">
        <f>COUNTIF(L286:AP286,标准数据!$A$2)*标准数据!$B$2+COUNTIF(L286:AP286,标准数据!$A$3)*标准数据!$B$3+COUNTIF(L286:AP286,标准数据!$A$4)*标准数据!$B$4</f>
        <v>0</v>
      </c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189"/>
      <c r="AQ286" s="55"/>
      <c r="AR286" s="41"/>
      <c r="AS286" s="41"/>
      <c r="AT286" s="41"/>
    </row>
    <row r="287" spans="1:48" ht="21" customHeight="1">
      <c r="A287" s="227" t="s">
        <v>2112</v>
      </c>
      <c r="B287" s="45" t="s">
        <v>14</v>
      </c>
      <c r="C287" s="46" t="s">
        <v>192</v>
      </c>
      <c r="D287" s="52" t="s">
        <v>125</v>
      </c>
      <c r="E287" s="48">
        <v>45245</v>
      </c>
      <c r="F287" s="49">
        <f t="shared" si="11"/>
        <v>0</v>
      </c>
      <c r="G287" s="77">
        <f>SUMIF(积分汇总!$B:$B,C286,积分汇总!$E:$E)</f>
        <v>0</v>
      </c>
      <c r="H287" s="77">
        <f>SUMIF(记录巡查问题条数汇总!$B:$B,C286,记录巡查问题条数汇总!$E:$E)</f>
        <v>0</v>
      </c>
      <c r="I287" s="77"/>
      <c r="J287" s="77">
        <f>SUMIF(安全质量事故!$B:$B,C286,安全质量事故!$G:$G)</f>
        <v>0</v>
      </c>
      <c r="K287" s="72">
        <f>COUNTIF(L287:AP287,标准数据!$A$2)*标准数据!$B$2+COUNTIF(L287:AP287,标准数据!$A$3)*标准数据!$B$3+COUNTIF(L287:AP287,标准数据!$A$4)*标准数据!$B$4</f>
        <v>0</v>
      </c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189"/>
      <c r="AQ287" s="55"/>
    </row>
    <row r="288" spans="1:48" ht="21" customHeight="1">
      <c r="A288" s="227" t="s">
        <v>2112</v>
      </c>
      <c r="B288" s="45" t="s">
        <v>87</v>
      </c>
      <c r="C288" s="46" t="s">
        <v>124</v>
      </c>
      <c r="D288" s="52" t="s">
        <v>177</v>
      </c>
      <c r="E288" s="48">
        <v>45245</v>
      </c>
      <c r="F288" s="49">
        <f t="shared" si="11"/>
        <v>0</v>
      </c>
      <c r="G288" s="77">
        <f>SUMIF(积分汇总!$B:$B,C287,积分汇总!$E:$E)</f>
        <v>0</v>
      </c>
      <c r="H288" s="77">
        <f>SUMIF(记录巡查问题条数汇总!$B:$B,C287,记录巡查问题条数汇总!$E:$E)</f>
        <v>0</v>
      </c>
      <c r="I288" s="77"/>
      <c r="J288" s="77">
        <f>SUMIF(安全质量事故!$B:$B,C287,安全质量事故!$G:$G)</f>
        <v>0</v>
      </c>
      <c r="K288" s="72">
        <f>COUNTIF(L288:AP288,标准数据!$A$2)*标准数据!$B$2+COUNTIF(L288:AP288,标准数据!$A$3)*标准数据!$B$3+COUNTIF(L288:AP288,标准数据!$A$4)*标准数据!$B$4</f>
        <v>0</v>
      </c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189"/>
      <c r="AQ288" s="55"/>
    </row>
    <row r="289" spans="1:48" ht="21" customHeight="1">
      <c r="A289" s="227" t="s">
        <v>2112</v>
      </c>
      <c r="B289" s="45" t="s">
        <v>87</v>
      </c>
      <c r="C289" s="46" t="s">
        <v>320</v>
      </c>
      <c r="D289" s="47" t="s">
        <v>306</v>
      </c>
      <c r="E289" s="48">
        <v>45595</v>
      </c>
      <c r="F289" s="49">
        <f t="shared" si="11"/>
        <v>0</v>
      </c>
      <c r="G289" s="77">
        <f>SUMIF(积分汇总!$B:$B,C288,积分汇总!$E:$E)</f>
        <v>0</v>
      </c>
      <c r="H289" s="77">
        <f>SUMIF(记录巡查问题条数汇总!$B:$B,C288,记录巡查问题条数汇总!$E:$E)</f>
        <v>0</v>
      </c>
      <c r="I289" s="77"/>
      <c r="J289" s="77">
        <f>SUMIF(安全质量事故!$B:$B,C288,安全质量事故!$G:$G)</f>
        <v>0</v>
      </c>
      <c r="K289" s="72">
        <f>COUNTIF(L289:AP289,标准数据!$A$2)*标准数据!$B$2+COUNTIF(L289:AP289,标准数据!$A$3)*标准数据!$B$3+COUNTIF(L289:AP289,标准数据!$A$4)*标准数据!$B$4</f>
        <v>0</v>
      </c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189"/>
      <c r="AQ289" s="55"/>
    </row>
    <row r="290" spans="1:48" ht="21" customHeight="1">
      <c r="A290" s="227" t="s">
        <v>2112</v>
      </c>
      <c r="B290" s="45" t="s">
        <v>14</v>
      </c>
      <c r="C290" s="46" t="s">
        <v>321</v>
      </c>
      <c r="D290" s="47" t="s">
        <v>307</v>
      </c>
      <c r="E290" s="48">
        <v>45600</v>
      </c>
      <c r="F290" s="49">
        <f t="shared" si="11"/>
        <v>0</v>
      </c>
      <c r="G290" s="77">
        <f>SUMIF(积分汇总!$B:$B,C289,积分汇总!$E:$E)</f>
        <v>0</v>
      </c>
      <c r="H290" s="77">
        <f>SUMIF(记录巡查问题条数汇总!$B:$B,C289,记录巡查问题条数汇总!$E:$E)</f>
        <v>0</v>
      </c>
      <c r="I290" s="77"/>
      <c r="J290" s="77">
        <f>SUMIF(安全质量事故!$B:$B,C289,安全质量事故!$G:$G)</f>
        <v>0</v>
      </c>
      <c r="K290" s="72">
        <f>COUNTIF(L290:AP290,标准数据!$A$2)*标准数据!$B$2+COUNTIF(L290:AP290,标准数据!$A$3)*标准数据!$B$3+COUNTIF(L290:AP290,标准数据!$A$4)*标准数据!$B$4</f>
        <v>0</v>
      </c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189"/>
      <c r="AQ290" s="55"/>
    </row>
    <row r="291" spans="1:48" ht="21" customHeight="1">
      <c r="A291" s="227" t="s">
        <v>2112</v>
      </c>
      <c r="B291" s="45" t="s">
        <v>14</v>
      </c>
      <c r="C291" s="46" t="s">
        <v>350</v>
      </c>
      <c r="D291" s="47" t="s">
        <v>334</v>
      </c>
      <c r="E291" s="48">
        <v>45635</v>
      </c>
      <c r="F291" s="49">
        <f t="shared" si="11"/>
        <v>0</v>
      </c>
      <c r="G291" s="77">
        <f>SUMIF(积分汇总!$B:$B,C290,积分汇总!$E:$E)</f>
        <v>0</v>
      </c>
      <c r="H291" s="77">
        <f>SUMIF(记录巡查问题条数汇总!$B:$B,C290,记录巡查问题条数汇总!$E:$E)</f>
        <v>0</v>
      </c>
      <c r="I291" s="77"/>
      <c r="J291" s="77">
        <f>SUMIF(安全质量事故!$B:$B,C290,安全质量事故!$G:$G)</f>
        <v>0</v>
      </c>
      <c r="K291" s="72">
        <f>COUNTIF(L291:AP291,标准数据!$A$2)*标准数据!$B$2+COUNTIF(L291:AP291,标准数据!$A$3)*标准数据!$B$3+COUNTIF(L291:AP291,标准数据!$A$4)*标准数据!$B$4</f>
        <v>0</v>
      </c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189"/>
      <c r="AQ291" s="55"/>
    </row>
    <row r="292" spans="1:48" ht="21" customHeight="1">
      <c r="A292" s="227" t="s">
        <v>2112</v>
      </c>
      <c r="B292" s="45" t="s">
        <v>14</v>
      </c>
      <c r="C292" s="46" t="s">
        <v>548</v>
      </c>
      <c r="D292" s="47" t="s">
        <v>517</v>
      </c>
      <c r="E292" s="48">
        <v>45875</v>
      </c>
      <c r="F292" s="49">
        <f t="shared" si="11"/>
        <v>0</v>
      </c>
      <c r="G292" s="77">
        <f>SUMIF(积分汇总!$B:$B,,积分汇总!$E:$E)</f>
        <v>0</v>
      </c>
      <c r="H292" s="77">
        <f>SUMIF(记录巡查问题条数汇总!$B:$B,,记录巡查问题条数汇总!$E:$E)</f>
        <v>0</v>
      </c>
      <c r="I292" s="77"/>
      <c r="J292" s="77">
        <f>SUMIF(安全质量事故!$B:$B,,安全质量事故!$G:$G)</f>
        <v>0</v>
      </c>
      <c r="K292" s="72">
        <f>COUNTIF(L292:AP292,标准数据!$A$2)*标准数据!$B$2+COUNTIF(L292:AP292,标准数据!$A$3)*标准数据!$B$3+COUNTIF(L292:AP292,标准数据!$A$4)*标准数据!$B$4</f>
        <v>0</v>
      </c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189"/>
      <c r="AQ292" s="55"/>
    </row>
    <row r="293" spans="1:48" ht="21" customHeight="1">
      <c r="A293" s="227" t="s">
        <v>2112</v>
      </c>
      <c r="B293" s="45" t="s">
        <v>14</v>
      </c>
      <c r="C293" s="46" t="s">
        <v>943</v>
      </c>
      <c r="D293" s="47" t="s">
        <v>942</v>
      </c>
      <c r="E293" s="48">
        <v>45917</v>
      </c>
      <c r="F293" s="49">
        <f t="shared" si="11"/>
        <v>0</v>
      </c>
      <c r="G293" s="77">
        <f>SUMIF(积分汇总!$B:$B,C292,积分汇总!$E:$E)</f>
        <v>0</v>
      </c>
      <c r="H293" s="77">
        <f>SUMIF(记录巡查问题条数汇总!$B:$B,C292,记录巡查问题条数汇总!$E:$E)</f>
        <v>0</v>
      </c>
      <c r="I293" s="77"/>
      <c r="J293" s="77">
        <f>SUMIF(安全质量事故!$B:$B,C292,安全质量事故!$G:$G)</f>
        <v>0</v>
      </c>
      <c r="K293" s="72">
        <f>COUNTIF(L293:AP293,标准数据!$A$2)*标准数据!$B$2+COUNTIF(L293:AP293,标准数据!$A$3)*标准数据!$B$3+COUNTIF(L293:AP293,标准数据!$A$4)*标准数据!$B$4</f>
        <v>0</v>
      </c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189"/>
      <c r="AQ293" s="55"/>
    </row>
    <row r="294" spans="1:48" ht="21" customHeight="1">
      <c r="A294" s="227" t="s">
        <v>2112</v>
      </c>
      <c r="B294" s="45" t="s">
        <v>14</v>
      </c>
      <c r="C294" s="46" t="s">
        <v>644</v>
      </c>
      <c r="D294" s="47" t="s">
        <v>585</v>
      </c>
      <c r="E294" s="48">
        <v>45908</v>
      </c>
      <c r="F294" s="49">
        <f t="shared" si="11"/>
        <v>0</v>
      </c>
      <c r="G294" s="77">
        <f>SUMIF(积分汇总!$B:$B,C293,积分汇总!$E:$E)</f>
        <v>0</v>
      </c>
      <c r="H294" s="77">
        <f>SUMIF(记录巡查问题条数汇总!$B:$B,C293,记录巡查问题条数汇总!$E:$E)</f>
        <v>0</v>
      </c>
      <c r="I294" s="77"/>
      <c r="J294" s="77">
        <f>SUMIF(安全质量事故!$B:$B,C293,安全质量事故!$G:$G)</f>
        <v>0</v>
      </c>
      <c r="K294" s="72">
        <f>COUNTIF(L294:AP294,标准数据!$A$2)*标准数据!$B$2+COUNTIF(L294:AP294,标准数据!$A$3)*标准数据!$B$3+COUNTIF(L294:AP294,标准数据!$A$4)*标准数据!$B$4</f>
        <v>0</v>
      </c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189"/>
      <c r="AQ294" s="55"/>
    </row>
    <row r="295" spans="1:48" ht="21" customHeight="1">
      <c r="A295" s="227" t="s">
        <v>2112</v>
      </c>
      <c r="B295" s="45" t="s">
        <v>14</v>
      </c>
      <c r="C295" s="46" t="s">
        <v>722</v>
      </c>
      <c r="D295" s="47" t="s">
        <v>689</v>
      </c>
      <c r="E295" s="48">
        <v>45973</v>
      </c>
      <c r="F295" s="49">
        <f t="shared" si="11"/>
        <v>0</v>
      </c>
      <c r="G295" s="77">
        <f>SUMIF(积分汇总!$B:$B,C294,积分汇总!$E:$E)</f>
        <v>0</v>
      </c>
      <c r="H295" s="77">
        <f>SUMIF(记录巡查问题条数汇总!$B:$B,C294,记录巡查问题条数汇总!$E:$E)</f>
        <v>0</v>
      </c>
      <c r="I295" s="77"/>
      <c r="J295" s="77">
        <f>SUMIF(安全质量事故!$B:$B,C294,安全质量事故!$G:$G)</f>
        <v>0</v>
      </c>
      <c r="K295" s="72">
        <f>COUNTIF(L295:AP295,标准数据!$A$2)*标准数据!$B$2+COUNTIF(L295:AP295,标准数据!$A$3)*标准数据!$B$3+COUNTIF(L295:AP295,标准数据!$A$4)*标准数据!$B$4</f>
        <v>0</v>
      </c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189"/>
      <c r="AQ295" s="55"/>
      <c r="AR295" s="41"/>
      <c r="AS295" s="41"/>
      <c r="AT295" s="41"/>
    </row>
    <row r="296" spans="1:48" ht="21" customHeight="1">
      <c r="A296" s="227" t="s">
        <v>2112</v>
      </c>
      <c r="B296" s="45" t="s">
        <v>14</v>
      </c>
      <c r="C296" s="46" t="s">
        <v>723</v>
      </c>
      <c r="D296" s="47" t="s">
        <v>692</v>
      </c>
      <c r="E296" s="48">
        <v>45973</v>
      </c>
      <c r="F296" s="49">
        <f t="shared" ref="F296:F380" si="16">(K296+G296+H296+I296-J296)</f>
        <v>0</v>
      </c>
      <c r="G296" s="77">
        <f>SUMIF(积分汇总!$B:$B,C295,积分汇总!$E:$E)</f>
        <v>0</v>
      </c>
      <c r="H296" s="77">
        <f>SUMIF(记录巡查问题条数汇总!$B:$B,C295,记录巡查问题条数汇总!$E:$E)</f>
        <v>0</v>
      </c>
      <c r="I296" s="77"/>
      <c r="J296" s="77">
        <f>SUMIF(安全质量事故!$B:$B,C295,安全质量事故!$G:$G)</f>
        <v>0</v>
      </c>
      <c r="K296" s="72">
        <f>COUNTIF(L296:AP296,标准数据!$A$2)*标准数据!$B$2+COUNTIF(L296:AP296,标准数据!$A$3)*标准数据!$B$3+COUNTIF(L296:AP296,标准数据!$A$4)*标准数据!$B$4</f>
        <v>0</v>
      </c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189"/>
      <c r="AQ296" s="55"/>
    </row>
    <row r="297" spans="1:48" ht="21" customHeight="1">
      <c r="A297" s="227" t="s">
        <v>2112</v>
      </c>
      <c r="B297" s="45" t="s">
        <v>14</v>
      </c>
      <c r="C297" s="46" t="s">
        <v>822</v>
      </c>
      <c r="D297" s="47" t="s">
        <v>777</v>
      </c>
      <c r="E297" s="48">
        <v>45770</v>
      </c>
      <c r="F297" s="49">
        <f t="shared" si="16"/>
        <v>0</v>
      </c>
      <c r="G297" s="77">
        <f>SUMIF(积分汇总!$B:$B,C296,积分汇总!$E:$E)</f>
        <v>0</v>
      </c>
      <c r="H297" s="77">
        <f>SUMIF(记录巡查问题条数汇总!$B:$B,C296,记录巡查问题条数汇总!$E:$E)</f>
        <v>0</v>
      </c>
      <c r="I297" s="77"/>
      <c r="J297" s="77">
        <f>SUMIF(安全质量事故!$B:$B,C296,安全质量事故!$G:$G)</f>
        <v>0</v>
      </c>
      <c r="K297" s="72">
        <f>COUNTIF(L297:AP297,标准数据!$A$2)*标准数据!$B$2+COUNTIF(L297:AP297,标准数据!$A$3)*标准数据!$B$3+COUNTIF(L297:AP297,标准数据!$A$4)*标准数据!$B$4</f>
        <v>0</v>
      </c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189"/>
      <c r="AQ297" s="55"/>
    </row>
    <row r="298" spans="1:48" ht="21" customHeight="1">
      <c r="A298" s="227" t="s">
        <v>2112</v>
      </c>
      <c r="B298" s="45" t="s">
        <v>14</v>
      </c>
      <c r="C298" s="46" t="s">
        <v>908</v>
      </c>
      <c r="D298" s="47" t="s">
        <v>881</v>
      </c>
      <c r="E298" s="48">
        <v>46029</v>
      </c>
      <c r="F298" s="49">
        <f t="shared" si="16"/>
        <v>0</v>
      </c>
      <c r="G298" s="77">
        <f>SUMIF(积分汇总!$B:$B,C297,积分汇总!$E:$E)</f>
        <v>0</v>
      </c>
      <c r="H298" s="77">
        <f>SUMIF(记录巡查问题条数汇总!$B:$B,C297,记录巡查问题条数汇总!$E:$E)</f>
        <v>0</v>
      </c>
      <c r="I298" s="77"/>
      <c r="J298" s="77">
        <f>SUMIF(安全质量事故!$B:$B,C297,安全质量事故!$G:$G)</f>
        <v>0</v>
      </c>
      <c r="K298" s="72">
        <f>COUNTIF(L298:AP298,标准数据!$A$2)*标准数据!$B$2+COUNTIF(L298:AP298,标准数据!$A$3)*标准数据!$B$3+COUNTIF(L298:AP298,标准数据!$A$4)*标准数据!$B$4</f>
        <v>0</v>
      </c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189"/>
      <c r="AQ298" s="55"/>
    </row>
    <row r="299" spans="1:48" s="51" customFormat="1" ht="21" customHeight="1">
      <c r="A299" s="227" t="s">
        <v>2112</v>
      </c>
      <c r="B299" s="45" t="s">
        <v>14</v>
      </c>
      <c r="C299" s="46" t="s">
        <v>985</v>
      </c>
      <c r="D299" s="47" t="s">
        <v>951</v>
      </c>
      <c r="E299" s="48">
        <v>46057</v>
      </c>
      <c r="F299" s="49">
        <f t="shared" si="16"/>
        <v>0</v>
      </c>
      <c r="G299" s="77">
        <f>SUMIF(积分汇总!$B:$B,C298,积分汇总!$E:$E)</f>
        <v>0</v>
      </c>
      <c r="H299" s="77">
        <f>SUMIF(记录巡查问题条数汇总!$B:$B,C298,记录巡查问题条数汇总!$E:$E)</f>
        <v>0</v>
      </c>
      <c r="I299" s="77"/>
      <c r="J299" s="77">
        <f>SUMIF(安全质量事故!$B:$B,C298,安全质量事故!$G:$G)</f>
        <v>0</v>
      </c>
      <c r="K299" s="72">
        <f>COUNTIF(L299:AP299,标准数据!$A$2)*标准数据!$B$2+COUNTIF(L299:AP299,标准数据!$A$3)*标准数据!$B$3+COUNTIF(L299:AP299,标准数据!$A$4)*标准数据!$B$4</f>
        <v>0</v>
      </c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189"/>
      <c r="AQ299" s="55"/>
      <c r="AU299" s="76"/>
      <c r="AV299" s="41"/>
    </row>
    <row r="300" spans="1:48" ht="21" customHeight="1">
      <c r="A300" s="227" t="s">
        <v>2112</v>
      </c>
      <c r="B300" s="45" t="s">
        <v>14</v>
      </c>
      <c r="C300" s="46" t="s">
        <v>1131</v>
      </c>
      <c r="D300" s="47" t="s">
        <v>1132</v>
      </c>
      <c r="E300" s="48">
        <v>46113</v>
      </c>
      <c r="F300" s="49">
        <f t="shared" si="16"/>
        <v>0</v>
      </c>
      <c r="G300" s="77">
        <f>SUMIF(积分汇总!$B:$B,C299,积分汇总!$E:$E)</f>
        <v>0</v>
      </c>
      <c r="H300" s="77">
        <f>SUMIF(记录巡查问题条数汇总!$B:$B,C299,记录巡查问题条数汇总!$E:$E)</f>
        <v>0</v>
      </c>
      <c r="I300" s="77"/>
      <c r="J300" s="77">
        <f>SUMIF(安全质量事故!$B:$B,C299,安全质量事故!$G:$G)</f>
        <v>0</v>
      </c>
      <c r="K300" s="72">
        <f>COUNTIF(L300:AP300,标准数据!$A$2)*标准数据!$B$2+COUNTIF(L300:AP300,标准数据!$A$3)*标准数据!$B$3+COUNTIF(L300:AP300,标准数据!$A$4)*标准数据!$B$4</f>
        <v>0</v>
      </c>
      <c r="L300" s="56"/>
      <c r="M300" s="56"/>
      <c r="N300" s="56"/>
      <c r="O300" s="56"/>
      <c r="P300" s="56"/>
      <c r="Q300" s="56"/>
      <c r="R300" s="56"/>
      <c r="S300" s="55"/>
      <c r="T300" s="55"/>
      <c r="U300" s="55"/>
      <c r="V300" s="55"/>
      <c r="W300" s="55"/>
      <c r="X300" s="55"/>
      <c r="Y300" s="55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189"/>
      <c r="AQ300" s="55"/>
    </row>
    <row r="301" spans="1:48" ht="21" customHeight="1">
      <c r="A301" s="227" t="s">
        <v>2112</v>
      </c>
      <c r="B301" s="45" t="s">
        <v>14</v>
      </c>
      <c r="C301" s="46" t="s">
        <v>1133</v>
      </c>
      <c r="D301" s="47" t="s">
        <v>1134</v>
      </c>
      <c r="E301" s="48">
        <v>46113</v>
      </c>
      <c r="F301" s="49">
        <f t="shared" si="16"/>
        <v>0</v>
      </c>
      <c r="G301" s="77">
        <f>SUMIF(积分汇总!$B:$B,C300,积分汇总!$E:$E)</f>
        <v>0</v>
      </c>
      <c r="H301" s="77">
        <f>SUMIF(记录巡查问题条数汇总!$B:$B,C300,记录巡查问题条数汇总!$E:$E)</f>
        <v>0</v>
      </c>
      <c r="I301" s="77"/>
      <c r="J301" s="77">
        <f>SUMIF(安全质量事故!$B:$B,C300,安全质量事故!$G:$G)</f>
        <v>0</v>
      </c>
      <c r="K301" s="72">
        <f>COUNTIF(L301:AP301,标准数据!$A$2)*标准数据!$B$2+COUNTIF(L301:AP301,标准数据!$A$3)*标准数据!$B$3+COUNTIF(L301:AP301,标准数据!$A$4)*标准数据!$B$4</f>
        <v>0</v>
      </c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189"/>
      <c r="AQ301" s="55"/>
    </row>
    <row r="302" spans="1:48" ht="21" customHeight="1">
      <c r="A302" s="227" t="s">
        <v>2112</v>
      </c>
      <c r="B302" s="45" t="s">
        <v>87</v>
      </c>
      <c r="C302" s="46" t="s">
        <v>1135</v>
      </c>
      <c r="D302" s="52" t="s">
        <v>1136</v>
      </c>
      <c r="E302" s="46">
        <v>46113</v>
      </c>
      <c r="F302" s="49">
        <f t="shared" si="16"/>
        <v>0</v>
      </c>
      <c r="G302" s="77">
        <f>SUMIF(积分汇总!$B:$B,C301,积分汇总!$E:$E)</f>
        <v>0</v>
      </c>
      <c r="H302" s="77">
        <f>SUMIF(记录巡查问题条数汇总!$B:$B,C301,记录巡查问题条数汇总!$E:$E)</f>
        <v>0</v>
      </c>
      <c r="I302" s="77"/>
      <c r="J302" s="77">
        <f>SUMIF(安全质量事故!$B:$B,C301,安全质量事故!$G:$G)</f>
        <v>0</v>
      </c>
      <c r="K302" s="72">
        <f>COUNTIF(L302:AP302,标准数据!$A$2)*标准数据!$B$2+COUNTIF(L302:AP302,标准数据!$A$3)*标准数据!$B$3+COUNTIF(L302:AP302,标准数据!$A$4)*标准数据!$B$4</f>
        <v>0</v>
      </c>
      <c r="L302" s="56"/>
      <c r="M302" s="56"/>
      <c r="N302" s="56"/>
      <c r="O302" s="56"/>
      <c r="P302" s="56"/>
      <c r="Q302" s="56"/>
      <c r="R302" s="56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190"/>
      <c r="AQ302" s="55"/>
    </row>
    <row r="303" spans="1:48" ht="21" customHeight="1">
      <c r="A303" s="227" t="s">
        <v>2112</v>
      </c>
      <c r="B303" s="45" t="s">
        <v>87</v>
      </c>
      <c r="C303" s="46" t="s">
        <v>1137</v>
      </c>
      <c r="D303" s="52" t="s">
        <v>1138</v>
      </c>
      <c r="E303" s="46">
        <v>46113</v>
      </c>
      <c r="F303" s="49">
        <f t="shared" si="16"/>
        <v>0</v>
      </c>
      <c r="G303" s="77">
        <f>SUMIF(积分汇总!$B:$B,C302,积分汇总!$E:$E)</f>
        <v>0</v>
      </c>
      <c r="H303" s="77">
        <f>SUMIF(记录巡查问题条数汇总!$B:$B,C302,记录巡查问题条数汇总!$E:$E)</f>
        <v>0</v>
      </c>
      <c r="I303" s="77"/>
      <c r="J303" s="77">
        <f>SUMIF(安全质量事故!$B:$B,C302,安全质量事故!$G:$G)</f>
        <v>0</v>
      </c>
      <c r="K303" s="72">
        <f>COUNTIF(L303:AP303,标准数据!$A$2)*标准数据!$B$2+COUNTIF(L303:AP303,标准数据!$A$3)*标准数据!$B$3+COUNTIF(L303:AP303,标准数据!$A$4)*标准数据!$B$4</f>
        <v>0</v>
      </c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189"/>
      <c r="AQ303" s="55"/>
    </row>
    <row r="304" spans="1:48" ht="21" customHeight="1">
      <c r="A304" s="227" t="s">
        <v>2112</v>
      </c>
      <c r="B304" s="45" t="s">
        <v>14</v>
      </c>
      <c r="C304" s="46" t="s">
        <v>1139</v>
      </c>
      <c r="D304" s="47" t="s">
        <v>1140</v>
      </c>
      <c r="E304" s="48">
        <v>46113</v>
      </c>
      <c r="F304" s="49">
        <f t="shared" si="16"/>
        <v>0</v>
      </c>
      <c r="G304" s="77">
        <f>SUMIF(积分汇总!$B:$B,C303,积分汇总!$E:$E)</f>
        <v>0</v>
      </c>
      <c r="H304" s="77">
        <f>SUMIF(记录巡查问题条数汇总!$B:$B,C303,记录巡查问题条数汇总!$E:$E)</f>
        <v>0</v>
      </c>
      <c r="I304" s="77"/>
      <c r="J304" s="77">
        <f>SUMIF(安全质量事故!$B:$B,C303,安全质量事故!$G:$G)</f>
        <v>0</v>
      </c>
      <c r="K304" s="72">
        <f>COUNTIF(L304:AP304,标准数据!$A$2)*标准数据!$B$2+COUNTIF(L304:AP304,标准数据!$A$3)*标准数据!$B$3+COUNTIF(L304:AP304,标准数据!$A$4)*标准数据!$B$4</f>
        <v>0</v>
      </c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189"/>
      <c r="AQ304" s="55"/>
      <c r="AR304" s="41"/>
      <c r="AS304" s="41"/>
      <c r="AT304" s="41"/>
    </row>
    <row r="305" spans="1:48" ht="21" customHeight="1">
      <c r="A305" s="227" t="s">
        <v>2112</v>
      </c>
      <c r="B305" s="45" t="s">
        <v>14</v>
      </c>
      <c r="C305" s="46" t="s">
        <v>1141</v>
      </c>
      <c r="D305" s="47" t="s">
        <v>1142</v>
      </c>
      <c r="E305" s="48">
        <v>46113</v>
      </c>
      <c r="F305" s="49">
        <f t="shared" si="16"/>
        <v>0</v>
      </c>
      <c r="G305" s="77">
        <f>SUMIF(积分汇总!$B:$B,C304,积分汇总!$E:$E)</f>
        <v>0</v>
      </c>
      <c r="H305" s="77">
        <f>SUMIF(记录巡查问题条数汇总!$B:$B,C304,记录巡查问题条数汇总!$E:$E)</f>
        <v>0</v>
      </c>
      <c r="I305" s="77"/>
      <c r="J305" s="77">
        <f>SUMIF(安全质量事故!$B:$B,C304,安全质量事故!$G:$G)</f>
        <v>0</v>
      </c>
      <c r="K305" s="72">
        <f>COUNTIF(L305:AP305,标准数据!$A$2)*标准数据!$B$2+COUNTIF(L305:AP305,标准数据!$A$3)*标准数据!$B$3+COUNTIF(L305:AP305,标准数据!$A$4)*标准数据!$B$4</f>
        <v>0</v>
      </c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189"/>
      <c r="AQ305" s="55"/>
    </row>
    <row r="306" spans="1:48" ht="21" customHeight="1">
      <c r="A306" s="227" t="s">
        <v>2112</v>
      </c>
      <c r="B306" s="45" t="s">
        <v>14</v>
      </c>
      <c r="C306" s="46" t="s">
        <v>1145</v>
      </c>
      <c r="D306" s="47" t="s">
        <v>1146</v>
      </c>
      <c r="E306" s="48">
        <v>46127</v>
      </c>
      <c r="F306" s="49">
        <f t="shared" si="16"/>
        <v>0</v>
      </c>
      <c r="G306" s="77">
        <f>SUMIF(积分汇总!$B:$B,C305,积分汇总!$E:$E)</f>
        <v>0</v>
      </c>
      <c r="H306" s="77">
        <f>SUMIF(记录巡查问题条数汇总!$B:$B,C305,记录巡查问题条数汇总!$E:$E)</f>
        <v>0</v>
      </c>
      <c r="I306" s="77"/>
      <c r="J306" s="77">
        <f>SUMIF(安全质量事故!$B:$B,C305,安全质量事故!$G:$G)</f>
        <v>0</v>
      </c>
      <c r="K306" s="72">
        <f>COUNTIF(L306:AP306,标准数据!$A$2)*标准数据!$B$2+COUNTIF(L306:AP306,标准数据!$A$3)*标准数据!$B$3+COUNTIF(L306:AP306,标准数据!$A$4)*标准数据!$B$4</f>
        <v>0</v>
      </c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189"/>
      <c r="AQ306" s="55"/>
    </row>
    <row r="307" spans="1:48" ht="21" customHeight="1">
      <c r="A307" s="227" t="s">
        <v>2112</v>
      </c>
      <c r="B307" s="45" t="s">
        <v>14</v>
      </c>
      <c r="C307" s="46" t="s">
        <v>1147</v>
      </c>
      <c r="D307" s="47" t="s">
        <v>1148</v>
      </c>
      <c r="E307" s="48">
        <v>46127</v>
      </c>
      <c r="F307" s="49">
        <f t="shared" si="16"/>
        <v>0</v>
      </c>
      <c r="G307" s="77">
        <f>SUMIF(积分汇总!$B:$B,C306,积分汇总!$E:$E)</f>
        <v>0</v>
      </c>
      <c r="H307" s="77">
        <f>SUMIF(记录巡查问题条数汇总!$B:$B,C306,记录巡查问题条数汇总!$E:$E)</f>
        <v>0</v>
      </c>
      <c r="I307" s="77"/>
      <c r="J307" s="77">
        <f>SUMIF(安全质量事故!$B:$B,C306,安全质量事故!$G:$G)</f>
        <v>0</v>
      </c>
      <c r="K307" s="72">
        <f>COUNTIF(L307:AP307,标准数据!$A$2)*标准数据!$B$2+COUNTIF(L307:AP307,标准数据!$A$3)*标准数据!$B$3+COUNTIF(L307:AP307,标准数据!$A$4)*标准数据!$B$4</f>
        <v>0</v>
      </c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189"/>
      <c r="AQ307" s="55"/>
    </row>
    <row r="308" spans="1:48" s="51" customFormat="1" ht="21" customHeight="1">
      <c r="A308" s="227" t="s">
        <v>2112</v>
      </c>
      <c r="B308" s="45" t="s">
        <v>14</v>
      </c>
      <c r="C308" s="46" t="s">
        <v>1149</v>
      </c>
      <c r="D308" s="47" t="s">
        <v>1150</v>
      </c>
      <c r="E308" s="48">
        <v>46127</v>
      </c>
      <c r="F308" s="49">
        <f t="shared" si="16"/>
        <v>0</v>
      </c>
      <c r="G308" s="77">
        <f>SUMIF(积分汇总!$B:$B,C307,积分汇总!$E:$E)</f>
        <v>0</v>
      </c>
      <c r="H308" s="77">
        <f>SUMIF(记录巡查问题条数汇总!$B:$B,C307,记录巡查问题条数汇总!$E:$E)</f>
        <v>0</v>
      </c>
      <c r="I308" s="77"/>
      <c r="J308" s="77">
        <f>SUMIF(安全质量事故!$B:$B,C307,安全质量事故!$G:$G)</f>
        <v>0</v>
      </c>
      <c r="K308" s="72">
        <f>COUNTIF(L308:AP308,标准数据!$A$2)*标准数据!$B$2+COUNTIF(L308:AP308,标准数据!$A$3)*标准数据!$B$3+COUNTIF(L308:AP308,标准数据!$A$4)*标准数据!$B$4</f>
        <v>0</v>
      </c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189"/>
      <c r="AQ308" s="55"/>
      <c r="AU308" s="76"/>
      <c r="AV308" s="41"/>
    </row>
    <row r="309" spans="1:48" ht="21" customHeight="1">
      <c r="A309" s="227" t="s">
        <v>2112</v>
      </c>
      <c r="B309" s="45" t="s">
        <v>14</v>
      </c>
      <c r="C309" s="46" t="s">
        <v>1151</v>
      </c>
      <c r="D309" s="47" t="s">
        <v>1152</v>
      </c>
      <c r="E309" s="48">
        <v>46127</v>
      </c>
      <c r="F309" s="49">
        <f t="shared" si="16"/>
        <v>0</v>
      </c>
      <c r="G309" s="77">
        <f>SUMIF(积分汇总!$B:$B,C308,积分汇总!$E:$E)</f>
        <v>0</v>
      </c>
      <c r="H309" s="77">
        <f>SUMIF(记录巡查问题条数汇总!$B:$B,C308,记录巡查问题条数汇总!$E:$E)</f>
        <v>0</v>
      </c>
      <c r="I309" s="77"/>
      <c r="J309" s="77">
        <f>SUMIF(安全质量事故!$B:$B,C308,安全质量事故!$G:$G)</f>
        <v>0</v>
      </c>
      <c r="K309" s="72">
        <f>COUNTIF(L309:AP309,标准数据!$A$2)*标准数据!$B$2+COUNTIF(L309:AP309,标准数据!$A$3)*标准数据!$B$3+COUNTIF(L309:AP309,标准数据!$A$4)*标准数据!$B$4</f>
        <v>0</v>
      </c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189"/>
      <c r="AQ309" s="55"/>
    </row>
    <row r="310" spans="1:48" ht="21" customHeight="1">
      <c r="A310" s="227" t="s">
        <v>2112</v>
      </c>
      <c r="B310" s="45" t="s">
        <v>14</v>
      </c>
      <c r="C310" s="46" t="s">
        <v>1153</v>
      </c>
      <c r="D310" s="47" t="s">
        <v>1154</v>
      </c>
      <c r="E310" s="48">
        <v>46127</v>
      </c>
      <c r="F310" s="49">
        <f t="shared" si="16"/>
        <v>0</v>
      </c>
      <c r="G310" s="77">
        <f>SUMIF(积分汇总!$B:$B,C309,积分汇总!$E:$E)</f>
        <v>0</v>
      </c>
      <c r="H310" s="77">
        <f>SUMIF(记录巡查问题条数汇总!$B:$B,C309,记录巡查问题条数汇总!$E:$E)</f>
        <v>0</v>
      </c>
      <c r="I310" s="77"/>
      <c r="J310" s="77">
        <f>SUMIF(安全质量事故!$B:$B,C309,安全质量事故!$G:$G)</f>
        <v>0</v>
      </c>
      <c r="K310" s="72">
        <f>COUNTIF(L310:AP310,标准数据!$A$2)*标准数据!$B$2+COUNTIF(L310:AP310,标准数据!$A$3)*标准数据!$B$3+COUNTIF(L310:AP310,标准数据!$A$4)*标准数据!$B$4</f>
        <v>0</v>
      </c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189"/>
      <c r="AQ310" s="55"/>
    </row>
    <row r="311" spans="1:48" s="51" customFormat="1" ht="21" customHeight="1">
      <c r="A311" s="227" t="s">
        <v>2112</v>
      </c>
      <c r="B311" s="45" t="s">
        <v>14</v>
      </c>
      <c r="C311" s="46" t="s">
        <v>550</v>
      </c>
      <c r="D311" s="47" t="s">
        <v>519</v>
      </c>
      <c r="E311" s="48">
        <v>45488</v>
      </c>
      <c r="F311" s="49">
        <f t="shared" si="16"/>
        <v>0</v>
      </c>
      <c r="G311" s="77">
        <f>SUMIF(积分汇总!$B:$B,C310,积分汇总!$E:$E)</f>
        <v>0</v>
      </c>
      <c r="H311" s="77">
        <f>SUMIF(记录巡查问题条数汇总!$B:$B,C310,记录巡查问题条数汇总!$E:$E)</f>
        <v>0</v>
      </c>
      <c r="I311" s="77"/>
      <c r="J311" s="77">
        <f>SUMIF(安全质量事故!$B:$B,C310,安全质量事故!$G:$G)</f>
        <v>0</v>
      </c>
      <c r="K311" s="72">
        <f>COUNTIF(L311:AP311,标准数据!$A$2)*标准数据!$B$2+COUNTIF(L311:AP311,标准数据!$A$3)*标准数据!$B$3+COUNTIF(L311:AP311,标准数据!$A$4)*标准数据!$B$4</f>
        <v>0</v>
      </c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189"/>
      <c r="AQ311" s="55"/>
      <c r="AU311" s="76"/>
      <c r="AV311" s="41"/>
    </row>
    <row r="312" spans="1:48" ht="21" customHeight="1">
      <c r="A312" s="227" t="s">
        <v>2112</v>
      </c>
      <c r="B312" s="45" t="s">
        <v>14</v>
      </c>
      <c r="C312" s="46" t="s">
        <v>1301</v>
      </c>
      <c r="D312" s="47" t="s">
        <v>1302</v>
      </c>
      <c r="E312" s="48">
        <v>46134</v>
      </c>
      <c r="F312" s="49">
        <f t="shared" si="16"/>
        <v>0</v>
      </c>
      <c r="G312" s="77">
        <f>SUMIF(积分汇总!$B:$B,,积分汇总!$E:$E)</f>
        <v>0</v>
      </c>
      <c r="H312" s="77">
        <f>SUMIF(记录巡查问题条数汇总!$B:$B,,记录巡查问题条数汇总!$E:$E)</f>
        <v>0</v>
      </c>
      <c r="I312" s="77"/>
      <c r="J312" s="77">
        <f>SUMIF(安全质量事故!$B:$B,,安全质量事故!$G:$G)</f>
        <v>0</v>
      </c>
      <c r="K312" s="72">
        <f>COUNTIF(L312:AP312,标准数据!$A$2)*标准数据!$B$2+COUNTIF(L312:AP312,标准数据!$A$3)*标准数据!$B$3+COUNTIF(L312:AP312,标准数据!$A$4)*标准数据!$B$4</f>
        <v>0</v>
      </c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189"/>
      <c r="AQ312" s="55"/>
    </row>
    <row r="313" spans="1:48" ht="21" customHeight="1">
      <c r="A313" s="227" t="s">
        <v>2112</v>
      </c>
      <c r="B313" s="45" t="s">
        <v>14</v>
      </c>
      <c r="C313" s="46" t="s">
        <v>1303</v>
      </c>
      <c r="D313" s="47" t="s">
        <v>1304</v>
      </c>
      <c r="E313" s="48">
        <v>46132</v>
      </c>
      <c r="F313" s="49">
        <f t="shared" si="16"/>
        <v>0</v>
      </c>
      <c r="G313" s="77">
        <f>SUMIF(积分汇总!$B:$B,C309,积分汇总!$E:$E)</f>
        <v>0</v>
      </c>
      <c r="H313" s="77">
        <f>SUMIF(记录巡查问题条数汇总!$B:$B,C309,记录巡查问题条数汇总!$E:$E)</f>
        <v>0</v>
      </c>
      <c r="I313" s="77"/>
      <c r="J313" s="77">
        <f>SUMIF(安全质量事故!$B:$B,C309,安全质量事故!$G:$G)</f>
        <v>0</v>
      </c>
      <c r="K313" s="72">
        <f>COUNTIF(L313:AP313,标准数据!$A$2)*标准数据!$B$2+COUNTIF(L313:AP313,标准数据!$A$3)*标准数据!$B$3+COUNTIF(L313:AP313,标准数据!$A$4)*标准数据!$B$4</f>
        <v>0</v>
      </c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189"/>
      <c r="AQ313" s="55"/>
      <c r="AR313" s="41"/>
      <c r="AS313" s="41"/>
      <c r="AT313" s="41"/>
    </row>
    <row r="314" spans="1:48" ht="21" customHeight="1">
      <c r="A314" s="227" t="s">
        <v>2112</v>
      </c>
      <c r="B314" s="45" t="s">
        <v>14</v>
      </c>
      <c r="C314" s="46" t="s">
        <v>1305</v>
      </c>
      <c r="D314" s="47" t="s">
        <v>1306</v>
      </c>
      <c r="E314" s="48">
        <v>46134</v>
      </c>
      <c r="F314" s="49">
        <f t="shared" si="16"/>
        <v>0</v>
      </c>
      <c r="G314" s="77">
        <f>SUMIF(积分汇总!$B:$B,,积分汇总!$E:$E)</f>
        <v>0</v>
      </c>
      <c r="H314" s="77">
        <f>SUMIF(记录巡查问题条数汇总!$B:$B,,记录巡查问题条数汇总!$E:$E)</f>
        <v>0</v>
      </c>
      <c r="I314" s="77"/>
      <c r="J314" s="77">
        <f>SUMIF(安全质量事故!$B:$B,,安全质量事故!$G:$G)</f>
        <v>0</v>
      </c>
      <c r="K314" s="72">
        <f>COUNTIF(L314:AP314,标准数据!$A$2)*标准数据!$B$2+COUNTIF(L314:AP314,标准数据!$A$3)*标准数据!$B$3+COUNTIF(L314:AP314,标准数据!$A$4)*标准数据!$B$4</f>
        <v>0</v>
      </c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189"/>
      <c r="AQ314" s="55"/>
    </row>
    <row r="315" spans="1:48" ht="21" customHeight="1">
      <c r="A315" s="227" t="s">
        <v>2112</v>
      </c>
      <c r="B315" s="45" t="s">
        <v>14</v>
      </c>
      <c r="C315" s="46" t="s">
        <v>1307</v>
      </c>
      <c r="D315" s="47" t="s">
        <v>1308</v>
      </c>
      <c r="E315" s="48">
        <v>46132</v>
      </c>
      <c r="F315" s="49">
        <f t="shared" si="16"/>
        <v>0</v>
      </c>
      <c r="G315" s="77">
        <f>SUMIF(积分汇总!$B:$B,C312,积分汇总!$E:$E)</f>
        <v>0</v>
      </c>
      <c r="H315" s="77">
        <f>SUMIF(记录巡查问题条数汇总!$B:$B,C312,记录巡查问题条数汇总!$E:$E)</f>
        <v>0</v>
      </c>
      <c r="I315" s="77"/>
      <c r="J315" s="77">
        <f>SUMIF(安全质量事故!$B:$B,C312,安全质量事故!$G:$G)</f>
        <v>0</v>
      </c>
      <c r="K315" s="72">
        <f>COUNTIF(L315:AP315,标准数据!$A$2)*标准数据!$B$2+COUNTIF(L315:AP315,标准数据!$A$3)*标准数据!$B$3+COUNTIF(L315:AP315,标准数据!$A$4)*标准数据!$B$4</f>
        <v>0</v>
      </c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189"/>
      <c r="AQ315" s="55"/>
      <c r="AR315" s="41"/>
      <c r="AS315" s="41"/>
      <c r="AT315" s="41"/>
    </row>
    <row r="316" spans="1:48" ht="21" customHeight="1">
      <c r="A316" s="227" t="s">
        <v>2112</v>
      </c>
      <c r="B316" s="45" t="s">
        <v>14</v>
      </c>
      <c r="C316" s="46" t="s">
        <v>1309</v>
      </c>
      <c r="D316" s="47" t="s">
        <v>1310</v>
      </c>
      <c r="E316" s="48">
        <v>46134</v>
      </c>
      <c r="F316" s="49">
        <f t="shared" si="16"/>
        <v>0</v>
      </c>
      <c r="G316" s="77">
        <f>SUMIF(积分汇总!$B:$B,C315,积分汇总!$E:$E)</f>
        <v>0</v>
      </c>
      <c r="H316" s="77">
        <f>SUMIF(记录巡查问题条数汇总!$B:$B,C315,记录巡查问题条数汇总!$E:$E)</f>
        <v>0</v>
      </c>
      <c r="I316" s="77"/>
      <c r="J316" s="77">
        <f>SUMIF(安全质量事故!$B:$B,C315,安全质量事故!$G:$G)</f>
        <v>0</v>
      </c>
      <c r="K316" s="72">
        <f>COUNTIF(L316:AP316,标准数据!$A$2)*标准数据!$B$2+COUNTIF(L316:AP316,标准数据!$A$3)*标准数据!$B$3+COUNTIF(L316:AP316,标准数据!$A$4)*标准数据!$B$4</f>
        <v>0</v>
      </c>
      <c r="L316" s="90"/>
      <c r="M316" s="90"/>
      <c r="N316" s="90"/>
      <c r="O316" s="90"/>
      <c r="P316" s="90"/>
      <c r="Q316" s="90"/>
      <c r="R316" s="90"/>
      <c r="S316" s="90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189"/>
      <c r="AQ316" s="55"/>
    </row>
    <row r="317" spans="1:48" ht="21" customHeight="1">
      <c r="A317" s="227" t="s">
        <v>2112</v>
      </c>
      <c r="B317" s="45" t="s">
        <v>14</v>
      </c>
      <c r="C317" s="46" t="s">
        <v>1333</v>
      </c>
      <c r="D317" s="52" t="s">
        <v>1334</v>
      </c>
      <c r="E317" s="46">
        <v>46139</v>
      </c>
      <c r="F317" s="49">
        <f t="shared" si="16"/>
        <v>0</v>
      </c>
      <c r="G317" s="77">
        <f>SUMIF(积分汇总!$B:$B,C316,积分汇总!$E:$E)</f>
        <v>0</v>
      </c>
      <c r="H317" s="77">
        <f>SUMIF(记录巡查问题条数汇总!$B:$B,C316,记录巡查问题条数汇总!$E:$E)</f>
        <v>0</v>
      </c>
      <c r="I317" s="77"/>
      <c r="J317" s="77">
        <f>SUMIF(安全质量事故!$B:$B,C316,安全质量事故!$G:$G)</f>
        <v>0</v>
      </c>
      <c r="K317" s="72">
        <f>COUNTIF(L317:AP317,标准数据!$A$2)*标准数据!$B$2+COUNTIF(L317:AP317,标准数据!$A$3)*标准数据!$B$3+COUNTIF(L317:AP317,标准数据!$A$4)*标准数据!$B$4</f>
        <v>0</v>
      </c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189"/>
      <c r="AQ317" s="55"/>
    </row>
    <row r="318" spans="1:48" ht="21" customHeight="1">
      <c r="A318" s="227" t="s">
        <v>2112</v>
      </c>
      <c r="B318" s="45" t="s">
        <v>14</v>
      </c>
      <c r="C318" s="47" t="s">
        <v>1335</v>
      </c>
      <c r="D318" s="52" t="s">
        <v>1336</v>
      </c>
      <c r="E318" s="46">
        <v>46139</v>
      </c>
      <c r="F318" s="49">
        <f t="shared" si="16"/>
        <v>0</v>
      </c>
      <c r="G318" s="77">
        <f>SUMIF(积分汇总!$B:$B,C312,积分汇总!$E:$E)</f>
        <v>0</v>
      </c>
      <c r="H318" s="77">
        <f>SUMIF(记录巡查问题条数汇总!$B:$B,C312,记录巡查问题条数汇总!$E:$E)</f>
        <v>0</v>
      </c>
      <c r="I318" s="77"/>
      <c r="J318" s="77">
        <f>SUMIF(安全质量事故!$B:$B,C312,安全质量事故!$G:$G)</f>
        <v>0</v>
      </c>
      <c r="K318" s="72">
        <f>COUNTIF(L318:AP318,标准数据!$A$2)*标准数据!$B$2+COUNTIF(L318:AP318,标准数据!$A$3)*标准数据!$B$3+COUNTIF(L318:AP318,标准数据!$A$4)*标准数据!$B$4</f>
        <v>0</v>
      </c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189"/>
      <c r="AQ318" s="55"/>
    </row>
    <row r="319" spans="1:48" ht="21" customHeight="1">
      <c r="A319" s="227" t="s">
        <v>2112</v>
      </c>
      <c r="B319" s="45" t="s">
        <v>14</v>
      </c>
      <c r="C319" s="46" t="s">
        <v>1337</v>
      </c>
      <c r="D319" s="47" t="s">
        <v>1338</v>
      </c>
      <c r="E319" s="48">
        <v>46155</v>
      </c>
      <c r="F319" s="49">
        <f t="shared" ref="F319" si="17">(K319+G319+H319+I319-J319)</f>
        <v>0</v>
      </c>
      <c r="G319" s="77">
        <f>SUMIF(积分汇总!$B:$B,C312,积分汇总!$E:$E)</f>
        <v>0</v>
      </c>
      <c r="H319" s="77">
        <f>SUMIF(记录巡查问题条数汇总!$B:$B,C312,记录巡查问题条数汇总!$E:$E)</f>
        <v>0</v>
      </c>
      <c r="I319" s="77"/>
      <c r="J319" s="77">
        <f>SUMIF(安全质量事故!$B:$B,C312,安全质量事故!$G:$G)</f>
        <v>0</v>
      </c>
      <c r="K319" s="72">
        <f>COUNTIF(L319:AP319,标准数据!$A$2)*标准数据!$B$2+COUNTIF(L319:AP319,标准数据!$A$3)*标准数据!$B$3+COUNTIF(L319:AP319,标准数据!$A$4)*标准数据!$B$4</f>
        <v>0</v>
      </c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189"/>
      <c r="AQ319" s="55"/>
      <c r="AR319" s="41"/>
      <c r="AS319" s="41"/>
      <c r="AT319" s="41"/>
    </row>
    <row r="320" spans="1:48" ht="21" customHeight="1">
      <c r="A320" s="227" t="s">
        <v>2112</v>
      </c>
      <c r="B320" s="45" t="s">
        <v>14</v>
      </c>
      <c r="C320" s="46" t="s">
        <v>1447</v>
      </c>
      <c r="D320" s="47" t="s">
        <v>1448</v>
      </c>
      <c r="E320" s="48">
        <v>46050</v>
      </c>
      <c r="F320" s="49">
        <f t="shared" si="16"/>
        <v>0</v>
      </c>
      <c r="G320" s="77">
        <f>SUMIF(积分汇总!$B:$B,C318,积分汇总!$E:$E)</f>
        <v>0</v>
      </c>
      <c r="H320" s="77">
        <f>SUMIF(记录巡查问题条数汇总!$B:$B,C318,记录巡查问题条数汇总!$E:$E)</f>
        <v>0</v>
      </c>
      <c r="I320" s="77"/>
      <c r="J320" s="77">
        <f>SUMIF(安全质量事故!$B:$B,C318,安全质量事故!$G:$G)</f>
        <v>0</v>
      </c>
      <c r="K320" s="72">
        <f>COUNTIF(L320:AP320,标准数据!$A$2)*标准数据!$B$2+COUNTIF(L320:AP320,标准数据!$A$3)*标准数据!$B$3+COUNTIF(L320:AP320,标准数据!$A$4)*标准数据!$B$4</f>
        <v>0</v>
      </c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189"/>
      <c r="AQ320" s="55"/>
      <c r="AR320" s="41"/>
      <c r="AS320" s="41"/>
      <c r="AT320" s="41"/>
    </row>
    <row r="321" spans="1:48" ht="21" customHeight="1">
      <c r="A321" s="227" t="s">
        <v>2112</v>
      </c>
      <c r="B321" s="45" t="s">
        <v>14</v>
      </c>
      <c r="C321" s="47" t="s">
        <v>1449</v>
      </c>
      <c r="D321" s="52" t="s">
        <v>1450</v>
      </c>
      <c r="E321" s="46">
        <v>46050</v>
      </c>
      <c r="F321" s="49">
        <f t="shared" si="16"/>
        <v>0</v>
      </c>
      <c r="G321" s="77">
        <f>SUMIF(积分汇总!$B:$B,C320,积分汇总!$E:$E)</f>
        <v>0</v>
      </c>
      <c r="H321" s="77">
        <f>SUMIF(记录巡查问题条数汇总!$B:$B,C320,记录巡查问题条数汇总!$E:$E)</f>
        <v>0</v>
      </c>
      <c r="I321" s="77"/>
      <c r="J321" s="77">
        <f>SUMIF(安全质量事故!$B:$B,C320,安全质量事故!$G:$G)</f>
        <v>0</v>
      </c>
      <c r="K321" s="72">
        <f>COUNTIF(L321:AP321,标准数据!$A$2)*标准数据!$B$2+COUNTIF(L321:AP321,标准数据!$A$3)*标准数据!$B$3+COUNTIF(L321:AP321,标准数据!$A$4)*标准数据!$B$4</f>
        <v>0</v>
      </c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189"/>
      <c r="AQ321" s="55"/>
    </row>
    <row r="322" spans="1:48" ht="21" customHeight="1">
      <c r="A322" s="227" t="s">
        <v>2112</v>
      </c>
      <c r="B322" s="45" t="s">
        <v>14</v>
      </c>
      <c r="C322" s="46" t="s">
        <v>1451</v>
      </c>
      <c r="D322" s="52" t="s">
        <v>1452</v>
      </c>
      <c r="E322" s="46">
        <v>46188</v>
      </c>
      <c r="F322" s="49">
        <f t="shared" si="16"/>
        <v>0</v>
      </c>
      <c r="G322" s="77">
        <f>SUMIF(积分汇总!$B:$B,C321,积分汇总!$E:$E)</f>
        <v>0</v>
      </c>
      <c r="H322" s="77">
        <f>SUMIF(记录巡查问题条数汇总!$B:$B,C321,记录巡查问题条数汇总!$E:$E)</f>
        <v>0</v>
      </c>
      <c r="I322" s="77"/>
      <c r="J322" s="77">
        <f>SUMIF(安全质量事故!$B:$B,C321,安全质量事故!$G:$G)</f>
        <v>0</v>
      </c>
      <c r="K322" s="72">
        <f>COUNTIF(L322:AP322,标准数据!$A$2)*标准数据!$B$2+COUNTIF(L322:AP322,标准数据!$A$3)*标准数据!$B$3+COUNTIF(L322:AP322,标准数据!$A$4)*标准数据!$B$4</f>
        <v>0</v>
      </c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189"/>
      <c r="AQ322" s="55"/>
    </row>
    <row r="323" spans="1:48" ht="21" customHeight="1">
      <c r="A323" s="227" t="s">
        <v>2112</v>
      </c>
      <c r="B323" s="45" t="s">
        <v>14</v>
      </c>
      <c r="C323" s="47" t="s">
        <v>1453</v>
      </c>
      <c r="D323" s="52" t="s">
        <v>1454</v>
      </c>
      <c r="E323" s="46">
        <v>46188</v>
      </c>
      <c r="F323" s="49">
        <f t="shared" si="16"/>
        <v>0</v>
      </c>
      <c r="G323" s="77">
        <f>SUMIF(积分汇总!$B:$B,C322,积分汇总!$E:$E)</f>
        <v>0</v>
      </c>
      <c r="H323" s="77">
        <f>SUMIF(记录巡查问题条数汇总!$B:$B,C322,记录巡查问题条数汇总!$E:$E)</f>
        <v>0</v>
      </c>
      <c r="I323" s="77"/>
      <c r="J323" s="77">
        <f>SUMIF(安全质量事故!$B:$B,C322,安全质量事故!$G:$G)</f>
        <v>0</v>
      </c>
      <c r="K323" s="72">
        <f>COUNTIF(L323:AP323,标准数据!$A$2)*标准数据!$B$2+COUNTIF(L323:AP323,标准数据!$A$3)*标准数据!$B$3+COUNTIF(L323:AP323,标准数据!$A$4)*标准数据!$B$4</f>
        <v>0</v>
      </c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189"/>
      <c r="AQ323" s="55"/>
    </row>
    <row r="324" spans="1:48" s="51" customFormat="1" ht="21" customHeight="1">
      <c r="A324" s="227" t="s">
        <v>2112</v>
      </c>
      <c r="B324" s="45" t="s">
        <v>14</v>
      </c>
      <c r="C324" s="46" t="s">
        <v>1455</v>
      </c>
      <c r="D324" s="47" t="s">
        <v>1456</v>
      </c>
      <c r="E324" s="48">
        <v>46188</v>
      </c>
      <c r="F324" s="49">
        <f t="shared" si="16"/>
        <v>0</v>
      </c>
      <c r="G324" s="77">
        <f>SUMIF(积分汇总!$B:$B,C323,积分汇总!$E:$E)</f>
        <v>0</v>
      </c>
      <c r="H324" s="77">
        <f>SUMIF(记录巡查问题条数汇总!$B:$B,C323,记录巡查问题条数汇总!$E:$E)</f>
        <v>0</v>
      </c>
      <c r="I324" s="77"/>
      <c r="J324" s="77">
        <f>SUMIF(安全质量事故!$B:$B,C323,安全质量事故!$G:$G)</f>
        <v>0</v>
      </c>
      <c r="K324" s="72">
        <f>COUNTIF(L324:AP324,标准数据!$A$2)*标准数据!$B$2+COUNTIF(L324:AP324,标准数据!$A$3)*标准数据!$B$3+COUNTIF(L324:AP324,标准数据!$A$4)*标准数据!$B$4</f>
        <v>0</v>
      </c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189"/>
      <c r="AQ324" s="55"/>
      <c r="AU324" s="76"/>
      <c r="AV324" s="41"/>
    </row>
    <row r="325" spans="1:48" ht="21" customHeight="1">
      <c r="A325" s="227" t="s">
        <v>2112</v>
      </c>
      <c r="B325" s="45" t="s">
        <v>14</v>
      </c>
      <c r="C325" s="46" t="s">
        <v>1664</v>
      </c>
      <c r="D325" s="52" t="s">
        <v>1665</v>
      </c>
      <c r="E325" s="46">
        <v>46215</v>
      </c>
      <c r="F325" s="49">
        <f t="shared" si="16"/>
        <v>0</v>
      </c>
      <c r="G325" s="77">
        <f>SUMIF(积分汇总!$B:$B,C324,积分汇总!$E:$E)</f>
        <v>0</v>
      </c>
      <c r="H325" s="77">
        <f>SUMIF(记录巡查问题条数汇总!$B:$B,C324,记录巡查问题条数汇总!$E:$E)</f>
        <v>0</v>
      </c>
      <c r="I325" s="77"/>
      <c r="J325" s="77">
        <f>SUMIF(安全质量事故!$B:$B,C324,安全质量事故!$G:$G)</f>
        <v>0</v>
      </c>
      <c r="K325" s="72">
        <f>COUNTIF(L325:AP325,标准数据!$A$2)*标准数据!$B$2+COUNTIF(L325:AP325,标准数据!$A$3)*标准数据!$B$3+COUNTIF(L325:AP325,标准数据!$A$4)*标准数据!$B$4</f>
        <v>0</v>
      </c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189"/>
      <c r="AQ325" s="55"/>
    </row>
    <row r="326" spans="1:48" s="51" customFormat="1" ht="21" customHeight="1">
      <c r="A326" s="227" t="s">
        <v>2112</v>
      </c>
      <c r="B326" s="45" t="s">
        <v>14</v>
      </c>
      <c r="C326" s="46" t="s">
        <v>1684</v>
      </c>
      <c r="D326" s="47" t="s">
        <v>1685</v>
      </c>
      <c r="E326" s="48">
        <v>46213</v>
      </c>
      <c r="F326" s="49">
        <f t="shared" ref="F326:F327" si="18">(K326+G326+H326+I326-J326)</f>
        <v>0</v>
      </c>
      <c r="G326" s="77">
        <f>SUMIF(积分汇总!$B:$B,C325,积分汇总!$E:$E)</f>
        <v>0</v>
      </c>
      <c r="H326" s="77">
        <f>SUMIF(记录巡查问题条数汇总!$B:$B,C325,记录巡查问题条数汇总!$E:$E)</f>
        <v>0</v>
      </c>
      <c r="I326" s="77"/>
      <c r="J326" s="77">
        <f>SUMIF(安全质量事故!$B:$B,C325,安全质量事故!$G:$G)</f>
        <v>0</v>
      </c>
      <c r="K326" s="72">
        <f>COUNTIF(L326:AP326,标准数据!$A$2)*标准数据!$B$2+COUNTIF(L326:AP326,标准数据!$A$3)*标准数据!$B$3+COUNTIF(L326:AP326,标准数据!$A$4)*标准数据!$B$4</f>
        <v>0</v>
      </c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189"/>
      <c r="AQ326" s="55"/>
      <c r="AU326" s="76"/>
      <c r="AV326" s="41"/>
    </row>
    <row r="327" spans="1:48" ht="21" customHeight="1">
      <c r="A327" s="227" t="s">
        <v>2112</v>
      </c>
      <c r="B327" s="45" t="s">
        <v>14</v>
      </c>
      <c r="C327" s="46" t="s">
        <v>1686</v>
      </c>
      <c r="D327" s="47" t="s">
        <v>1687</v>
      </c>
      <c r="E327" s="48">
        <v>46197</v>
      </c>
      <c r="F327" s="49">
        <f t="shared" si="18"/>
        <v>0</v>
      </c>
      <c r="G327" s="77">
        <f>SUMIF(积分汇总!$B:$B,C326,积分汇总!$E:$E)</f>
        <v>0</v>
      </c>
      <c r="H327" s="77">
        <f>SUMIF(记录巡查问题条数汇总!$B:$B,C326,记录巡查问题条数汇总!$E:$E)</f>
        <v>0</v>
      </c>
      <c r="I327" s="77"/>
      <c r="J327" s="77">
        <f>SUMIF(安全质量事故!$B:$B,C326,安全质量事故!$G:$G)</f>
        <v>0</v>
      </c>
      <c r="K327" s="72">
        <f>COUNTIF(L327:AP327,标准数据!$A$2)*标准数据!$B$2+COUNTIF(L327:AP327,标准数据!$A$3)*标准数据!$B$3+COUNTIF(L327:AP327,标准数据!$A$4)*标准数据!$B$4</f>
        <v>0</v>
      </c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189"/>
      <c r="AQ327" s="55"/>
    </row>
    <row r="328" spans="1:48" ht="21" customHeight="1">
      <c r="A328" s="227" t="s">
        <v>2112</v>
      </c>
      <c r="B328" s="45" t="s">
        <v>14</v>
      </c>
      <c r="C328" s="46" t="s">
        <v>1688</v>
      </c>
      <c r="D328" s="47" t="s">
        <v>1689</v>
      </c>
      <c r="E328" s="48">
        <v>46197</v>
      </c>
      <c r="F328" s="49">
        <f t="shared" si="16"/>
        <v>0</v>
      </c>
      <c r="G328" s="77">
        <f>SUMIF(积分汇总!$B:$B,C325,积分汇总!$E:$E)</f>
        <v>0</v>
      </c>
      <c r="H328" s="77">
        <f>SUMIF(记录巡查问题条数汇总!$B:$B,C325,记录巡查问题条数汇总!$E:$E)</f>
        <v>0</v>
      </c>
      <c r="I328" s="77"/>
      <c r="J328" s="77">
        <f>SUMIF(安全质量事故!$B:$B,C325,安全质量事故!$G:$G)</f>
        <v>0</v>
      </c>
      <c r="K328" s="72">
        <f>COUNTIF(L328:AP328,标准数据!$A$2)*标准数据!$B$2+COUNTIF(L328:AP328,标准数据!$A$3)*标准数据!$B$3+COUNTIF(L328:AP328,标准数据!$A$4)*标准数据!$B$4</f>
        <v>0</v>
      </c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189"/>
      <c r="AQ328" s="55"/>
      <c r="AR328" s="41"/>
      <c r="AS328" s="41"/>
      <c r="AT328" s="41"/>
    </row>
    <row r="329" spans="1:48" ht="21" customHeight="1">
      <c r="A329" s="227" t="s">
        <v>2112</v>
      </c>
      <c r="B329" s="45" t="s">
        <v>14</v>
      </c>
      <c r="C329" s="46" t="s">
        <v>1690</v>
      </c>
      <c r="D329" s="47" t="s">
        <v>1691</v>
      </c>
      <c r="E329" s="48">
        <v>46197</v>
      </c>
      <c r="F329" s="49">
        <f t="shared" si="16"/>
        <v>0</v>
      </c>
      <c r="G329" s="77">
        <f>SUMIF(积分汇总!$B:$B,C328,积分汇总!$E:$E)</f>
        <v>0</v>
      </c>
      <c r="H329" s="77">
        <f>SUMIF(记录巡查问题条数汇总!$B:$B,C328,记录巡查问题条数汇总!$E:$E)</f>
        <v>0</v>
      </c>
      <c r="I329" s="77"/>
      <c r="J329" s="77">
        <f>SUMIF(安全质量事故!$B:$B,C328,安全质量事故!$G:$G)</f>
        <v>0</v>
      </c>
      <c r="K329" s="72">
        <f>COUNTIF(L329:AP329,标准数据!$A$2)*标准数据!$B$2+COUNTIF(L329:AP329,标准数据!$A$3)*标准数据!$B$3+COUNTIF(L329:AP329,标准数据!$A$4)*标准数据!$B$4</f>
        <v>0</v>
      </c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189"/>
      <c r="AQ329" s="55"/>
      <c r="AR329" s="41"/>
      <c r="AS329" s="41"/>
      <c r="AT329" s="41"/>
    </row>
    <row r="330" spans="1:48" ht="21" customHeight="1">
      <c r="A330" s="227" t="s">
        <v>2112</v>
      </c>
      <c r="B330" s="45" t="s">
        <v>14</v>
      </c>
      <c r="C330" s="46" t="s">
        <v>1692</v>
      </c>
      <c r="D330" s="47" t="s">
        <v>1693</v>
      </c>
      <c r="E330" s="48">
        <v>46195</v>
      </c>
      <c r="F330" s="49">
        <f t="shared" si="16"/>
        <v>0</v>
      </c>
      <c r="G330" s="77">
        <f>SUMIF(积分汇总!$B:$B,C329,积分汇总!$E:$E)</f>
        <v>0</v>
      </c>
      <c r="H330" s="77">
        <f>SUMIF(记录巡查问题条数汇总!$B:$B,C329,记录巡查问题条数汇总!$E:$E)</f>
        <v>0</v>
      </c>
      <c r="I330" s="77"/>
      <c r="J330" s="77">
        <f>SUMIF(安全质量事故!$B:$B,C329,安全质量事故!$G:$G)</f>
        <v>0</v>
      </c>
      <c r="K330" s="72">
        <f>COUNTIF(L330:AP330,标准数据!$A$2)*标准数据!$B$2+COUNTIF(L330:AP330,标准数据!$A$3)*标准数据!$B$3+COUNTIF(L330:AP330,标准数据!$A$4)*标准数据!$B$4</f>
        <v>0</v>
      </c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189"/>
      <c r="AQ330" s="55"/>
      <c r="AR330" s="41"/>
      <c r="AS330" s="41"/>
      <c r="AT330" s="41"/>
    </row>
    <row r="331" spans="1:48" ht="21" customHeight="1">
      <c r="A331" s="227" t="s">
        <v>2112</v>
      </c>
      <c r="B331" s="45" t="s">
        <v>87</v>
      </c>
      <c r="C331" s="46" t="s">
        <v>1694</v>
      </c>
      <c r="D331" s="52" t="s">
        <v>1695</v>
      </c>
      <c r="E331" s="46">
        <v>46208</v>
      </c>
      <c r="F331" s="49">
        <f t="shared" ref="F331:F355" si="19">(K331+G331+H331+I331-J331)</f>
        <v>0</v>
      </c>
      <c r="G331" s="77">
        <f>SUMIF(积分汇总!$B:$B,C330,积分汇总!$E:$E)</f>
        <v>0</v>
      </c>
      <c r="H331" s="77">
        <f>SUMIF(记录巡查问题条数汇总!$B:$B,C330,记录巡查问题条数汇总!$E:$E)</f>
        <v>0</v>
      </c>
      <c r="I331" s="77"/>
      <c r="J331" s="77">
        <f>SUMIF(安全质量事故!$B:$B,C330,安全质量事故!$G:$G)</f>
        <v>0</v>
      </c>
      <c r="K331" s="72">
        <f>COUNTIF(L331:AP331,标准数据!$A$2)*标准数据!$B$2+COUNTIF(L331:AP331,标准数据!$A$3)*标准数据!$B$3+COUNTIF(L331:AP331,标准数据!$A$4)*标准数据!$B$4</f>
        <v>0</v>
      </c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189"/>
      <c r="AQ331" s="55"/>
      <c r="AR331" s="41"/>
      <c r="AS331" s="41"/>
      <c r="AT331" s="41"/>
    </row>
    <row r="332" spans="1:48" ht="21" customHeight="1">
      <c r="A332" s="227" t="s">
        <v>2112</v>
      </c>
      <c r="B332" s="45" t="s">
        <v>14</v>
      </c>
      <c r="C332" s="46" t="s">
        <v>1696</v>
      </c>
      <c r="D332" s="47" t="s">
        <v>1697</v>
      </c>
      <c r="E332" s="48">
        <v>46208</v>
      </c>
      <c r="F332" s="49">
        <f t="shared" si="19"/>
        <v>0</v>
      </c>
      <c r="G332" s="77">
        <f>SUMIF(积分汇总!$B:$B,C331,积分汇总!$E:$E)</f>
        <v>0</v>
      </c>
      <c r="H332" s="77">
        <f>SUMIF(记录巡查问题条数汇总!$B:$B,C331,记录巡查问题条数汇总!$E:$E)</f>
        <v>0</v>
      </c>
      <c r="I332" s="77"/>
      <c r="J332" s="77">
        <f>SUMIF(安全质量事故!$B:$B,C331,安全质量事故!$G:$G)</f>
        <v>0</v>
      </c>
      <c r="K332" s="72">
        <f>COUNTIF(L332:AP332,标准数据!$A$2)*标准数据!$B$2+COUNTIF(L332:AP332,标准数据!$A$3)*标准数据!$B$3+COUNTIF(L332:AP332,标准数据!$A$4)*标准数据!$B$4</f>
        <v>0</v>
      </c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189"/>
      <c r="AQ332" s="55"/>
      <c r="AR332" s="41"/>
      <c r="AS332" s="41"/>
      <c r="AT332" s="41"/>
    </row>
    <row r="333" spans="1:48" ht="21" customHeight="1">
      <c r="A333" s="227" t="s">
        <v>2112</v>
      </c>
      <c r="B333" s="45" t="s">
        <v>14</v>
      </c>
      <c r="C333" s="46" t="s">
        <v>1698</v>
      </c>
      <c r="D333" s="47" t="s">
        <v>1699</v>
      </c>
      <c r="E333" s="48">
        <v>46197</v>
      </c>
      <c r="F333" s="49">
        <f t="shared" si="19"/>
        <v>0</v>
      </c>
      <c r="G333" s="77">
        <f>SUMIF(积分汇总!$B:$B,C332,积分汇总!$E:$E)</f>
        <v>0</v>
      </c>
      <c r="H333" s="77">
        <f>SUMIF(记录巡查问题条数汇总!$B:$B,C332,记录巡查问题条数汇总!$E:$E)</f>
        <v>0</v>
      </c>
      <c r="I333" s="77"/>
      <c r="J333" s="77">
        <f>SUMIF(安全质量事故!$B:$B,C332,安全质量事故!$G:$G)</f>
        <v>0</v>
      </c>
      <c r="K333" s="72">
        <f>COUNTIF(L333:AP333,标准数据!$A$2)*标准数据!$B$2+COUNTIF(L333:AP333,标准数据!$A$3)*标准数据!$B$3+COUNTIF(L333:AP333,标准数据!$A$4)*标准数据!$B$4</f>
        <v>0</v>
      </c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189"/>
      <c r="AQ333" s="55"/>
      <c r="AR333" s="41"/>
      <c r="AS333" s="41"/>
      <c r="AT333" s="41"/>
    </row>
    <row r="334" spans="1:48" ht="21" customHeight="1">
      <c r="A334" s="227" t="s">
        <v>2112</v>
      </c>
      <c r="B334" s="45" t="s">
        <v>14</v>
      </c>
      <c r="C334" s="46" t="s">
        <v>1700</v>
      </c>
      <c r="D334" s="47" t="s">
        <v>1701</v>
      </c>
      <c r="E334" s="48">
        <v>46208</v>
      </c>
      <c r="F334" s="49">
        <f t="shared" si="19"/>
        <v>0</v>
      </c>
      <c r="G334" s="77">
        <f>SUMIF(积分汇总!$B:$B,C333,积分汇总!$E:$E)</f>
        <v>0</v>
      </c>
      <c r="H334" s="77">
        <f>SUMIF(记录巡查问题条数汇总!$B:$B,C333,记录巡查问题条数汇总!$E:$E)</f>
        <v>0</v>
      </c>
      <c r="I334" s="77"/>
      <c r="J334" s="77">
        <f>SUMIF(安全质量事故!$B:$B,C333,安全质量事故!$G:$G)</f>
        <v>0</v>
      </c>
      <c r="K334" s="72">
        <f>COUNTIF(L334:AP334,标准数据!$A$2)*标准数据!$B$2+COUNTIF(L334:AP334,标准数据!$A$3)*标准数据!$B$3+COUNTIF(L334:AP334,标准数据!$A$4)*标准数据!$B$4</f>
        <v>0</v>
      </c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189"/>
      <c r="AQ334" s="55"/>
      <c r="AR334" s="41"/>
      <c r="AS334" s="41"/>
      <c r="AT334" s="41"/>
    </row>
    <row r="335" spans="1:48" ht="21" customHeight="1">
      <c r="A335" s="227" t="s">
        <v>2112</v>
      </c>
      <c r="B335" s="45" t="s">
        <v>14</v>
      </c>
      <c r="C335" s="46" t="s">
        <v>1702</v>
      </c>
      <c r="D335" s="47" t="s">
        <v>1703</v>
      </c>
      <c r="E335" s="48">
        <v>46208</v>
      </c>
      <c r="F335" s="49">
        <f t="shared" si="19"/>
        <v>0</v>
      </c>
      <c r="G335" s="77">
        <f>SUMIF(积分汇总!$B:$B,C334,积分汇总!$E:$E)</f>
        <v>0</v>
      </c>
      <c r="H335" s="77">
        <f>SUMIF(记录巡查问题条数汇总!$B:$B,C334,记录巡查问题条数汇总!$E:$E)</f>
        <v>0</v>
      </c>
      <c r="I335" s="77"/>
      <c r="J335" s="77">
        <f>SUMIF(安全质量事故!$B:$B,C334,安全质量事故!$G:$G)</f>
        <v>0</v>
      </c>
      <c r="K335" s="72">
        <f>COUNTIF(L335:AP335,标准数据!$A$2)*标准数据!$B$2+COUNTIF(L335:AP335,标准数据!$A$3)*标准数据!$B$3+COUNTIF(L335:AP335,标准数据!$A$4)*标准数据!$B$4</f>
        <v>0</v>
      </c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189"/>
      <c r="AQ335" s="55"/>
      <c r="AR335" s="41"/>
      <c r="AS335" s="41"/>
      <c r="AT335" s="41"/>
    </row>
    <row r="336" spans="1:48" ht="21" customHeight="1">
      <c r="A336" s="227" t="s">
        <v>2112</v>
      </c>
      <c r="B336" s="45" t="s">
        <v>14</v>
      </c>
      <c r="C336" s="46" t="s">
        <v>1706</v>
      </c>
      <c r="D336" s="47" t="s">
        <v>1707</v>
      </c>
      <c r="E336" s="48">
        <v>46204</v>
      </c>
      <c r="F336" s="49">
        <f t="shared" si="19"/>
        <v>0</v>
      </c>
      <c r="G336" s="77">
        <f>SUMIF(积分汇总!$B:$B,C335,积分汇总!$E:$E)</f>
        <v>0</v>
      </c>
      <c r="H336" s="77">
        <f>SUMIF(记录巡查问题条数汇总!$B:$B,C335,记录巡查问题条数汇总!$E:$E)</f>
        <v>0</v>
      </c>
      <c r="I336" s="77"/>
      <c r="J336" s="77">
        <f>SUMIF(安全质量事故!$B:$B,C335,安全质量事故!$G:$G)</f>
        <v>0</v>
      </c>
      <c r="K336" s="72">
        <f>COUNTIF(L336:AP336,标准数据!$A$2)*标准数据!$B$2+COUNTIF(L336:AP336,标准数据!$A$3)*标准数据!$B$3+COUNTIF(L336:AP336,标准数据!$A$4)*标准数据!$B$4</f>
        <v>0</v>
      </c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189"/>
      <c r="AQ336" s="55"/>
      <c r="AR336" s="41"/>
      <c r="AS336" s="41"/>
      <c r="AT336" s="41"/>
    </row>
    <row r="337" spans="1:46" ht="21" customHeight="1">
      <c r="A337" s="227" t="s">
        <v>2112</v>
      </c>
      <c r="B337" s="45" t="s">
        <v>14</v>
      </c>
      <c r="C337" s="46" t="s">
        <v>1712</v>
      </c>
      <c r="D337" s="47" t="s">
        <v>1713</v>
      </c>
      <c r="E337" s="48">
        <v>46195</v>
      </c>
      <c r="F337" s="49">
        <f t="shared" si="19"/>
        <v>0</v>
      </c>
      <c r="G337" s="77">
        <f>SUMIF(积分汇总!$B:$B,C336,积分汇总!$E:$E)</f>
        <v>0</v>
      </c>
      <c r="H337" s="77">
        <f>SUMIF(记录巡查问题条数汇总!$B:$B,C336,记录巡查问题条数汇总!$E:$E)</f>
        <v>0</v>
      </c>
      <c r="I337" s="77"/>
      <c r="J337" s="77">
        <f>SUMIF(安全质量事故!$B:$B,C336,安全质量事故!$G:$G)</f>
        <v>0</v>
      </c>
      <c r="K337" s="72">
        <f>COUNTIF(L337:AP337,标准数据!$A$2)*标准数据!$B$2+COUNTIF(L337:AP337,标准数据!$A$3)*标准数据!$B$3+COUNTIF(L337:AP337,标准数据!$A$4)*标准数据!$B$4</f>
        <v>0</v>
      </c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189"/>
      <c r="AQ337" s="55"/>
      <c r="AR337" s="41"/>
      <c r="AS337" s="41"/>
      <c r="AT337" s="41"/>
    </row>
    <row r="338" spans="1:46" ht="21" customHeight="1">
      <c r="A338" s="227" t="s">
        <v>2112</v>
      </c>
      <c r="B338" s="45" t="s">
        <v>14</v>
      </c>
      <c r="C338" s="46" t="s">
        <v>1714</v>
      </c>
      <c r="D338" s="47" t="s">
        <v>1715</v>
      </c>
      <c r="E338" s="48">
        <v>46204</v>
      </c>
      <c r="F338" s="49">
        <f t="shared" si="19"/>
        <v>0</v>
      </c>
      <c r="G338" s="77">
        <f>SUMIF(积分汇总!$B:$B,C337,积分汇总!$E:$E)</f>
        <v>0</v>
      </c>
      <c r="H338" s="77">
        <f>SUMIF(记录巡查问题条数汇总!$B:$B,C337,记录巡查问题条数汇总!$E:$E)</f>
        <v>0</v>
      </c>
      <c r="I338" s="77"/>
      <c r="J338" s="77">
        <f>SUMIF(安全质量事故!$B:$B,C337,安全质量事故!$G:$G)</f>
        <v>0</v>
      </c>
      <c r="K338" s="72">
        <f>COUNTIF(L338:AP338,标准数据!$A$2)*标准数据!$B$2+COUNTIF(L338:AP338,标准数据!$A$3)*标准数据!$B$3+COUNTIF(L338:AP338,标准数据!$A$4)*标准数据!$B$4</f>
        <v>0</v>
      </c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189"/>
      <c r="AQ338" s="55"/>
      <c r="AR338" s="41"/>
      <c r="AS338" s="41"/>
      <c r="AT338" s="41"/>
    </row>
    <row r="339" spans="1:46" ht="21" customHeight="1">
      <c r="A339" s="227" t="s">
        <v>2112</v>
      </c>
      <c r="B339" s="45" t="s">
        <v>14</v>
      </c>
      <c r="C339" s="46" t="s">
        <v>1716</v>
      </c>
      <c r="D339" s="47" t="s">
        <v>1717</v>
      </c>
      <c r="E339" s="48">
        <v>46204</v>
      </c>
      <c r="F339" s="49">
        <f t="shared" si="19"/>
        <v>0</v>
      </c>
      <c r="G339" s="77">
        <f>SUMIF(积分汇总!$B:$B,C338,积分汇总!$E:$E)</f>
        <v>0</v>
      </c>
      <c r="H339" s="77">
        <f>SUMIF(记录巡查问题条数汇总!$B:$B,C338,记录巡查问题条数汇总!$E:$E)</f>
        <v>0</v>
      </c>
      <c r="I339" s="77"/>
      <c r="J339" s="77">
        <f>SUMIF(安全质量事故!$B:$B,C338,安全质量事故!$G:$G)</f>
        <v>0</v>
      </c>
      <c r="K339" s="72">
        <f>COUNTIF(L339:AP339,标准数据!$A$2)*标准数据!$B$2+COUNTIF(L339:AP339,标准数据!$A$3)*标准数据!$B$3+COUNTIF(L339:AP339,标准数据!$A$4)*标准数据!$B$4</f>
        <v>0</v>
      </c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189"/>
      <c r="AQ339" s="55"/>
      <c r="AR339" s="41"/>
      <c r="AS339" s="41"/>
      <c r="AT339" s="41"/>
    </row>
    <row r="340" spans="1:46" ht="21" customHeight="1">
      <c r="A340" s="227" t="s">
        <v>2112</v>
      </c>
      <c r="B340" s="45" t="s">
        <v>14</v>
      </c>
      <c r="C340" s="46" t="s">
        <v>1718</v>
      </c>
      <c r="D340" s="52" t="s">
        <v>1719</v>
      </c>
      <c r="E340" s="46">
        <v>46208</v>
      </c>
      <c r="F340" s="49">
        <f t="shared" si="19"/>
        <v>0</v>
      </c>
      <c r="G340" s="77">
        <f>SUMIF(积分汇总!$B:$B,C339,积分汇总!$E:$E)</f>
        <v>0</v>
      </c>
      <c r="H340" s="77">
        <f>SUMIF(记录巡查问题条数汇总!$B:$B,C339,记录巡查问题条数汇总!$E:$E)</f>
        <v>0</v>
      </c>
      <c r="I340" s="77"/>
      <c r="J340" s="77">
        <f>SUMIF(安全质量事故!$B:$B,C339,安全质量事故!$G:$G)</f>
        <v>0</v>
      </c>
      <c r="K340" s="72">
        <f>COUNTIF(L340:AP340,标准数据!$A$2)*标准数据!$B$2+COUNTIF(L340:AP340,标准数据!$A$3)*标准数据!$B$3+COUNTIF(L340:AP340,标准数据!$A$4)*标准数据!$B$4</f>
        <v>0</v>
      </c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189"/>
      <c r="AQ340" s="55"/>
      <c r="AR340" s="41"/>
      <c r="AS340" s="41"/>
      <c r="AT340" s="41"/>
    </row>
    <row r="341" spans="1:46" ht="21" customHeight="1">
      <c r="A341" s="227" t="s">
        <v>2112</v>
      </c>
      <c r="B341" s="45" t="s">
        <v>14</v>
      </c>
      <c r="C341" s="46" t="s">
        <v>1704</v>
      </c>
      <c r="D341" s="47" t="s">
        <v>1705</v>
      </c>
      <c r="E341" s="48">
        <v>46208</v>
      </c>
      <c r="F341" s="49">
        <f t="shared" si="19"/>
        <v>0</v>
      </c>
      <c r="G341" s="77">
        <f>SUMIF(积分汇总!$B:$B,C340,积分汇总!$E:$E)</f>
        <v>0</v>
      </c>
      <c r="H341" s="77">
        <f>SUMIF(记录巡查问题条数汇总!$B:$B,C340,记录巡查问题条数汇总!$E:$E)</f>
        <v>0</v>
      </c>
      <c r="I341" s="77"/>
      <c r="J341" s="77">
        <f>SUMIF(安全质量事故!$B:$B,C340,安全质量事故!$G:$G)</f>
        <v>0</v>
      </c>
      <c r="K341" s="72">
        <f>COUNTIF(L341:AP341,标准数据!$A$2)*标准数据!$B$2+COUNTIF(L341:AP341,标准数据!$A$3)*标准数据!$B$3+COUNTIF(L341:AP341,标准数据!$A$4)*标准数据!$B$4</f>
        <v>0</v>
      </c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189"/>
      <c r="AQ341" s="55"/>
      <c r="AR341" s="41"/>
      <c r="AS341" s="41"/>
      <c r="AT341" s="41"/>
    </row>
    <row r="342" spans="1:46" ht="21" customHeight="1">
      <c r="A342" s="227" t="s">
        <v>2112</v>
      </c>
      <c r="B342" s="45" t="s">
        <v>14</v>
      </c>
      <c r="C342" s="46" t="s">
        <v>1708</v>
      </c>
      <c r="D342" s="47" t="s">
        <v>1709</v>
      </c>
      <c r="E342" s="48">
        <v>46208</v>
      </c>
      <c r="F342" s="49">
        <f t="shared" si="19"/>
        <v>0</v>
      </c>
      <c r="G342" s="77">
        <f>SUMIF(积分汇总!$B:$B,C341,积分汇总!$E:$E)</f>
        <v>0</v>
      </c>
      <c r="H342" s="77">
        <f>SUMIF(记录巡查问题条数汇总!$B:$B,C341,记录巡查问题条数汇总!$E:$E)</f>
        <v>0</v>
      </c>
      <c r="I342" s="77"/>
      <c r="J342" s="77">
        <f>SUMIF(安全质量事故!$B:$B,C341,安全质量事故!$G:$G)</f>
        <v>0</v>
      </c>
      <c r="K342" s="72">
        <f>COUNTIF(L342:AP342,标准数据!$A$2)*标准数据!$B$2+COUNTIF(L342:AP342,标准数据!$A$3)*标准数据!$B$3+COUNTIF(L342:AP342,标准数据!$A$4)*标准数据!$B$4</f>
        <v>0</v>
      </c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189"/>
      <c r="AQ342" s="55"/>
      <c r="AR342" s="41"/>
      <c r="AS342" s="41"/>
      <c r="AT342" s="41"/>
    </row>
    <row r="343" spans="1:46" ht="21" customHeight="1">
      <c r="A343" s="227" t="s">
        <v>2112</v>
      </c>
      <c r="B343" s="45" t="s">
        <v>14</v>
      </c>
      <c r="C343" s="46" t="s">
        <v>1710</v>
      </c>
      <c r="D343" s="47" t="s">
        <v>1711</v>
      </c>
      <c r="E343" s="48">
        <v>46208</v>
      </c>
      <c r="F343" s="49">
        <f t="shared" si="19"/>
        <v>0</v>
      </c>
      <c r="G343" s="77">
        <f>SUMIF(积分汇总!$B:$B,C342,积分汇总!$E:$E)</f>
        <v>0</v>
      </c>
      <c r="H343" s="77">
        <f>SUMIF(记录巡查问题条数汇总!$B:$B,C342,记录巡查问题条数汇总!$E:$E)</f>
        <v>0</v>
      </c>
      <c r="I343" s="77"/>
      <c r="J343" s="77">
        <f>SUMIF(安全质量事故!$B:$B,C342,安全质量事故!$G:$G)</f>
        <v>0</v>
      </c>
      <c r="K343" s="72">
        <f>COUNTIF(L343:AP343,标准数据!$A$2)*标准数据!$B$2+COUNTIF(L343:AP343,标准数据!$A$3)*标准数据!$B$3+COUNTIF(L343:AP343,标准数据!$A$4)*标准数据!$B$4</f>
        <v>0</v>
      </c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189"/>
      <c r="AQ343" s="55"/>
      <c r="AR343" s="41"/>
      <c r="AS343" s="41"/>
      <c r="AT343" s="41"/>
    </row>
    <row r="344" spans="1:46" ht="21" customHeight="1">
      <c r="A344" s="227" t="s">
        <v>2112</v>
      </c>
      <c r="B344" s="45" t="s">
        <v>14</v>
      </c>
      <c r="C344" s="47" t="s">
        <v>1720</v>
      </c>
      <c r="D344" s="52" t="s">
        <v>1721</v>
      </c>
      <c r="E344" s="46">
        <v>46208</v>
      </c>
      <c r="F344" s="49">
        <f t="shared" si="19"/>
        <v>0</v>
      </c>
      <c r="G344" s="77">
        <f>SUMIF(积分汇总!$B:$B,C343,积分汇总!$E:$E)</f>
        <v>0</v>
      </c>
      <c r="H344" s="77">
        <f>SUMIF(记录巡查问题条数汇总!$B:$B,C343,记录巡查问题条数汇总!$E:$E)</f>
        <v>0</v>
      </c>
      <c r="I344" s="77"/>
      <c r="J344" s="77">
        <f>SUMIF(安全质量事故!$B:$B,C343,安全质量事故!$G:$G)</f>
        <v>0</v>
      </c>
      <c r="K344" s="72">
        <f>COUNTIF(L344:AP344,标准数据!$A$2)*标准数据!$B$2+COUNTIF(L344:AP344,标准数据!$A$3)*标准数据!$B$3+COUNTIF(L344:AP344,标准数据!$A$4)*标准数据!$B$4</f>
        <v>0</v>
      </c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189"/>
      <c r="AQ344" s="55"/>
      <c r="AR344" s="41"/>
      <c r="AS344" s="41"/>
      <c r="AT344" s="41"/>
    </row>
    <row r="345" spans="1:46" ht="21" customHeight="1">
      <c r="A345" s="227" t="s">
        <v>2112</v>
      </c>
      <c r="B345" s="45" t="s">
        <v>14</v>
      </c>
      <c r="C345" s="46" t="s">
        <v>1722</v>
      </c>
      <c r="D345" s="47" t="s">
        <v>1723</v>
      </c>
      <c r="E345" s="48">
        <v>46208</v>
      </c>
      <c r="F345" s="49">
        <f t="shared" si="19"/>
        <v>0</v>
      </c>
      <c r="G345" s="77">
        <f>SUMIF(积分汇总!$B:$B,C344,积分汇总!$E:$E)</f>
        <v>0</v>
      </c>
      <c r="H345" s="77">
        <f>SUMIF(记录巡查问题条数汇总!$B:$B,C344,记录巡查问题条数汇总!$E:$E)</f>
        <v>0</v>
      </c>
      <c r="I345" s="77"/>
      <c r="J345" s="77">
        <f>SUMIF(安全质量事故!$B:$B,C344,安全质量事故!$G:$G)</f>
        <v>0</v>
      </c>
      <c r="K345" s="72">
        <f>COUNTIF(L345:AP345,标准数据!$A$2)*标准数据!$B$2+COUNTIF(L345:AP345,标准数据!$A$3)*标准数据!$B$3+COUNTIF(L345:AP345,标准数据!$A$4)*标准数据!$B$4</f>
        <v>0</v>
      </c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189"/>
      <c r="AQ345" s="55"/>
      <c r="AR345" s="41"/>
      <c r="AS345" s="41"/>
      <c r="AT345" s="41"/>
    </row>
    <row r="346" spans="1:46" ht="21" customHeight="1">
      <c r="A346" s="227" t="s">
        <v>2112</v>
      </c>
      <c r="B346" s="45" t="s">
        <v>14</v>
      </c>
      <c r="C346" s="46" t="s">
        <v>1484</v>
      </c>
      <c r="D346" s="47" t="s">
        <v>1485</v>
      </c>
      <c r="E346" s="48">
        <v>46183</v>
      </c>
      <c r="F346" s="49">
        <f t="shared" si="19"/>
        <v>0</v>
      </c>
      <c r="G346" s="77">
        <f>SUMIF(积分汇总!$B:$B,C345,积分汇总!$E:$E)</f>
        <v>0</v>
      </c>
      <c r="H346" s="77">
        <f>SUMIF(记录巡查问题条数汇总!$B:$B,C345,记录巡查问题条数汇总!$E:$E)</f>
        <v>0</v>
      </c>
      <c r="I346" s="77"/>
      <c r="J346" s="77">
        <f>SUMIF(安全质量事故!$B:$B,C345,安全质量事故!$G:$G)</f>
        <v>0</v>
      </c>
      <c r="K346" s="72">
        <f>COUNTIF(L346:AP346,标准数据!$A$2)*标准数据!$B$2+COUNTIF(L346:AP346,标准数据!$A$3)*标准数据!$B$3+COUNTIF(L346:AP346,标准数据!$A$4)*标准数据!$B$4</f>
        <v>0</v>
      </c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189"/>
      <c r="AQ346" s="55"/>
      <c r="AR346" s="41"/>
      <c r="AS346" s="41"/>
      <c r="AT346" s="41"/>
    </row>
    <row r="347" spans="1:46" ht="21" customHeight="1">
      <c r="A347" s="227" t="s">
        <v>2112</v>
      </c>
      <c r="B347" s="45" t="s">
        <v>14</v>
      </c>
      <c r="C347" s="46" t="s">
        <v>1995</v>
      </c>
      <c r="D347" s="47" t="s">
        <v>1996</v>
      </c>
      <c r="E347" s="48">
        <v>46246</v>
      </c>
      <c r="F347" s="49">
        <f t="shared" si="19"/>
        <v>0</v>
      </c>
      <c r="G347" s="77">
        <f>SUMIF(积分汇总!$B:$B,C346,积分汇总!$E:$E)</f>
        <v>0</v>
      </c>
      <c r="H347" s="77">
        <f>SUMIF(记录巡查问题条数汇总!$B:$B,C346,记录巡查问题条数汇总!$E:$E)</f>
        <v>0</v>
      </c>
      <c r="I347" s="77"/>
      <c r="J347" s="77">
        <f>SUMIF(安全质量事故!$B:$B,C346,安全质量事故!$G:$G)</f>
        <v>0</v>
      </c>
      <c r="K347" s="72">
        <f>COUNTIF(L347:AP347,标准数据!$A$2)*标准数据!$B$2+COUNTIF(L347:AP347,标准数据!$A$3)*标准数据!$B$3+COUNTIF(L347:AP347,标准数据!$A$4)*标准数据!$B$4</f>
        <v>0</v>
      </c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189"/>
      <c r="AQ347" s="55"/>
      <c r="AR347" s="41"/>
      <c r="AS347" s="41"/>
      <c r="AT347" s="41"/>
    </row>
    <row r="348" spans="1:46" ht="21" customHeight="1">
      <c r="A348" s="227" t="s">
        <v>2112</v>
      </c>
      <c r="B348" s="45" t="s">
        <v>14</v>
      </c>
      <c r="C348" s="46" t="s">
        <v>1997</v>
      </c>
      <c r="D348" s="47" t="s">
        <v>1998</v>
      </c>
      <c r="E348" s="48">
        <v>46225</v>
      </c>
      <c r="F348" s="49">
        <f t="shared" si="19"/>
        <v>0</v>
      </c>
      <c r="G348" s="77">
        <f>SUMIF(积分汇总!$B:$B,C347,积分汇总!$E:$E)</f>
        <v>0</v>
      </c>
      <c r="H348" s="77">
        <f>SUMIF(记录巡查问题条数汇总!$B:$B,C347,记录巡查问题条数汇总!$E:$E)</f>
        <v>0</v>
      </c>
      <c r="I348" s="77"/>
      <c r="J348" s="77">
        <f>SUMIF(安全质量事故!$B:$B,C347,安全质量事故!$G:$G)</f>
        <v>0</v>
      </c>
      <c r="K348" s="72">
        <f>COUNTIF(L348:AP348,标准数据!$A$2)*标准数据!$B$2+COUNTIF(L348:AP348,标准数据!$A$3)*标准数据!$B$3+COUNTIF(L348:AP348,标准数据!$A$4)*标准数据!$B$4</f>
        <v>0</v>
      </c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189"/>
      <c r="AQ348" s="55"/>
      <c r="AR348" s="41"/>
      <c r="AS348" s="41"/>
      <c r="AT348" s="41"/>
    </row>
    <row r="349" spans="1:46" ht="21" customHeight="1">
      <c r="A349" s="227" t="s">
        <v>2112</v>
      </c>
      <c r="B349" s="45" t="s">
        <v>14</v>
      </c>
      <c r="C349" s="46" t="s">
        <v>1999</v>
      </c>
      <c r="D349" s="47" t="s">
        <v>2000</v>
      </c>
      <c r="E349" s="48">
        <v>46225</v>
      </c>
      <c r="F349" s="49">
        <f t="shared" si="19"/>
        <v>0</v>
      </c>
      <c r="G349" s="77">
        <f>SUMIF(积分汇总!$B:$B,C348,积分汇总!$E:$E)</f>
        <v>0</v>
      </c>
      <c r="H349" s="77">
        <f>SUMIF(记录巡查问题条数汇总!$B:$B,C348,记录巡查问题条数汇总!$E:$E)</f>
        <v>0</v>
      </c>
      <c r="I349" s="77"/>
      <c r="J349" s="77">
        <f>SUMIF(安全质量事故!$B:$B,C348,安全质量事故!$G:$G)</f>
        <v>0</v>
      </c>
      <c r="K349" s="72">
        <f>COUNTIF(L349:AP349,标准数据!$A$2)*标准数据!$B$2+COUNTIF(L349:AP349,标准数据!$A$3)*标准数据!$B$3+COUNTIF(L349:AP349,标准数据!$A$4)*标准数据!$B$4</f>
        <v>0</v>
      </c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189"/>
      <c r="AQ349" s="55"/>
      <c r="AR349" s="41"/>
      <c r="AS349" s="41"/>
      <c r="AT349" s="41"/>
    </row>
    <row r="350" spans="1:46" ht="21" customHeight="1">
      <c r="A350" s="227" t="s">
        <v>2112</v>
      </c>
      <c r="B350" s="45" t="s">
        <v>14</v>
      </c>
      <c r="C350" s="46" t="s">
        <v>2001</v>
      </c>
      <c r="D350" s="47" t="s">
        <v>2002</v>
      </c>
      <c r="E350" s="48">
        <v>46232</v>
      </c>
      <c r="F350" s="49">
        <f t="shared" si="19"/>
        <v>0</v>
      </c>
      <c r="G350" s="77">
        <f>SUMIF(积分汇总!$B:$B,C349,积分汇总!$E:$E)</f>
        <v>0</v>
      </c>
      <c r="H350" s="77">
        <f>SUMIF(记录巡查问题条数汇总!$B:$B,C349,记录巡查问题条数汇总!$E:$E)</f>
        <v>0</v>
      </c>
      <c r="I350" s="77"/>
      <c r="J350" s="77">
        <f>SUMIF(安全质量事故!$B:$B,C349,安全质量事故!$G:$G)</f>
        <v>0</v>
      </c>
      <c r="K350" s="72">
        <f>COUNTIF(L350:AP350,标准数据!$A$2)*标准数据!$B$2+COUNTIF(L350:AP350,标准数据!$A$3)*标准数据!$B$3+COUNTIF(L350:AP350,标准数据!$A$4)*标准数据!$B$4</f>
        <v>0</v>
      </c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189"/>
      <c r="AQ350" s="55"/>
      <c r="AR350" s="41"/>
      <c r="AS350" s="41"/>
      <c r="AT350" s="41"/>
    </row>
    <row r="351" spans="1:46" ht="21" customHeight="1">
      <c r="A351" s="227" t="s">
        <v>2112</v>
      </c>
      <c r="B351" s="45" t="s">
        <v>14</v>
      </c>
      <c r="C351" s="46" t="s">
        <v>2003</v>
      </c>
      <c r="D351" s="47" t="s">
        <v>2004</v>
      </c>
      <c r="E351" s="48">
        <v>46225</v>
      </c>
      <c r="F351" s="49">
        <f t="shared" si="19"/>
        <v>0</v>
      </c>
      <c r="G351" s="77">
        <f>SUMIF(积分汇总!$B:$B,C350,积分汇总!$E:$E)</f>
        <v>0</v>
      </c>
      <c r="H351" s="77">
        <f>SUMIF(记录巡查问题条数汇总!$B:$B,C350,记录巡查问题条数汇总!$E:$E)</f>
        <v>0</v>
      </c>
      <c r="I351" s="77"/>
      <c r="J351" s="77">
        <f>SUMIF(安全质量事故!$B:$B,C350,安全质量事故!$G:$G)</f>
        <v>0</v>
      </c>
      <c r="K351" s="72">
        <f>COUNTIF(L351:AP351,标准数据!$A$2)*标准数据!$B$2+COUNTIF(L351:AP351,标准数据!$A$3)*标准数据!$B$3+COUNTIF(L351:AP351,标准数据!$A$4)*标准数据!$B$4</f>
        <v>0</v>
      </c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189"/>
      <c r="AQ351" s="55"/>
      <c r="AR351" s="41"/>
      <c r="AS351" s="41"/>
      <c r="AT351" s="41"/>
    </row>
    <row r="352" spans="1:46" ht="21" customHeight="1">
      <c r="A352" s="227" t="s">
        <v>2112</v>
      </c>
      <c r="B352" s="45" t="s">
        <v>14</v>
      </c>
      <c r="C352" s="46" t="s">
        <v>2005</v>
      </c>
      <c r="D352" s="47" t="s">
        <v>2006</v>
      </c>
      <c r="E352" s="48">
        <v>46225</v>
      </c>
      <c r="F352" s="49">
        <f t="shared" si="19"/>
        <v>0</v>
      </c>
      <c r="G352" s="77">
        <f>SUMIF(积分汇总!$B:$B,C351,积分汇总!$E:$E)</f>
        <v>0</v>
      </c>
      <c r="H352" s="77">
        <f>SUMIF(记录巡查问题条数汇总!$B:$B,C351,记录巡查问题条数汇总!$E:$E)</f>
        <v>0</v>
      </c>
      <c r="I352" s="77"/>
      <c r="J352" s="77">
        <f>SUMIF(安全质量事故!$B:$B,C351,安全质量事故!$G:$G)</f>
        <v>0</v>
      </c>
      <c r="K352" s="72">
        <f>COUNTIF(L352:AP352,标准数据!$A$2)*标准数据!$B$2+COUNTIF(L352:AP352,标准数据!$A$3)*标准数据!$B$3+COUNTIF(L352:AP352,标准数据!$A$4)*标准数据!$B$4</f>
        <v>0</v>
      </c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189"/>
      <c r="AQ352" s="55"/>
      <c r="AR352" s="41"/>
      <c r="AS352" s="41"/>
      <c r="AT352" s="41"/>
    </row>
    <row r="353" spans="1:46" ht="21" customHeight="1">
      <c r="A353" s="227" t="s">
        <v>2112</v>
      </c>
      <c r="B353" s="45" t="s">
        <v>14</v>
      </c>
      <c r="C353" s="46" t="s">
        <v>2007</v>
      </c>
      <c r="D353" s="47" t="s">
        <v>2008</v>
      </c>
      <c r="E353" s="48">
        <v>46225</v>
      </c>
      <c r="F353" s="49">
        <f t="shared" si="19"/>
        <v>0</v>
      </c>
      <c r="G353" s="77">
        <f>SUMIF(积分汇总!$B:$B,C352,积分汇总!$E:$E)</f>
        <v>0</v>
      </c>
      <c r="H353" s="77">
        <f>SUMIF(记录巡查问题条数汇总!$B:$B,C352,记录巡查问题条数汇总!$E:$E)</f>
        <v>0</v>
      </c>
      <c r="I353" s="77"/>
      <c r="J353" s="77">
        <f>SUMIF(安全质量事故!$B:$B,C352,安全质量事故!$G:$G)</f>
        <v>0</v>
      </c>
      <c r="K353" s="72">
        <f>COUNTIF(L353:AP353,标准数据!$A$2)*标准数据!$B$2+COUNTIF(L353:AP353,标准数据!$A$3)*标准数据!$B$3+COUNTIF(L353:AP353,标准数据!$A$4)*标准数据!$B$4</f>
        <v>0</v>
      </c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189"/>
      <c r="AQ353" s="55"/>
      <c r="AR353" s="41"/>
      <c r="AS353" s="41"/>
      <c r="AT353" s="41"/>
    </row>
    <row r="354" spans="1:46" ht="21" customHeight="1">
      <c r="A354" s="227" t="s">
        <v>2112</v>
      </c>
      <c r="B354" s="45" t="s">
        <v>14</v>
      </c>
      <c r="C354" s="46" t="s">
        <v>2009</v>
      </c>
      <c r="D354" s="47" t="s">
        <v>2010</v>
      </c>
      <c r="E354" s="48">
        <v>46225</v>
      </c>
      <c r="F354" s="49">
        <f t="shared" si="19"/>
        <v>0</v>
      </c>
      <c r="G354" s="77">
        <f>SUMIF(积分汇总!$B:$B,C353,积分汇总!$E:$E)</f>
        <v>0</v>
      </c>
      <c r="H354" s="77">
        <f>SUMIF(记录巡查问题条数汇总!$B:$B,C353,记录巡查问题条数汇总!$E:$E)</f>
        <v>0</v>
      </c>
      <c r="I354" s="77"/>
      <c r="J354" s="77">
        <f>SUMIF(安全质量事故!$B:$B,C353,安全质量事故!$G:$G)</f>
        <v>0</v>
      </c>
      <c r="K354" s="72">
        <f>COUNTIF(L354:AP354,标准数据!$A$2)*标准数据!$B$2+COUNTIF(L354:AP354,标准数据!$A$3)*标准数据!$B$3+COUNTIF(L354:AP354,标准数据!$A$4)*标准数据!$B$4</f>
        <v>0</v>
      </c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189"/>
      <c r="AQ354" s="55"/>
      <c r="AR354" s="41"/>
      <c r="AS354" s="41"/>
      <c r="AT354" s="41"/>
    </row>
    <row r="355" spans="1:46" ht="21" customHeight="1">
      <c r="A355" s="227" t="s">
        <v>2112</v>
      </c>
      <c r="B355" s="45" t="s">
        <v>14</v>
      </c>
      <c r="C355" s="46" t="s">
        <v>2011</v>
      </c>
      <c r="D355" s="47" t="s">
        <v>2012</v>
      </c>
      <c r="E355" s="48">
        <v>46232</v>
      </c>
      <c r="F355" s="49">
        <f t="shared" si="19"/>
        <v>0</v>
      </c>
      <c r="G355" s="77">
        <f>SUMIF(积分汇总!$B:$B,C354,积分汇总!$E:$E)</f>
        <v>0</v>
      </c>
      <c r="H355" s="77">
        <f>SUMIF(记录巡查问题条数汇总!$B:$B,C354,记录巡查问题条数汇总!$E:$E)</f>
        <v>0</v>
      </c>
      <c r="I355" s="77"/>
      <c r="J355" s="77">
        <f>SUMIF(安全质量事故!$B:$B,C354,安全质量事故!$G:$G)</f>
        <v>0</v>
      </c>
      <c r="K355" s="72">
        <f>COUNTIF(L355:AP355,标准数据!$A$2)*标准数据!$B$2+COUNTIF(L355:AP355,标准数据!$A$3)*标准数据!$B$3+COUNTIF(L355:AP355,标准数据!$A$4)*标准数据!$B$4</f>
        <v>0</v>
      </c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189"/>
      <c r="AQ355" s="55"/>
      <c r="AR355" s="41"/>
      <c r="AS355" s="41"/>
      <c r="AT355" s="41"/>
    </row>
    <row r="356" spans="1:46" ht="21" customHeight="1">
      <c r="A356" s="227" t="s">
        <v>2112</v>
      </c>
      <c r="B356" s="45" t="s">
        <v>14</v>
      </c>
      <c r="C356" s="46" t="s">
        <v>2013</v>
      </c>
      <c r="D356" s="47" t="s">
        <v>2014</v>
      </c>
      <c r="E356" s="48">
        <v>46232</v>
      </c>
      <c r="F356" s="49">
        <f t="shared" si="16"/>
        <v>0</v>
      </c>
      <c r="G356" s="77">
        <f>SUMIF(积分汇总!$B:$B,C330,积分汇总!$E:$E)</f>
        <v>0</v>
      </c>
      <c r="H356" s="77">
        <f>SUMIF(记录巡查问题条数汇总!$B:$B,C330,记录巡查问题条数汇总!$E:$E)</f>
        <v>0</v>
      </c>
      <c r="I356" s="77"/>
      <c r="J356" s="77">
        <f>SUMIF(安全质量事故!$B:$B,C330,安全质量事故!$G:$G)</f>
        <v>0</v>
      </c>
      <c r="K356" s="72">
        <f>COUNTIF(L356:AP356,标准数据!$A$2)*标准数据!$B$2+COUNTIF(L356:AP356,标准数据!$A$3)*标准数据!$B$3+COUNTIF(L356:AP356,标准数据!$A$4)*标准数据!$B$4</f>
        <v>0</v>
      </c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189"/>
      <c r="AQ356" s="55"/>
      <c r="AR356" s="41"/>
      <c r="AS356" s="41"/>
      <c r="AT356" s="41"/>
    </row>
    <row r="357" spans="1:46" ht="21" customHeight="1">
      <c r="A357" s="227" t="s">
        <v>2112</v>
      </c>
      <c r="B357" s="45" t="s">
        <v>14</v>
      </c>
      <c r="C357" s="46" t="s">
        <v>2015</v>
      </c>
      <c r="D357" s="47" t="s">
        <v>2016</v>
      </c>
      <c r="E357" s="48">
        <v>46232</v>
      </c>
      <c r="F357" s="49">
        <f t="shared" si="16"/>
        <v>0</v>
      </c>
      <c r="G357" s="77">
        <f>SUMIF(积分汇总!$B:$B,C356,积分汇总!$E:$E)</f>
        <v>0</v>
      </c>
      <c r="H357" s="77">
        <f>SUMIF(记录巡查问题条数汇总!$B:$B,C356,记录巡查问题条数汇总!$E:$E)</f>
        <v>0</v>
      </c>
      <c r="I357" s="77"/>
      <c r="J357" s="77">
        <f>SUMIF(安全质量事故!$B:$B,C356,安全质量事故!$G:$G)</f>
        <v>0</v>
      </c>
      <c r="K357" s="72">
        <f>COUNTIF(L357:AP357,标准数据!$A$2)*标准数据!$B$2+COUNTIF(L357:AP357,标准数据!$A$3)*标准数据!$B$3+COUNTIF(L357:AP357,标准数据!$A$4)*标准数据!$B$4</f>
        <v>0</v>
      </c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189"/>
      <c r="AQ357" s="55"/>
      <c r="AR357" s="41"/>
      <c r="AS357" s="41"/>
      <c r="AT357" s="41"/>
    </row>
    <row r="358" spans="1:46" ht="21" customHeight="1">
      <c r="A358" s="227" t="s">
        <v>2112</v>
      </c>
      <c r="B358" s="45" t="s">
        <v>129</v>
      </c>
      <c r="C358" s="46" t="s">
        <v>282</v>
      </c>
      <c r="D358" s="47" t="s">
        <v>270</v>
      </c>
      <c r="E358" s="48">
        <v>45546</v>
      </c>
      <c r="F358" s="49">
        <f t="shared" si="16"/>
        <v>0</v>
      </c>
      <c r="G358" s="77">
        <f>SUMIF(积分汇总!$B:$B,C357,积分汇总!$E:$E)</f>
        <v>0</v>
      </c>
      <c r="H358" s="77">
        <f>SUMIF(记录巡查问题条数汇总!$B:$B,C357,记录巡查问题条数汇总!$E:$E)</f>
        <v>0</v>
      </c>
      <c r="I358" s="77"/>
      <c r="J358" s="77">
        <f>SUMIF(安全质量事故!$B:$B,C357,安全质量事故!$G:$G)</f>
        <v>0</v>
      </c>
      <c r="K358" s="72">
        <f>COUNTIF(L358:AP358,标准数据!$A$2)*标准数据!$B$2+COUNTIF(L358:AP358,标准数据!$A$3)*标准数据!$B$3+COUNTIF(L358:AP358,标准数据!$A$4)*标准数据!$B$4</f>
        <v>0</v>
      </c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189"/>
      <c r="AQ358" s="55"/>
      <c r="AR358" s="41"/>
      <c r="AS358" s="41"/>
      <c r="AT358" s="41"/>
    </row>
    <row r="359" spans="1:46" ht="21" customHeight="1">
      <c r="A359" s="227" t="s">
        <v>2112</v>
      </c>
      <c r="B359" s="45" t="s">
        <v>129</v>
      </c>
      <c r="C359" s="46" t="s">
        <v>941</v>
      </c>
      <c r="D359" s="47" t="s">
        <v>905</v>
      </c>
      <c r="E359" s="48">
        <v>45847</v>
      </c>
      <c r="F359" s="49">
        <f t="shared" si="16"/>
        <v>0</v>
      </c>
      <c r="G359" s="77">
        <f>SUMIF(积分汇总!$B:$B,C358,积分汇总!$E:$E)</f>
        <v>0</v>
      </c>
      <c r="H359" s="77">
        <f>SUMIF(记录巡查问题条数汇总!$B:$B,C358,记录巡查问题条数汇总!$E:$E)</f>
        <v>0</v>
      </c>
      <c r="I359" s="77"/>
      <c r="J359" s="77">
        <f>SUMIF(安全质量事故!$B:$B,C358,安全质量事故!$G:$G)</f>
        <v>0</v>
      </c>
      <c r="K359" s="72">
        <f>COUNTIF(L359:AP359,标准数据!$A$2)*标准数据!$B$2+COUNTIF(L359:AP359,标准数据!$A$3)*标准数据!$B$3+COUNTIF(L359:AP359,标准数据!$A$4)*标准数据!$B$4</f>
        <v>0</v>
      </c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189"/>
      <c r="AQ359" s="55"/>
      <c r="AR359" s="41"/>
      <c r="AS359" s="41"/>
      <c r="AT359" s="41"/>
    </row>
    <row r="360" spans="1:46" ht="21" customHeight="1">
      <c r="A360" s="227" t="s">
        <v>2112</v>
      </c>
      <c r="B360" s="45" t="s">
        <v>129</v>
      </c>
      <c r="C360" s="46" t="s">
        <v>300</v>
      </c>
      <c r="D360" s="47" t="s">
        <v>287</v>
      </c>
      <c r="E360" s="48">
        <v>45574</v>
      </c>
      <c r="F360" s="49">
        <f t="shared" si="16"/>
        <v>0</v>
      </c>
      <c r="G360" s="77">
        <f>SUMIF(积分汇总!$B:$B,C359,积分汇总!$E:$E)</f>
        <v>0</v>
      </c>
      <c r="H360" s="77">
        <f>SUMIF(记录巡查问题条数汇总!$B:$B,C359,记录巡查问题条数汇总!$E:$E)</f>
        <v>0</v>
      </c>
      <c r="I360" s="77"/>
      <c r="J360" s="77">
        <f>SUMIF(安全质量事故!$B:$B,C359,安全质量事故!$G:$G)</f>
        <v>0</v>
      </c>
      <c r="K360" s="72">
        <f>COUNTIF(L360:AP360,标准数据!$A$2)*标准数据!$B$2+COUNTIF(L360:AP360,标准数据!$A$3)*标准数据!$B$3+COUNTIF(L360:AP360,标准数据!$A$4)*标准数据!$B$4</f>
        <v>0</v>
      </c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189"/>
      <c r="AQ360" s="55"/>
      <c r="AR360" s="41"/>
      <c r="AS360" s="41"/>
      <c r="AT360" s="41"/>
    </row>
    <row r="361" spans="1:46" ht="21" customHeight="1">
      <c r="A361" s="227" t="s">
        <v>2112</v>
      </c>
      <c r="B361" s="45" t="s">
        <v>146</v>
      </c>
      <c r="C361" s="46" t="s">
        <v>189</v>
      </c>
      <c r="D361" s="47" t="s">
        <v>126</v>
      </c>
      <c r="E361" s="48">
        <v>45238</v>
      </c>
      <c r="F361" s="49">
        <f t="shared" si="16"/>
        <v>0</v>
      </c>
      <c r="G361" s="77">
        <f>SUMIF(积分汇总!$B:$B,C360,积分汇总!$E:$E)</f>
        <v>0</v>
      </c>
      <c r="H361" s="77">
        <f>SUMIF(记录巡查问题条数汇总!$B:$B,C360,记录巡查问题条数汇总!$E:$E)</f>
        <v>0</v>
      </c>
      <c r="I361" s="77"/>
      <c r="J361" s="77">
        <f>SUMIF(安全质量事故!$B:$B,C360,安全质量事故!$G:$G)</f>
        <v>0</v>
      </c>
      <c r="K361" s="72">
        <f>COUNTIF(L361:AP361,标准数据!$A$2)*标准数据!$B$2+COUNTIF(L361:AP361,标准数据!$A$3)*标准数据!$B$3+COUNTIF(L361:AP361,标准数据!$A$4)*标准数据!$B$4</f>
        <v>0</v>
      </c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189"/>
      <c r="AQ361" s="55"/>
      <c r="AR361" s="41"/>
      <c r="AS361" s="41"/>
      <c r="AT361" s="41"/>
    </row>
    <row r="362" spans="1:46" ht="21" customHeight="1">
      <c r="A362" s="227" t="s">
        <v>2112</v>
      </c>
      <c r="B362" s="45" t="s">
        <v>129</v>
      </c>
      <c r="C362" s="46" t="s">
        <v>344</v>
      </c>
      <c r="D362" s="47" t="s">
        <v>337</v>
      </c>
      <c r="E362" s="48">
        <v>45630</v>
      </c>
      <c r="F362" s="49">
        <f t="shared" si="16"/>
        <v>0</v>
      </c>
      <c r="G362" s="77">
        <f>SUMIF(积分汇总!$B:$B,C361,积分汇总!$E:$E)</f>
        <v>0</v>
      </c>
      <c r="H362" s="77">
        <f>SUMIF(记录巡查问题条数汇总!$B:$B,C361,记录巡查问题条数汇总!$E:$E)</f>
        <v>0</v>
      </c>
      <c r="I362" s="77"/>
      <c r="J362" s="77">
        <f>SUMIF(安全质量事故!$B:$B,C361,安全质量事故!$G:$G)</f>
        <v>0</v>
      </c>
      <c r="K362" s="72">
        <f>COUNTIF(L362:AP362,标准数据!$A$2)*标准数据!$B$2+COUNTIF(L362:AP362,标准数据!$A$3)*标准数据!$B$3+COUNTIF(L362:AP362,标准数据!$A$4)*标准数据!$B$4</f>
        <v>0</v>
      </c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189"/>
      <c r="AQ362" s="55"/>
      <c r="AR362" s="41"/>
      <c r="AS362" s="41"/>
      <c r="AT362" s="41"/>
    </row>
    <row r="363" spans="1:46" ht="21" customHeight="1">
      <c r="A363" s="227" t="s">
        <v>2112</v>
      </c>
      <c r="B363" s="45" t="s">
        <v>129</v>
      </c>
      <c r="C363" s="46" t="s">
        <v>486</v>
      </c>
      <c r="D363" s="47" t="s">
        <v>453</v>
      </c>
      <c r="E363" s="48">
        <v>45847</v>
      </c>
      <c r="F363" s="49">
        <f t="shared" si="16"/>
        <v>0</v>
      </c>
      <c r="G363" s="77">
        <f>SUMIF(积分汇总!$B:$B,C362,积分汇总!$E:$E)</f>
        <v>0</v>
      </c>
      <c r="H363" s="77">
        <f>SUMIF(记录巡查问题条数汇总!$B:$B,C362,记录巡查问题条数汇总!$E:$E)</f>
        <v>0</v>
      </c>
      <c r="I363" s="77"/>
      <c r="J363" s="77">
        <f>SUMIF(安全质量事故!$B:$B,C362,安全质量事故!$G:$G)</f>
        <v>0</v>
      </c>
      <c r="K363" s="72">
        <f>COUNTIF(L363:AP363,标准数据!$A$2)*标准数据!$B$2+COUNTIF(L363:AP363,标准数据!$A$3)*标准数据!$B$3+COUNTIF(L363:AP363,标准数据!$A$4)*标准数据!$B$4</f>
        <v>0</v>
      </c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189"/>
      <c r="AQ363" s="55"/>
    </row>
    <row r="364" spans="1:46" ht="21" customHeight="1">
      <c r="A364" s="227" t="s">
        <v>2112</v>
      </c>
      <c r="B364" s="45" t="s">
        <v>129</v>
      </c>
      <c r="C364" s="46" t="s">
        <v>762</v>
      </c>
      <c r="D364" s="47" t="s">
        <v>690</v>
      </c>
      <c r="E364" s="48">
        <v>45973</v>
      </c>
      <c r="F364" s="49">
        <f t="shared" si="16"/>
        <v>0</v>
      </c>
      <c r="G364" s="77">
        <f>SUMIF(积分汇总!$B:$B,C363,积分汇总!$E:$E)</f>
        <v>0</v>
      </c>
      <c r="H364" s="77">
        <f>SUMIF(记录巡查问题条数汇总!$B:$B,C363,记录巡查问题条数汇总!$E:$E)</f>
        <v>0</v>
      </c>
      <c r="I364" s="77"/>
      <c r="J364" s="77">
        <f>SUMIF(安全质量事故!$B:$B,C363,安全质量事故!$G:$G)</f>
        <v>0</v>
      </c>
      <c r="K364" s="72">
        <f>COUNTIF(L364:AP364,标准数据!$A$2)*标准数据!$B$2+COUNTIF(L364:AP364,标准数据!$A$3)*标准数据!$B$3+COUNTIF(L364:AP364,标准数据!$A$4)*标准数据!$B$4</f>
        <v>0</v>
      </c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189"/>
      <c r="AQ364" s="55"/>
      <c r="AR364" s="41"/>
      <c r="AS364" s="41"/>
      <c r="AT364" s="41"/>
    </row>
    <row r="365" spans="1:46" ht="21" customHeight="1">
      <c r="A365" s="227" t="s">
        <v>2112</v>
      </c>
      <c r="B365" s="45" t="s">
        <v>129</v>
      </c>
      <c r="C365" s="46" t="s">
        <v>481</v>
      </c>
      <c r="D365" s="47" t="s">
        <v>444</v>
      </c>
      <c r="E365" s="48">
        <v>45540</v>
      </c>
      <c r="F365" s="49">
        <f t="shared" si="16"/>
        <v>0</v>
      </c>
      <c r="G365" s="77">
        <f>SUMIF(积分汇总!$B:$B,C364,积分汇总!$E:$E)</f>
        <v>0</v>
      </c>
      <c r="H365" s="77">
        <f>SUMIF(记录巡查问题条数汇总!$B:$B,C364,记录巡查问题条数汇总!$E:$E)</f>
        <v>0</v>
      </c>
      <c r="I365" s="77"/>
      <c r="J365" s="77">
        <f>SUMIF(安全质量事故!$B:$B,C364,安全质量事故!$G:$G)</f>
        <v>0</v>
      </c>
      <c r="K365" s="72">
        <f>COUNTIF(L365:AP365,标准数据!$A$2)*标准数据!$B$2+COUNTIF(L365:AP365,标准数据!$A$3)*标准数据!$B$3+COUNTIF(L365:AP365,标准数据!$A$4)*标准数据!$B$4</f>
        <v>0</v>
      </c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189"/>
      <c r="AQ365" s="55"/>
      <c r="AR365" s="41"/>
      <c r="AS365" s="41"/>
      <c r="AT365" s="41"/>
    </row>
    <row r="366" spans="1:46" ht="21" customHeight="1">
      <c r="A366" s="227" t="s">
        <v>2112</v>
      </c>
      <c r="B366" s="45" t="s">
        <v>129</v>
      </c>
      <c r="C366" s="46" t="s">
        <v>1155</v>
      </c>
      <c r="D366" s="47" t="s">
        <v>1156</v>
      </c>
      <c r="E366" s="48">
        <v>46113</v>
      </c>
      <c r="F366" s="49">
        <f t="shared" si="16"/>
        <v>0</v>
      </c>
      <c r="G366" s="77">
        <f>SUMIF(积分汇总!$B:$B,C365,积分汇总!$E:$E)</f>
        <v>0</v>
      </c>
      <c r="H366" s="77">
        <f>SUMIF(记录巡查问题条数汇总!$B:$B,C365,记录巡查问题条数汇总!$E:$E)</f>
        <v>0</v>
      </c>
      <c r="I366" s="77"/>
      <c r="J366" s="77">
        <f>SUMIF(安全质量事故!$B:$B,C365,安全质量事故!$G:$G)</f>
        <v>0</v>
      </c>
      <c r="K366" s="72">
        <f>COUNTIF(L366:AP366,标准数据!$A$2)*标准数据!$B$2+COUNTIF(L366:AP366,标准数据!$A$3)*标准数据!$B$3+COUNTIF(L366:AP366,标准数据!$A$4)*标准数据!$B$4</f>
        <v>0</v>
      </c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189"/>
      <c r="AQ366" s="55"/>
    </row>
    <row r="367" spans="1:46" ht="21" customHeight="1">
      <c r="A367" s="227" t="s">
        <v>2112</v>
      </c>
      <c r="B367" s="45" t="s">
        <v>129</v>
      </c>
      <c r="C367" s="46" t="s">
        <v>725</v>
      </c>
      <c r="D367" s="47" t="s">
        <v>691</v>
      </c>
      <c r="E367" s="48">
        <v>45840</v>
      </c>
      <c r="F367" s="49">
        <f t="shared" si="16"/>
        <v>0</v>
      </c>
      <c r="G367" s="77">
        <f>SUMIF(积分汇总!$B:$B,C366,积分汇总!$E:$E)</f>
        <v>0</v>
      </c>
      <c r="H367" s="77">
        <f>SUMIF(记录巡查问题条数汇总!$B:$B,C366,记录巡查问题条数汇总!$E:$E)</f>
        <v>0</v>
      </c>
      <c r="I367" s="77"/>
      <c r="J367" s="77">
        <f>SUMIF(安全质量事故!$B:$B,C366,安全质量事故!$G:$G)</f>
        <v>0</v>
      </c>
      <c r="K367" s="72">
        <f>COUNTIF(L367:AP367,标准数据!$A$2)*标准数据!$B$2+COUNTIF(L367:AP367,标准数据!$A$3)*标准数据!$B$3+COUNTIF(L367:AP367,标准数据!$A$4)*标准数据!$B$4</f>
        <v>0</v>
      </c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189"/>
      <c r="AQ367" s="55"/>
    </row>
    <row r="368" spans="1:46" ht="21" customHeight="1">
      <c r="A368" s="227" t="s">
        <v>2112</v>
      </c>
      <c r="B368" s="45" t="s">
        <v>87</v>
      </c>
      <c r="C368" s="46" t="s">
        <v>646</v>
      </c>
      <c r="D368" s="47" t="s">
        <v>578</v>
      </c>
      <c r="E368" s="48">
        <v>45896</v>
      </c>
      <c r="F368" s="49">
        <f t="shared" si="16"/>
        <v>0</v>
      </c>
      <c r="G368" s="77">
        <f>SUMIF(积分汇总!$B:$B,C367,积分汇总!$E:$E)</f>
        <v>0</v>
      </c>
      <c r="H368" s="77">
        <f>SUMIF(记录巡查问题条数汇总!$B:$B,C367,记录巡查问题条数汇总!$E:$E)</f>
        <v>0</v>
      </c>
      <c r="I368" s="77"/>
      <c r="J368" s="77">
        <f>SUMIF(安全质量事故!$B:$B,C367,安全质量事故!$G:$G)</f>
        <v>0</v>
      </c>
      <c r="K368" s="72">
        <f>COUNTIF(L368:AP368,标准数据!$A$2)*标准数据!$B$2+COUNTIF(L368:AP368,标准数据!$A$3)*标准数据!$B$3+COUNTIF(L368:AP368,标准数据!$A$4)*标准数据!$B$4</f>
        <v>0</v>
      </c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189"/>
      <c r="AQ368" s="55"/>
    </row>
    <row r="369" spans="1:46" ht="21" customHeight="1">
      <c r="A369" s="227" t="s">
        <v>2112</v>
      </c>
      <c r="B369" s="45" t="s">
        <v>14</v>
      </c>
      <c r="C369" s="46" t="s">
        <v>730</v>
      </c>
      <c r="D369" s="47" t="s">
        <v>696</v>
      </c>
      <c r="E369" s="48">
        <v>45966</v>
      </c>
      <c r="F369" s="49">
        <f t="shared" si="16"/>
        <v>0</v>
      </c>
      <c r="G369" s="77">
        <f>SUMIF(积分汇总!$B:$B,C368,积分汇总!$E:$E)</f>
        <v>0</v>
      </c>
      <c r="H369" s="77">
        <f>SUMIF(记录巡查问题条数汇总!$B:$B,C368,记录巡查问题条数汇总!$E:$E)</f>
        <v>0</v>
      </c>
      <c r="I369" s="77"/>
      <c r="J369" s="77">
        <f>SUMIF(安全质量事故!$B:$B,C368,安全质量事故!$G:$G)</f>
        <v>0</v>
      </c>
      <c r="K369" s="72">
        <f>COUNTIF(L369:AP369,标准数据!$A$2)*标准数据!$B$2+COUNTIF(L369:AP369,标准数据!$A$3)*标准数据!$B$3+COUNTIF(L369:AP369,标准数据!$A$4)*标准数据!$B$4</f>
        <v>0</v>
      </c>
      <c r="L369" s="56"/>
      <c r="M369" s="56"/>
      <c r="N369" s="56"/>
      <c r="O369" s="56"/>
      <c r="P369" s="56"/>
      <c r="Q369" s="56"/>
      <c r="R369" s="56"/>
      <c r="S369" s="55"/>
      <c r="T369" s="55"/>
      <c r="U369" s="55"/>
      <c r="V369" s="55"/>
      <c r="W369" s="55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189"/>
      <c r="AQ369" s="55"/>
      <c r="AR369" s="41"/>
      <c r="AS369" s="41"/>
      <c r="AT369" s="41"/>
    </row>
    <row r="370" spans="1:46" ht="21" customHeight="1">
      <c r="A370" s="227" t="s">
        <v>2112</v>
      </c>
      <c r="B370" s="45" t="s">
        <v>87</v>
      </c>
      <c r="C370" s="46" t="s">
        <v>836</v>
      </c>
      <c r="D370" s="52" t="s">
        <v>797</v>
      </c>
      <c r="E370" s="46">
        <v>45896</v>
      </c>
      <c r="F370" s="49">
        <f t="shared" si="16"/>
        <v>0</v>
      </c>
      <c r="G370" s="77">
        <f>SUMIF(积分汇总!$B:$B,C369,积分汇总!$E:$E)</f>
        <v>0</v>
      </c>
      <c r="H370" s="77">
        <f>SUMIF(记录巡查问题条数汇总!$B:$B,C369,记录巡查问题条数汇总!$E:$E)</f>
        <v>0</v>
      </c>
      <c r="I370" s="77"/>
      <c r="J370" s="77">
        <f>SUMIF(安全质量事故!$B:$B,C369,安全质量事故!$G:$G)</f>
        <v>0</v>
      </c>
      <c r="K370" s="72">
        <f>COUNTIF(L370:AP370,标准数据!$A$2)*标准数据!$B$2+COUNTIF(L370:AP370,标准数据!$A$3)*标准数据!$B$3+COUNTIF(L370:AP370,标准数据!$A$4)*标准数据!$B$4</f>
        <v>0</v>
      </c>
      <c r="L370" s="56"/>
      <c r="M370" s="56"/>
      <c r="N370" s="56"/>
      <c r="O370" s="56"/>
      <c r="P370" s="56"/>
      <c r="Q370" s="56"/>
      <c r="R370" s="56"/>
      <c r="S370" s="55"/>
      <c r="T370" s="55"/>
      <c r="U370" s="55"/>
      <c r="V370" s="55"/>
      <c r="W370" s="55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189"/>
      <c r="AQ370" s="55"/>
      <c r="AR370" s="41"/>
      <c r="AS370" s="41"/>
      <c r="AT370" s="41"/>
    </row>
    <row r="371" spans="1:46" ht="21" customHeight="1">
      <c r="A371" s="227" t="s">
        <v>2112</v>
      </c>
      <c r="B371" s="45" t="s">
        <v>14</v>
      </c>
      <c r="C371" s="46" t="s">
        <v>828</v>
      </c>
      <c r="D371" s="52" t="s">
        <v>786</v>
      </c>
      <c r="E371" s="46">
        <v>45994</v>
      </c>
      <c r="F371" s="49">
        <f t="shared" si="16"/>
        <v>0</v>
      </c>
      <c r="G371" s="77">
        <f>SUMIF(积分汇总!$B:$B,C370,积分汇总!$E:$E)</f>
        <v>0</v>
      </c>
      <c r="H371" s="77">
        <f>SUMIF(记录巡查问题条数汇总!$B:$B,C370,记录巡查问题条数汇总!$E:$E)</f>
        <v>0</v>
      </c>
      <c r="I371" s="77"/>
      <c r="J371" s="77">
        <f>SUMIF(安全质量事故!$B:$B,C370,安全质量事故!$G:$G)</f>
        <v>0</v>
      </c>
      <c r="K371" s="72">
        <f>COUNTIF(L371:AP371,标准数据!$A$2)*标准数据!$B$2+COUNTIF(L371:AP371,标准数据!$A$3)*标准数据!$B$3+COUNTIF(L371:AP371,标准数据!$A$4)*标准数据!$B$4</f>
        <v>0</v>
      </c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189"/>
      <c r="AQ371" s="55"/>
    </row>
    <row r="372" spans="1:46" ht="21" customHeight="1">
      <c r="A372" s="227" t="s">
        <v>2112</v>
      </c>
      <c r="B372" s="45" t="s">
        <v>14</v>
      </c>
      <c r="C372" s="46" t="s">
        <v>1165</v>
      </c>
      <c r="D372" s="47" t="s">
        <v>1166</v>
      </c>
      <c r="E372" s="48">
        <v>46016</v>
      </c>
      <c r="F372" s="49">
        <f t="shared" si="16"/>
        <v>0</v>
      </c>
      <c r="G372" s="77">
        <f>SUMIF(积分汇总!$B:$B,,积分汇总!$E:$E)</f>
        <v>0</v>
      </c>
      <c r="H372" s="77">
        <f>SUMIF(记录巡查问题条数汇总!$B:$B,,记录巡查问题条数汇总!$E:$E)</f>
        <v>0</v>
      </c>
      <c r="I372" s="77"/>
      <c r="J372" s="77">
        <f>SUMIF(安全质量事故!$B:$B,,安全质量事故!$G:$G)</f>
        <v>0</v>
      </c>
      <c r="K372" s="72">
        <f>COUNTIF(L372:AP372,标准数据!$A$2)*标准数据!$B$2+COUNTIF(L372:AP372,标准数据!$A$3)*标准数据!$B$3+COUNTIF(L372:AP372,标准数据!$A$4)*标准数据!$B$4</f>
        <v>0</v>
      </c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189"/>
      <c r="AQ372" s="55"/>
    </row>
    <row r="373" spans="1:46" ht="21" customHeight="1">
      <c r="A373" s="227" t="s">
        <v>2112</v>
      </c>
      <c r="B373" s="45" t="s">
        <v>87</v>
      </c>
      <c r="C373" s="46" t="s">
        <v>1167</v>
      </c>
      <c r="D373" s="52" t="s">
        <v>1168</v>
      </c>
      <c r="E373" s="46">
        <v>46029</v>
      </c>
      <c r="F373" s="49">
        <f t="shared" si="16"/>
        <v>0</v>
      </c>
      <c r="G373" s="77">
        <f>SUMIF(积分汇总!$B:$B,C372,积分汇总!$E:$E)</f>
        <v>0</v>
      </c>
      <c r="H373" s="77">
        <f>SUMIF(记录巡查问题条数汇总!$B:$B,C372,记录巡查问题条数汇总!$E:$E)</f>
        <v>0</v>
      </c>
      <c r="I373" s="77"/>
      <c r="J373" s="77">
        <f>SUMIF(安全质量事故!$B:$B,C372,安全质量事故!$G:$G)</f>
        <v>0</v>
      </c>
      <c r="K373" s="72">
        <f>COUNTIF(L373:AP373,标准数据!$A$2)*标准数据!$B$2+COUNTIF(L373:AP373,标准数据!$A$3)*标准数据!$B$3+COUNTIF(L373:AP373,标准数据!$A$4)*标准数据!$B$4</f>
        <v>0</v>
      </c>
      <c r="L373" s="56"/>
      <c r="M373" s="56"/>
      <c r="N373" s="56"/>
      <c r="O373" s="56"/>
      <c r="P373" s="56"/>
      <c r="Q373" s="56"/>
      <c r="R373" s="56"/>
      <c r="S373" s="55"/>
      <c r="T373" s="55"/>
      <c r="U373" s="55"/>
      <c r="V373" s="55"/>
      <c r="W373" s="55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189"/>
      <c r="AQ373" s="55"/>
      <c r="AR373" s="41"/>
      <c r="AS373" s="41"/>
      <c r="AT373" s="41"/>
    </row>
    <row r="374" spans="1:46" ht="21" customHeight="1">
      <c r="A374" s="227" t="s">
        <v>2112</v>
      </c>
      <c r="B374" s="45" t="s">
        <v>14</v>
      </c>
      <c r="C374" s="46" t="s">
        <v>1171</v>
      </c>
      <c r="D374" s="52" t="s">
        <v>1172</v>
      </c>
      <c r="E374" s="48">
        <v>46029</v>
      </c>
      <c r="F374" s="49">
        <f t="shared" si="16"/>
        <v>0</v>
      </c>
      <c r="G374" s="77">
        <f>SUMIF(积分汇总!$B:$B,C373,积分汇总!$E:$E)</f>
        <v>0</v>
      </c>
      <c r="H374" s="77">
        <f>SUMIF(记录巡查问题条数汇总!$B:$B,C373,记录巡查问题条数汇总!$E:$E)</f>
        <v>0</v>
      </c>
      <c r="I374" s="77"/>
      <c r="J374" s="77">
        <f>SUMIF(安全质量事故!$B:$B,C373,安全质量事故!$G:$G)</f>
        <v>0</v>
      </c>
      <c r="K374" s="72">
        <f>COUNTIF(L374:AP374,标准数据!$A$2)*标准数据!$B$2+COUNTIF(L374:AP374,标准数据!$A$3)*标准数据!$B$3+COUNTIF(L374:AP374,标准数据!$A$4)*标准数据!$B$4</f>
        <v>0</v>
      </c>
      <c r="L374" s="56"/>
      <c r="M374" s="56"/>
      <c r="N374" s="56"/>
      <c r="O374" s="56"/>
      <c r="P374" s="56"/>
      <c r="Q374" s="56"/>
      <c r="R374" s="56"/>
      <c r="S374" s="55"/>
      <c r="T374" s="55"/>
      <c r="U374" s="55"/>
      <c r="V374" s="55"/>
      <c r="W374" s="55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189"/>
      <c r="AQ374" s="55"/>
      <c r="AR374" s="41"/>
      <c r="AS374" s="41"/>
      <c r="AT374" s="41"/>
    </row>
    <row r="375" spans="1:46" ht="21" customHeight="1">
      <c r="A375" s="227" t="s">
        <v>2112</v>
      </c>
      <c r="B375" s="45" t="s">
        <v>14</v>
      </c>
      <c r="C375" s="46" t="s">
        <v>1357</v>
      </c>
      <c r="D375" s="47" t="s">
        <v>1358</v>
      </c>
      <c r="E375" s="48">
        <v>46155</v>
      </c>
      <c r="F375" s="49">
        <f t="shared" si="16"/>
        <v>0</v>
      </c>
      <c r="G375" s="77">
        <f>SUMIF(积分汇总!$B:$B,C374,积分汇总!$E:$E)</f>
        <v>0</v>
      </c>
      <c r="H375" s="77">
        <f>SUMIF(记录巡查问题条数汇总!$B:$B,C374,记录巡查问题条数汇总!$E:$E)</f>
        <v>0</v>
      </c>
      <c r="I375" s="77"/>
      <c r="J375" s="77">
        <f>SUMIF(安全质量事故!$B:$B,C374,安全质量事故!$G:$G)</f>
        <v>0</v>
      </c>
      <c r="K375" s="72">
        <f>COUNTIF(L375:AP375,标准数据!$A$2)*标准数据!$B$2+COUNTIF(L375:AP375,标准数据!$A$3)*标准数据!$B$3+COUNTIF(L375:AP375,标准数据!$A$4)*标准数据!$B$4</f>
        <v>0</v>
      </c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189"/>
      <c r="AQ375" s="55"/>
    </row>
    <row r="376" spans="1:46" ht="21" customHeight="1">
      <c r="A376" s="227" t="s">
        <v>2112</v>
      </c>
      <c r="B376" s="45" t="s">
        <v>14</v>
      </c>
      <c r="C376" s="46" t="s">
        <v>1359</v>
      </c>
      <c r="D376" s="47" t="s">
        <v>1360</v>
      </c>
      <c r="E376" s="48">
        <v>46155</v>
      </c>
      <c r="F376" s="49">
        <f t="shared" si="16"/>
        <v>0</v>
      </c>
      <c r="G376" s="77">
        <f>SUMIF(积分汇总!$B:$B,C375,积分汇总!$E:$E)</f>
        <v>0</v>
      </c>
      <c r="H376" s="77">
        <f>SUMIF(记录巡查问题条数汇总!$B:$B,C375,记录巡查问题条数汇总!$E:$E)</f>
        <v>0</v>
      </c>
      <c r="I376" s="77"/>
      <c r="J376" s="77">
        <f>SUMIF(安全质量事故!$B:$B,C375,安全质量事故!$G:$G)</f>
        <v>0</v>
      </c>
      <c r="K376" s="72">
        <f>COUNTIF(L376:AP376,标准数据!$A$2)*标准数据!$B$2+COUNTIF(L376:AP376,标准数据!$A$3)*标准数据!$B$3+COUNTIF(L376:AP376,标准数据!$A$4)*标准数据!$B$4</f>
        <v>0</v>
      </c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189"/>
      <c r="AQ376" s="55"/>
      <c r="AR376" s="41"/>
      <c r="AS376" s="41"/>
      <c r="AT376" s="41"/>
    </row>
    <row r="377" spans="1:46" ht="21" customHeight="1">
      <c r="A377" s="227" t="s">
        <v>2112</v>
      </c>
      <c r="B377" s="45" t="s">
        <v>14</v>
      </c>
      <c r="C377" s="46" t="s">
        <v>1361</v>
      </c>
      <c r="D377" s="47" t="s">
        <v>1362</v>
      </c>
      <c r="E377" s="48">
        <v>46155</v>
      </c>
      <c r="F377" s="49">
        <f t="shared" si="16"/>
        <v>0</v>
      </c>
      <c r="G377" s="77">
        <f>SUMIF(积分汇总!$B:$B,C375,积分汇总!$E:$E)</f>
        <v>0</v>
      </c>
      <c r="H377" s="77">
        <f>SUMIF(记录巡查问题条数汇总!$B:$B,C375,记录巡查问题条数汇总!$E:$E)</f>
        <v>0</v>
      </c>
      <c r="I377" s="77"/>
      <c r="J377" s="77">
        <f>SUMIF(安全质量事故!$B:$B,C375,安全质量事故!$G:$G)</f>
        <v>0</v>
      </c>
      <c r="K377" s="72">
        <f>COUNTIF(L377:AP377,标准数据!$A$2)*标准数据!$B$2+COUNTIF(L377:AP377,标准数据!$A$3)*标准数据!$B$3+COUNTIF(L377:AP377,标准数据!$A$4)*标准数据!$B$4</f>
        <v>0</v>
      </c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189"/>
      <c r="AQ377" s="55"/>
      <c r="AR377" s="41"/>
      <c r="AS377" s="41"/>
      <c r="AT377" s="41"/>
    </row>
    <row r="378" spans="1:46" ht="21" customHeight="1">
      <c r="A378" s="227" t="s">
        <v>2112</v>
      </c>
      <c r="B378" s="45" t="s">
        <v>14</v>
      </c>
      <c r="C378" s="46" t="s">
        <v>1464</v>
      </c>
      <c r="D378" s="47" t="s">
        <v>1465</v>
      </c>
      <c r="E378" s="48">
        <v>46050</v>
      </c>
      <c r="F378" s="49">
        <f t="shared" si="16"/>
        <v>0</v>
      </c>
      <c r="G378" s="77">
        <f>SUMIF(积分汇总!$B:$B,C377,积分汇总!$E:$E)</f>
        <v>0</v>
      </c>
      <c r="H378" s="77">
        <f>SUMIF(记录巡查问题条数汇总!$B:$B,C377,记录巡查问题条数汇总!$E:$E)</f>
        <v>0</v>
      </c>
      <c r="I378" s="77"/>
      <c r="J378" s="77">
        <f>SUMIF(安全质量事故!$B:$B,C377,安全质量事故!$G:$G)</f>
        <v>0</v>
      </c>
      <c r="K378" s="72">
        <f>COUNTIF(L378:AP378,标准数据!$A$2)*标准数据!$B$2+COUNTIF(L378:AP378,标准数据!$A$3)*标准数据!$B$3+COUNTIF(L378:AP378,标准数据!$A$4)*标准数据!$B$4</f>
        <v>0</v>
      </c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189"/>
      <c r="AQ378" s="55"/>
      <c r="AR378" s="41"/>
      <c r="AS378" s="41"/>
      <c r="AT378" s="41"/>
    </row>
    <row r="379" spans="1:46" ht="21" customHeight="1">
      <c r="A379" s="227" t="s">
        <v>2112</v>
      </c>
      <c r="B379" s="45" t="s">
        <v>14</v>
      </c>
      <c r="C379" s="46" t="s">
        <v>1737</v>
      </c>
      <c r="D379" s="52" t="s">
        <v>1738</v>
      </c>
      <c r="E379" s="48">
        <v>46208</v>
      </c>
      <c r="F379" s="49">
        <f t="shared" si="16"/>
        <v>0</v>
      </c>
      <c r="G379" s="77">
        <f>SUMIF(积分汇总!$B:$B,C378,积分汇总!$E:$E)</f>
        <v>0</v>
      </c>
      <c r="H379" s="77">
        <f>SUMIF(记录巡查问题条数汇总!$B:$B,C378,记录巡查问题条数汇总!$E:$E)</f>
        <v>0</v>
      </c>
      <c r="I379" s="77"/>
      <c r="J379" s="77">
        <f>SUMIF(安全质量事故!$B:$B,C378,安全质量事故!$G:$G)</f>
        <v>0</v>
      </c>
      <c r="K379" s="72">
        <f>COUNTIF(L379:AP379,标准数据!$A$2)*标准数据!$B$2+COUNTIF(L379:AP379,标准数据!$A$3)*标准数据!$B$3+COUNTIF(L379:AP379,标准数据!$A$4)*标准数据!$B$4</f>
        <v>0</v>
      </c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189"/>
      <c r="AQ379" s="55"/>
      <c r="AR379" s="41"/>
      <c r="AS379" s="41"/>
      <c r="AT379" s="41"/>
    </row>
    <row r="380" spans="1:46" ht="21" customHeight="1">
      <c r="A380" s="227" t="s">
        <v>2112</v>
      </c>
      <c r="B380" s="45" t="s">
        <v>129</v>
      </c>
      <c r="C380" s="46" t="s">
        <v>648</v>
      </c>
      <c r="D380" s="47" t="s">
        <v>579</v>
      </c>
      <c r="E380" s="48">
        <v>45896</v>
      </c>
      <c r="F380" s="49">
        <f t="shared" si="16"/>
        <v>0</v>
      </c>
      <c r="G380" s="77">
        <f>SUMIF(积分汇总!$B:$B,C379,积分汇总!$E:$E)</f>
        <v>0</v>
      </c>
      <c r="H380" s="77">
        <f>SUMIF(记录巡查问题条数汇总!$B:$B,C379,记录巡查问题条数汇总!$E:$E)</f>
        <v>0</v>
      </c>
      <c r="I380" s="77"/>
      <c r="J380" s="77">
        <f>SUMIF(安全质量事故!$B:$B,C379,安全质量事故!$G:$G)</f>
        <v>0</v>
      </c>
      <c r="K380" s="72">
        <f>COUNTIF(L380:AP380,标准数据!$A$2)*标准数据!$B$2+COUNTIF(L380:AP380,标准数据!$A$3)*标准数据!$B$3+COUNTIF(L380:AP380,标准数据!$A$4)*标准数据!$B$4</f>
        <v>0</v>
      </c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189"/>
      <c r="AQ380" s="55"/>
      <c r="AR380" s="41"/>
      <c r="AS380" s="41"/>
      <c r="AT380" s="41"/>
    </row>
    <row r="381" spans="1:46" ht="21" customHeight="1">
      <c r="A381" s="267" t="s">
        <v>2116</v>
      </c>
      <c r="B381" s="45" t="s">
        <v>81</v>
      </c>
      <c r="C381" s="46" t="s">
        <v>488</v>
      </c>
      <c r="D381" s="47" t="s">
        <v>440</v>
      </c>
      <c r="E381" s="48">
        <v>45833</v>
      </c>
      <c r="F381" s="49">
        <f t="shared" ref="F381:F414" si="20">(K381+G381+H381+I381-J381)</f>
        <v>0</v>
      </c>
      <c r="G381" s="77">
        <f>SUMIF(积分汇总!$B:$B,#REF!,积分汇总!$E:$E)</f>
        <v>0</v>
      </c>
      <c r="H381" s="77">
        <f>SUMIF(记录巡查问题条数汇总!$B:$B,#REF!,记录巡查问题条数汇总!$E:$E)</f>
        <v>0</v>
      </c>
      <c r="I381" s="77"/>
      <c r="J381" s="77">
        <f>SUMIF(安全质量事故!$B:$B,#REF!,安全质量事故!$G:$G)</f>
        <v>0</v>
      </c>
      <c r="K381" s="72">
        <f>COUNTIF(L381:AP381,标准数据!$A$2)*标准数据!$B$2+COUNTIF(L381:AP381,标准数据!$A$3)*标准数据!$B$3+COUNTIF(L381:AP381,标准数据!$A$4)*标准数据!$B$4</f>
        <v>0</v>
      </c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189"/>
      <c r="AQ381" s="55"/>
      <c r="AR381" s="285" t="s">
        <v>1036</v>
      </c>
      <c r="AS381" s="285"/>
      <c r="AT381" s="283"/>
    </row>
    <row r="382" spans="1:46" ht="21" customHeight="1">
      <c r="A382" s="267" t="s">
        <v>2116</v>
      </c>
      <c r="B382" s="45" t="s">
        <v>81</v>
      </c>
      <c r="C382" s="46" t="s">
        <v>750</v>
      </c>
      <c r="D382" s="47" t="s">
        <v>683</v>
      </c>
      <c r="E382" s="48">
        <v>45971</v>
      </c>
      <c r="F382" s="49">
        <f t="shared" si="20"/>
        <v>0</v>
      </c>
      <c r="G382" s="77">
        <f>SUMIF(积分汇总!$B:$B,C381,积分汇总!$E:$E)</f>
        <v>0</v>
      </c>
      <c r="H382" s="77">
        <f>SUMIF(记录巡查问题条数汇总!$B:$B,C381,记录巡查问题条数汇总!$E:$E)</f>
        <v>0</v>
      </c>
      <c r="I382" s="77"/>
      <c r="J382" s="77">
        <f>SUMIF(安全质量事故!$B:$B,C381,安全质量事故!$G:$G)</f>
        <v>0</v>
      </c>
      <c r="K382" s="72">
        <f>COUNTIF(L382:AP382,标准数据!$A$2)*标准数据!$B$2+COUNTIF(L382:AP382,标准数据!$A$3)*标准数据!$B$3+COUNTIF(L382:AP382,标准数据!$A$4)*标准数据!$B$4</f>
        <v>0</v>
      </c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189"/>
      <c r="AQ382" s="55"/>
      <c r="AR382" s="43" t="s">
        <v>1031</v>
      </c>
      <c r="AS382" s="44" t="s">
        <v>1027</v>
      </c>
      <c r="AT382" s="44" t="s">
        <v>1037</v>
      </c>
    </row>
    <row r="383" spans="1:46" ht="21" customHeight="1">
      <c r="A383" s="267" t="s">
        <v>2116</v>
      </c>
      <c r="B383" s="45" t="s">
        <v>81</v>
      </c>
      <c r="C383" s="46" t="s">
        <v>1806</v>
      </c>
      <c r="D383" s="47" t="s">
        <v>1807</v>
      </c>
      <c r="E383" s="48">
        <v>46197</v>
      </c>
      <c r="F383" s="49">
        <f t="shared" si="20"/>
        <v>0</v>
      </c>
      <c r="G383" s="77">
        <f>SUMIF(积分汇总!$B:$B,,积分汇总!$E:$E)</f>
        <v>0</v>
      </c>
      <c r="H383" s="77">
        <f>SUMIF(记录巡查问题条数汇总!$B:$B,,记录巡查问题条数汇总!$E:$E)</f>
        <v>0</v>
      </c>
      <c r="I383" s="77"/>
      <c r="J383" s="77">
        <f>SUMIF(安全质量事故!$B:$B,,安全质量事故!$G:$G)</f>
        <v>0</v>
      </c>
      <c r="K383" s="72">
        <f>COUNTIF(L383:AP383,标准数据!$A$2)*标准数据!$B$2+COUNTIF(L383:AP383,标准数据!$A$3)*标准数据!$B$3+COUNTIF(L383:AP383,标准数据!$A$4)*标准数据!$B$4</f>
        <v>0</v>
      </c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189"/>
      <c r="AQ383" s="55"/>
      <c r="AR383" s="50" t="e">
        <f>#REF!/(#REF!+#REF!+#REF!)</f>
        <v>#REF!</v>
      </c>
      <c r="AS383" s="60" t="e">
        <f>#REF!/(#REF!+#REF!+#REF!)</f>
        <v>#REF!</v>
      </c>
      <c r="AT383" s="60" t="e">
        <f>#REF!/(#REF!+#REF!+#REF!)</f>
        <v>#REF!</v>
      </c>
    </row>
    <row r="384" spans="1:46" ht="21" customHeight="1">
      <c r="A384" s="267" t="s">
        <v>2116</v>
      </c>
      <c r="B384" s="45" t="s">
        <v>81</v>
      </c>
      <c r="C384" s="46" t="s">
        <v>1808</v>
      </c>
      <c r="D384" s="47" t="s">
        <v>1809</v>
      </c>
      <c r="E384" s="48">
        <v>46208</v>
      </c>
      <c r="F384" s="49">
        <f t="shared" si="20"/>
        <v>0</v>
      </c>
      <c r="G384" s="77">
        <f>SUMIF(积分汇总!$B:$B,#REF!,积分汇总!$E:$E)</f>
        <v>0</v>
      </c>
      <c r="H384" s="77">
        <f>SUMIF(记录巡查问题条数汇总!$B:$B,#REF!,记录巡查问题条数汇总!$E:$E)</f>
        <v>0</v>
      </c>
      <c r="I384" s="77"/>
      <c r="J384" s="77">
        <f>SUMIF(安全质量事故!$B:$B,#REF!,安全质量事故!$G:$G)</f>
        <v>0</v>
      </c>
      <c r="K384" s="72">
        <f>COUNTIF(L384:AP384,标准数据!$A$2)*标准数据!$B$2+COUNTIF(L384:AP384,标准数据!$A$3)*标准数据!$B$3+COUNTIF(L384:AP384,标准数据!$A$4)*标准数据!$B$4</f>
        <v>0</v>
      </c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189"/>
      <c r="AQ384" s="55"/>
      <c r="AR384" s="41"/>
      <c r="AS384" s="41"/>
      <c r="AT384" s="41"/>
    </row>
    <row r="385" spans="1:46" ht="21" customHeight="1">
      <c r="A385" s="267" t="s">
        <v>2116</v>
      </c>
      <c r="B385" s="45" t="s">
        <v>81</v>
      </c>
      <c r="C385" s="46" t="s">
        <v>1810</v>
      </c>
      <c r="D385" s="47" t="s">
        <v>1811</v>
      </c>
      <c r="E385" s="48">
        <v>46208</v>
      </c>
      <c r="F385" s="49">
        <f t="shared" si="20"/>
        <v>0</v>
      </c>
      <c r="G385" s="77">
        <f>SUMIF(积分汇总!$B:$B,C384,积分汇总!$E:$E)</f>
        <v>0</v>
      </c>
      <c r="H385" s="77">
        <f>SUMIF(记录巡查问题条数汇总!$B:$B,C384,记录巡查问题条数汇总!$E:$E)</f>
        <v>0</v>
      </c>
      <c r="I385" s="77"/>
      <c r="J385" s="77">
        <f>SUMIF(安全质量事故!$B:$B,C384,安全质量事故!$G:$G)</f>
        <v>0</v>
      </c>
      <c r="K385" s="72">
        <f>COUNTIF(L385:AP385,标准数据!$A$2)*标准数据!$B$2+COUNTIF(L385:AP385,标准数据!$A$3)*标准数据!$B$3+COUNTIF(L385:AP385,标准数据!$A$4)*标准数据!$B$4</f>
        <v>0</v>
      </c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189"/>
      <c r="AQ385" s="55"/>
      <c r="AR385" s="41"/>
    </row>
    <row r="386" spans="1:46" ht="21" customHeight="1">
      <c r="A386" s="267" t="s">
        <v>2116</v>
      </c>
      <c r="B386" s="45" t="s">
        <v>81</v>
      </c>
      <c r="C386" s="46" t="s">
        <v>1812</v>
      </c>
      <c r="D386" s="47" t="s">
        <v>1813</v>
      </c>
      <c r="E386" s="48">
        <v>46208</v>
      </c>
      <c r="F386" s="49">
        <f t="shared" si="20"/>
        <v>0</v>
      </c>
      <c r="G386" s="77">
        <f>SUMIF(积分汇总!$B:$B,C385,积分汇总!$E:$E)</f>
        <v>0</v>
      </c>
      <c r="H386" s="77">
        <f>SUMIF(记录巡查问题条数汇总!$B:$B,C385,记录巡查问题条数汇总!$E:$E)</f>
        <v>0</v>
      </c>
      <c r="I386" s="77"/>
      <c r="J386" s="77">
        <f>SUMIF(安全质量事故!$B:$B,C385,安全质量事故!$G:$G)</f>
        <v>0</v>
      </c>
      <c r="K386" s="72">
        <f>COUNTIF(L386:AP386,标准数据!$A$2)*标准数据!$B$2+COUNTIF(L386:AP386,标准数据!$A$3)*标准数据!$B$3+COUNTIF(L386:AP386,标准数据!$A$4)*标准数据!$B$4</f>
        <v>0</v>
      </c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189"/>
      <c r="AQ386" s="55"/>
      <c r="AR386" s="41"/>
    </row>
    <row r="387" spans="1:46" ht="21" customHeight="1">
      <c r="A387" s="267" t="s">
        <v>2116</v>
      </c>
      <c r="B387" s="45" t="s">
        <v>81</v>
      </c>
      <c r="C387" s="46" t="s">
        <v>1814</v>
      </c>
      <c r="D387" s="47" t="s">
        <v>1815</v>
      </c>
      <c r="E387" s="48">
        <v>46208</v>
      </c>
      <c r="F387" s="49">
        <f t="shared" si="20"/>
        <v>0</v>
      </c>
      <c r="G387" s="77">
        <f>SUMIF(积分汇总!$B:$B,C386,积分汇总!$E:$E)</f>
        <v>0</v>
      </c>
      <c r="H387" s="77">
        <f>SUMIF(记录巡查问题条数汇总!$B:$B,C386,记录巡查问题条数汇总!$E:$E)</f>
        <v>0</v>
      </c>
      <c r="I387" s="77"/>
      <c r="J387" s="77">
        <f>SUMIF(安全质量事故!$B:$B,C386,安全质量事故!$G:$G)</f>
        <v>0</v>
      </c>
      <c r="K387" s="72">
        <f>COUNTIF(L387:AP387,标准数据!$A$2)*标准数据!$B$2+COUNTIF(L387:AP387,标准数据!$A$3)*标准数据!$B$3+COUNTIF(L387:AP387,标准数据!$A$4)*标准数据!$B$4</f>
        <v>0</v>
      </c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189"/>
      <c r="AQ387" s="55"/>
      <c r="AR387" s="41"/>
    </row>
    <row r="388" spans="1:46" ht="21" customHeight="1">
      <c r="A388" s="267" t="s">
        <v>2116</v>
      </c>
      <c r="B388" s="45" t="s">
        <v>13</v>
      </c>
      <c r="C388" s="46" t="s">
        <v>1507</v>
      </c>
      <c r="D388" s="47" t="s">
        <v>1508</v>
      </c>
      <c r="E388" s="48">
        <v>45833</v>
      </c>
      <c r="F388" s="49">
        <f t="shared" ref="F388" si="21">(K388+G388+H388+I388-J388)</f>
        <v>0</v>
      </c>
      <c r="G388" s="77">
        <f>SUMIF(积分汇总!$B:$B,C387,积分汇总!$E:$E)</f>
        <v>0</v>
      </c>
      <c r="H388" s="77">
        <f>SUMIF(记录巡查问题条数汇总!$B:$B,C387,记录巡查问题条数汇总!$E:$E)</f>
        <v>0</v>
      </c>
      <c r="I388" s="77"/>
      <c r="J388" s="77">
        <f>SUMIF(安全质量事故!$B:$B,C387,安全质量事故!$G:$G)</f>
        <v>0</v>
      </c>
      <c r="K388" s="72">
        <f>COUNTIF(L388:AP388,标准数据!$A$2)*标准数据!$B$2+COUNTIF(L388:AP388,标准数据!$A$3)*标准数据!$B$3+COUNTIF(L388:AP388,标准数据!$A$4)*标准数据!$B$4</f>
        <v>0</v>
      </c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189"/>
      <c r="AQ388" s="55"/>
      <c r="AR388" s="41"/>
    </row>
    <row r="389" spans="1:46" ht="21" customHeight="1">
      <c r="A389" s="267" t="s">
        <v>2116</v>
      </c>
      <c r="B389" s="45" t="s">
        <v>154</v>
      </c>
      <c r="C389" s="46" t="s">
        <v>393</v>
      </c>
      <c r="D389" s="47" t="s">
        <v>387</v>
      </c>
      <c r="E389" s="48">
        <v>38803</v>
      </c>
      <c r="F389" s="49">
        <f t="shared" si="20"/>
        <v>0</v>
      </c>
      <c r="G389" s="77">
        <f>SUMIF(积分汇总!$B:$B,C387,积分汇总!$E:$E)</f>
        <v>0</v>
      </c>
      <c r="H389" s="77">
        <f>SUMIF(记录巡查问题条数汇总!$B:$B,C387,记录巡查问题条数汇总!$E:$E)</f>
        <v>0</v>
      </c>
      <c r="I389" s="77"/>
      <c r="J389" s="77">
        <f>SUMIF(安全质量事故!$B:$B,C387,安全质量事故!$G:$G)</f>
        <v>0</v>
      </c>
      <c r="K389" s="72">
        <f>COUNTIF(L389:AP389,标准数据!$A$2)*标准数据!$B$2+COUNTIF(L389:AP389,标准数据!$A$3)*标准数据!$B$3+COUNTIF(L389:AP389,标准数据!$A$4)*标准数据!$B$4</f>
        <v>0</v>
      </c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189"/>
      <c r="AQ389" s="55"/>
      <c r="AR389" s="41"/>
    </row>
    <row r="390" spans="1:46" ht="21" customHeight="1">
      <c r="A390" s="267" t="s">
        <v>2116</v>
      </c>
      <c r="B390" s="45" t="s">
        <v>131</v>
      </c>
      <c r="C390" s="46" t="s">
        <v>346</v>
      </c>
      <c r="D390" s="47" t="s">
        <v>341</v>
      </c>
      <c r="E390" s="48">
        <v>42508</v>
      </c>
      <c r="F390" s="49">
        <f t="shared" si="20"/>
        <v>0</v>
      </c>
      <c r="G390" s="77">
        <f>SUMIF(积分汇总!$B:$B,C389,积分汇总!$E:$E)</f>
        <v>0</v>
      </c>
      <c r="H390" s="77">
        <f>SUMIF(记录巡查问题条数汇总!$B:$B,C389,记录巡查问题条数汇总!$E:$E)</f>
        <v>0</v>
      </c>
      <c r="I390" s="77"/>
      <c r="J390" s="77">
        <f>SUMIF(安全质量事故!$B:$B,C389,安全质量事故!$G:$G)</f>
        <v>0</v>
      </c>
      <c r="K390" s="72">
        <f>COUNTIF(L390:AP390,标准数据!$A$2)*标准数据!$B$2+COUNTIF(L390:AP390,标准数据!$A$3)*标准数据!$B$3+COUNTIF(L390:AP390,标准数据!$A$4)*标准数据!$B$4</f>
        <v>0</v>
      </c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47"/>
      <c r="AC390" s="56"/>
      <c r="AD390" s="56"/>
      <c r="AE390" s="47"/>
      <c r="AF390" s="47"/>
      <c r="AG390" s="47"/>
      <c r="AH390" s="47"/>
      <c r="AI390" s="47"/>
      <c r="AJ390" s="47"/>
      <c r="AK390" s="90"/>
      <c r="AL390" s="90"/>
      <c r="AM390" s="47"/>
      <c r="AN390" s="90"/>
      <c r="AO390" s="90"/>
      <c r="AP390" s="191"/>
      <c r="AQ390" s="47"/>
      <c r="AR390" s="41"/>
      <c r="AS390" s="41"/>
      <c r="AT390" s="41"/>
    </row>
    <row r="391" spans="1:46" ht="21" customHeight="1">
      <c r="A391" s="267" t="s">
        <v>2116</v>
      </c>
      <c r="B391" s="45" t="s">
        <v>131</v>
      </c>
      <c r="C391" s="46" t="s">
        <v>394</v>
      </c>
      <c r="D391" s="47" t="s">
        <v>388</v>
      </c>
      <c r="E391" s="48">
        <v>43003</v>
      </c>
      <c r="F391" s="49">
        <f t="shared" si="20"/>
        <v>0</v>
      </c>
      <c r="G391" s="77">
        <f>SUMIF(积分汇总!$B:$B,C390,积分汇总!$E:$E)</f>
        <v>0</v>
      </c>
      <c r="H391" s="77">
        <f>SUMIF(记录巡查问题条数汇总!$B:$B,C390,记录巡查问题条数汇总!$E:$E)</f>
        <v>0</v>
      </c>
      <c r="I391" s="77"/>
      <c r="J391" s="77">
        <f>SUMIF(安全质量事故!$B:$B,C390,安全质量事故!$G:$G)</f>
        <v>0</v>
      </c>
      <c r="K391" s="72">
        <f>COUNTIF(L391:AP391,标准数据!$A$2)*标准数据!$B$2+COUNTIF(L391:AP391,标准数据!$A$3)*标准数据!$B$3+COUNTIF(L391:AP391,标准数据!$A$4)*标准数据!$B$4</f>
        <v>0</v>
      </c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189"/>
      <c r="AQ391" s="55"/>
      <c r="AR391" s="41"/>
      <c r="AS391" s="41"/>
      <c r="AT391" s="41"/>
    </row>
    <row r="392" spans="1:46" ht="21" customHeight="1">
      <c r="A392" s="267" t="s">
        <v>2116</v>
      </c>
      <c r="B392" s="45" t="s">
        <v>131</v>
      </c>
      <c r="C392" s="46" t="s">
        <v>763</v>
      </c>
      <c r="D392" s="47" t="s">
        <v>389</v>
      </c>
      <c r="E392" s="48">
        <v>41855</v>
      </c>
      <c r="F392" s="49">
        <f t="shared" si="20"/>
        <v>0</v>
      </c>
      <c r="G392" s="77">
        <f>SUMIF(积分汇总!$B:$B,C391,积分汇总!$E:$E)</f>
        <v>0</v>
      </c>
      <c r="H392" s="77">
        <f>SUMIF(记录巡查问题条数汇总!$B:$B,C391,记录巡查问题条数汇总!$E:$E)</f>
        <v>0</v>
      </c>
      <c r="I392" s="77"/>
      <c r="J392" s="77">
        <f>SUMIF(安全质量事故!$B:$B,C391,安全质量事故!$G:$G)</f>
        <v>0</v>
      </c>
      <c r="K392" s="72">
        <f>COUNTIF(L392:AP392,标准数据!$A$2)*标准数据!$B$2+COUNTIF(L392:AP392,标准数据!$A$3)*标准数据!$B$3+COUNTIF(L392:AP392,标准数据!$A$4)*标准数据!$B$4</f>
        <v>0</v>
      </c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189"/>
      <c r="AQ392" s="55"/>
      <c r="AR392" s="41"/>
    </row>
    <row r="393" spans="1:46" ht="21" customHeight="1">
      <c r="A393" s="267" t="s">
        <v>2116</v>
      </c>
      <c r="B393" s="45" t="s">
        <v>131</v>
      </c>
      <c r="C393" s="46" t="s">
        <v>1504</v>
      </c>
      <c r="D393" s="47" t="s">
        <v>1505</v>
      </c>
      <c r="E393" s="48">
        <v>45994</v>
      </c>
      <c r="F393" s="49">
        <f t="shared" si="20"/>
        <v>0</v>
      </c>
      <c r="G393" s="77">
        <f>SUMIF(积分汇总!$B:$B,C392,积分汇总!$E:$E)</f>
        <v>0</v>
      </c>
      <c r="H393" s="77">
        <f>SUMIF(记录巡查问题条数汇总!$B:$B,C392,记录巡查问题条数汇总!$E:$E)</f>
        <v>0</v>
      </c>
      <c r="I393" s="77"/>
      <c r="J393" s="77">
        <f>SUMIF(安全质量事故!$B:$B,C392,安全质量事故!$G:$G)</f>
        <v>0</v>
      </c>
      <c r="K393" s="72">
        <f>COUNTIF(L393:AP393,标准数据!$A$2)*标准数据!$B$2+COUNTIF(L393:AP393,标准数据!$A$3)*标准数据!$B$3+COUNTIF(L393:AP393,标准数据!$A$4)*标准数据!$B$4</f>
        <v>0</v>
      </c>
      <c r="L393" s="103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189"/>
      <c r="AQ393" s="55"/>
      <c r="AR393" s="193"/>
    </row>
    <row r="394" spans="1:46" ht="21" customHeight="1">
      <c r="A394" s="267" t="s">
        <v>2116</v>
      </c>
      <c r="B394" s="45" t="s">
        <v>14</v>
      </c>
      <c r="C394" s="46" t="s">
        <v>407</v>
      </c>
      <c r="D394" s="47" t="s">
        <v>403</v>
      </c>
      <c r="E394" s="48">
        <v>45791</v>
      </c>
      <c r="F394" s="49">
        <f t="shared" si="20"/>
        <v>0</v>
      </c>
      <c r="G394" s="77">
        <f>SUMIF(积分汇总!$B:$B,C393,积分汇总!$E:$E)</f>
        <v>0</v>
      </c>
      <c r="H394" s="77">
        <f>SUMIF(记录巡查问题条数汇总!$B:$B,C393,记录巡查问题条数汇总!$E:$E)</f>
        <v>0</v>
      </c>
      <c r="I394" s="77"/>
      <c r="J394" s="77">
        <f>SUMIF(安全质量事故!$B:$B,C393,安全质量事故!$G:$G)</f>
        <v>0</v>
      </c>
      <c r="K394" s="72">
        <f>COUNTIF(L394:AP394,标准数据!$A$2)*标准数据!$B$2+COUNTIF(L394:AP394,标准数据!$A$3)*标准数据!$B$3+COUNTIF(L394:AP394,标准数据!$A$4)*标准数据!$B$4</f>
        <v>0</v>
      </c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189"/>
      <c r="AQ394" s="55"/>
      <c r="AR394" s="41"/>
      <c r="AS394" s="41"/>
      <c r="AT394" s="41"/>
    </row>
    <row r="395" spans="1:46" ht="21" customHeight="1">
      <c r="A395" s="267" t="s">
        <v>2116</v>
      </c>
      <c r="B395" s="45" t="s">
        <v>14</v>
      </c>
      <c r="C395" s="46" t="s">
        <v>413</v>
      </c>
      <c r="D395" s="47" t="s">
        <v>409</v>
      </c>
      <c r="E395" s="48">
        <v>45798</v>
      </c>
      <c r="F395" s="49">
        <f t="shared" si="20"/>
        <v>0</v>
      </c>
      <c r="G395" s="77">
        <f>SUMIF(积分汇总!$B:$B,C394,积分汇总!$E:$E)</f>
        <v>0</v>
      </c>
      <c r="H395" s="77">
        <f>SUMIF(记录巡查问题条数汇总!$B:$B,C394,记录巡查问题条数汇总!$E:$E)</f>
        <v>0</v>
      </c>
      <c r="I395" s="77"/>
      <c r="J395" s="77">
        <f>SUMIF(安全质量事故!$B:$B,C394,安全质量事故!$G:$G)</f>
        <v>0</v>
      </c>
      <c r="K395" s="72">
        <f>COUNTIF(L395:AP395,标准数据!$A$2)*标准数据!$B$2+COUNTIF(L395:AP395,标准数据!$A$3)*标准数据!$B$3+COUNTIF(L395:AP395,标准数据!$A$4)*标准数据!$B$4</f>
        <v>0</v>
      </c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90"/>
      <c r="AA395" s="56"/>
      <c r="AB395" s="56"/>
      <c r="AC395" s="56"/>
      <c r="AD395" s="56"/>
      <c r="AE395" s="56"/>
      <c r="AF395" s="56"/>
      <c r="AG395" s="56"/>
      <c r="AH395" s="56"/>
      <c r="AI395" s="47"/>
      <c r="AJ395" s="90"/>
      <c r="AK395" s="56"/>
      <c r="AL395" s="56"/>
      <c r="AM395" s="56"/>
      <c r="AN395" s="56"/>
      <c r="AO395" s="56"/>
      <c r="AP395" s="189"/>
      <c r="AQ395" s="55"/>
      <c r="AR395" s="41"/>
    </row>
    <row r="396" spans="1:46" ht="21" customHeight="1">
      <c r="A396" s="267" t="s">
        <v>2116</v>
      </c>
      <c r="B396" s="45" t="s">
        <v>87</v>
      </c>
      <c r="C396" s="46" t="s">
        <v>427</v>
      </c>
      <c r="D396" s="52" t="s">
        <v>422</v>
      </c>
      <c r="E396" s="46">
        <v>45812</v>
      </c>
      <c r="F396" s="49">
        <f t="shared" si="20"/>
        <v>0</v>
      </c>
      <c r="G396" s="77">
        <f>SUMIF(积分汇总!$B:$B,C395,积分汇总!$E:$E)</f>
        <v>0</v>
      </c>
      <c r="H396" s="77">
        <f>SUMIF(记录巡查问题条数汇总!$B:$B,C395,记录巡查问题条数汇总!$E:$E)</f>
        <v>0</v>
      </c>
      <c r="I396" s="77"/>
      <c r="J396" s="77">
        <f>SUMIF(安全质量事故!$B:$B,C395,安全质量事故!$G:$G)</f>
        <v>0</v>
      </c>
      <c r="K396" s="72">
        <f>COUNTIF(L396:AP396,标准数据!$A$2)*标准数据!$B$2+COUNTIF(L396:AP396,标准数据!$A$3)*标准数据!$B$3+COUNTIF(L396:AP396,标准数据!$A$4)*标准数据!$B$4</f>
        <v>0</v>
      </c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189"/>
      <c r="AQ396" s="55"/>
      <c r="AR396" s="41"/>
      <c r="AS396" s="41"/>
      <c r="AT396" s="41"/>
    </row>
    <row r="397" spans="1:46" ht="21" customHeight="1">
      <c r="A397" s="267" t="s">
        <v>2116</v>
      </c>
      <c r="B397" s="45" t="s">
        <v>87</v>
      </c>
      <c r="C397" s="46" t="s">
        <v>356</v>
      </c>
      <c r="D397" s="47" t="s">
        <v>355</v>
      </c>
      <c r="E397" s="48">
        <v>45672</v>
      </c>
      <c r="F397" s="49">
        <f t="shared" si="20"/>
        <v>0</v>
      </c>
      <c r="G397" s="77">
        <f>SUMIF(积分汇总!$B:$B,C396,积分汇总!$E:$E)</f>
        <v>0</v>
      </c>
      <c r="H397" s="77">
        <f>SUMIF(记录巡查问题条数汇总!$B:$B,C396,记录巡查问题条数汇总!$E:$E)</f>
        <v>0</v>
      </c>
      <c r="I397" s="77"/>
      <c r="J397" s="77">
        <f>SUMIF(安全质量事故!$B:$B,C396,安全质量事故!$G:$G)</f>
        <v>0</v>
      </c>
      <c r="K397" s="72">
        <f>COUNTIF(L397:AP397,标准数据!$A$2)*标准数据!$B$2+COUNTIF(L397:AP397,标准数据!$A$3)*标准数据!$B$3+COUNTIF(L397:AP397,标准数据!$A$4)*标准数据!$B$4</f>
        <v>0</v>
      </c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90"/>
      <c r="AK397" s="90"/>
      <c r="AL397" s="90"/>
      <c r="AM397" s="90"/>
      <c r="AN397" s="90"/>
      <c r="AO397" s="90"/>
      <c r="AP397" s="192"/>
      <c r="AQ397" s="90"/>
      <c r="AR397" s="41"/>
      <c r="AS397" s="41"/>
      <c r="AT397" s="41"/>
    </row>
    <row r="398" spans="1:46" ht="21" customHeight="1">
      <c r="A398" s="267" t="s">
        <v>2116</v>
      </c>
      <c r="B398" s="45" t="s">
        <v>14</v>
      </c>
      <c r="C398" s="46" t="s">
        <v>617</v>
      </c>
      <c r="D398" s="47" t="s">
        <v>574</v>
      </c>
      <c r="E398" s="48">
        <v>44389</v>
      </c>
      <c r="F398" s="49">
        <f t="shared" si="20"/>
        <v>0</v>
      </c>
      <c r="G398" s="77">
        <f>SUMIF(积分汇总!$B:$B,C397,积分汇总!$E:$E)</f>
        <v>0</v>
      </c>
      <c r="H398" s="77">
        <f>SUMIF(记录巡查问题条数汇总!$B:$B,C397,记录巡查问题条数汇总!$E:$E)</f>
        <v>0</v>
      </c>
      <c r="I398" s="77"/>
      <c r="J398" s="77">
        <f>SUMIF(安全质量事故!$B:$B,C397,安全质量事故!$G:$G)</f>
        <v>0</v>
      </c>
      <c r="K398" s="72">
        <f>COUNTIF(L398:AP398,标准数据!$A$2)*标准数据!$B$2+COUNTIF(L398:AP398,标准数据!$A$3)*标准数据!$B$3+COUNTIF(L398:AP398,标准数据!$A$4)*标准数据!$B$4</f>
        <v>0</v>
      </c>
      <c r="L398" s="90"/>
      <c r="M398" s="90"/>
      <c r="N398" s="56"/>
      <c r="O398" s="90"/>
      <c r="P398" s="90"/>
      <c r="Q398" s="90"/>
      <c r="R398" s="90"/>
      <c r="S398" s="90"/>
      <c r="T398" s="90"/>
      <c r="U398" s="56"/>
      <c r="V398" s="90"/>
      <c r="W398" s="90"/>
      <c r="X398" s="90"/>
      <c r="Y398" s="90"/>
      <c r="Z398" s="90"/>
      <c r="AA398" s="90"/>
      <c r="AB398" s="56"/>
      <c r="AC398" s="90"/>
      <c r="AD398" s="90"/>
      <c r="AE398" s="90"/>
      <c r="AF398" s="90"/>
      <c r="AG398" s="90"/>
      <c r="AH398" s="56"/>
      <c r="AI398" s="90"/>
      <c r="AJ398" s="90"/>
      <c r="AK398" s="90"/>
      <c r="AL398" s="90"/>
      <c r="AM398" s="56"/>
      <c r="AN398" s="90"/>
      <c r="AO398" s="90"/>
      <c r="AP398" s="189"/>
      <c r="AQ398" s="55"/>
      <c r="AR398" s="41"/>
      <c r="AS398" s="41"/>
      <c r="AT398" s="41"/>
    </row>
    <row r="399" spans="1:46" ht="21" customHeight="1">
      <c r="A399" s="267" t="s">
        <v>2116</v>
      </c>
      <c r="B399" s="45" t="s">
        <v>14</v>
      </c>
      <c r="C399" s="46" t="s">
        <v>618</v>
      </c>
      <c r="D399" s="47" t="s">
        <v>575</v>
      </c>
      <c r="E399" s="48">
        <v>45908</v>
      </c>
      <c r="F399" s="49">
        <f t="shared" si="20"/>
        <v>0</v>
      </c>
      <c r="G399" s="77">
        <f>SUMIF(积分汇总!$B:$B,C398,积分汇总!$E:$E)</f>
        <v>0</v>
      </c>
      <c r="H399" s="77">
        <f>SUMIF(记录巡查问题条数汇总!$B:$B,C398,记录巡查问题条数汇总!$E:$E)</f>
        <v>0</v>
      </c>
      <c r="I399" s="77"/>
      <c r="J399" s="77">
        <f>SUMIF(安全质量事故!$B:$B,C398,安全质量事故!$G:$G)</f>
        <v>0</v>
      </c>
      <c r="K399" s="72">
        <f>COUNTIF(L399:AP399,标准数据!$A$2)*标准数据!$B$2+COUNTIF(L399:AP399,标准数据!$A$3)*标准数据!$B$3+COUNTIF(L399:AP399,标准数据!$A$4)*标准数据!$B$4</f>
        <v>0</v>
      </c>
      <c r="L399" s="90"/>
      <c r="M399" s="90"/>
      <c r="N399" s="56"/>
      <c r="O399" s="90"/>
      <c r="P399" s="90"/>
      <c r="Q399" s="90"/>
      <c r="R399" s="90"/>
      <c r="S399" s="90"/>
      <c r="T399" s="90"/>
      <c r="U399" s="56"/>
      <c r="V399" s="90"/>
      <c r="W399" s="90"/>
      <c r="X399" s="90"/>
      <c r="Y399" s="90"/>
      <c r="Z399" s="90"/>
      <c r="AA399" s="90"/>
      <c r="AB399" s="56"/>
      <c r="AC399" s="90"/>
      <c r="AD399" s="90"/>
      <c r="AE399" s="90"/>
      <c r="AF399" s="90"/>
      <c r="AG399" s="90"/>
      <c r="AH399" s="56"/>
      <c r="AI399" s="90"/>
      <c r="AJ399" s="90"/>
      <c r="AK399" s="90"/>
      <c r="AL399" s="90"/>
      <c r="AM399" s="56"/>
      <c r="AN399" s="90"/>
      <c r="AO399" s="90"/>
      <c r="AP399" s="189"/>
      <c r="AQ399" s="55"/>
      <c r="AR399" s="41"/>
      <c r="AS399" s="41"/>
      <c r="AT399" s="41"/>
    </row>
    <row r="400" spans="1:46" ht="21" customHeight="1">
      <c r="A400" s="267" t="s">
        <v>2116</v>
      </c>
      <c r="B400" s="45" t="s">
        <v>14</v>
      </c>
      <c r="C400" s="46" t="s">
        <v>619</v>
      </c>
      <c r="D400" s="47" t="s">
        <v>576</v>
      </c>
      <c r="E400" s="48">
        <v>45910</v>
      </c>
      <c r="F400" s="49">
        <f t="shared" si="20"/>
        <v>0</v>
      </c>
      <c r="G400" s="77">
        <f>SUMIF(积分汇总!$B:$B,C399,积分汇总!$E:$E)</f>
        <v>0</v>
      </c>
      <c r="H400" s="77">
        <f>SUMIF(记录巡查问题条数汇总!$B:$B,C399,记录巡查问题条数汇总!$E:$E)</f>
        <v>0</v>
      </c>
      <c r="I400" s="77"/>
      <c r="J400" s="77">
        <f>SUMIF(安全质量事故!$B:$B,C399,安全质量事故!$G:$G)</f>
        <v>0</v>
      </c>
      <c r="K400" s="72">
        <f>COUNTIF(L400:AP400,标准数据!$A$2)*标准数据!$B$2+COUNTIF(L400:AP400,标准数据!$A$3)*标准数据!$B$3+COUNTIF(L400:AP400,标准数据!$A$4)*标准数据!$B$4</f>
        <v>0</v>
      </c>
      <c r="L400" s="90"/>
      <c r="M400" s="90"/>
      <c r="N400" s="56"/>
      <c r="O400" s="90"/>
      <c r="P400" s="90"/>
      <c r="Q400" s="90"/>
      <c r="R400" s="90"/>
      <c r="S400" s="90"/>
      <c r="T400" s="90"/>
      <c r="U400" s="56"/>
      <c r="V400" s="90"/>
      <c r="W400" s="90"/>
      <c r="X400" s="90"/>
      <c r="Y400" s="90"/>
      <c r="Z400" s="90"/>
      <c r="AA400" s="90"/>
      <c r="AB400" s="56"/>
      <c r="AC400" s="90"/>
      <c r="AD400" s="90"/>
      <c r="AE400" s="90"/>
      <c r="AF400" s="90"/>
      <c r="AG400" s="90"/>
      <c r="AH400" s="56"/>
      <c r="AI400" s="90"/>
      <c r="AJ400" s="90"/>
      <c r="AK400" s="90"/>
      <c r="AL400" s="90"/>
      <c r="AM400" s="56"/>
      <c r="AN400" s="90"/>
      <c r="AO400" s="90"/>
      <c r="AP400" s="189"/>
      <c r="AQ400" s="55"/>
      <c r="AR400" s="41"/>
      <c r="AS400" s="41"/>
      <c r="AT400" s="41"/>
    </row>
    <row r="401" spans="1:46" ht="21" customHeight="1">
      <c r="A401" s="267" t="s">
        <v>2116</v>
      </c>
      <c r="B401" s="45" t="s">
        <v>14</v>
      </c>
      <c r="C401" s="46" t="s">
        <v>669</v>
      </c>
      <c r="D401" s="47" t="s">
        <v>650</v>
      </c>
      <c r="E401" s="48">
        <v>45924</v>
      </c>
      <c r="F401" s="49">
        <f t="shared" si="20"/>
        <v>0</v>
      </c>
      <c r="G401" s="77">
        <f>SUMIF(积分汇总!$B:$B,C400,积分汇总!$E:$E)</f>
        <v>0</v>
      </c>
      <c r="H401" s="77">
        <f>SUMIF(记录巡查问题条数汇总!$B:$B,C400,记录巡查问题条数汇总!$E:$E)</f>
        <v>0</v>
      </c>
      <c r="I401" s="77"/>
      <c r="J401" s="77">
        <f>SUMIF(安全质量事故!$B:$B,C400,安全质量事故!$G:$G)</f>
        <v>0</v>
      </c>
      <c r="K401" s="72">
        <f>COUNTIF(L401:AP401,标准数据!$A$2)*标准数据!$B$2+COUNTIF(L401:AP401,标准数据!$A$3)*标准数据!$B$3+COUNTIF(L401:AP401,标准数据!$A$4)*标准数据!$B$4</f>
        <v>0</v>
      </c>
      <c r="L401" s="90"/>
      <c r="M401" s="90"/>
      <c r="N401" s="56"/>
      <c r="O401" s="90"/>
      <c r="P401" s="90"/>
      <c r="Q401" s="90"/>
      <c r="R401" s="90"/>
      <c r="S401" s="90"/>
      <c r="T401" s="90"/>
      <c r="U401" s="56"/>
      <c r="V401" s="90"/>
      <c r="W401" s="90"/>
      <c r="X401" s="90"/>
      <c r="Y401" s="90"/>
      <c r="Z401" s="90"/>
      <c r="AA401" s="90"/>
      <c r="AB401" s="56"/>
      <c r="AC401" s="90"/>
      <c r="AD401" s="90"/>
      <c r="AE401" s="90"/>
      <c r="AF401" s="90"/>
      <c r="AG401" s="90"/>
      <c r="AH401" s="56"/>
      <c r="AI401" s="90"/>
      <c r="AJ401" s="90"/>
      <c r="AK401" s="90"/>
      <c r="AL401" s="90"/>
      <c r="AM401" s="56"/>
      <c r="AN401" s="90"/>
      <c r="AO401" s="90"/>
      <c r="AP401" s="189"/>
      <c r="AQ401" s="55"/>
      <c r="AR401" s="41"/>
      <c r="AS401" s="41"/>
      <c r="AT401" s="41"/>
    </row>
    <row r="402" spans="1:46" ht="21" customHeight="1">
      <c r="A402" s="267" t="s">
        <v>2116</v>
      </c>
      <c r="B402" s="45" t="s">
        <v>14</v>
      </c>
      <c r="C402" s="46" t="s">
        <v>754</v>
      </c>
      <c r="D402" s="47" t="s">
        <v>682</v>
      </c>
      <c r="E402" s="48">
        <v>45875</v>
      </c>
      <c r="F402" s="49">
        <f t="shared" si="20"/>
        <v>0</v>
      </c>
      <c r="G402" s="77">
        <f>SUMIF(积分汇总!$B:$B,C401,积分汇总!$E:$E)</f>
        <v>0</v>
      </c>
      <c r="H402" s="77">
        <f>SUMIF(记录巡查问题条数汇总!$B:$B,C401,记录巡查问题条数汇总!$E:$E)</f>
        <v>0</v>
      </c>
      <c r="I402" s="77"/>
      <c r="J402" s="77">
        <f>SUMIF(安全质量事故!$B:$B,C401,安全质量事故!$G:$G)</f>
        <v>0</v>
      </c>
      <c r="K402" s="72">
        <f>COUNTIF(L402:AP402,标准数据!$A$2)*标准数据!$B$2+COUNTIF(L402:AP402,标准数据!$A$3)*标准数据!$B$3+COUNTIF(L402:AP402,标准数据!$A$4)*标准数据!$B$4</f>
        <v>0</v>
      </c>
      <c r="L402" s="90"/>
      <c r="M402" s="90"/>
      <c r="N402" s="56"/>
      <c r="O402" s="90"/>
      <c r="P402" s="90"/>
      <c r="Q402" s="90"/>
      <c r="R402" s="90"/>
      <c r="S402" s="90"/>
      <c r="T402" s="90"/>
      <c r="U402" s="56"/>
      <c r="V402" s="90"/>
      <c r="W402" s="90"/>
      <c r="X402" s="90"/>
      <c r="Y402" s="90"/>
      <c r="Z402" s="90"/>
      <c r="AA402" s="90"/>
      <c r="AB402" s="56"/>
      <c r="AC402" s="90"/>
      <c r="AD402" s="90"/>
      <c r="AE402" s="90"/>
      <c r="AF402" s="90"/>
      <c r="AG402" s="90"/>
      <c r="AH402" s="56"/>
      <c r="AI402" s="90"/>
      <c r="AJ402" s="90"/>
      <c r="AK402" s="90"/>
      <c r="AL402" s="90"/>
      <c r="AM402" s="56"/>
      <c r="AN402" s="90"/>
      <c r="AO402" s="90"/>
      <c r="AP402" s="189"/>
      <c r="AQ402" s="55"/>
      <c r="AR402" s="41"/>
      <c r="AS402" s="41"/>
      <c r="AT402" s="41"/>
    </row>
    <row r="403" spans="1:46" ht="21" customHeight="1">
      <c r="A403" s="267" t="s">
        <v>2116</v>
      </c>
      <c r="B403" s="45" t="s">
        <v>14</v>
      </c>
      <c r="C403" s="46" t="s">
        <v>1920</v>
      </c>
      <c r="D403" s="47" t="s">
        <v>684</v>
      </c>
      <c r="E403" s="48">
        <v>45889</v>
      </c>
      <c r="F403" s="49">
        <f t="shared" si="20"/>
        <v>0</v>
      </c>
      <c r="G403" s="77">
        <f>SUMIF(积分汇总!$B:$B,C402,积分汇总!$E:$E)</f>
        <v>0</v>
      </c>
      <c r="H403" s="77">
        <f>SUMIF(记录巡查问题条数汇总!$B:$B,C402,记录巡查问题条数汇总!$E:$E)</f>
        <v>0</v>
      </c>
      <c r="I403" s="77"/>
      <c r="J403" s="77">
        <f>SUMIF(安全质量事故!$B:$B,C402,安全质量事故!$G:$G)</f>
        <v>0</v>
      </c>
      <c r="K403" s="72">
        <f>COUNTIF(L403:AP403,标准数据!$A$2)*标准数据!$B$2+COUNTIF(L403:AP403,标准数据!$A$3)*标准数据!$B$3+COUNTIF(L403:AP403,标准数据!$A$4)*标准数据!$B$4</f>
        <v>0</v>
      </c>
      <c r="L403" s="90"/>
      <c r="M403" s="90"/>
      <c r="N403" s="56"/>
      <c r="O403" s="90"/>
      <c r="P403" s="90"/>
      <c r="Q403" s="90"/>
      <c r="R403" s="90"/>
      <c r="S403" s="90"/>
      <c r="T403" s="90"/>
      <c r="U403" s="56"/>
      <c r="V403" s="90"/>
      <c r="W403" s="90"/>
      <c r="X403" s="90"/>
      <c r="Y403" s="90"/>
      <c r="Z403" s="90"/>
      <c r="AA403" s="90"/>
      <c r="AB403" s="56"/>
      <c r="AC403" s="90"/>
      <c r="AD403" s="90"/>
      <c r="AE403" s="90"/>
      <c r="AF403" s="90"/>
      <c r="AG403" s="90"/>
      <c r="AH403" s="56"/>
      <c r="AI403" s="90"/>
      <c r="AJ403" s="90"/>
      <c r="AK403" s="90"/>
      <c r="AL403" s="90"/>
      <c r="AM403" s="56"/>
      <c r="AN403" s="90"/>
      <c r="AO403" s="90"/>
      <c r="AP403" s="189"/>
      <c r="AQ403" s="55"/>
      <c r="AR403" s="41"/>
      <c r="AS403" s="41"/>
      <c r="AT403" s="41"/>
    </row>
    <row r="404" spans="1:46" ht="21" customHeight="1">
      <c r="A404" s="267" t="s">
        <v>2116</v>
      </c>
      <c r="B404" s="45" t="s">
        <v>14</v>
      </c>
      <c r="C404" s="46" t="s">
        <v>987</v>
      </c>
      <c r="D404" s="47" t="s">
        <v>957</v>
      </c>
      <c r="E404" s="48">
        <v>45951</v>
      </c>
      <c r="F404" s="49">
        <f t="shared" si="20"/>
        <v>0</v>
      </c>
      <c r="G404" s="77">
        <f>SUMIF(积分汇总!$B:$B,C403,积分汇总!$E:$E)</f>
        <v>0</v>
      </c>
      <c r="H404" s="77">
        <f>SUMIF(记录巡查问题条数汇总!$B:$B,C403,记录巡查问题条数汇总!$E:$E)</f>
        <v>0</v>
      </c>
      <c r="I404" s="77"/>
      <c r="J404" s="77">
        <f>SUMIF(安全质量事故!$B:$B,C403,安全质量事故!$G:$G)</f>
        <v>0</v>
      </c>
      <c r="K404" s="72">
        <f>COUNTIF(L404:AP404,标准数据!$A$2)*标准数据!$B$2+COUNTIF(L404:AP404,标准数据!$A$3)*标准数据!$B$3+COUNTIF(L404:AP404,标准数据!$A$4)*标准数据!$B$4</f>
        <v>0</v>
      </c>
      <c r="L404" s="90"/>
      <c r="M404" s="90"/>
      <c r="N404" s="56"/>
      <c r="O404" s="90"/>
      <c r="P404" s="90"/>
      <c r="Q404" s="90"/>
      <c r="R404" s="90"/>
      <c r="S404" s="90"/>
      <c r="T404" s="90"/>
      <c r="U404" s="56"/>
      <c r="V404" s="90"/>
      <c r="W404" s="90"/>
      <c r="X404" s="90"/>
      <c r="Y404" s="90"/>
      <c r="Z404" s="90"/>
      <c r="AA404" s="90"/>
      <c r="AB404" s="56"/>
      <c r="AC404" s="90"/>
      <c r="AD404" s="90"/>
      <c r="AE404" s="90"/>
      <c r="AF404" s="90"/>
      <c r="AG404" s="90"/>
      <c r="AH404" s="56"/>
      <c r="AI404" s="90"/>
      <c r="AJ404" s="90"/>
      <c r="AK404" s="90"/>
      <c r="AL404" s="90"/>
      <c r="AM404" s="56"/>
      <c r="AN404" s="90"/>
      <c r="AO404" s="90"/>
      <c r="AP404" s="189"/>
      <c r="AQ404" s="55"/>
      <c r="AR404" s="41"/>
      <c r="AS404" s="41"/>
      <c r="AT404" s="41"/>
    </row>
    <row r="405" spans="1:46" ht="21" customHeight="1">
      <c r="A405" s="267" t="s">
        <v>2116</v>
      </c>
      <c r="B405" s="45" t="s">
        <v>14</v>
      </c>
      <c r="C405" s="46" t="s">
        <v>988</v>
      </c>
      <c r="D405" s="47" t="s">
        <v>958</v>
      </c>
      <c r="E405" s="48">
        <v>45965</v>
      </c>
      <c r="F405" s="49">
        <f t="shared" si="20"/>
        <v>0</v>
      </c>
      <c r="G405" s="77">
        <f>SUMIF(积分汇总!$B:$B,C404,积分汇总!$E:$E)</f>
        <v>0</v>
      </c>
      <c r="H405" s="77">
        <f>SUMIF(记录巡查问题条数汇总!$B:$B,C404,记录巡查问题条数汇总!$E:$E)</f>
        <v>0</v>
      </c>
      <c r="I405" s="77"/>
      <c r="J405" s="77">
        <f>SUMIF(安全质量事故!$B:$B,C404,安全质量事故!$G:$G)</f>
        <v>0</v>
      </c>
      <c r="K405" s="72">
        <f>COUNTIF(L405:AP405,标准数据!$A$2)*标准数据!$B$2+COUNTIF(L405:AP405,标准数据!$A$3)*标准数据!$B$3+COUNTIF(L405:AP405,标准数据!$A$4)*标准数据!$B$4</f>
        <v>0</v>
      </c>
      <c r="L405" s="90"/>
      <c r="M405" s="90"/>
      <c r="N405" s="56"/>
      <c r="O405" s="90"/>
      <c r="P405" s="90"/>
      <c r="Q405" s="90"/>
      <c r="R405" s="90"/>
      <c r="S405" s="90"/>
      <c r="T405" s="90"/>
      <c r="U405" s="56"/>
      <c r="V405" s="90"/>
      <c r="W405" s="90"/>
      <c r="X405" s="90"/>
      <c r="Y405" s="90"/>
      <c r="Z405" s="90"/>
      <c r="AA405" s="90"/>
      <c r="AB405" s="56"/>
      <c r="AC405" s="90"/>
      <c r="AD405" s="90"/>
      <c r="AE405" s="90"/>
      <c r="AF405" s="90"/>
      <c r="AG405" s="90"/>
      <c r="AH405" s="56"/>
      <c r="AI405" s="90"/>
      <c r="AJ405" s="90"/>
      <c r="AK405" s="90"/>
      <c r="AL405" s="90"/>
      <c r="AM405" s="56"/>
      <c r="AN405" s="90"/>
      <c r="AO405" s="90"/>
      <c r="AP405" s="189"/>
      <c r="AQ405" s="55"/>
      <c r="AR405" s="41"/>
      <c r="AS405" s="41"/>
      <c r="AT405" s="41"/>
    </row>
    <row r="406" spans="1:46" ht="21" customHeight="1">
      <c r="A406" s="267" t="s">
        <v>2116</v>
      </c>
      <c r="B406" s="45" t="s">
        <v>14</v>
      </c>
      <c r="C406" s="46" t="s">
        <v>989</v>
      </c>
      <c r="D406" s="47" t="s">
        <v>959</v>
      </c>
      <c r="E406" s="48">
        <v>45979</v>
      </c>
      <c r="F406" s="49">
        <f t="shared" si="20"/>
        <v>0</v>
      </c>
      <c r="G406" s="77">
        <f>SUMIF(积分汇总!$B:$B,C405,积分汇总!$E:$E)</f>
        <v>0</v>
      </c>
      <c r="H406" s="77">
        <f>SUMIF(记录巡查问题条数汇总!$B:$B,C405,记录巡查问题条数汇总!$E:$E)</f>
        <v>0</v>
      </c>
      <c r="I406" s="77"/>
      <c r="J406" s="77">
        <f>SUMIF(安全质量事故!$B:$B,C405,安全质量事故!$G:$G)</f>
        <v>0</v>
      </c>
      <c r="K406" s="72">
        <f>COUNTIF(L406:AP406,标准数据!$A$2)*标准数据!$B$2+COUNTIF(L406:AP406,标准数据!$A$3)*标准数据!$B$3+COUNTIF(L406:AP406,标准数据!$A$4)*标准数据!$B$4</f>
        <v>0</v>
      </c>
      <c r="L406" s="90"/>
      <c r="M406" s="90"/>
      <c r="N406" s="56"/>
      <c r="O406" s="90"/>
      <c r="P406" s="90"/>
      <c r="Q406" s="90"/>
      <c r="R406" s="90"/>
      <c r="S406" s="90"/>
      <c r="T406" s="90"/>
      <c r="U406" s="56"/>
      <c r="V406" s="90"/>
      <c r="W406" s="90"/>
      <c r="X406" s="90"/>
      <c r="Y406" s="90"/>
      <c r="Z406" s="90"/>
      <c r="AA406" s="90"/>
      <c r="AB406" s="56"/>
      <c r="AC406" s="90"/>
      <c r="AD406" s="90"/>
      <c r="AE406" s="90"/>
      <c r="AF406" s="90"/>
      <c r="AG406" s="90"/>
      <c r="AH406" s="56"/>
      <c r="AI406" s="90"/>
      <c r="AJ406" s="90"/>
      <c r="AK406" s="90"/>
      <c r="AL406" s="90"/>
      <c r="AM406" s="56"/>
      <c r="AN406" s="90"/>
      <c r="AO406" s="90"/>
      <c r="AP406" s="189"/>
      <c r="AQ406" s="55"/>
      <c r="AR406" s="41"/>
      <c r="AS406" s="41"/>
      <c r="AT406" s="41"/>
    </row>
    <row r="407" spans="1:46" ht="21" customHeight="1">
      <c r="A407" s="267" t="s">
        <v>2116</v>
      </c>
      <c r="B407" s="45" t="s">
        <v>14</v>
      </c>
      <c r="C407" s="46" t="s">
        <v>1004</v>
      </c>
      <c r="D407" s="47" t="s">
        <v>1005</v>
      </c>
      <c r="E407" s="48">
        <v>46085</v>
      </c>
      <c r="F407" s="49">
        <f t="shared" si="20"/>
        <v>0</v>
      </c>
      <c r="G407" s="77">
        <f>SUMIF(积分汇总!$B:$B,#REF!,积分汇总!$E:$E)</f>
        <v>0</v>
      </c>
      <c r="H407" s="77">
        <f>SUMIF(记录巡查问题条数汇总!$B:$B,#REF!,记录巡查问题条数汇总!$E:$E)</f>
        <v>0</v>
      </c>
      <c r="I407" s="77"/>
      <c r="J407" s="77">
        <f>SUMIF(安全质量事故!$B:$B,#REF!,安全质量事故!$G:$G)</f>
        <v>0</v>
      </c>
      <c r="K407" s="72">
        <f>COUNTIF(L407:AP407,标准数据!$A$2)*标准数据!$B$2+COUNTIF(L407:AP407,标准数据!$A$3)*标准数据!$B$3+COUNTIF(L407:AP407,标准数据!$A$4)*标准数据!$B$4</f>
        <v>0</v>
      </c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47"/>
      <c r="AL407" s="90"/>
      <c r="AM407" s="56"/>
      <c r="AN407" s="47"/>
      <c r="AO407" s="90"/>
      <c r="AP407" s="189"/>
      <c r="AQ407" s="55"/>
    </row>
    <row r="408" spans="1:46" ht="21" customHeight="1">
      <c r="A408" s="267" t="s">
        <v>2116</v>
      </c>
      <c r="B408" s="45" t="s">
        <v>14</v>
      </c>
      <c r="C408" s="46" t="s">
        <v>481</v>
      </c>
      <c r="D408" s="47" t="s">
        <v>1403</v>
      </c>
      <c r="E408" s="48">
        <v>46155</v>
      </c>
      <c r="F408" s="49">
        <f t="shared" si="20"/>
        <v>0</v>
      </c>
      <c r="G408" s="77">
        <f>SUMIF(积分汇总!$B:$B,C407,积分汇总!$E:$E)</f>
        <v>0</v>
      </c>
      <c r="H408" s="77">
        <f>SUMIF(记录巡查问题条数汇总!$B:$B,C407,记录巡查问题条数汇总!$E:$E)</f>
        <v>0</v>
      </c>
      <c r="I408" s="77"/>
      <c r="J408" s="77">
        <f>SUMIF(安全质量事故!$B:$B,C407,安全质量事故!$G:$G)</f>
        <v>0</v>
      </c>
      <c r="K408" s="72">
        <f>COUNTIF(L408:AP408,标准数据!$A$2)*标准数据!$B$2+COUNTIF(L408:AP408,标准数据!$A$3)*标准数据!$B$3+COUNTIF(L408:AP408,标准数据!$A$4)*标准数据!$B$4</f>
        <v>0</v>
      </c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56"/>
      <c r="AC408" s="90"/>
      <c r="AD408" s="90"/>
      <c r="AE408" s="90"/>
      <c r="AF408" s="90"/>
      <c r="AG408" s="90"/>
      <c r="AH408" s="56"/>
      <c r="AI408" s="90"/>
      <c r="AJ408" s="90"/>
      <c r="AK408" s="90"/>
      <c r="AL408" s="90"/>
      <c r="AM408" s="56"/>
      <c r="AN408" s="90"/>
      <c r="AO408" s="90"/>
      <c r="AP408" s="189"/>
      <c r="AQ408" s="55"/>
      <c r="AR408" s="41"/>
      <c r="AS408" s="41"/>
      <c r="AT408" s="41"/>
    </row>
    <row r="409" spans="1:46" ht="21" customHeight="1">
      <c r="A409" s="267" t="s">
        <v>2116</v>
      </c>
      <c r="B409" s="45" t="s">
        <v>87</v>
      </c>
      <c r="C409" s="46" t="s">
        <v>1509</v>
      </c>
      <c r="D409" s="47" t="s">
        <v>1510</v>
      </c>
      <c r="E409" s="48">
        <v>46043</v>
      </c>
      <c r="F409" s="49">
        <f t="shared" si="20"/>
        <v>0</v>
      </c>
      <c r="G409" s="77">
        <f>SUMIF(积分汇总!$B:$B,C408,积分汇总!$E:$E)</f>
        <v>0</v>
      </c>
      <c r="H409" s="77">
        <f>SUMIF(记录巡查问题条数汇总!$B:$B,C408,记录巡查问题条数汇总!$E:$E)</f>
        <v>0</v>
      </c>
      <c r="I409" s="77"/>
      <c r="J409" s="77">
        <f>SUMIF(安全质量事故!$B:$B,C408,安全质量事故!$G:$G)</f>
        <v>0</v>
      </c>
      <c r="K409" s="72">
        <f>COUNTIF(L409:AP409,标准数据!$A$2)*标准数据!$B$2+COUNTIF(L409:AP409,标准数据!$A$3)*标准数据!$B$3+COUNTIF(L409:AP409,标准数据!$A$4)*标准数据!$B$4</f>
        <v>0</v>
      </c>
      <c r="L409" s="103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189"/>
      <c r="AQ409" s="55"/>
      <c r="AR409" s="193"/>
    </row>
    <row r="410" spans="1:46" ht="21" customHeight="1">
      <c r="A410" s="267" t="s">
        <v>2116</v>
      </c>
      <c r="B410" s="45" t="s">
        <v>14</v>
      </c>
      <c r="C410" s="46" t="s">
        <v>1511</v>
      </c>
      <c r="D410" s="47" t="s">
        <v>1512</v>
      </c>
      <c r="E410" s="48">
        <v>46162</v>
      </c>
      <c r="F410" s="49">
        <f t="shared" si="20"/>
        <v>0</v>
      </c>
      <c r="G410" s="77">
        <f>SUMIF(积分汇总!$B:$B,C409,积分汇总!$E:$E)</f>
        <v>0</v>
      </c>
      <c r="H410" s="77">
        <f>SUMIF(记录巡查问题条数汇总!$B:$B,C409,记录巡查问题条数汇总!$E:$E)</f>
        <v>0</v>
      </c>
      <c r="I410" s="77"/>
      <c r="J410" s="77">
        <f>SUMIF(安全质量事故!$B:$B,C409,安全质量事故!$G:$G)</f>
        <v>0</v>
      </c>
      <c r="K410" s="72">
        <f>COUNTIF(L410:AP410,标准数据!$A$2)*标准数据!$B$2+COUNTIF(L410:AP410,标准数据!$A$3)*标准数据!$B$3+COUNTIF(L410:AP410,标准数据!$A$4)*标准数据!$B$4</f>
        <v>0</v>
      </c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90"/>
      <c r="AA410" s="56"/>
      <c r="AB410" s="56"/>
      <c r="AC410" s="56"/>
      <c r="AD410" s="56"/>
      <c r="AE410" s="56"/>
      <c r="AF410" s="56"/>
      <c r="AG410" s="56"/>
      <c r="AH410" s="56"/>
      <c r="AI410" s="47"/>
      <c r="AJ410" s="90"/>
      <c r="AK410" s="56"/>
      <c r="AL410" s="56"/>
      <c r="AM410" s="56"/>
      <c r="AN410" s="56"/>
      <c r="AO410" s="56"/>
      <c r="AP410" s="189"/>
      <c r="AQ410" s="55"/>
      <c r="AR410" s="193"/>
    </row>
    <row r="411" spans="1:46" ht="21" customHeight="1">
      <c r="A411" s="267" t="s">
        <v>2116</v>
      </c>
      <c r="B411" s="45" t="s">
        <v>87</v>
      </c>
      <c r="C411" s="46" t="s">
        <v>1513</v>
      </c>
      <c r="D411" s="52" t="s">
        <v>1514</v>
      </c>
      <c r="E411" s="46">
        <v>46169</v>
      </c>
      <c r="F411" s="49">
        <f t="shared" si="20"/>
        <v>0</v>
      </c>
      <c r="G411" s="77">
        <f>SUMIF(积分汇总!$B:$B,C410,积分汇总!$E:$E)</f>
        <v>0</v>
      </c>
      <c r="H411" s="77">
        <f>SUMIF(记录巡查问题条数汇总!$B:$B,C410,记录巡查问题条数汇总!$E:$E)</f>
        <v>0</v>
      </c>
      <c r="I411" s="77"/>
      <c r="J411" s="77">
        <f>SUMIF(安全质量事故!$B:$B,C410,安全质量事故!$G:$G)</f>
        <v>0</v>
      </c>
      <c r="K411" s="72">
        <f>COUNTIF(L411:AP411,标准数据!$A$2)*标准数据!$B$2+COUNTIF(L411:AP411,标准数据!$A$3)*标准数据!$B$3+COUNTIF(L411:AP411,标准数据!$A$4)*标准数据!$B$4</f>
        <v>0</v>
      </c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189"/>
      <c r="AQ411" s="55"/>
      <c r="AR411" s="193"/>
      <c r="AS411" s="41"/>
      <c r="AT411" s="41"/>
    </row>
    <row r="412" spans="1:46" ht="21" customHeight="1">
      <c r="A412" s="267" t="s">
        <v>2116</v>
      </c>
      <c r="B412" s="45" t="s">
        <v>87</v>
      </c>
      <c r="C412" s="46" t="s">
        <v>1515</v>
      </c>
      <c r="D412" s="47" t="s">
        <v>1516</v>
      </c>
      <c r="E412" s="48">
        <v>45952</v>
      </c>
      <c r="F412" s="49">
        <f t="shared" si="20"/>
        <v>0</v>
      </c>
      <c r="G412" s="77">
        <f>SUMIF(积分汇总!$B:$B,C411,积分汇总!$E:$E)</f>
        <v>0</v>
      </c>
      <c r="H412" s="77">
        <f>SUMIF(记录巡查问题条数汇总!$B:$B,C411,记录巡查问题条数汇总!$E:$E)</f>
        <v>0</v>
      </c>
      <c r="I412" s="77"/>
      <c r="J412" s="77">
        <f>SUMIF(安全质量事故!$B:$B,C411,安全质量事故!$G:$G)</f>
        <v>0</v>
      </c>
      <c r="K412" s="72">
        <f>COUNTIF(L412:AP412,标准数据!$A$2)*标准数据!$B$2+COUNTIF(L412:AP412,标准数据!$A$3)*标准数据!$B$3+COUNTIF(L412:AP412,标准数据!$A$4)*标准数据!$B$4</f>
        <v>0</v>
      </c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90"/>
      <c r="AK412" s="90"/>
      <c r="AL412" s="90"/>
      <c r="AM412" s="90"/>
      <c r="AN412" s="90"/>
      <c r="AO412" s="90"/>
      <c r="AP412" s="192"/>
      <c r="AQ412" s="90"/>
      <c r="AR412" s="193"/>
      <c r="AS412" s="41"/>
      <c r="AT412" s="41"/>
    </row>
    <row r="413" spans="1:46" ht="21" customHeight="1">
      <c r="A413" s="267" t="s">
        <v>2116</v>
      </c>
      <c r="B413" s="45" t="s">
        <v>14</v>
      </c>
      <c r="C413" s="46" t="s">
        <v>1517</v>
      </c>
      <c r="D413" s="47" t="s">
        <v>1518</v>
      </c>
      <c r="E413" s="48">
        <v>45965</v>
      </c>
      <c r="F413" s="49">
        <f t="shared" si="20"/>
        <v>0</v>
      </c>
      <c r="G413" s="77">
        <f>SUMIF(积分汇总!$B:$B,C412,积分汇总!$E:$E)</f>
        <v>0</v>
      </c>
      <c r="H413" s="77">
        <f>SUMIF(记录巡查问题条数汇总!$B:$B,C412,记录巡查问题条数汇总!$E:$E)</f>
        <v>0</v>
      </c>
      <c r="I413" s="77"/>
      <c r="J413" s="77">
        <f>SUMIF(安全质量事故!$B:$B,C412,安全质量事故!$G:$G)</f>
        <v>0</v>
      </c>
      <c r="K413" s="72">
        <f>COUNTIF(L413:AP413,标准数据!$A$2)*标准数据!$B$2+COUNTIF(L413:AP413,标准数据!$A$3)*标准数据!$B$3+COUNTIF(L413:AP413,标准数据!$A$4)*标准数据!$B$4</f>
        <v>0</v>
      </c>
      <c r="L413" s="56"/>
      <c r="M413" s="90"/>
      <c r="N413" s="56"/>
      <c r="O413" s="90"/>
      <c r="P413" s="90"/>
      <c r="Q413" s="90"/>
      <c r="R413" s="90"/>
      <c r="S413" s="90"/>
      <c r="T413" s="90"/>
      <c r="U413" s="56"/>
      <c r="V413" s="90"/>
      <c r="W413" s="90"/>
      <c r="X413" s="90"/>
      <c r="Y413" s="90"/>
      <c r="Z413" s="90"/>
      <c r="AA413" s="90"/>
      <c r="AB413" s="56"/>
      <c r="AC413" s="90"/>
      <c r="AD413" s="90"/>
      <c r="AE413" s="90"/>
      <c r="AF413" s="90"/>
      <c r="AG413" s="90"/>
      <c r="AH413" s="56"/>
      <c r="AI413" s="90"/>
      <c r="AJ413" s="90"/>
      <c r="AK413" s="90"/>
      <c r="AL413" s="90"/>
      <c r="AM413" s="56"/>
      <c r="AN413" s="90"/>
      <c r="AO413" s="90"/>
      <c r="AP413" s="189"/>
      <c r="AQ413" s="55"/>
      <c r="AR413" s="193"/>
      <c r="AS413" s="41"/>
      <c r="AT413" s="41"/>
    </row>
    <row r="414" spans="1:46" ht="21" customHeight="1">
      <c r="A414" s="267" t="s">
        <v>2116</v>
      </c>
      <c r="B414" s="45" t="s">
        <v>14</v>
      </c>
      <c r="C414" s="46" t="s">
        <v>1519</v>
      </c>
      <c r="D414" s="47" t="s">
        <v>1520</v>
      </c>
      <c r="E414" s="48">
        <v>45979</v>
      </c>
      <c r="F414" s="49">
        <f t="shared" si="20"/>
        <v>0</v>
      </c>
      <c r="G414" s="77">
        <f>SUMIF(积分汇总!$B:$B,C413,积分汇总!$E:$E)</f>
        <v>0</v>
      </c>
      <c r="H414" s="77">
        <f>SUMIF(记录巡查问题条数汇总!$B:$B,C413,记录巡查问题条数汇总!$E:$E)</f>
        <v>0</v>
      </c>
      <c r="I414" s="77"/>
      <c r="J414" s="77">
        <f>SUMIF(安全质量事故!$B:$B,C413,安全质量事故!$G:$G)</f>
        <v>0</v>
      </c>
      <c r="K414" s="72">
        <f>COUNTIF(L414:AP414,标准数据!$A$2)*标准数据!$B$2+COUNTIF(L414:AP414,标准数据!$A$3)*标准数据!$B$3+COUNTIF(L414:AP414,标准数据!$A$4)*标准数据!$B$4</f>
        <v>0</v>
      </c>
      <c r="L414" s="56"/>
      <c r="M414" s="90"/>
      <c r="N414" s="56"/>
      <c r="O414" s="90"/>
      <c r="P414" s="90"/>
      <c r="Q414" s="90"/>
      <c r="R414" s="90"/>
      <c r="S414" s="90"/>
      <c r="T414" s="90"/>
      <c r="U414" s="56"/>
      <c r="V414" s="90"/>
      <c r="W414" s="90"/>
      <c r="X414" s="90"/>
      <c r="Y414" s="90"/>
      <c r="Z414" s="90"/>
      <c r="AA414" s="90"/>
      <c r="AB414" s="56"/>
      <c r="AC414" s="90"/>
      <c r="AD414" s="90"/>
      <c r="AE414" s="90"/>
      <c r="AF414" s="90"/>
      <c r="AG414" s="90"/>
      <c r="AH414" s="56"/>
      <c r="AI414" s="90"/>
      <c r="AJ414" s="90"/>
      <c r="AK414" s="90"/>
      <c r="AL414" s="90"/>
      <c r="AM414" s="56"/>
      <c r="AN414" s="90"/>
      <c r="AO414" s="90"/>
      <c r="AP414" s="189"/>
      <c r="AQ414" s="55"/>
      <c r="AR414" s="193"/>
      <c r="AS414" s="41"/>
      <c r="AT414" s="41"/>
    </row>
    <row r="415" spans="1:46" ht="21" customHeight="1">
      <c r="A415" s="267" t="s">
        <v>2116</v>
      </c>
      <c r="B415" s="45" t="s">
        <v>14</v>
      </c>
      <c r="C415" s="46" t="s">
        <v>1521</v>
      </c>
      <c r="D415" s="47" t="s">
        <v>1522</v>
      </c>
      <c r="E415" s="48">
        <v>46181</v>
      </c>
      <c r="F415" s="49">
        <f t="shared" ref="F415:F478" si="22">(K415+G415+H415+I415-J415)</f>
        <v>0</v>
      </c>
      <c r="G415" s="77">
        <f>SUMIF(积分汇总!$B:$B,C414,积分汇总!$E:$E)</f>
        <v>0</v>
      </c>
      <c r="H415" s="77">
        <f>SUMIF(记录巡查问题条数汇总!$B:$B,C414,记录巡查问题条数汇总!$E:$E)</f>
        <v>0</v>
      </c>
      <c r="I415" s="77"/>
      <c r="J415" s="77">
        <f>SUMIF(安全质量事故!$B:$B,C414,安全质量事故!$G:$G)</f>
        <v>0</v>
      </c>
      <c r="K415" s="72">
        <f>COUNTIF(L415:AP415,标准数据!$A$2)*标准数据!$B$2+COUNTIF(L415:AP415,标准数据!$A$3)*标准数据!$B$3+COUNTIF(L415:AP415,标准数据!$A$4)*标准数据!$B$4</f>
        <v>0</v>
      </c>
      <c r="L415" s="90"/>
      <c r="M415" s="90"/>
      <c r="N415" s="56"/>
      <c r="O415" s="90"/>
      <c r="P415" s="90"/>
      <c r="Q415" s="90"/>
      <c r="R415" s="90"/>
      <c r="S415" s="90"/>
      <c r="T415" s="90"/>
      <c r="U415" s="56"/>
      <c r="V415" s="90"/>
      <c r="W415" s="90"/>
      <c r="X415" s="90"/>
      <c r="Y415" s="90"/>
      <c r="Z415" s="90"/>
      <c r="AA415" s="90"/>
      <c r="AB415" s="56"/>
      <c r="AC415" s="90"/>
      <c r="AD415" s="90"/>
      <c r="AE415" s="90"/>
      <c r="AF415" s="90"/>
      <c r="AG415" s="90"/>
      <c r="AH415" s="56"/>
      <c r="AI415" s="90"/>
      <c r="AJ415" s="90"/>
      <c r="AK415" s="90"/>
      <c r="AL415" s="90"/>
      <c r="AM415" s="56"/>
      <c r="AN415" s="90"/>
      <c r="AO415" s="90"/>
      <c r="AP415" s="189"/>
      <c r="AQ415" s="55"/>
      <c r="AR415" s="193"/>
      <c r="AS415" s="41"/>
      <c r="AT415" s="41"/>
    </row>
    <row r="416" spans="1:46" ht="21" customHeight="1">
      <c r="A416" s="267" t="s">
        <v>2116</v>
      </c>
      <c r="B416" s="45" t="s">
        <v>14</v>
      </c>
      <c r="C416" s="46" t="s">
        <v>1523</v>
      </c>
      <c r="D416" s="47" t="s">
        <v>1524</v>
      </c>
      <c r="E416" s="48">
        <v>44389</v>
      </c>
      <c r="F416" s="49">
        <f t="shared" si="22"/>
        <v>0</v>
      </c>
      <c r="G416" s="77">
        <f>SUMIF(积分汇总!$B:$B,C415,积分汇总!$E:$E)</f>
        <v>0</v>
      </c>
      <c r="H416" s="77">
        <f>SUMIF(记录巡查问题条数汇总!$B:$B,C415,记录巡查问题条数汇总!$E:$E)</f>
        <v>0</v>
      </c>
      <c r="I416" s="77"/>
      <c r="J416" s="77">
        <f>SUMIF(安全质量事故!$B:$B,C415,安全质量事故!$G:$G)</f>
        <v>0</v>
      </c>
      <c r="K416" s="72">
        <f>COUNTIF(L416:AP416,标准数据!$A$2)*标准数据!$B$2+COUNTIF(L416:AP416,标准数据!$A$3)*标准数据!$B$3+COUNTIF(L416:AP416,标准数据!$A$4)*标准数据!$B$4</f>
        <v>0</v>
      </c>
      <c r="L416" s="56"/>
      <c r="M416" s="90"/>
      <c r="N416" s="56"/>
      <c r="O416" s="90"/>
      <c r="P416" s="90"/>
      <c r="Q416" s="90"/>
      <c r="R416" s="90"/>
      <c r="S416" s="90"/>
      <c r="T416" s="90"/>
      <c r="U416" s="56"/>
      <c r="V416" s="90"/>
      <c r="W416" s="90"/>
      <c r="X416" s="90"/>
      <c r="Y416" s="90"/>
      <c r="Z416" s="90"/>
      <c r="AA416" s="90"/>
      <c r="AB416" s="56"/>
      <c r="AC416" s="90"/>
      <c r="AD416" s="90"/>
      <c r="AE416" s="90"/>
      <c r="AF416" s="90"/>
      <c r="AG416" s="90"/>
      <c r="AH416" s="56"/>
      <c r="AI416" s="90"/>
      <c r="AJ416" s="90"/>
      <c r="AK416" s="90"/>
      <c r="AL416" s="90"/>
      <c r="AM416" s="56"/>
      <c r="AN416" s="90"/>
      <c r="AO416" s="90"/>
      <c r="AP416" s="189"/>
      <c r="AQ416" s="55"/>
      <c r="AR416" s="193"/>
      <c r="AS416" s="41"/>
      <c r="AT416" s="41"/>
    </row>
    <row r="417" spans="1:46" ht="21" customHeight="1">
      <c r="A417" s="267" t="s">
        <v>2116</v>
      </c>
      <c r="B417" s="45" t="s">
        <v>14</v>
      </c>
      <c r="C417" s="46" t="s">
        <v>1525</v>
      </c>
      <c r="D417" s="47" t="s">
        <v>1526</v>
      </c>
      <c r="E417" s="48">
        <v>45994</v>
      </c>
      <c r="F417" s="49">
        <f t="shared" si="22"/>
        <v>0</v>
      </c>
      <c r="G417" s="77">
        <f>SUMIF(积分汇总!$B:$B,C416,积分汇总!$E:$E)</f>
        <v>0</v>
      </c>
      <c r="H417" s="77">
        <f>SUMIF(记录巡查问题条数汇总!$B:$B,C416,记录巡查问题条数汇总!$E:$E)</f>
        <v>0</v>
      </c>
      <c r="I417" s="77"/>
      <c r="J417" s="77">
        <f>SUMIF(安全质量事故!$B:$B,C416,安全质量事故!$G:$G)</f>
        <v>0</v>
      </c>
      <c r="K417" s="72">
        <f>COUNTIF(L417:AP417,标准数据!$A$2)*标准数据!$B$2+COUNTIF(L417:AP417,标准数据!$A$3)*标准数据!$B$3+COUNTIF(L417:AP417,标准数据!$A$4)*标准数据!$B$4</f>
        <v>0</v>
      </c>
      <c r="L417" s="56"/>
      <c r="M417" s="90"/>
      <c r="N417" s="56"/>
      <c r="O417" s="90"/>
      <c r="P417" s="90"/>
      <c r="Q417" s="90"/>
      <c r="R417" s="90"/>
      <c r="S417" s="90"/>
      <c r="T417" s="90"/>
      <c r="U417" s="56"/>
      <c r="V417" s="90"/>
      <c r="W417" s="90"/>
      <c r="X417" s="90"/>
      <c r="Y417" s="90"/>
      <c r="Z417" s="90"/>
      <c r="AA417" s="90"/>
      <c r="AB417" s="56"/>
      <c r="AC417" s="90"/>
      <c r="AD417" s="90"/>
      <c r="AE417" s="90"/>
      <c r="AF417" s="90"/>
      <c r="AG417" s="90"/>
      <c r="AH417" s="56"/>
      <c r="AI417" s="90"/>
      <c r="AJ417" s="90"/>
      <c r="AK417" s="90"/>
      <c r="AL417" s="90"/>
      <c r="AM417" s="56"/>
      <c r="AN417" s="90"/>
      <c r="AO417" s="90"/>
      <c r="AP417" s="189"/>
      <c r="AQ417" s="55"/>
      <c r="AR417" s="193"/>
      <c r="AS417" s="41"/>
      <c r="AT417" s="41"/>
    </row>
    <row r="418" spans="1:46" ht="21" customHeight="1">
      <c r="A418" s="267" t="s">
        <v>2116</v>
      </c>
      <c r="B418" s="45" t="s">
        <v>14</v>
      </c>
      <c r="C418" s="46" t="s">
        <v>1527</v>
      </c>
      <c r="D418" s="47" t="s">
        <v>1528</v>
      </c>
      <c r="E418" s="48">
        <v>45945</v>
      </c>
      <c r="F418" s="49">
        <f t="shared" si="22"/>
        <v>0</v>
      </c>
      <c r="G418" s="77">
        <f>SUMIF(积分汇总!$B:$B,C417,积分汇总!$E:$E)</f>
        <v>0</v>
      </c>
      <c r="H418" s="77">
        <f>SUMIF(记录巡查问题条数汇总!$B:$B,C417,记录巡查问题条数汇总!$E:$E)</f>
        <v>0</v>
      </c>
      <c r="I418" s="77"/>
      <c r="J418" s="77">
        <f>SUMIF(安全质量事故!$B:$B,C417,安全质量事故!$G:$G)</f>
        <v>0</v>
      </c>
      <c r="K418" s="72">
        <f>COUNTIF(L418:AP418,标准数据!$A$2)*标准数据!$B$2+COUNTIF(L418:AP418,标准数据!$A$3)*标准数据!$B$3+COUNTIF(L418:AP418,标准数据!$A$4)*标准数据!$B$4</f>
        <v>0</v>
      </c>
      <c r="L418" s="56"/>
      <c r="M418" s="90"/>
      <c r="N418" s="56"/>
      <c r="O418" s="90"/>
      <c r="P418" s="90"/>
      <c r="Q418" s="90"/>
      <c r="R418" s="90"/>
      <c r="S418" s="90"/>
      <c r="T418" s="90"/>
      <c r="U418" s="56"/>
      <c r="V418" s="90"/>
      <c r="W418" s="90"/>
      <c r="X418" s="90"/>
      <c r="Y418" s="90"/>
      <c r="Z418" s="90"/>
      <c r="AA418" s="90"/>
      <c r="AB418" s="56"/>
      <c r="AC418" s="90"/>
      <c r="AD418" s="90"/>
      <c r="AE418" s="90"/>
      <c r="AF418" s="90"/>
      <c r="AG418" s="90"/>
      <c r="AH418" s="56"/>
      <c r="AI418" s="90"/>
      <c r="AJ418" s="90"/>
      <c r="AK418" s="90"/>
      <c r="AL418" s="90"/>
      <c r="AM418" s="56"/>
      <c r="AN418" s="90"/>
      <c r="AO418" s="90"/>
      <c r="AP418" s="189"/>
      <c r="AQ418" s="55"/>
      <c r="AR418" s="193"/>
      <c r="AS418" s="41"/>
      <c r="AT418" s="41"/>
    </row>
    <row r="419" spans="1:46" ht="21" customHeight="1">
      <c r="A419" s="267" t="s">
        <v>2116</v>
      </c>
      <c r="B419" s="45" t="s">
        <v>14</v>
      </c>
      <c r="C419" s="46" t="s">
        <v>1529</v>
      </c>
      <c r="D419" s="47" t="s">
        <v>1530</v>
      </c>
      <c r="E419" s="48">
        <v>46176</v>
      </c>
      <c r="F419" s="49">
        <f t="shared" si="22"/>
        <v>0</v>
      </c>
      <c r="G419" s="77">
        <f>SUMIF(积分汇总!$B:$B,#REF!,积分汇总!$E:$E)</f>
        <v>0</v>
      </c>
      <c r="H419" s="77">
        <f>SUMIF(记录巡查问题条数汇总!$B:$B,#REF!,记录巡查问题条数汇总!$E:$E)</f>
        <v>0</v>
      </c>
      <c r="I419" s="77"/>
      <c r="J419" s="77">
        <f>SUMIF(安全质量事故!$B:$B,#REF!,安全质量事故!$G:$G)</f>
        <v>0</v>
      </c>
      <c r="K419" s="72">
        <f>COUNTIF(L419:AP419,标准数据!$A$2)*标准数据!$B$2+COUNTIF(L419:AP419,标准数据!$A$3)*标准数据!$B$3+COUNTIF(L419:AP419,标准数据!$A$4)*标准数据!$B$4</f>
        <v>0</v>
      </c>
      <c r="L419" s="90"/>
      <c r="M419" s="90"/>
      <c r="N419" s="56"/>
      <c r="O419" s="90"/>
      <c r="P419" s="90"/>
      <c r="Q419" s="90"/>
      <c r="R419" s="90"/>
      <c r="S419" s="90"/>
      <c r="T419" s="90"/>
      <c r="U419" s="56"/>
      <c r="V419" s="90"/>
      <c r="W419" s="90"/>
      <c r="X419" s="90"/>
      <c r="Y419" s="90"/>
      <c r="Z419" s="90"/>
      <c r="AA419" s="90"/>
      <c r="AB419" s="56"/>
      <c r="AC419" s="90"/>
      <c r="AD419" s="90"/>
      <c r="AE419" s="90"/>
      <c r="AF419" s="90"/>
      <c r="AG419" s="90"/>
      <c r="AH419" s="56"/>
      <c r="AI419" s="90"/>
      <c r="AJ419" s="90"/>
      <c r="AK419" s="90"/>
      <c r="AL419" s="90"/>
      <c r="AM419" s="56"/>
      <c r="AN419" s="90"/>
      <c r="AO419" s="90"/>
      <c r="AP419" s="189"/>
      <c r="AQ419" s="55"/>
      <c r="AR419" s="193"/>
      <c r="AS419" s="41"/>
      <c r="AT419" s="41"/>
    </row>
    <row r="420" spans="1:46" ht="21" customHeight="1">
      <c r="A420" s="267" t="s">
        <v>2116</v>
      </c>
      <c r="B420" s="45" t="s">
        <v>14</v>
      </c>
      <c r="C420" s="46" t="s">
        <v>1531</v>
      </c>
      <c r="D420" s="47" t="s">
        <v>1532</v>
      </c>
      <c r="E420" s="48">
        <v>45945</v>
      </c>
      <c r="F420" s="49">
        <f t="shared" si="22"/>
        <v>0</v>
      </c>
      <c r="G420" s="77">
        <f>SUMIF(积分汇总!$B:$B,C419,积分汇总!$E:$E)</f>
        <v>0</v>
      </c>
      <c r="H420" s="77">
        <f>SUMIF(记录巡查问题条数汇总!$B:$B,C419,记录巡查问题条数汇总!$E:$E)</f>
        <v>0</v>
      </c>
      <c r="I420" s="77"/>
      <c r="J420" s="77">
        <f>SUMIF(安全质量事故!$B:$B,C419,安全质量事故!$G:$G)</f>
        <v>0</v>
      </c>
      <c r="K420" s="72">
        <f>COUNTIF(L420:AP420,标准数据!$A$2)*标准数据!$B$2+COUNTIF(L420:AP420,标准数据!$A$3)*标准数据!$B$3+COUNTIF(L420:AP420,标准数据!$A$4)*标准数据!$B$4</f>
        <v>0</v>
      </c>
      <c r="L420" s="56"/>
      <c r="M420" s="90"/>
      <c r="N420" s="56"/>
      <c r="O420" s="90"/>
      <c r="P420" s="90"/>
      <c r="Q420" s="90"/>
      <c r="R420" s="90"/>
      <c r="S420" s="90"/>
      <c r="T420" s="90"/>
      <c r="U420" s="56"/>
      <c r="V420" s="90"/>
      <c r="W420" s="90"/>
      <c r="X420" s="90"/>
      <c r="Y420" s="90"/>
      <c r="Z420" s="90"/>
      <c r="AA420" s="90"/>
      <c r="AB420" s="56"/>
      <c r="AC420" s="90"/>
      <c r="AD420" s="90"/>
      <c r="AE420" s="90"/>
      <c r="AF420" s="90"/>
      <c r="AG420" s="90"/>
      <c r="AH420" s="56"/>
      <c r="AI420" s="90"/>
      <c r="AJ420" s="90"/>
      <c r="AK420" s="90"/>
      <c r="AL420" s="90"/>
      <c r="AM420" s="56"/>
      <c r="AN420" s="90"/>
      <c r="AO420" s="90"/>
      <c r="AP420" s="189"/>
      <c r="AQ420" s="55"/>
      <c r="AR420" s="193"/>
      <c r="AS420" s="41"/>
      <c r="AT420" s="41"/>
    </row>
    <row r="421" spans="1:46" ht="21" customHeight="1">
      <c r="A421" s="267" t="s">
        <v>2116</v>
      </c>
      <c r="B421" s="45" t="s">
        <v>14</v>
      </c>
      <c r="C421" s="46" t="s">
        <v>1533</v>
      </c>
      <c r="D421" s="47" t="s">
        <v>1534</v>
      </c>
      <c r="E421" s="48">
        <v>46160</v>
      </c>
      <c r="F421" s="49">
        <f t="shared" si="22"/>
        <v>0</v>
      </c>
      <c r="G421" s="77">
        <f>SUMIF(积分汇总!$B:$B,C420,积分汇总!$E:$E)</f>
        <v>0</v>
      </c>
      <c r="H421" s="77">
        <f>SUMIF(记录巡查问题条数汇总!$B:$B,C420,记录巡查问题条数汇总!$E:$E)</f>
        <v>0</v>
      </c>
      <c r="I421" s="77"/>
      <c r="J421" s="77">
        <f>SUMIF(安全质量事故!$B:$B,C420,安全质量事故!$G:$G)</f>
        <v>0</v>
      </c>
      <c r="K421" s="72">
        <f>COUNTIF(L421:AP421,标准数据!$A$2)*标准数据!$B$2+COUNTIF(L421:AP421,标准数据!$A$3)*标准数据!$B$3+COUNTIF(L421:AP421,标准数据!$A$4)*标准数据!$B$4</f>
        <v>0</v>
      </c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47"/>
      <c r="AL421" s="90"/>
      <c r="AM421" s="56"/>
      <c r="AN421" s="47"/>
      <c r="AO421" s="90"/>
      <c r="AP421" s="189"/>
      <c r="AQ421" s="55"/>
      <c r="AR421" s="193"/>
    </row>
    <row r="422" spans="1:46" ht="21" customHeight="1">
      <c r="A422" s="267" t="s">
        <v>2116</v>
      </c>
      <c r="B422" s="45" t="s">
        <v>14</v>
      </c>
      <c r="C422" s="46" t="s">
        <v>1535</v>
      </c>
      <c r="D422" s="47" t="s">
        <v>1536</v>
      </c>
      <c r="E422" s="48">
        <v>45959</v>
      </c>
      <c r="F422" s="49">
        <f t="shared" si="22"/>
        <v>0</v>
      </c>
      <c r="G422" s="77">
        <f>SUMIF(积分汇总!$B:$B,C421,积分汇总!$E:$E)</f>
        <v>0</v>
      </c>
      <c r="H422" s="77">
        <f>SUMIF(记录巡查问题条数汇总!$B:$B,C421,记录巡查问题条数汇总!$E:$E)</f>
        <v>0</v>
      </c>
      <c r="I422" s="77"/>
      <c r="J422" s="77">
        <f>SUMIF(安全质量事故!$B:$B,C421,安全质量事故!$G:$G)</f>
        <v>0</v>
      </c>
      <c r="K422" s="72">
        <f>COUNTIF(L422:AP422,标准数据!$A$2)*标准数据!$B$2+COUNTIF(L422:AP422,标准数据!$A$3)*标准数据!$B$3+COUNTIF(L422:AP422,标准数据!$A$4)*标准数据!$B$4</f>
        <v>0</v>
      </c>
      <c r="L422" s="56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56"/>
      <c r="AB422" s="56"/>
      <c r="AC422" s="56"/>
      <c r="AD422" s="56"/>
      <c r="AE422" s="56"/>
      <c r="AF422" s="56"/>
      <c r="AG422" s="56"/>
      <c r="AH422" s="56"/>
      <c r="AI422" s="47"/>
      <c r="AJ422" s="90"/>
      <c r="AK422" s="56"/>
      <c r="AL422" s="56"/>
      <c r="AM422" s="56"/>
      <c r="AN422" s="56"/>
      <c r="AO422" s="56"/>
      <c r="AP422" s="189"/>
      <c r="AQ422" s="55"/>
      <c r="AR422" s="193"/>
    </row>
    <row r="423" spans="1:46" ht="21" customHeight="1">
      <c r="A423" s="267" t="s">
        <v>2116</v>
      </c>
      <c r="B423" s="45" t="s">
        <v>14</v>
      </c>
      <c r="C423" s="46" t="s">
        <v>1816</v>
      </c>
      <c r="D423" s="47" t="s">
        <v>1817</v>
      </c>
      <c r="E423" s="48">
        <v>46197</v>
      </c>
      <c r="F423" s="49">
        <f t="shared" si="22"/>
        <v>0</v>
      </c>
      <c r="G423" s="77">
        <f>SUMIF(积分汇总!$B:$B,C422,积分汇总!$E:$E)</f>
        <v>0</v>
      </c>
      <c r="H423" s="77">
        <f>SUMIF(记录巡查问题条数汇总!$B:$B,C422,记录巡查问题条数汇总!$E:$E)</f>
        <v>0</v>
      </c>
      <c r="I423" s="77"/>
      <c r="J423" s="77">
        <f>SUMIF(安全质量事故!$B:$B,C422,安全质量事故!$G:$G)</f>
        <v>0</v>
      </c>
      <c r="K423" s="72">
        <f>COUNTIF(L423:AP423,标准数据!$A$2)*标准数据!$B$2+COUNTIF(L423:AP423,标准数据!$A$3)*标准数据!$B$3+COUNTIF(L423:AP423,标准数据!$A$4)*标准数据!$B$4</f>
        <v>0</v>
      </c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47"/>
      <c r="AC423" s="56"/>
      <c r="AD423" s="56"/>
      <c r="AE423" s="47"/>
      <c r="AF423" s="47"/>
      <c r="AG423" s="47"/>
      <c r="AH423" s="47"/>
      <c r="AI423" s="47"/>
      <c r="AJ423" s="47"/>
      <c r="AK423" s="90"/>
      <c r="AL423" s="90"/>
      <c r="AM423" s="47"/>
      <c r="AN423" s="90"/>
      <c r="AO423" s="90"/>
      <c r="AP423" s="191"/>
      <c r="AQ423" s="47"/>
      <c r="AS423" s="41"/>
      <c r="AT423" s="41"/>
    </row>
    <row r="424" spans="1:46" ht="21" customHeight="1">
      <c r="A424" s="267" t="s">
        <v>2116</v>
      </c>
      <c r="B424" s="45" t="s">
        <v>14</v>
      </c>
      <c r="C424" s="46" t="s">
        <v>1818</v>
      </c>
      <c r="D424" s="47" t="s">
        <v>1819</v>
      </c>
      <c r="E424" s="48">
        <v>46204</v>
      </c>
      <c r="F424" s="49">
        <f t="shared" si="22"/>
        <v>0</v>
      </c>
      <c r="G424" s="77">
        <f>SUMIF(积分汇总!$B:$B,C423,积分汇总!$E:$E)</f>
        <v>0</v>
      </c>
      <c r="H424" s="77">
        <f>SUMIF(记录巡查问题条数汇总!$B:$B,C423,记录巡查问题条数汇总!$E:$E)</f>
        <v>0</v>
      </c>
      <c r="I424" s="77"/>
      <c r="J424" s="77">
        <f>SUMIF(安全质量事故!$B:$B,C423,安全质量事故!$G:$G)</f>
        <v>0</v>
      </c>
      <c r="K424" s="72">
        <f>COUNTIF(L424:AP424,标准数据!$A$2)*标准数据!$B$2+COUNTIF(L424:AP424,标准数据!$A$3)*标准数据!$B$3+COUNTIF(L424:AP424,标准数据!$A$4)*标准数据!$B$4</f>
        <v>0</v>
      </c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189"/>
      <c r="AQ424" s="55"/>
      <c r="AS424" s="41"/>
      <c r="AT424" s="41"/>
    </row>
    <row r="425" spans="1:46" ht="21" customHeight="1">
      <c r="A425" s="267" t="s">
        <v>2116</v>
      </c>
      <c r="B425" s="45" t="s">
        <v>14</v>
      </c>
      <c r="C425" s="46" t="s">
        <v>1820</v>
      </c>
      <c r="D425" s="47" t="s">
        <v>1821</v>
      </c>
      <c r="E425" s="48">
        <v>46204</v>
      </c>
      <c r="F425" s="49">
        <f t="shared" si="22"/>
        <v>0</v>
      </c>
      <c r="G425" s="77">
        <f>SUMIF(积分汇总!$B:$B,C424,积分汇总!$E:$E)</f>
        <v>0</v>
      </c>
      <c r="H425" s="77">
        <f>SUMIF(记录巡查问题条数汇总!$B:$B,C424,记录巡查问题条数汇总!$E:$E)</f>
        <v>0</v>
      </c>
      <c r="I425" s="77"/>
      <c r="J425" s="77">
        <f>SUMIF(安全质量事故!$B:$B,C424,安全质量事故!$G:$G)</f>
        <v>0</v>
      </c>
      <c r="K425" s="72">
        <f>COUNTIF(L425:AP425,标准数据!$A$2)*标准数据!$B$2+COUNTIF(L425:AP425,标准数据!$A$3)*标准数据!$B$3+COUNTIF(L425:AP425,标准数据!$A$4)*标准数据!$B$4</f>
        <v>0</v>
      </c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189"/>
      <c r="AQ425" s="55"/>
    </row>
    <row r="426" spans="1:46" ht="21" customHeight="1">
      <c r="A426" s="267" t="s">
        <v>2116</v>
      </c>
      <c r="B426" s="45" t="s">
        <v>14</v>
      </c>
      <c r="C426" s="46" t="s">
        <v>1822</v>
      </c>
      <c r="D426" s="47" t="s">
        <v>1823</v>
      </c>
      <c r="E426" s="48">
        <v>46197</v>
      </c>
      <c r="F426" s="49">
        <f t="shared" si="22"/>
        <v>0</v>
      </c>
      <c r="G426" s="77">
        <f>SUMIF(积分汇总!$B:$B,C425,积分汇总!$E:$E)</f>
        <v>0</v>
      </c>
      <c r="H426" s="77">
        <f>SUMIF(记录巡查问题条数汇总!$B:$B,C425,记录巡查问题条数汇总!$E:$E)</f>
        <v>0</v>
      </c>
      <c r="I426" s="77"/>
      <c r="J426" s="77">
        <f>SUMIF(安全质量事故!$B:$B,C425,安全质量事故!$G:$G)</f>
        <v>0</v>
      </c>
      <c r="K426" s="72">
        <f>COUNTIF(L426:AP426,标准数据!$A$2)*标准数据!$B$2+COUNTIF(L426:AP426,标准数据!$A$3)*标准数据!$B$3+COUNTIF(L426:AP426,标准数据!$A$4)*标准数据!$B$4</f>
        <v>0</v>
      </c>
      <c r="L426" s="103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189"/>
      <c r="AQ426" s="55"/>
    </row>
    <row r="427" spans="1:46" ht="21" customHeight="1">
      <c r="A427" s="267" t="s">
        <v>2116</v>
      </c>
      <c r="B427" s="45" t="s">
        <v>14</v>
      </c>
      <c r="C427" s="46" t="s">
        <v>1824</v>
      </c>
      <c r="D427" s="47" t="s">
        <v>1825</v>
      </c>
      <c r="E427" s="48">
        <v>46204</v>
      </c>
      <c r="F427" s="49">
        <f t="shared" si="22"/>
        <v>0</v>
      </c>
      <c r="G427" s="77">
        <f>SUMIF(积分汇总!$B:$B,C426,积分汇总!$E:$E)</f>
        <v>0</v>
      </c>
      <c r="H427" s="77">
        <f>SUMIF(记录巡查问题条数汇总!$B:$B,C426,记录巡查问题条数汇总!$E:$E)</f>
        <v>0</v>
      </c>
      <c r="I427" s="77"/>
      <c r="J427" s="77">
        <f>SUMIF(安全质量事故!$B:$B,C426,安全质量事故!$G:$G)</f>
        <v>0</v>
      </c>
      <c r="K427" s="72">
        <f>COUNTIF(L427:AP427,标准数据!$A$2)*标准数据!$B$2+COUNTIF(L427:AP427,标准数据!$A$3)*标准数据!$B$3+COUNTIF(L427:AP427,标准数据!$A$4)*标准数据!$B$4</f>
        <v>0</v>
      </c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189"/>
      <c r="AQ427" s="55"/>
      <c r="AS427" s="41"/>
      <c r="AT427" s="41"/>
    </row>
    <row r="428" spans="1:46" ht="21" customHeight="1">
      <c r="A428" s="267" t="s">
        <v>2116</v>
      </c>
      <c r="B428" s="45" t="s">
        <v>14</v>
      </c>
      <c r="C428" s="46" t="s">
        <v>1826</v>
      </c>
      <c r="D428" s="47" t="s">
        <v>1827</v>
      </c>
      <c r="E428" s="48">
        <v>46204</v>
      </c>
      <c r="F428" s="49">
        <f t="shared" si="22"/>
        <v>0</v>
      </c>
      <c r="G428" s="77">
        <f>SUMIF(积分汇总!$B:$B,C427,积分汇总!$E:$E)</f>
        <v>0</v>
      </c>
      <c r="H428" s="77">
        <f>SUMIF(记录巡查问题条数汇总!$B:$B,C427,记录巡查问题条数汇总!$E:$E)</f>
        <v>0</v>
      </c>
      <c r="I428" s="77"/>
      <c r="J428" s="77">
        <f>SUMIF(安全质量事故!$B:$B,C427,安全质量事故!$G:$G)</f>
        <v>0</v>
      </c>
      <c r="K428" s="72">
        <f>COUNTIF(L428:AP428,标准数据!$A$2)*标准数据!$B$2+COUNTIF(L428:AP428,标准数据!$A$3)*标准数据!$B$3+COUNTIF(L428:AP428,标准数据!$A$4)*标准数据!$B$4</f>
        <v>0</v>
      </c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90"/>
      <c r="AA428" s="56"/>
      <c r="AB428" s="56"/>
      <c r="AC428" s="56"/>
      <c r="AD428" s="56"/>
      <c r="AE428" s="56"/>
      <c r="AF428" s="56"/>
      <c r="AG428" s="56"/>
      <c r="AH428" s="56"/>
      <c r="AI428" s="47"/>
      <c r="AJ428" s="90"/>
      <c r="AK428" s="56"/>
      <c r="AL428" s="56"/>
      <c r="AM428" s="56"/>
      <c r="AN428" s="56"/>
      <c r="AO428" s="56"/>
      <c r="AP428" s="189"/>
      <c r="AQ428" s="55"/>
    </row>
    <row r="429" spans="1:46" ht="21" customHeight="1">
      <c r="A429" s="267" t="s">
        <v>2116</v>
      </c>
      <c r="B429" s="45" t="s">
        <v>14</v>
      </c>
      <c r="C429" s="46" t="s">
        <v>1828</v>
      </c>
      <c r="D429" s="52" t="s">
        <v>1829</v>
      </c>
      <c r="E429" s="46">
        <v>46204</v>
      </c>
      <c r="F429" s="49">
        <f t="shared" si="22"/>
        <v>0</v>
      </c>
      <c r="G429" s="77">
        <f>SUMIF(积分汇总!$B:$B,C428,积分汇总!$E:$E)</f>
        <v>0</v>
      </c>
      <c r="H429" s="77">
        <f>SUMIF(记录巡查问题条数汇总!$B:$B,C428,记录巡查问题条数汇总!$E:$E)</f>
        <v>0</v>
      </c>
      <c r="I429" s="77"/>
      <c r="J429" s="77">
        <f>SUMIF(安全质量事故!$B:$B,C428,安全质量事故!$G:$G)</f>
        <v>0</v>
      </c>
      <c r="K429" s="72">
        <f>COUNTIF(L429:AP429,标准数据!$A$2)*标准数据!$B$2+COUNTIF(L429:AP429,标准数据!$A$3)*标准数据!$B$3+COUNTIF(L429:AP429,标准数据!$A$4)*标准数据!$B$4</f>
        <v>0</v>
      </c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189"/>
      <c r="AQ429" s="55"/>
      <c r="AS429" s="41"/>
      <c r="AT429" s="41"/>
    </row>
    <row r="430" spans="1:46" ht="21" customHeight="1">
      <c r="A430" s="267" t="s">
        <v>2116</v>
      </c>
      <c r="B430" s="45" t="s">
        <v>14</v>
      </c>
      <c r="C430" s="46" t="s">
        <v>1830</v>
      </c>
      <c r="D430" s="47" t="s">
        <v>1831</v>
      </c>
      <c r="E430" s="48">
        <v>46204</v>
      </c>
      <c r="F430" s="49">
        <f t="shared" si="22"/>
        <v>0</v>
      </c>
      <c r="G430" s="77">
        <f>SUMIF(积分汇总!$B:$B,C429,积分汇总!$E:$E)</f>
        <v>0</v>
      </c>
      <c r="H430" s="77">
        <f>SUMIF(记录巡查问题条数汇总!$B:$B,C429,记录巡查问题条数汇总!$E:$E)</f>
        <v>0</v>
      </c>
      <c r="I430" s="77"/>
      <c r="J430" s="77">
        <f>SUMIF(安全质量事故!$B:$B,C429,安全质量事故!$G:$G)</f>
        <v>0</v>
      </c>
      <c r="K430" s="72">
        <f>COUNTIF(L430:AP430,标准数据!$A$2)*标准数据!$B$2+COUNTIF(L430:AP430,标准数据!$A$3)*标准数据!$B$3+COUNTIF(L430:AP430,标准数据!$A$4)*标准数据!$B$4</f>
        <v>0</v>
      </c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90"/>
      <c r="AK430" s="90"/>
      <c r="AL430" s="90"/>
      <c r="AM430" s="90"/>
      <c r="AN430" s="90"/>
      <c r="AO430" s="90"/>
      <c r="AP430" s="192"/>
      <c r="AQ430" s="90"/>
      <c r="AS430" s="41"/>
      <c r="AT430" s="41"/>
    </row>
    <row r="431" spans="1:46" ht="21" customHeight="1">
      <c r="A431" s="267" t="s">
        <v>2116</v>
      </c>
      <c r="B431" s="45" t="s">
        <v>14</v>
      </c>
      <c r="C431" s="46" t="s">
        <v>1832</v>
      </c>
      <c r="D431" s="47" t="s">
        <v>1833</v>
      </c>
      <c r="E431" s="48">
        <v>46204</v>
      </c>
      <c r="F431" s="49">
        <f t="shared" si="22"/>
        <v>0</v>
      </c>
      <c r="G431" s="77">
        <f>SUMIF(积分汇总!$B:$B,C430,积分汇总!$E:$E)</f>
        <v>0</v>
      </c>
      <c r="H431" s="77">
        <f>SUMIF(记录巡查问题条数汇总!$B:$B,C430,记录巡查问题条数汇总!$E:$E)</f>
        <v>0</v>
      </c>
      <c r="I431" s="77"/>
      <c r="J431" s="77">
        <f>SUMIF(安全质量事故!$B:$B,C430,安全质量事故!$G:$G)</f>
        <v>0</v>
      </c>
      <c r="K431" s="72">
        <f>COUNTIF(L431:AP431,标准数据!$A$2)*标准数据!$B$2+COUNTIF(L431:AP431,标准数据!$A$3)*标准数据!$B$3+COUNTIF(L431:AP431,标准数据!$A$4)*标准数据!$B$4</f>
        <v>0</v>
      </c>
      <c r="L431" s="90"/>
      <c r="M431" s="90"/>
      <c r="N431" s="56"/>
      <c r="O431" s="90"/>
      <c r="P431" s="90"/>
      <c r="Q431" s="90"/>
      <c r="R431" s="90"/>
      <c r="S431" s="90"/>
      <c r="T431" s="90"/>
      <c r="U431" s="56"/>
      <c r="V431" s="90"/>
      <c r="W431" s="90"/>
      <c r="X431" s="90"/>
      <c r="Y431" s="90"/>
      <c r="Z431" s="90"/>
      <c r="AA431" s="90"/>
      <c r="AB431" s="56"/>
      <c r="AC431" s="90"/>
      <c r="AD431" s="90"/>
      <c r="AE431" s="90"/>
      <c r="AF431" s="90"/>
      <c r="AG431" s="90"/>
      <c r="AH431" s="56"/>
      <c r="AI431" s="90"/>
      <c r="AJ431" s="90"/>
      <c r="AK431" s="90"/>
      <c r="AL431" s="90"/>
      <c r="AM431" s="56"/>
      <c r="AN431" s="90"/>
      <c r="AO431" s="90"/>
      <c r="AP431" s="189"/>
      <c r="AQ431" s="55"/>
      <c r="AS431" s="41"/>
      <c r="AT431" s="41"/>
    </row>
    <row r="432" spans="1:46" ht="21" customHeight="1">
      <c r="A432" s="267" t="s">
        <v>2116</v>
      </c>
      <c r="B432" s="45" t="s">
        <v>14</v>
      </c>
      <c r="C432" s="46" t="s">
        <v>1834</v>
      </c>
      <c r="D432" s="47" t="s">
        <v>1835</v>
      </c>
      <c r="E432" s="48">
        <v>46204</v>
      </c>
      <c r="F432" s="49">
        <f t="shared" si="22"/>
        <v>0</v>
      </c>
      <c r="G432" s="77">
        <f>SUMIF(积分汇总!$B:$B,C431,积分汇总!$E:$E)</f>
        <v>0</v>
      </c>
      <c r="H432" s="77">
        <f>SUMIF(记录巡查问题条数汇总!$B:$B,C431,记录巡查问题条数汇总!$E:$E)</f>
        <v>0</v>
      </c>
      <c r="I432" s="77"/>
      <c r="J432" s="77">
        <f>SUMIF(安全质量事故!$B:$B,C431,安全质量事故!$G:$G)</f>
        <v>0</v>
      </c>
      <c r="K432" s="72">
        <f>COUNTIF(L432:AP432,标准数据!$A$2)*标准数据!$B$2+COUNTIF(L432:AP432,标准数据!$A$3)*标准数据!$B$3+COUNTIF(L432:AP432,标准数据!$A$4)*标准数据!$B$4</f>
        <v>0</v>
      </c>
      <c r="L432" s="90"/>
      <c r="M432" s="90"/>
      <c r="N432" s="56"/>
      <c r="O432" s="90"/>
      <c r="P432" s="90"/>
      <c r="Q432" s="90"/>
      <c r="R432" s="90"/>
      <c r="S432" s="90"/>
      <c r="T432" s="90"/>
      <c r="U432" s="56"/>
      <c r="V432" s="90"/>
      <c r="W432" s="90"/>
      <c r="X432" s="90"/>
      <c r="Y432" s="90"/>
      <c r="Z432" s="90"/>
      <c r="AA432" s="90"/>
      <c r="AB432" s="56"/>
      <c r="AC432" s="90"/>
      <c r="AD432" s="90"/>
      <c r="AE432" s="90"/>
      <c r="AF432" s="90"/>
      <c r="AG432" s="90"/>
      <c r="AH432" s="56"/>
      <c r="AI432" s="90"/>
      <c r="AJ432" s="90"/>
      <c r="AK432" s="90"/>
      <c r="AL432" s="90"/>
      <c r="AM432" s="56"/>
      <c r="AN432" s="90"/>
      <c r="AO432" s="90"/>
      <c r="AP432" s="189"/>
      <c r="AQ432" s="55"/>
      <c r="AS432" s="41"/>
      <c r="AT432" s="41"/>
    </row>
    <row r="433" spans="1:46" ht="21" customHeight="1">
      <c r="A433" s="267" t="s">
        <v>2116</v>
      </c>
      <c r="B433" s="45" t="s">
        <v>14</v>
      </c>
      <c r="C433" s="46" t="s">
        <v>1836</v>
      </c>
      <c r="D433" s="47" t="s">
        <v>1837</v>
      </c>
      <c r="E433" s="48">
        <v>46204</v>
      </c>
      <c r="F433" s="49">
        <f t="shared" si="22"/>
        <v>0</v>
      </c>
      <c r="G433" s="77">
        <f>SUMIF(积分汇总!$B:$B,C432,积分汇总!$E:$E)</f>
        <v>0</v>
      </c>
      <c r="H433" s="77">
        <f>SUMIF(记录巡查问题条数汇总!$B:$B,C432,记录巡查问题条数汇总!$E:$E)</f>
        <v>0</v>
      </c>
      <c r="I433" s="77"/>
      <c r="J433" s="77">
        <f>SUMIF(安全质量事故!$B:$B,C432,安全质量事故!$G:$G)</f>
        <v>0</v>
      </c>
      <c r="K433" s="72">
        <f>COUNTIF(L433:AP433,标准数据!$A$2)*标准数据!$B$2+COUNTIF(L433:AP433,标准数据!$A$3)*标准数据!$B$3+COUNTIF(L433:AP433,标准数据!$A$4)*标准数据!$B$4</f>
        <v>0</v>
      </c>
      <c r="L433" s="90"/>
      <c r="M433" s="90"/>
      <c r="N433" s="56"/>
      <c r="O433" s="90"/>
      <c r="P433" s="90"/>
      <c r="Q433" s="90"/>
      <c r="R433" s="90"/>
      <c r="S433" s="90"/>
      <c r="T433" s="90"/>
      <c r="U433" s="56"/>
      <c r="V433" s="90"/>
      <c r="W433" s="90"/>
      <c r="X433" s="90"/>
      <c r="Y433" s="90"/>
      <c r="Z433" s="90"/>
      <c r="AA433" s="90"/>
      <c r="AB433" s="56"/>
      <c r="AC433" s="90"/>
      <c r="AD433" s="90"/>
      <c r="AE433" s="90"/>
      <c r="AF433" s="90"/>
      <c r="AG433" s="90"/>
      <c r="AH433" s="56"/>
      <c r="AI433" s="90"/>
      <c r="AJ433" s="90"/>
      <c r="AK433" s="90"/>
      <c r="AL433" s="90"/>
      <c r="AM433" s="56"/>
      <c r="AN433" s="90"/>
      <c r="AO433" s="90"/>
      <c r="AP433" s="189"/>
      <c r="AQ433" s="55"/>
      <c r="AS433" s="41"/>
      <c r="AT433" s="41"/>
    </row>
    <row r="434" spans="1:46" ht="21" customHeight="1">
      <c r="A434" s="267" t="s">
        <v>2116</v>
      </c>
      <c r="B434" s="45" t="s">
        <v>14</v>
      </c>
      <c r="C434" s="46" t="s">
        <v>1838</v>
      </c>
      <c r="D434" s="47" t="s">
        <v>1839</v>
      </c>
      <c r="E434" s="48">
        <v>46208</v>
      </c>
      <c r="F434" s="49">
        <f t="shared" si="22"/>
        <v>0</v>
      </c>
      <c r="G434" s="77">
        <f>SUMIF(积分汇总!$B:$B,C433,积分汇总!$E:$E)</f>
        <v>0</v>
      </c>
      <c r="H434" s="77">
        <f>SUMIF(记录巡查问题条数汇总!$B:$B,C433,记录巡查问题条数汇总!$E:$E)</f>
        <v>0</v>
      </c>
      <c r="I434" s="77"/>
      <c r="J434" s="77">
        <f>SUMIF(安全质量事故!$B:$B,C433,安全质量事故!$G:$G)</f>
        <v>0</v>
      </c>
      <c r="K434" s="72">
        <f>COUNTIF(L434:AP434,标准数据!$A$2)*标准数据!$B$2+COUNTIF(L434:AP434,标准数据!$A$3)*标准数据!$B$3+COUNTIF(L434:AP434,标准数据!$A$4)*标准数据!$B$4</f>
        <v>0</v>
      </c>
      <c r="L434" s="90"/>
      <c r="M434" s="90"/>
      <c r="N434" s="56"/>
      <c r="O434" s="90"/>
      <c r="P434" s="90"/>
      <c r="Q434" s="90"/>
      <c r="R434" s="90"/>
      <c r="S434" s="90"/>
      <c r="T434" s="90"/>
      <c r="U434" s="56"/>
      <c r="V434" s="90"/>
      <c r="W434" s="90"/>
      <c r="X434" s="90"/>
      <c r="Y434" s="90"/>
      <c r="Z434" s="90"/>
      <c r="AA434" s="90"/>
      <c r="AB434" s="56"/>
      <c r="AC434" s="90"/>
      <c r="AD434" s="90"/>
      <c r="AE434" s="90"/>
      <c r="AF434" s="90"/>
      <c r="AG434" s="90"/>
      <c r="AH434" s="56"/>
      <c r="AI434" s="90"/>
      <c r="AJ434" s="90"/>
      <c r="AK434" s="90"/>
      <c r="AL434" s="90"/>
      <c r="AM434" s="56"/>
      <c r="AN434" s="90"/>
      <c r="AO434" s="90"/>
      <c r="AP434" s="189"/>
      <c r="AQ434" s="55"/>
      <c r="AS434" s="41"/>
      <c r="AT434" s="41"/>
    </row>
    <row r="435" spans="1:46" ht="21" customHeight="1">
      <c r="A435" s="267" t="s">
        <v>2116</v>
      </c>
      <c r="B435" s="45" t="s">
        <v>14</v>
      </c>
      <c r="C435" s="46" t="s">
        <v>1840</v>
      </c>
      <c r="D435" s="47" t="s">
        <v>1841</v>
      </c>
      <c r="E435" s="48">
        <v>46208</v>
      </c>
      <c r="F435" s="49">
        <f t="shared" si="22"/>
        <v>0</v>
      </c>
      <c r="G435" s="77">
        <f>SUMIF(积分汇总!$B:$B,#REF!,积分汇总!$E:$E)</f>
        <v>0</v>
      </c>
      <c r="H435" s="77">
        <f>SUMIF(记录巡查问题条数汇总!$B:$B,#REF!,记录巡查问题条数汇总!$E:$E)</f>
        <v>0</v>
      </c>
      <c r="I435" s="77"/>
      <c r="J435" s="77">
        <f>SUMIF(安全质量事故!$B:$B,#REF!,安全质量事故!$G:$G)</f>
        <v>0</v>
      </c>
      <c r="K435" s="72">
        <f>COUNTIF(L435:AP435,标准数据!$A$2)*标准数据!$B$2+COUNTIF(L435:AP435,标准数据!$A$3)*标准数据!$B$3+COUNTIF(L435:AP435,标准数据!$A$4)*标准数据!$B$4</f>
        <v>0</v>
      </c>
      <c r="L435" s="90"/>
      <c r="M435" s="90"/>
      <c r="N435" s="56"/>
      <c r="O435" s="90"/>
      <c r="P435" s="90"/>
      <c r="Q435" s="90"/>
      <c r="R435" s="90"/>
      <c r="S435" s="90"/>
      <c r="T435" s="90"/>
      <c r="U435" s="56"/>
      <c r="V435" s="90"/>
      <c r="W435" s="90"/>
      <c r="X435" s="90"/>
      <c r="Y435" s="90"/>
      <c r="Z435" s="90"/>
      <c r="AA435" s="90"/>
      <c r="AB435" s="56"/>
      <c r="AC435" s="90"/>
      <c r="AD435" s="90"/>
      <c r="AE435" s="90"/>
      <c r="AF435" s="90"/>
      <c r="AG435" s="90"/>
      <c r="AH435" s="56"/>
      <c r="AI435" s="90"/>
      <c r="AJ435" s="90"/>
      <c r="AK435" s="90"/>
      <c r="AL435" s="90"/>
      <c r="AM435" s="56"/>
      <c r="AN435" s="90"/>
      <c r="AO435" s="90"/>
      <c r="AP435" s="189"/>
      <c r="AQ435" s="55"/>
      <c r="AS435" s="41"/>
      <c r="AT435" s="41"/>
    </row>
    <row r="436" spans="1:46" ht="21" customHeight="1">
      <c r="A436" s="267" t="s">
        <v>2116</v>
      </c>
      <c r="B436" s="45" t="s">
        <v>14</v>
      </c>
      <c r="C436" s="46" t="s">
        <v>1842</v>
      </c>
      <c r="D436" s="47" t="s">
        <v>1843</v>
      </c>
      <c r="E436" s="48">
        <v>46197</v>
      </c>
      <c r="F436" s="49">
        <f t="shared" si="22"/>
        <v>0</v>
      </c>
      <c r="G436" s="77">
        <f>SUMIF(积分汇总!$B:$B,C435,积分汇总!$E:$E)</f>
        <v>0</v>
      </c>
      <c r="H436" s="77">
        <f>SUMIF(记录巡查问题条数汇总!$B:$B,C435,记录巡查问题条数汇总!$E:$E)</f>
        <v>0</v>
      </c>
      <c r="I436" s="77"/>
      <c r="J436" s="77">
        <f>SUMIF(安全质量事故!$B:$B,C435,安全质量事故!$G:$G)</f>
        <v>0</v>
      </c>
      <c r="K436" s="72">
        <f>COUNTIF(L436:AP436,标准数据!$A$2)*标准数据!$B$2+COUNTIF(L436:AP436,标准数据!$A$3)*标准数据!$B$3+COUNTIF(L436:AP436,标准数据!$A$4)*标准数据!$B$4</f>
        <v>0</v>
      </c>
      <c r="L436" s="90"/>
      <c r="M436" s="90"/>
      <c r="N436" s="56"/>
      <c r="O436" s="90"/>
      <c r="P436" s="90"/>
      <c r="Q436" s="90"/>
      <c r="R436" s="90"/>
      <c r="S436" s="90"/>
      <c r="T436" s="90"/>
      <c r="U436" s="56"/>
      <c r="V436" s="90"/>
      <c r="W436" s="90"/>
      <c r="X436" s="90"/>
      <c r="Y436" s="90"/>
      <c r="Z436" s="90"/>
      <c r="AA436" s="90"/>
      <c r="AB436" s="56"/>
      <c r="AC436" s="90"/>
      <c r="AD436" s="90"/>
      <c r="AE436" s="90"/>
      <c r="AF436" s="90"/>
      <c r="AG436" s="90"/>
      <c r="AH436" s="56"/>
      <c r="AI436" s="90"/>
      <c r="AJ436" s="90"/>
      <c r="AK436" s="90"/>
      <c r="AL436" s="90"/>
      <c r="AM436" s="56"/>
      <c r="AN436" s="90"/>
      <c r="AO436" s="90"/>
      <c r="AP436" s="189"/>
      <c r="AQ436" s="55"/>
      <c r="AS436" s="41"/>
      <c r="AT436" s="41"/>
    </row>
    <row r="437" spans="1:46" ht="21" customHeight="1">
      <c r="A437" s="267" t="s">
        <v>2116</v>
      </c>
      <c r="B437" s="45" t="s">
        <v>14</v>
      </c>
      <c r="C437" s="46" t="s">
        <v>1844</v>
      </c>
      <c r="D437" s="47" t="s">
        <v>1845</v>
      </c>
      <c r="E437" s="48">
        <v>46204</v>
      </c>
      <c r="F437" s="49">
        <f t="shared" si="22"/>
        <v>0</v>
      </c>
      <c r="G437" s="77">
        <f>SUMIF(积分汇总!$B:$B,C436,积分汇总!$E:$E)</f>
        <v>0</v>
      </c>
      <c r="H437" s="77">
        <f>SUMIF(记录巡查问题条数汇总!$B:$B,C436,记录巡查问题条数汇总!$E:$E)</f>
        <v>0</v>
      </c>
      <c r="I437" s="77"/>
      <c r="J437" s="77">
        <f>SUMIF(安全质量事故!$B:$B,C436,安全质量事故!$G:$G)</f>
        <v>0</v>
      </c>
      <c r="K437" s="72">
        <f>COUNTIF(L437:AP437,标准数据!$A$2)*标准数据!$B$2+COUNTIF(L437:AP437,标准数据!$A$3)*标准数据!$B$3+COUNTIF(L437:AP437,标准数据!$A$4)*标准数据!$B$4</f>
        <v>0</v>
      </c>
      <c r="L437" s="90"/>
      <c r="M437" s="90"/>
      <c r="N437" s="56"/>
      <c r="O437" s="90"/>
      <c r="P437" s="90"/>
      <c r="Q437" s="90"/>
      <c r="R437" s="90"/>
      <c r="S437" s="90"/>
      <c r="T437" s="90"/>
      <c r="U437" s="56"/>
      <c r="V437" s="90"/>
      <c r="W437" s="90"/>
      <c r="X437" s="90"/>
      <c r="Y437" s="90"/>
      <c r="Z437" s="90"/>
      <c r="AA437" s="90"/>
      <c r="AB437" s="56"/>
      <c r="AC437" s="90"/>
      <c r="AD437" s="90"/>
      <c r="AE437" s="90"/>
      <c r="AF437" s="90"/>
      <c r="AG437" s="90"/>
      <c r="AH437" s="56"/>
      <c r="AI437" s="90"/>
      <c r="AJ437" s="90"/>
      <c r="AK437" s="90"/>
      <c r="AL437" s="90"/>
      <c r="AM437" s="56"/>
      <c r="AN437" s="90"/>
      <c r="AO437" s="90"/>
      <c r="AP437" s="189"/>
      <c r="AQ437" s="55"/>
      <c r="AS437" s="41"/>
      <c r="AT437" s="41"/>
    </row>
    <row r="438" spans="1:46" ht="21" customHeight="1">
      <c r="A438" s="267" t="s">
        <v>2116</v>
      </c>
      <c r="B438" s="45" t="s">
        <v>14</v>
      </c>
      <c r="C438" s="46" t="s">
        <v>1846</v>
      </c>
      <c r="D438" s="47" t="s">
        <v>1847</v>
      </c>
      <c r="E438" s="48">
        <v>46204</v>
      </c>
      <c r="F438" s="49">
        <f t="shared" si="22"/>
        <v>0</v>
      </c>
      <c r="G438" s="77">
        <f>SUMIF(积分汇总!$B:$B,C437,积分汇总!$E:$E)</f>
        <v>0</v>
      </c>
      <c r="H438" s="77">
        <f>SUMIF(记录巡查问题条数汇总!$B:$B,C437,记录巡查问题条数汇总!$E:$E)</f>
        <v>0</v>
      </c>
      <c r="I438" s="77"/>
      <c r="J438" s="77">
        <f>SUMIF(安全质量事故!$B:$B,C437,安全质量事故!$G:$G)</f>
        <v>0</v>
      </c>
      <c r="K438" s="72">
        <f>COUNTIF(L438:AP438,标准数据!$A$2)*标准数据!$B$2+COUNTIF(L438:AP438,标准数据!$A$3)*标准数据!$B$3+COUNTIF(L438:AP438,标准数据!$A$4)*标准数据!$B$4</f>
        <v>0</v>
      </c>
      <c r="L438" s="90"/>
      <c r="M438" s="90"/>
      <c r="N438" s="56"/>
      <c r="O438" s="90"/>
      <c r="P438" s="90"/>
      <c r="Q438" s="90"/>
      <c r="R438" s="90"/>
      <c r="S438" s="90"/>
      <c r="T438" s="90"/>
      <c r="U438" s="56"/>
      <c r="V438" s="90"/>
      <c r="W438" s="90"/>
      <c r="X438" s="90"/>
      <c r="Y438" s="90"/>
      <c r="Z438" s="90"/>
      <c r="AA438" s="90"/>
      <c r="AB438" s="56"/>
      <c r="AC438" s="90"/>
      <c r="AD438" s="90"/>
      <c r="AE438" s="90"/>
      <c r="AF438" s="90"/>
      <c r="AG438" s="90"/>
      <c r="AH438" s="56"/>
      <c r="AI438" s="90"/>
      <c r="AJ438" s="90"/>
      <c r="AK438" s="90"/>
      <c r="AL438" s="90"/>
      <c r="AM438" s="56"/>
      <c r="AN438" s="90"/>
      <c r="AO438" s="90"/>
      <c r="AP438" s="189"/>
      <c r="AQ438" s="55"/>
      <c r="AS438" s="41"/>
      <c r="AT438" s="41"/>
    </row>
    <row r="439" spans="1:46" ht="21" customHeight="1">
      <c r="A439" s="267" t="s">
        <v>2116</v>
      </c>
      <c r="B439" s="45" t="s">
        <v>14</v>
      </c>
      <c r="C439" s="46" t="s">
        <v>1848</v>
      </c>
      <c r="D439" s="47" t="s">
        <v>1849</v>
      </c>
      <c r="E439" s="48">
        <v>46197</v>
      </c>
      <c r="F439" s="49">
        <f t="shared" si="22"/>
        <v>0</v>
      </c>
      <c r="G439" s="77">
        <f>SUMIF(积分汇总!$B:$B,C438,积分汇总!$E:$E)</f>
        <v>0</v>
      </c>
      <c r="H439" s="77">
        <f>SUMIF(记录巡查问题条数汇总!$B:$B,C438,记录巡查问题条数汇总!$E:$E)</f>
        <v>0</v>
      </c>
      <c r="I439" s="77"/>
      <c r="J439" s="77">
        <f>SUMIF(安全质量事故!$B:$B,C438,安全质量事故!$G:$G)</f>
        <v>0</v>
      </c>
      <c r="K439" s="72">
        <f>COUNTIF(L439:AP439,标准数据!$A$2)*标准数据!$B$2+COUNTIF(L439:AP439,标准数据!$A$3)*标准数据!$B$3+COUNTIF(L439:AP439,标准数据!$A$4)*标准数据!$B$4</f>
        <v>0</v>
      </c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47"/>
      <c r="AL439" s="90"/>
      <c r="AM439" s="56"/>
      <c r="AN439" s="47"/>
      <c r="AO439" s="90"/>
      <c r="AP439" s="189"/>
      <c r="AQ439" s="55"/>
    </row>
    <row r="440" spans="1:46" ht="21" customHeight="1">
      <c r="A440" s="267" t="s">
        <v>2116</v>
      </c>
      <c r="B440" s="45" t="s">
        <v>14</v>
      </c>
      <c r="C440" s="46" t="s">
        <v>1852</v>
      </c>
      <c r="D440" s="47" t="s">
        <v>1853</v>
      </c>
      <c r="E440" s="48">
        <v>46215</v>
      </c>
      <c r="F440" s="49">
        <f t="shared" si="22"/>
        <v>0</v>
      </c>
      <c r="G440" s="77">
        <f>SUMIF(积分汇总!$B:$B,#REF!,积分汇总!$E:$E)</f>
        <v>0</v>
      </c>
      <c r="H440" s="77">
        <f>SUMIF(记录巡查问题条数汇总!$B:$B,#REF!,记录巡查问题条数汇总!$E:$E)</f>
        <v>0</v>
      </c>
      <c r="I440" s="77"/>
      <c r="J440" s="77">
        <f>SUMIF(安全质量事故!$B:$B,#REF!,安全质量事故!$G:$G)</f>
        <v>0</v>
      </c>
      <c r="K440" s="72">
        <f>COUNTIF(L440:AP440,标准数据!$A$2)*标准数据!$B$2+COUNTIF(L440:AP440,标准数据!$A$3)*标准数据!$B$3+COUNTIF(L440:AP440,标准数据!$A$4)*标准数据!$B$4</f>
        <v>0</v>
      </c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189"/>
      <c r="AQ440" s="55"/>
    </row>
    <row r="441" spans="1:46" ht="21" customHeight="1">
      <c r="A441" s="267" t="s">
        <v>2116</v>
      </c>
      <c r="B441" s="45" t="s">
        <v>14</v>
      </c>
      <c r="C441" s="46" t="s">
        <v>1854</v>
      </c>
      <c r="D441" s="47" t="s">
        <v>1855</v>
      </c>
      <c r="E441" s="48">
        <v>46215</v>
      </c>
      <c r="F441" s="49">
        <f t="shared" si="22"/>
        <v>0</v>
      </c>
      <c r="G441" s="77">
        <f>SUMIF(积分汇总!$B:$B,C440,积分汇总!$E:$E)</f>
        <v>0</v>
      </c>
      <c r="H441" s="77">
        <f>SUMIF(记录巡查问题条数汇总!$B:$B,C440,记录巡查问题条数汇总!$E:$E)</f>
        <v>0</v>
      </c>
      <c r="I441" s="77"/>
      <c r="J441" s="77">
        <f>SUMIF(安全质量事故!$B:$B,C440,安全质量事故!$G:$G)</f>
        <v>0</v>
      </c>
      <c r="K441" s="72">
        <f>COUNTIF(L441:AP441,标准数据!$A$2)*标准数据!$B$2+COUNTIF(L441:AP441,标准数据!$A$3)*标准数据!$B$3+COUNTIF(L441:AP441,标准数据!$A$4)*标准数据!$B$4</f>
        <v>0</v>
      </c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189"/>
      <c r="AQ441" s="55"/>
      <c r="AS441" s="41"/>
      <c r="AT441" s="41"/>
    </row>
    <row r="442" spans="1:46" ht="21" customHeight="1">
      <c r="A442" s="267" t="s">
        <v>2116</v>
      </c>
      <c r="B442" s="45" t="s">
        <v>14</v>
      </c>
      <c r="C442" s="46" t="s">
        <v>1856</v>
      </c>
      <c r="D442" s="52" t="s">
        <v>1857</v>
      </c>
      <c r="E442" s="46">
        <v>46215</v>
      </c>
      <c r="F442" s="49">
        <f t="shared" si="22"/>
        <v>0</v>
      </c>
      <c r="G442" s="77">
        <f>SUMIF(积分汇总!$B:$B,C441,积分汇总!$E:$E)</f>
        <v>0</v>
      </c>
      <c r="H442" s="77">
        <f>SUMIF(记录巡查问题条数汇总!$B:$B,C441,记录巡查问题条数汇总!$E:$E)</f>
        <v>0</v>
      </c>
      <c r="I442" s="77"/>
      <c r="J442" s="77">
        <f>SUMIF(安全质量事故!$B:$B,C441,安全质量事故!$G:$G)</f>
        <v>0</v>
      </c>
      <c r="K442" s="72">
        <f>COUNTIF(L442:AP442,标准数据!$A$2)*标准数据!$B$2+COUNTIF(L442:AP442,标准数据!$A$3)*标准数据!$B$3+COUNTIF(L442:AP442,标准数据!$A$4)*标准数据!$B$4</f>
        <v>0</v>
      </c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189"/>
      <c r="AQ442" s="55"/>
      <c r="AS442" s="41"/>
      <c r="AT442" s="41"/>
    </row>
    <row r="443" spans="1:46" ht="21" customHeight="1">
      <c r="A443" s="267" t="s">
        <v>2116</v>
      </c>
      <c r="B443" s="45" t="s">
        <v>14</v>
      </c>
      <c r="C443" s="46" t="s">
        <v>1858</v>
      </c>
      <c r="D443" s="47" t="s">
        <v>1859</v>
      </c>
      <c r="E443" s="48">
        <v>46215</v>
      </c>
      <c r="F443" s="49">
        <f t="shared" si="22"/>
        <v>0</v>
      </c>
      <c r="G443" s="77">
        <f>SUMIF(积分汇总!$B:$B,C442,积分汇总!$E:$E)</f>
        <v>0</v>
      </c>
      <c r="H443" s="77">
        <f>SUMIF(记录巡查问题条数汇总!$B:$B,C442,记录巡查问题条数汇总!$E:$E)</f>
        <v>0</v>
      </c>
      <c r="I443" s="77"/>
      <c r="J443" s="77">
        <f>SUMIF(安全质量事故!$B:$B,C442,安全质量事故!$G:$G)</f>
        <v>0</v>
      </c>
      <c r="K443" s="72">
        <f>COUNTIF(L443:AP443,标准数据!$A$2)*标准数据!$B$2+COUNTIF(L443:AP443,标准数据!$A$3)*标准数据!$B$3+COUNTIF(L443:AP443,标准数据!$A$4)*标准数据!$B$4</f>
        <v>0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56"/>
      <c r="AC443" s="90"/>
      <c r="AD443" s="90"/>
      <c r="AE443" s="90"/>
      <c r="AF443" s="90"/>
      <c r="AG443" s="90"/>
      <c r="AH443" s="56"/>
      <c r="AI443" s="90"/>
      <c r="AJ443" s="90"/>
      <c r="AK443" s="90"/>
      <c r="AL443" s="90"/>
      <c r="AM443" s="56"/>
      <c r="AN443" s="90"/>
      <c r="AO443" s="90"/>
      <c r="AP443" s="189"/>
      <c r="AQ443" s="55"/>
      <c r="AS443" s="41"/>
      <c r="AT443" s="41"/>
    </row>
    <row r="444" spans="1:46" ht="21" customHeight="1">
      <c r="A444" s="267" t="s">
        <v>2116</v>
      </c>
      <c r="B444" s="45" t="s">
        <v>14</v>
      </c>
      <c r="C444" s="46" t="s">
        <v>1860</v>
      </c>
      <c r="D444" s="47" t="s">
        <v>1861</v>
      </c>
      <c r="E444" s="48">
        <v>46215</v>
      </c>
      <c r="F444" s="49">
        <f t="shared" si="22"/>
        <v>0</v>
      </c>
      <c r="G444" s="77">
        <f>SUMIF(积分汇总!$B:$B,C443,积分汇总!$E:$E)</f>
        <v>0</v>
      </c>
      <c r="H444" s="77">
        <f>SUMIF(记录巡查问题条数汇总!$B:$B,C443,记录巡查问题条数汇总!$E:$E)</f>
        <v>0</v>
      </c>
      <c r="I444" s="77"/>
      <c r="J444" s="77">
        <f>SUMIF(安全质量事故!$B:$B,C443,安全质量事故!$G:$G)</f>
        <v>0</v>
      </c>
      <c r="K444" s="72">
        <f>COUNTIF(L444:AP444,标准数据!$A$2)*标准数据!$B$2+COUNTIF(L444:AP444,标准数据!$A$3)*标准数据!$B$3+COUNTIF(L444:AP444,标准数据!$A$4)*标准数据!$B$4</f>
        <v>0</v>
      </c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56"/>
      <c r="AC444" s="90"/>
      <c r="AD444" s="90"/>
      <c r="AE444" s="90"/>
      <c r="AF444" s="90"/>
      <c r="AG444" s="90"/>
      <c r="AH444" s="56"/>
      <c r="AI444" s="90"/>
      <c r="AJ444" s="90"/>
      <c r="AK444" s="90"/>
      <c r="AL444" s="90"/>
      <c r="AM444" s="56"/>
      <c r="AN444" s="90"/>
      <c r="AO444" s="90"/>
      <c r="AP444" s="189"/>
      <c r="AQ444" s="55"/>
      <c r="AS444" s="41"/>
      <c r="AT444" s="41"/>
    </row>
    <row r="445" spans="1:46" ht="21" customHeight="1">
      <c r="A445" s="267" t="s">
        <v>2116</v>
      </c>
      <c r="B445" s="45" t="s">
        <v>14</v>
      </c>
      <c r="C445" s="46" t="s">
        <v>1862</v>
      </c>
      <c r="D445" s="47" t="s">
        <v>1863</v>
      </c>
      <c r="E445" s="48">
        <v>46215</v>
      </c>
      <c r="F445" s="49">
        <f t="shared" si="22"/>
        <v>0</v>
      </c>
      <c r="G445" s="77">
        <f>SUMIF(积分汇总!$B:$B,C444,积分汇总!$E:$E)</f>
        <v>0</v>
      </c>
      <c r="H445" s="77">
        <f>SUMIF(记录巡查问题条数汇总!$B:$B,C444,记录巡查问题条数汇总!$E:$E)</f>
        <v>0</v>
      </c>
      <c r="I445" s="77"/>
      <c r="J445" s="77">
        <f>SUMIF(安全质量事故!$B:$B,C444,安全质量事故!$G:$G)</f>
        <v>0</v>
      </c>
      <c r="K445" s="72">
        <f>COUNTIF(L445:AP445,标准数据!$A$2)*标准数据!$B$2+COUNTIF(L445:AP445,标准数据!$A$3)*标准数据!$B$3+COUNTIF(L445:AP445,标准数据!$A$4)*标准数据!$B$4</f>
        <v>0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56"/>
      <c r="AC445" s="90"/>
      <c r="AD445" s="90"/>
      <c r="AE445" s="90"/>
      <c r="AF445" s="90"/>
      <c r="AG445" s="90"/>
      <c r="AH445" s="56"/>
      <c r="AI445" s="90"/>
      <c r="AJ445" s="90"/>
      <c r="AK445" s="90"/>
      <c r="AL445" s="90"/>
      <c r="AM445" s="56"/>
      <c r="AN445" s="90"/>
      <c r="AO445" s="90"/>
      <c r="AP445" s="189"/>
      <c r="AQ445" s="55"/>
      <c r="AS445" s="41"/>
      <c r="AT445" s="41"/>
    </row>
    <row r="446" spans="1:46" ht="21" customHeight="1">
      <c r="A446" s="267" t="s">
        <v>2116</v>
      </c>
      <c r="B446" s="45" t="s">
        <v>14</v>
      </c>
      <c r="C446" s="46" t="s">
        <v>1864</v>
      </c>
      <c r="D446" s="47" t="s">
        <v>1865</v>
      </c>
      <c r="E446" s="48">
        <v>46215</v>
      </c>
      <c r="F446" s="49">
        <f t="shared" si="22"/>
        <v>0</v>
      </c>
      <c r="G446" s="77">
        <f>SUMIF(积分汇总!$B:$B,C445,积分汇总!$E:$E)</f>
        <v>0</v>
      </c>
      <c r="H446" s="77">
        <f>SUMIF(记录巡查问题条数汇总!$B:$B,C445,记录巡查问题条数汇总!$E:$E)</f>
        <v>0</v>
      </c>
      <c r="I446" s="77"/>
      <c r="J446" s="77">
        <f>SUMIF(安全质量事故!$B:$B,C445,安全质量事故!$G:$G)</f>
        <v>0</v>
      </c>
      <c r="K446" s="72">
        <f>COUNTIF(L446:AP446,标准数据!$A$2)*标准数据!$B$2+COUNTIF(L446:AP446,标准数据!$A$3)*标准数据!$B$3+COUNTIF(L446:AP446,标准数据!$A$4)*标准数据!$B$4</f>
        <v>0</v>
      </c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56"/>
      <c r="AC446" s="90"/>
      <c r="AD446" s="90"/>
      <c r="AE446" s="90"/>
      <c r="AF446" s="90"/>
      <c r="AG446" s="90"/>
      <c r="AH446" s="56"/>
      <c r="AI446" s="90"/>
      <c r="AJ446" s="90"/>
      <c r="AK446" s="90"/>
      <c r="AL446" s="90"/>
      <c r="AM446" s="56"/>
      <c r="AN446" s="90"/>
      <c r="AO446" s="90"/>
      <c r="AP446" s="189"/>
      <c r="AQ446" s="55"/>
      <c r="AS446" s="41"/>
      <c r="AT446" s="41"/>
    </row>
    <row r="447" spans="1:46" ht="21" customHeight="1">
      <c r="A447" s="267" t="s">
        <v>2116</v>
      </c>
      <c r="B447" s="45" t="s">
        <v>14</v>
      </c>
      <c r="C447" s="46" t="s">
        <v>1159</v>
      </c>
      <c r="D447" s="47" t="s">
        <v>1870</v>
      </c>
      <c r="E447" s="48">
        <v>46215</v>
      </c>
      <c r="F447" s="49">
        <f t="shared" si="22"/>
        <v>0</v>
      </c>
      <c r="G447" s="77">
        <f>SUMIF(积分汇总!$B:$B,#REF!,积分汇总!$E:$E)</f>
        <v>0</v>
      </c>
      <c r="H447" s="77">
        <f>SUMIF(记录巡查问题条数汇总!$B:$B,#REF!,记录巡查问题条数汇总!$E:$E)</f>
        <v>0</v>
      </c>
      <c r="I447" s="77"/>
      <c r="J447" s="77">
        <f>SUMIF(安全质量事故!$B:$B,#REF!,安全质量事故!$G:$G)</f>
        <v>0</v>
      </c>
      <c r="K447" s="72">
        <f>COUNTIF(L447:AP447,标准数据!$A$2)*标准数据!$B$2+COUNTIF(L447:AP447,标准数据!$A$3)*标准数据!$B$3+COUNTIF(L447:AP447,标准数据!$A$4)*标准数据!$B$4</f>
        <v>0</v>
      </c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56"/>
      <c r="AC447" s="90"/>
      <c r="AD447" s="90"/>
      <c r="AE447" s="90"/>
      <c r="AF447" s="90"/>
      <c r="AG447" s="90"/>
      <c r="AH447" s="56"/>
      <c r="AI447" s="90"/>
      <c r="AJ447" s="90"/>
      <c r="AK447" s="90"/>
      <c r="AL447" s="90"/>
      <c r="AM447" s="56"/>
      <c r="AN447" s="90"/>
      <c r="AO447" s="90"/>
      <c r="AP447" s="189"/>
      <c r="AQ447" s="55"/>
      <c r="AS447" s="41"/>
      <c r="AT447" s="41"/>
    </row>
    <row r="448" spans="1:46" ht="21" customHeight="1">
      <c r="A448" s="267" t="s">
        <v>2116</v>
      </c>
      <c r="B448" s="45" t="s">
        <v>14</v>
      </c>
      <c r="C448" s="46" t="s">
        <v>1871</v>
      </c>
      <c r="D448" s="47" t="s">
        <v>1872</v>
      </c>
      <c r="E448" s="48">
        <v>46215</v>
      </c>
      <c r="F448" s="49">
        <f t="shared" si="22"/>
        <v>0</v>
      </c>
      <c r="G448" s="77">
        <f>SUMIF(积分汇总!$B:$B,C447,积分汇总!$E:$E)</f>
        <v>0</v>
      </c>
      <c r="H448" s="77">
        <f>SUMIF(记录巡查问题条数汇总!$B:$B,C447,记录巡查问题条数汇总!$E:$E)</f>
        <v>0</v>
      </c>
      <c r="I448" s="77"/>
      <c r="J448" s="77">
        <f>SUMIF(安全质量事故!$B:$B,C447,安全质量事故!$G:$G)</f>
        <v>0</v>
      </c>
      <c r="K448" s="72">
        <f>COUNTIF(L448:AP448,标准数据!$A$2)*标准数据!$B$2+COUNTIF(L448:AP448,标准数据!$A$3)*标准数据!$B$3+COUNTIF(L448:AP448,标准数据!$A$4)*标准数据!$B$4</f>
        <v>0</v>
      </c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56"/>
      <c r="AC448" s="90"/>
      <c r="AD448" s="90"/>
      <c r="AE448" s="90"/>
      <c r="AF448" s="90"/>
      <c r="AG448" s="90"/>
      <c r="AH448" s="56"/>
      <c r="AI448" s="90"/>
      <c r="AJ448" s="90"/>
      <c r="AK448" s="90"/>
      <c r="AL448" s="90"/>
      <c r="AM448" s="56"/>
      <c r="AN448" s="90"/>
      <c r="AO448" s="90"/>
      <c r="AP448" s="189"/>
      <c r="AQ448" s="55"/>
      <c r="AS448" s="41"/>
      <c r="AT448" s="41"/>
    </row>
    <row r="449" spans="1:46" ht="21" customHeight="1">
      <c r="A449" s="267" t="s">
        <v>2116</v>
      </c>
      <c r="B449" s="45" t="s">
        <v>14</v>
      </c>
      <c r="C449" s="46" t="s">
        <v>1873</v>
      </c>
      <c r="D449" s="47" t="s">
        <v>1874</v>
      </c>
      <c r="E449" s="48">
        <v>46215</v>
      </c>
      <c r="F449" s="49">
        <f t="shared" si="22"/>
        <v>0</v>
      </c>
      <c r="G449" s="77">
        <f>SUMIF(积分汇总!$B:$B,C448,积分汇总!$E:$E)</f>
        <v>0</v>
      </c>
      <c r="H449" s="77">
        <f>SUMIF(记录巡查问题条数汇总!$B:$B,C448,记录巡查问题条数汇总!$E:$E)</f>
        <v>0</v>
      </c>
      <c r="I449" s="77"/>
      <c r="J449" s="77">
        <f>SUMIF(安全质量事故!$B:$B,C448,安全质量事故!$G:$G)</f>
        <v>0</v>
      </c>
      <c r="K449" s="72">
        <f>COUNTIF(L449:AP449,标准数据!$A$2)*标准数据!$B$2+COUNTIF(L449:AP449,标准数据!$A$3)*标准数据!$B$3+COUNTIF(L449:AP449,标准数据!$A$4)*标准数据!$B$4</f>
        <v>0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47"/>
      <c r="AL449" s="90"/>
      <c r="AM449" s="56"/>
      <c r="AN449" s="47"/>
      <c r="AO449" s="90"/>
      <c r="AP449" s="189"/>
      <c r="AQ449" s="55"/>
    </row>
    <row r="450" spans="1:46" ht="21" customHeight="1">
      <c r="A450" s="267" t="s">
        <v>2116</v>
      </c>
      <c r="B450" s="45" t="s">
        <v>14</v>
      </c>
      <c r="C450" s="46" t="s">
        <v>1875</v>
      </c>
      <c r="D450" s="47" t="s">
        <v>1876</v>
      </c>
      <c r="E450" s="48">
        <v>46215</v>
      </c>
      <c r="F450" s="49">
        <f t="shared" si="22"/>
        <v>0</v>
      </c>
      <c r="G450" s="77">
        <f>SUMIF(积分汇总!$B:$B,C449,积分汇总!$E:$E)</f>
        <v>0</v>
      </c>
      <c r="H450" s="77">
        <f>SUMIF(记录巡查问题条数汇总!$B:$B,C449,记录巡查问题条数汇总!$E:$E)</f>
        <v>0</v>
      </c>
      <c r="I450" s="77"/>
      <c r="J450" s="77">
        <f>SUMIF(安全质量事故!$B:$B,C449,安全质量事故!$G:$G)</f>
        <v>0</v>
      </c>
      <c r="K450" s="72">
        <f>COUNTIF(L450:AP450,标准数据!$A$2)*标准数据!$B$2+COUNTIF(L450:AP450,标准数据!$A$3)*标准数据!$B$3+COUNTIF(L450:AP450,标准数据!$A$4)*标准数据!$B$4</f>
        <v>0</v>
      </c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3"/>
      <c r="W450" s="93"/>
      <c r="X450" s="93"/>
      <c r="Y450" s="93"/>
      <c r="Z450" s="93"/>
      <c r="AA450" s="56"/>
      <c r="AB450" s="56"/>
      <c r="AC450" s="56"/>
      <c r="AD450" s="56"/>
      <c r="AE450" s="56"/>
      <c r="AF450" s="56"/>
      <c r="AG450" s="56"/>
      <c r="AH450" s="56"/>
      <c r="AI450" s="47"/>
      <c r="AJ450" s="90"/>
      <c r="AK450" s="56"/>
      <c r="AL450" s="56"/>
      <c r="AM450" s="56"/>
      <c r="AN450" s="56"/>
      <c r="AO450" s="56"/>
      <c r="AP450" s="189"/>
      <c r="AQ450" s="55"/>
    </row>
    <row r="451" spans="1:46" ht="21" customHeight="1">
      <c r="A451" s="267" t="s">
        <v>2116</v>
      </c>
      <c r="B451" s="45" t="s">
        <v>129</v>
      </c>
      <c r="C451" s="46" t="s">
        <v>380</v>
      </c>
      <c r="D451" s="47" t="s">
        <v>377</v>
      </c>
      <c r="E451" s="48">
        <v>45735</v>
      </c>
      <c r="F451" s="49">
        <f t="shared" si="22"/>
        <v>0</v>
      </c>
      <c r="G451" s="77">
        <f>SUMIF(积分汇总!$B:$B,#REF!,积分汇总!$E:$E)</f>
        <v>0</v>
      </c>
      <c r="H451" s="77">
        <f>SUMIF(记录巡查问题条数汇总!$B:$B,#REF!,记录巡查问题条数汇总!$E:$E)</f>
        <v>0</v>
      </c>
      <c r="I451" s="77"/>
      <c r="J451" s="77">
        <f>SUMIF(安全质量事故!$B:$B,#REF!,安全质量事故!$G:$G)</f>
        <v>0</v>
      </c>
      <c r="K451" s="72">
        <f>COUNTIF(L451:AP451,标准数据!$A$2)*标准数据!$B$2+COUNTIF(L451:AP451,标准数据!$A$3)*标准数据!$B$3+COUNTIF(L451:AP451,标准数据!$A$4)*标准数据!$B$4</f>
        <v>0</v>
      </c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189"/>
      <c r="AQ451" s="55"/>
    </row>
    <row r="452" spans="1:46" ht="21" customHeight="1">
      <c r="A452" s="267" t="s">
        <v>2116</v>
      </c>
      <c r="B452" s="45" t="s">
        <v>129</v>
      </c>
      <c r="C452" s="46" t="s">
        <v>620</v>
      </c>
      <c r="D452" s="47" t="s">
        <v>577</v>
      </c>
      <c r="E452" s="48">
        <v>45896</v>
      </c>
      <c r="F452" s="49">
        <f t="shared" ref="F452:F455" si="23">(K452+G452+H452+I452-J452)</f>
        <v>0</v>
      </c>
      <c r="G452" s="77">
        <f>SUMIF(积分汇总!$B:$B,C447,积分汇总!$E:$E)</f>
        <v>0</v>
      </c>
      <c r="H452" s="77">
        <f>SUMIF(记录巡查问题条数汇总!$B:$B,C447,记录巡查问题条数汇总!$E:$E)</f>
        <v>0</v>
      </c>
      <c r="I452" s="77"/>
      <c r="J452" s="77">
        <f>SUMIF(安全质量事故!$B:$B,C447,安全质量事故!$G:$G)</f>
        <v>0</v>
      </c>
      <c r="K452" s="72">
        <f>COUNTIF(L452:AP452,标准数据!$A$2)*标准数据!$B$2+COUNTIF(L452:AP452,标准数据!$A$3)*标准数据!$B$3+COUNTIF(L452:AP452,标准数据!$A$4)*标准数据!$B$4</f>
        <v>0</v>
      </c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56"/>
      <c r="AB452" s="56"/>
      <c r="AC452" s="56"/>
      <c r="AD452" s="56"/>
      <c r="AE452" s="56"/>
      <c r="AF452" s="56"/>
      <c r="AG452" s="56"/>
      <c r="AH452" s="56"/>
      <c r="AI452" s="47"/>
      <c r="AJ452" s="90"/>
      <c r="AK452" s="56"/>
      <c r="AL452" s="56"/>
      <c r="AM452" s="56"/>
      <c r="AN452" s="56"/>
      <c r="AO452" s="56"/>
      <c r="AP452" s="189"/>
      <c r="AQ452" s="55"/>
    </row>
    <row r="453" spans="1:46" ht="21" customHeight="1">
      <c r="A453" s="267" t="s">
        <v>2116</v>
      </c>
      <c r="B453" s="45" t="s">
        <v>129</v>
      </c>
      <c r="C453" s="46" t="s">
        <v>939</v>
      </c>
      <c r="D453" s="47" t="s">
        <v>878</v>
      </c>
      <c r="E453" s="48">
        <v>45903</v>
      </c>
      <c r="F453" s="49">
        <f t="shared" si="23"/>
        <v>0</v>
      </c>
      <c r="G453" s="77">
        <f>SUMIF(积分汇总!$B:$B,C452,积分汇总!$E:$E)</f>
        <v>0</v>
      </c>
      <c r="H453" s="77">
        <f>SUMIF(记录巡查问题条数汇总!$B:$B,C452,记录巡查问题条数汇总!$E:$E)</f>
        <v>0</v>
      </c>
      <c r="I453" s="77"/>
      <c r="J453" s="77">
        <f>SUMIF(安全质量事故!$B:$B,C452,安全质量事故!$G:$G)</f>
        <v>0</v>
      </c>
      <c r="K453" s="72">
        <f>COUNTIF(L453:AP453,标准数据!$A$2)*标准数据!$B$2+COUNTIF(L453:AP453,标准数据!$A$3)*标准数据!$B$3+COUNTIF(L453:AP453,标准数据!$A$4)*标准数据!$B$4</f>
        <v>0</v>
      </c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56"/>
      <c r="AB453" s="56"/>
      <c r="AC453" s="56"/>
      <c r="AD453" s="56"/>
      <c r="AE453" s="56"/>
      <c r="AF453" s="56"/>
      <c r="AG453" s="56"/>
      <c r="AH453" s="56"/>
      <c r="AI453" s="47"/>
      <c r="AJ453" s="90"/>
      <c r="AK453" s="56"/>
      <c r="AL453" s="56"/>
      <c r="AM453" s="56"/>
      <c r="AN453" s="56"/>
      <c r="AO453" s="56"/>
      <c r="AP453" s="189"/>
      <c r="AQ453" s="55"/>
    </row>
    <row r="454" spans="1:46" ht="21" customHeight="1">
      <c r="A454" s="267" t="s">
        <v>2116</v>
      </c>
      <c r="B454" s="45" t="s">
        <v>146</v>
      </c>
      <c r="C454" s="46" t="s">
        <v>1006</v>
      </c>
      <c r="D454" s="47" t="s">
        <v>1007</v>
      </c>
      <c r="E454" s="48">
        <v>46085</v>
      </c>
      <c r="F454" s="49">
        <f t="shared" si="23"/>
        <v>0</v>
      </c>
      <c r="G454" s="77">
        <f>SUMIF(积分汇总!$B:$B,#REF!,积分汇总!$E:$E)</f>
        <v>0</v>
      </c>
      <c r="H454" s="77">
        <f>SUMIF(记录巡查问题条数汇总!$B:$B,#REF!,记录巡查问题条数汇总!$E:$E)</f>
        <v>0</v>
      </c>
      <c r="I454" s="77"/>
      <c r="J454" s="77">
        <f>SUMIF(安全质量事故!$B:$B,#REF!,安全质量事故!$G:$G)</f>
        <v>0</v>
      </c>
      <c r="K454" s="72">
        <f>COUNTIF(L454:AP454,标准数据!$A$2)*标准数据!$B$2+COUNTIF(L454:AP454,标准数据!$A$3)*标准数据!$B$3+COUNTIF(L454:AP454,标准数据!$A$4)*标准数据!$B$4</f>
        <v>0</v>
      </c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56"/>
      <c r="AB454" s="56"/>
      <c r="AC454" s="56"/>
      <c r="AD454" s="56"/>
      <c r="AE454" s="56"/>
      <c r="AF454" s="56"/>
      <c r="AG454" s="56"/>
      <c r="AH454" s="56"/>
      <c r="AI454" s="47"/>
      <c r="AJ454" s="90"/>
      <c r="AK454" s="56"/>
      <c r="AL454" s="56"/>
      <c r="AM454" s="56"/>
      <c r="AN454" s="56"/>
      <c r="AO454" s="56"/>
      <c r="AP454" s="189"/>
      <c r="AQ454" s="55"/>
    </row>
    <row r="455" spans="1:46" ht="21" customHeight="1">
      <c r="A455" s="267" t="s">
        <v>2116</v>
      </c>
      <c r="B455" s="45" t="s">
        <v>146</v>
      </c>
      <c r="C455" s="46" t="s">
        <v>1804</v>
      </c>
      <c r="D455" s="47" t="s">
        <v>1805</v>
      </c>
      <c r="E455" s="48">
        <v>46204</v>
      </c>
      <c r="F455" s="49">
        <f t="shared" si="23"/>
        <v>0</v>
      </c>
      <c r="G455" s="77">
        <f>SUMIF(积分汇总!$B:$B,C454,积分汇总!$E:$E)</f>
        <v>0</v>
      </c>
      <c r="H455" s="77">
        <f>SUMIF(记录巡查问题条数汇总!$B:$B,C454,记录巡查问题条数汇总!$E:$E)</f>
        <v>0</v>
      </c>
      <c r="I455" s="77"/>
      <c r="J455" s="77">
        <f>SUMIF(安全质量事故!$B:$B,C454,安全质量事故!$G:$G)</f>
        <v>0</v>
      </c>
      <c r="K455" s="72">
        <f>COUNTIF(L455:AP455,标准数据!$A$2)*标准数据!$B$2+COUNTIF(L455:AP455,标准数据!$A$3)*标准数据!$B$3+COUNTIF(L455:AP455,标准数据!$A$4)*标准数据!$B$4</f>
        <v>0</v>
      </c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56"/>
      <c r="AB455" s="56"/>
      <c r="AC455" s="56"/>
      <c r="AD455" s="56"/>
      <c r="AE455" s="56"/>
      <c r="AF455" s="56"/>
      <c r="AG455" s="56"/>
      <c r="AH455" s="56"/>
      <c r="AI455" s="47"/>
      <c r="AJ455" s="90"/>
      <c r="AK455" s="56"/>
      <c r="AL455" s="56"/>
      <c r="AM455" s="56"/>
      <c r="AN455" s="56"/>
      <c r="AO455" s="56"/>
      <c r="AP455" s="189"/>
      <c r="AQ455" s="55"/>
    </row>
    <row r="456" spans="1:46" ht="21" customHeight="1">
      <c r="A456" s="267" t="s">
        <v>2116</v>
      </c>
      <c r="B456" s="45" t="s">
        <v>14</v>
      </c>
      <c r="C456" s="46" t="s">
        <v>2029</v>
      </c>
      <c r="D456" s="47" t="s">
        <v>2030</v>
      </c>
      <c r="E456" s="48">
        <v>46225</v>
      </c>
      <c r="F456" s="49">
        <f t="shared" si="22"/>
        <v>0</v>
      </c>
      <c r="G456" s="77">
        <f>SUMIF(积分汇总!$B:$B,C451,积分汇总!$E:$E)</f>
        <v>0</v>
      </c>
      <c r="H456" s="77">
        <f>SUMIF(记录巡查问题条数汇总!$B:$B,C451,记录巡查问题条数汇总!$E:$E)</f>
        <v>0</v>
      </c>
      <c r="I456" s="77"/>
      <c r="J456" s="77">
        <f>SUMIF(安全质量事故!$B:$B,C451,安全质量事故!$G:$G)</f>
        <v>0</v>
      </c>
      <c r="K456" s="72">
        <f>COUNTIF(L456:AP456,标准数据!$A$2)*标准数据!$B$2+COUNTIF(L456:AP456,标准数据!$A$3)*标准数据!$B$3+COUNTIF(L456:AP456,标准数据!$A$4)*标准数据!$B$4</f>
        <v>0</v>
      </c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56"/>
      <c r="AB456" s="56"/>
      <c r="AC456" s="56"/>
      <c r="AD456" s="56"/>
      <c r="AE456" s="56"/>
      <c r="AF456" s="56"/>
      <c r="AG456" s="56"/>
      <c r="AH456" s="56"/>
      <c r="AI456" s="47"/>
      <c r="AJ456" s="90"/>
      <c r="AK456" s="56"/>
      <c r="AL456" s="56"/>
      <c r="AM456" s="56"/>
      <c r="AN456" s="56"/>
      <c r="AO456" s="56"/>
      <c r="AP456" s="189"/>
      <c r="AQ456" s="55"/>
    </row>
    <row r="457" spans="1:46" ht="21" customHeight="1">
      <c r="A457" s="267" t="s">
        <v>2116</v>
      </c>
      <c r="B457" s="45" t="s">
        <v>14</v>
      </c>
      <c r="C457" s="47" t="s">
        <v>1780</v>
      </c>
      <c r="D457" s="52" t="s">
        <v>1781</v>
      </c>
      <c r="E457" s="46">
        <v>46215</v>
      </c>
      <c r="F457" s="49">
        <f t="shared" si="22"/>
        <v>0</v>
      </c>
      <c r="G457" s="77">
        <f>SUMIF(积分汇总!$B:$B,C456,积分汇总!$E:$E)</f>
        <v>0</v>
      </c>
      <c r="H457" s="77">
        <f>SUMIF(记录巡查问题条数汇总!$B:$B,C456,记录巡查问题条数汇总!$E:$E)</f>
        <v>0</v>
      </c>
      <c r="I457" s="77"/>
      <c r="J457" s="77">
        <f>SUMIF(安全质量事故!$B:$B,C456,安全质量事故!$G:$G)</f>
        <v>0</v>
      </c>
      <c r="K457" s="72">
        <f>COUNTIF(L457:AP457,标准数据!$A$2)*标准数据!$B$2+COUNTIF(L457:AP457,标准数据!$A$3)*标准数据!$B$3+COUNTIF(L457:AP457,标准数据!$A$4)*标准数据!$B$4</f>
        <v>0</v>
      </c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56"/>
      <c r="AB457" s="56"/>
      <c r="AC457" s="56"/>
      <c r="AD457" s="56"/>
      <c r="AE457" s="56"/>
      <c r="AF457" s="56"/>
      <c r="AG457" s="56"/>
      <c r="AH457" s="56"/>
      <c r="AI457" s="47"/>
      <c r="AJ457" s="90"/>
      <c r="AK457" s="56"/>
      <c r="AL457" s="56"/>
      <c r="AM457" s="56"/>
      <c r="AN457" s="56"/>
      <c r="AO457" s="56"/>
      <c r="AP457" s="189"/>
      <c r="AQ457" s="55"/>
    </row>
    <row r="458" spans="1:46" ht="21" customHeight="1">
      <c r="A458" s="267" t="s">
        <v>2116</v>
      </c>
      <c r="B458" s="45" t="s">
        <v>14</v>
      </c>
      <c r="C458" s="46" t="s">
        <v>1784</v>
      </c>
      <c r="D458" s="47" t="s">
        <v>1785</v>
      </c>
      <c r="E458" s="48">
        <v>46215</v>
      </c>
      <c r="F458" s="49">
        <f t="shared" si="22"/>
        <v>0</v>
      </c>
      <c r="G458" s="77">
        <f>SUMIF(积分汇总!$B:$B,#REF!,积分汇总!$E:$E)</f>
        <v>0</v>
      </c>
      <c r="H458" s="77">
        <f>SUMIF(记录巡查问题条数汇总!$B:$B,#REF!,记录巡查问题条数汇总!$E:$E)</f>
        <v>0</v>
      </c>
      <c r="I458" s="77"/>
      <c r="J458" s="77">
        <f>SUMIF(安全质量事故!$B:$B,#REF!,安全质量事故!$G:$G)</f>
        <v>0</v>
      </c>
      <c r="K458" s="72">
        <f>COUNTIF(L458:AP458,标准数据!$A$2)*标准数据!$B$2+COUNTIF(L458:AP458,标准数据!$A$3)*标准数据!$B$3+COUNTIF(L458:AP458,标准数据!$A$4)*标准数据!$B$4</f>
        <v>0</v>
      </c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56"/>
      <c r="AB458" s="56"/>
      <c r="AC458" s="56"/>
      <c r="AD458" s="56"/>
      <c r="AE458" s="56"/>
      <c r="AF458" s="56"/>
      <c r="AG458" s="56"/>
      <c r="AH458" s="56"/>
      <c r="AI458" s="47"/>
      <c r="AJ458" s="90"/>
      <c r="AK458" s="56"/>
      <c r="AL458" s="56"/>
      <c r="AM458" s="56"/>
      <c r="AN458" s="56"/>
      <c r="AO458" s="56"/>
      <c r="AP458" s="189"/>
      <c r="AQ458" s="55"/>
    </row>
    <row r="459" spans="1:46" ht="21" customHeight="1">
      <c r="A459" s="267" t="s">
        <v>2116</v>
      </c>
      <c r="B459" s="45" t="s">
        <v>14</v>
      </c>
      <c r="C459" s="47" t="s">
        <v>1428</v>
      </c>
      <c r="D459" s="52" t="s">
        <v>1429</v>
      </c>
      <c r="E459" s="46">
        <v>46176</v>
      </c>
      <c r="F459" s="49">
        <f t="shared" si="22"/>
        <v>0</v>
      </c>
      <c r="G459" s="77">
        <f>SUMIF(积分汇总!$B:$B,C458,积分汇总!$E:$E)</f>
        <v>0</v>
      </c>
      <c r="H459" s="77">
        <f>SUMIF(记录巡查问题条数汇总!$B:$B,C458,记录巡查问题条数汇总!$E:$E)</f>
        <v>0</v>
      </c>
      <c r="I459" s="77"/>
      <c r="J459" s="77">
        <f>SUMIF(安全质量事故!$B:$B,C458,安全质量事故!$G:$G)</f>
        <v>0</v>
      </c>
      <c r="K459" s="72">
        <f>COUNTIF(L459:AP459,标准数据!$A$2)*标准数据!$B$2+COUNTIF(L459:AP459,标准数据!$A$3)*标准数据!$B$3+COUNTIF(L459:AP459,标准数据!$A$4)*标准数据!$B$4</f>
        <v>0</v>
      </c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56"/>
      <c r="AB459" s="56"/>
      <c r="AC459" s="56"/>
      <c r="AD459" s="56"/>
      <c r="AE459" s="56"/>
      <c r="AF459" s="56"/>
      <c r="AG459" s="56"/>
      <c r="AH459" s="56"/>
      <c r="AI459" s="47"/>
      <c r="AJ459" s="90"/>
      <c r="AK459" s="56"/>
      <c r="AL459" s="56"/>
      <c r="AM459" s="56"/>
      <c r="AN459" s="56"/>
      <c r="AO459" s="56"/>
      <c r="AP459" s="189"/>
      <c r="AQ459" s="55"/>
    </row>
    <row r="460" spans="1:46" ht="21" customHeight="1">
      <c r="A460" s="227" t="s">
        <v>2115</v>
      </c>
      <c r="B460" s="45" t="s">
        <v>129</v>
      </c>
      <c r="C460" s="46" t="s">
        <v>480</v>
      </c>
      <c r="D460" s="47" t="s">
        <v>443</v>
      </c>
      <c r="E460" s="48">
        <v>45554</v>
      </c>
      <c r="F460" s="49">
        <f t="shared" si="22"/>
        <v>0</v>
      </c>
      <c r="G460" s="77">
        <f>SUMIF(积分汇总!$B:$B,C459,积分汇总!$E:$E)</f>
        <v>0</v>
      </c>
      <c r="H460" s="77">
        <f>SUMIF(记录巡查问题条数汇总!$B:$B,C459,记录巡查问题条数汇总!$E:$E)</f>
        <v>0</v>
      </c>
      <c r="I460" s="77"/>
      <c r="J460" s="77">
        <f>SUMIF(安全质量事故!$B:$B,C459,安全质量事故!$G:$G)</f>
        <v>0</v>
      </c>
      <c r="K460" s="72">
        <f>COUNTIF(L460:AP460,标准数据!$A$2)*标准数据!$B$2+COUNTIF(L460:AP460,标准数据!$A$3)*标准数据!$B$3+COUNTIF(L460:AP460,标准数据!$A$4)*标准数据!$B$4</f>
        <v>0</v>
      </c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190"/>
      <c r="AQ460" s="55"/>
      <c r="AR460" s="283" t="s">
        <v>1031</v>
      </c>
      <c r="AS460" s="284" t="s">
        <v>1027</v>
      </c>
      <c r="AT460" s="284" t="s">
        <v>1037</v>
      </c>
    </row>
    <row r="461" spans="1:46" ht="21" customHeight="1">
      <c r="A461" s="227" t="s">
        <v>2115</v>
      </c>
      <c r="B461" s="45" t="s">
        <v>129</v>
      </c>
      <c r="C461" s="46" t="s">
        <v>263</v>
      </c>
      <c r="D461" s="47" t="s">
        <v>259</v>
      </c>
      <c r="E461" s="48">
        <v>41760</v>
      </c>
      <c r="F461" s="49">
        <f t="shared" si="22"/>
        <v>0</v>
      </c>
      <c r="G461" s="77">
        <f>SUMIF(积分汇总!$B:$B,C460,积分汇总!$E:$E)</f>
        <v>0</v>
      </c>
      <c r="H461" s="77">
        <f>SUMIF(记录巡查问题条数汇总!$B:$B,C460,记录巡查问题条数汇总!$E:$E)</f>
        <v>0</v>
      </c>
      <c r="I461" s="77"/>
      <c r="J461" s="77">
        <f>SUMIF(安全质量事故!$B:$B,C460,安全质量事故!$G:$G)</f>
        <v>0</v>
      </c>
      <c r="K461" s="72">
        <f>COUNTIF(L461:AP461,标准数据!$A$2)*标准数据!$B$2+COUNTIF(L461:AP461,标准数据!$A$3)*标准数据!$B$3+COUNTIF(L461:AP461,标准数据!$A$4)*标准数据!$B$4</f>
        <v>0</v>
      </c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190"/>
      <c r="AQ461" s="55"/>
      <c r="AR461" s="64">
        <f>COUNTIF($L$460:$AP$664,"a")</f>
        <v>0</v>
      </c>
      <c r="AS461" s="64">
        <f>COUNTIF($L$460:$AP$664,"b")</f>
        <v>0</v>
      </c>
      <c r="AT461" s="64">
        <f>COUNTIF($L$460:$AP$664,"c")</f>
        <v>0</v>
      </c>
    </row>
    <row r="462" spans="1:46" ht="21" customHeight="1">
      <c r="A462" s="227" t="s">
        <v>2115</v>
      </c>
      <c r="B462" s="45" t="s">
        <v>129</v>
      </c>
      <c r="C462" s="46" t="s">
        <v>328</v>
      </c>
      <c r="D462" s="47" t="s">
        <v>303</v>
      </c>
      <c r="E462" s="48">
        <v>45595</v>
      </c>
      <c r="F462" s="49">
        <f t="shared" si="22"/>
        <v>0</v>
      </c>
      <c r="G462" s="77">
        <f>SUMIF(积分汇总!$B:$B,C461,积分汇总!$E:$E)</f>
        <v>0</v>
      </c>
      <c r="H462" s="77">
        <f>SUMIF(记录巡查问题条数汇总!$B:$B,C461,记录巡查问题条数汇总!$E:$E)</f>
        <v>0</v>
      </c>
      <c r="I462" s="77"/>
      <c r="J462" s="77">
        <f>SUMIF(安全质量事故!$B:$B,C461,安全质量事故!$G:$G)</f>
        <v>0</v>
      </c>
      <c r="K462" s="72">
        <f>COUNTIF(L462:AP462,标准数据!$A$2)*标准数据!$B$2+COUNTIF(L462:AP462,标准数据!$A$3)*标准数据!$B$3+COUNTIF(L462:AP462,标准数据!$A$4)*标准数据!$B$4</f>
        <v>0</v>
      </c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190"/>
      <c r="AQ462" s="55"/>
      <c r="AR462" s="50" t="e">
        <f>AR461/($AR$461+$AS$461+$AT$461)</f>
        <v>#DIV/0!</v>
      </c>
      <c r="AS462" s="60" t="e">
        <f>AS461/($AR$461+$AS$461+$AT$461)</f>
        <v>#DIV/0!</v>
      </c>
      <c r="AT462" s="60" t="e">
        <f>AT461/($AR$461+$AS$461+$AT$461)</f>
        <v>#DIV/0!</v>
      </c>
    </row>
    <row r="463" spans="1:46" ht="21" customHeight="1">
      <c r="A463" s="227" t="s">
        <v>2115</v>
      </c>
      <c r="B463" s="45" t="s">
        <v>129</v>
      </c>
      <c r="C463" s="46" t="s">
        <v>564</v>
      </c>
      <c r="D463" s="47" t="s">
        <v>525</v>
      </c>
      <c r="E463" s="48">
        <v>43333</v>
      </c>
      <c r="F463" s="49">
        <f t="shared" ref="F463:F466" si="24">(K463+G463+H463+I463-J463)</f>
        <v>0</v>
      </c>
      <c r="G463" s="77">
        <f>SUMIF(积分汇总!$B:$B,C458,积分汇总!$E:$E)</f>
        <v>0</v>
      </c>
      <c r="H463" s="77">
        <f>SUMIF(记录巡查问题条数汇总!$B:$B,C458,记录巡查问题条数汇总!$E:$E)</f>
        <v>0</v>
      </c>
      <c r="I463" s="77"/>
      <c r="J463" s="77">
        <f>SUMIF(安全质量事故!$B:$B,C458,安全质量事故!$G:$G)</f>
        <v>0</v>
      </c>
      <c r="K463" s="72">
        <f>COUNTIF(L463:AP463,标准数据!$A$2)*标准数据!$B$2+COUNTIF(L463:AP463,标准数据!$A$3)*标准数据!$B$3+COUNTIF(L463:AP463,标准数据!$A$4)*标准数据!$B$4</f>
        <v>0</v>
      </c>
      <c r="L463" s="90"/>
      <c r="M463" s="90"/>
      <c r="N463" s="90"/>
      <c r="O463" s="90"/>
      <c r="P463" s="90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189"/>
      <c r="AQ463" s="55"/>
      <c r="AR463" s="41"/>
      <c r="AS463" s="41"/>
      <c r="AT463" s="41"/>
    </row>
    <row r="464" spans="1:46" ht="21" customHeight="1">
      <c r="A464" s="227" t="s">
        <v>2115</v>
      </c>
      <c r="B464" s="45" t="s">
        <v>129</v>
      </c>
      <c r="C464" s="46" t="s">
        <v>626</v>
      </c>
      <c r="D464" s="47" t="s">
        <v>591</v>
      </c>
      <c r="E464" s="48" t="s">
        <v>1038</v>
      </c>
      <c r="F464" s="49">
        <f t="shared" si="24"/>
        <v>0</v>
      </c>
      <c r="G464" s="77">
        <f>SUMIF(积分汇总!$B:$B,C463,积分汇总!$E:$E)</f>
        <v>0</v>
      </c>
      <c r="H464" s="77">
        <f>SUMIF(记录巡查问题条数汇总!$B:$B,C463,记录巡查问题条数汇总!$E:$E)</f>
        <v>0</v>
      </c>
      <c r="I464" s="77"/>
      <c r="J464" s="77">
        <f>SUMIF(安全质量事故!$B:$B,C463,安全质量事故!$G:$G)</f>
        <v>0</v>
      </c>
      <c r="K464" s="72">
        <f>COUNTIF(L464:AP464,标准数据!$A$2)*标准数据!$B$2+COUNTIF(L464:AP464,标准数据!$A$3)*标准数据!$B$3+COUNTIF(L464:AP464,标准数据!$A$4)*标准数据!$B$4</f>
        <v>0</v>
      </c>
      <c r="L464" s="55"/>
      <c r="M464" s="55"/>
      <c r="N464" s="55"/>
      <c r="O464" s="55"/>
      <c r="P464" s="90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189"/>
      <c r="AQ464" s="55"/>
      <c r="AR464" s="41"/>
      <c r="AS464" s="41"/>
      <c r="AT464" s="41"/>
    </row>
    <row r="465" spans="1:48" ht="21" customHeight="1">
      <c r="A465" s="227" t="s">
        <v>2115</v>
      </c>
      <c r="B465" s="45" t="s">
        <v>14</v>
      </c>
      <c r="C465" s="46" t="s">
        <v>645</v>
      </c>
      <c r="D465" s="52" t="s">
        <v>586</v>
      </c>
      <c r="E465" s="46">
        <v>45901</v>
      </c>
      <c r="F465" s="49">
        <f t="shared" si="24"/>
        <v>0</v>
      </c>
      <c r="G465" s="77">
        <f>SUMIF(积分汇总!$B:$B,C464,积分汇总!$E:$E)</f>
        <v>0</v>
      </c>
      <c r="H465" s="77">
        <f>SUMIF(记录巡查问题条数汇总!$B:$B,C464,记录巡查问题条数汇总!$E:$E)</f>
        <v>0</v>
      </c>
      <c r="I465" s="77"/>
      <c r="J465" s="77">
        <f>SUMIF(安全质量事故!$B:$B,C464,安全质量事故!$G:$G)</f>
        <v>0</v>
      </c>
      <c r="K465" s="72">
        <f>COUNTIF(L465:AP465,标准数据!$A$2)*标准数据!$B$2+COUNTIF(L465:AP465,标准数据!$A$3)*标准数据!$B$3+COUNTIF(L465:AP465,标准数据!$A$4)*标准数据!$B$4</f>
        <v>0</v>
      </c>
      <c r="L465" s="55"/>
      <c r="M465" s="55"/>
      <c r="N465" s="55"/>
      <c r="O465" s="55"/>
      <c r="P465" s="90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189"/>
      <c r="AQ465" s="55"/>
      <c r="AR465" s="41"/>
      <c r="AS465" s="41"/>
      <c r="AT465" s="41"/>
    </row>
    <row r="466" spans="1:48" ht="21" customHeight="1">
      <c r="A466" s="227" t="s">
        <v>2115</v>
      </c>
      <c r="B466" s="45" t="s">
        <v>81</v>
      </c>
      <c r="C466" s="46" t="s">
        <v>823</v>
      </c>
      <c r="D466" s="52" t="s">
        <v>778</v>
      </c>
      <c r="E466" s="46">
        <v>43299</v>
      </c>
      <c r="F466" s="49">
        <f t="shared" si="24"/>
        <v>0</v>
      </c>
      <c r="G466" s="77">
        <f>SUMIF(积分汇总!$B:$B,C465,积分汇总!$E:$E)</f>
        <v>0</v>
      </c>
      <c r="H466" s="77">
        <f>SUMIF(记录巡查问题条数汇总!$B:$B,C465,记录巡查问题条数汇总!$E:$E)</f>
        <v>0</v>
      </c>
      <c r="I466" s="77"/>
      <c r="J466" s="77">
        <f>SUMIF(安全质量事故!$B:$B,C465,安全质量事故!$G:$G)</f>
        <v>0</v>
      </c>
      <c r="K466" s="72">
        <f>COUNTIF(L466:AP466,标准数据!$A$2)*标准数据!$B$2+COUNTIF(L466:AP466,标准数据!$A$3)*标准数据!$B$3+COUNTIF(L466:AP466,标准数据!$A$4)*标准数据!$B$4</f>
        <v>0</v>
      </c>
      <c r="L466" s="55"/>
      <c r="M466" s="55"/>
      <c r="N466" s="55"/>
      <c r="O466" s="55"/>
      <c r="P466" s="90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189"/>
      <c r="AQ466" s="55"/>
      <c r="AR466" s="41"/>
      <c r="AS466" s="41"/>
      <c r="AT466" s="41"/>
    </row>
    <row r="467" spans="1:48" ht="21" customHeight="1">
      <c r="A467" s="227" t="s">
        <v>2115</v>
      </c>
      <c r="B467" s="45" t="s">
        <v>154</v>
      </c>
      <c r="C467" s="46" t="s">
        <v>560</v>
      </c>
      <c r="D467" s="47" t="s">
        <v>521</v>
      </c>
      <c r="E467" s="48">
        <v>45875</v>
      </c>
      <c r="F467" s="49">
        <f t="shared" si="22"/>
        <v>0</v>
      </c>
      <c r="G467" s="77">
        <f>SUMIF(积分汇总!$B:$B,C462,积分汇总!$E:$E)</f>
        <v>0</v>
      </c>
      <c r="H467" s="77">
        <f>SUMIF(记录巡查问题条数汇总!$B:$B,C462,记录巡查问题条数汇总!$E:$E)</f>
        <v>0</v>
      </c>
      <c r="I467" s="77"/>
      <c r="J467" s="77">
        <f>SUMIF(安全质量事故!$B:$B,C462,安全质量事故!$G:$G)</f>
        <v>0</v>
      </c>
      <c r="K467" s="72">
        <f>COUNTIF(L467:AP467,标准数据!$A$2)*标准数据!$B$2+COUNTIF(L467:AP467,标准数据!$A$3)*标准数据!$B$3+COUNTIF(L467:AP467,标准数据!$A$4)*标准数据!$B$4</f>
        <v>0</v>
      </c>
      <c r="L467" s="90"/>
      <c r="M467" s="90"/>
      <c r="N467" s="90"/>
      <c r="O467" s="90"/>
      <c r="P467" s="90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189"/>
      <c r="AQ467" s="55"/>
      <c r="AR467" s="41"/>
      <c r="AS467" s="41"/>
      <c r="AT467" s="41"/>
    </row>
    <row r="468" spans="1:48" ht="21" customHeight="1">
      <c r="A468" s="227" t="s">
        <v>2115</v>
      </c>
      <c r="B468" s="45" t="s">
        <v>154</v>
      </c>
      <c r="C468" s="46" t="s">
        <v>843</v>
      </c>
      <c r="D468" s="47" t="s">
        <v>779</v>
      </c>
      <c r="E468" s="48">
        <v>44018</v>
      </c>
      <c r="F468" s="49">
        <f t="shared" si="22"/>
        <v>0</v>
      </c>
      <c r="G468" s="77">
        <f>SUMIF(积分汇总!$B:$B,C467,积分汇总!$E:$E)</f>
        <v>0</v>
      </c>
      <c r="H468" s="77">
        <f>SUMIF(记录巡查问题条数汇总!$B:$B,C467,记录巡查问题条数汇总!$E:$E)</f>
        <v>0</v>
      </c>
      <c r="I468" s="77"/>
      <c r="J468" s="77">
        <f>SUMIF(安全质量事故!$B:$B,C467,安全质量事故!$G:$G)</f>
        <v>0</v>
      </c>
      <c r="K468" s="72">
        <f>COUNTIF(L468:AP468,标准数据!$A$2)*标准数据!$B$2+COUNTIF(L468:AP468,标准数据!$A$3)*标准数据!$B$3+COUNTIF(L468:AP468,标准数据!$A$4)*标准数据!$B$4</f>
        <v>0</v>
      </c>
      <c r="L468" s="55"/>
      <c r="M468" s="55"/>
      <c r="N468" s="55"/>
      <c r="O468" s="55"/>
      <c r="P468" s="90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189"/>
      <c r="AQ468" s="55"/>
      <c r="AR468" s="41"/>
      <c r="AS468" s="41"/>
      <c r="AT468" s="41"/>
    </row>
    <row r="469" spans="1:48" ht="21" customHeight="1">
      <c r="A469" s="227" t="s">
        <v>2115</v>
      </c>
      <c r="B469" s="45" t="s">
        <v>154</v>
      </c>
      <c r="C469" s="46" t="s">
        <v>844</v>
      </c>
      <c r="D469" s="47" t="s">
        <v>792</v>
      </c>
      <c r="E469" s="48">
        <v>41340</v>
      </c>
      <c r="F469" s="49">
        <f t="shared" si="22"/>
        <v>0</v>
      </c>
      <c r="G469" s="77">
        <f>SUMIF(积分汇总!$B:$B,C468,积分汇总!$E:$E)</f>
        <v>0</v>
      </c>
      <c r="H469" s="77">
        <f>SUMIF(记录巡查问题条数汇总!$B:$B,C468,记录巡查问题条数汇总!$E:$E)</f>
        <v>0</v>
      </c>
      <c r="I469" s="77"/>
      <c r="J469" s="77">
        <f>SUMIF(安全质量事故!$B:$B,C468,安全质量事故!$G:$G)</f>
        <v>0</v>
      </c>
      <c r="K469" s="72">
        <f>COUNTIF(L469:AP469,标准数据!$A$2)*标准数据!$B$2+COUNTIF(L469:AP469,标准数据!$A$3)*标准数据!$B$3+COUNTIF(L469:AP469,标准数据!$A$4)*标准数据!$B$4</f>
        <v>0</v>
      </c>
      <c r="L469" s="55"/>
      <c r="M469" s="55"/>
      <c r="N469" s="55"/>
      <c r="O469" s="55"/>
      <c r="P469" s="90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189"/>
      <c r="AQ469" s="55"/>
      <c r="AR469" s="41"/>
      <c r="AS469" s="41"/>
      <c r="AT469" s="41"/>
    </row>
    <row r="470" spans="1:48" ht="21" customHeight="1">
      <c r="A470" s="227" t="s">
        <v>2115</v>
      </c>
      <c r="B470" s="45" t="s">
        <v>154</v>
      </c>
      <c r="C470" s="46" t="s">
        <v>721</v>
      </c>
      <c r="D470" s="47" t="s">
        <v>687</v>
      </c>
      <c r="E470" s="48">
        <v>45980</v>
      </c>
      <c r="F470" s="49">
        <f t="shared" si="22"/>
        <v>0</v>
      </c>
      <c r="G470" s="77">
        <f>SUMIF(积分汇总!$B:$B,C469,积分汇总!$E:$E)</f>
        <v>0</v>
      </c>
      <c r="H470" s="77">
        <f>SUMIF(记录巡查问题条数汇总!$B:$B,C469,记录巡查问题条数汇总!$E:$E)</f>
        <v>0</v>
      </c>
      <c r="I470" s="77"/>
      <c r="J470" s="77">
        <f>SUMIF(安全质量事故!$B:$B,C469,安全质量事故!$G:$G)</f>
        <v>0</v>
      </c>
      <c r="K470" s="72">
        <f>COUNTIF(L470:AP470,标准数据!$A$2)*标准数据!$B$2+COUNTIF(L470:AP470,标准数据!$A$3)*标准数据!$B$3+COUNTIF(L470:AP470,标准数据!$A$4)*标准数据!$B$4</f>
        <v>0</v>
      </c>
      <c r="L470" s="55"/>
      <c r="M470" s="55"/>
      <c r="N470" s="55"/>
      <c r="O470" s="55"/>
      <c r="P470" s="90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189"/>
      <c r="AQ470" s="55"/>
      <c r="AR470" s="41"/>
      <c r="AS470" s="41"/>
      <c r="AT470" s="41"/>
    </row>
    <row r="471" spans="1:48" ht="21" customHeight="1">
      <c r="A471" s="227" t="s">
        <v>2115</v>
      </c>
      <c r="B471" s="45" t="s">
        <v>14</v>
      </c>
      <c r="C471" s="46" t="s">
        <v>563</v>
      </c>
      <c r="D471" s="47" t="s">
        <v>524</v>
      </c>
      <c r="E471" s="48">
        <v>45889</v>
      </c>
      <c r="F471" s="49">
        <f t="shared" si="22"/>
        <v>0</v>
      </c>
      <c r="G471" s="77">
        <f>SUMIF(积分汇总!$B:$B,C470,积分汇总!$E:$E)</f>
        <v>0</v>
      </c>
      <c r="H471" s="77">
        <f>SUMIF(记录巡查问题条数汇总!$B:$B,C470,记录巡查问题条数汇总!$E:$E)</f>
        <v>0</v>
      </c>
      <c r="I471" s="77"/>
      <c r="J471" s="77">
        <f>SUMIF(安全质量事故!$B:$B,C470,安全质量事故!$G:$G)</f>
        <v>0</v>
      </c>
      <c r="K471" s="72">
        <f>COUNTIF(L471:AP471,标准数据!$A$2)*标准数据!$B$2+COUNTIF(L471:AP471,标准数据!$A$3)*标准数据!$B$3+COUNTIF(L471:AP471,标准数据!$A$4)*标准数据!$B$4</f>
        <v>0</v>
      </c>
      <c r="L471" s="90"/>
      <c r="M471" s="90"/>
      <c r="N471" s="90"/>
      <c r="O471" s="90"/>
      <c r="P471" s="90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189"/>
      <c r="AQ471" s="55"/>
      <c r="AR471" s="41"/>
      <c r="AS471" s="41"/>
      <c r="AT471" s="41"/>
    </row>
    <row r="472" spans="1:48" ht="21" customHeight="1">
      <c r="A472" s="227" t="s">
        <v>2115</v>
      </c>
      <c r="B472" s="45" t="s">
        <v>14</v>
      </c>
      <c r="C472" s="46" t="s">
        <v>247</v>
      </c>
      <c r="D472" s="47" t="s">
        <v>223</v>
      </c>
      <c r="E472" s="48">
        <v>44753</v>
      </c>
      <c r="F472" s="49">
        <f t="shared" si="22"/>
        <v>0</v>
      </c>
      <c r="G472" s="77">
        <f>SUMIF(积分汇总!$B:$B,C471,积分汇总!$E:$E)</f>
        <v>0</v>
      </c>
      <c r="H472" s="77">
        <f>SUMIF(记录巡查问题条数汇总!$B:$B,C471,记录巡查问题条数汇总!$E:$E)</f>
        <v>0</v>
      </c>
      <c r="I472" s="77"/>
      <c r="J472" s="77">
        <f>SUMIF(安全质量事故!$B:$B,C471,安全质量事故!$G:$G)</f>
        <v>0</v>
      </c>
      <c r="K472" s="72">
        <f>COUNTIF(L472:AP472,标准数据!$A$2)*标准数据!$B$2+COUNTIF(L472:AP472,标准数据!$A$3)*标准数据!$B$3+COUNTIF(L472:AP472,标准数据!$A$4)*标准数据!$B$4</f>
        <v>0</v>
      </c>
      <c r="L472" s="90"/>
      <c r="M472" s="90"/>
      <c r="N472" s="90"/>
      <c r="O472" s="90"/>
      <c r="P472" s="90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189"/>
      <c r="AQ472" s="55"/>
      <c r="AR472" s="41"/>
      <c r="AS472" s="41"/>
      <c r="AT472" s="41"/>
    </row>
    <row r="473" spans="1:48" ht="21" customHeight="1">
      <c r="A473" s="227" t="s">
        <v>2115</v>
      </c>
      <c r="B473" s="45" t="s">
        <v>14</v>
      </c>
      <c r="C473" s="46" t="s">
        <v>561</v>
      </c>
      <c r="D473" s="47" t="s">
        <v>522</v>
      </c>
      <c r="E473" s="48">
        <v>45139</v>
      </c>
      <c r="F473" s="49">
        <f t="shared" si="22"/>
        <v>0</v>
      </c>
      <c r="G473" s="77">
        <f>SUMIF(积分汇总!$B:$B,C472,积分汇总!$E:$E)</f>
        <v>0</v>
      </c>
      <c r="H473" s="77">
        <f>SUMIF(记录巡查问题条数汇总!$B:$B,C472,记录巡查问题条数汇总!$E:$E)</f>
        <v>0</v>
      </c>
      <c r="I473" s="77"/>
      <c r="J473" s="77">
        <f>SUMIF(安全质量事故!$B:$B,C472,安全质量事故!$G:$G)</f>
        <v>0</v>
      </c>
      <c r="K473" s="72">
        <f>COUNTIF(L473:AP473,标准数据!$A$2)*标准数据!$B$2+COUNTIF(L473:AP473,标准数据!$A$3)*标准数据!$B$3+COUNTIF(L473:AP473,标准数据!$A$4)*标准数据!$B$4</f>
        <v>0</v>
      </c>
      <c r="L473" s="90"/>
      <c r="M473" s="90"/>
      <c r="N473" s="90"/>
      <c r="O473" s="90"/>
      <c r="P473" s="90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189"/>
      <c r="AQ473" s="55"/>
      <c r="AR473" s="41"/>
      <c r="AS473" s="41"/>
      <c r="AT473" s="41"/>
    </row>
    <row r="474" spans="1:48" s="51" customFormat="1" ht="21" customHeight="1">
      <c r="A474" s="227" t="s">
        <v>2115</v>
      </c>
      <c r="B474" s="45" t="s">
        <v>14</v>
      </c>
      <c r="C474" s="46" t="s">
        <v>623</v>
      </c>
      <c r="D474" s="47" t="s">
        <v>588</v>
      </c>
      <c r="E474" s="48" t="s">
        <v>1038</v>
      </c>
      <c r="F474" s="49">
        <f t="shared" si="22"/>
        <v>0</v>
      </c>
      <c r="G474" s="77">
        <f>SUMIF(积分汇总!$B:$B,C473,积分汇总!$E:$E)</f>
        <v>0</v>
      </c>
      <c r="H474" s="77">
        <f>SUMIF(记录巡查问题条数汇总!$B:$B,C473,记录巡查问题条数汇总!$E:$E)</f>
        <v>0</v>
      </c>
      <c r="I474" s="77"/>
      <c r="J474" s="77">
        <f>SUMIF(安全质量事故!$B:$B,C473,安全质量事故!$G:$G)</f>
        <v>0</v>
      </c>
      <c r="K474" s="72">
        <f>COUNTIF(L474:AP474,标准数据!$A$2)*标准数据!$B$2+COUNTIF(L474:AP474,标准数据!$A$3)*标准数据!$B$3+COUNTIF(L474:AP474,标准数据!$A$4)*标准数据!$B$4</f>
        <v>0</v>
      </c>
      <c r="L474" s="90"/>
      <c r="M474" s="90"/>
      <c r="N474" s="90"/>
      <c r="O474" s="90"/>
      <c r="P474" s="90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189"/>
      <c r="AQ474" s="55"/>
      <c r="AR474" s="41"/>
      <c r="AS474" s="41"/>
      <c r="AT474" s="41"/>
      <c r="AU474" s="76"/>
      <c r="AV474" s="41"/>
    </row>
    <row r="475" spans="1:48" ht="21" customHeight="1">
      <c r="A475" s="227" t="s">
        <v>2115</v>
      </c>
      <c r="B475" s="45" t="s">
        <v>14</v>
      </c>
      <c r="C475" s="46" t="s">
        <v>624</v>
      </c>
      <c r="D475" s="47" t="s">
        <v>589</v>
      </c>
      <c r="E475" s="48" t="s">
        <v>1038</v>
      </c>
      <c r="F475" s="49">
        <f t="shared" si="22"/>
        <v>0</v>
      </c>
      <c r="G475" s="77">
        <f>SUMIF(积分汇总!$B:$B,C474,积分汇总!$E:$E)</f>
        <v>0</v>
      </c>
      <c r="H475" s="77">
        <f>SUMIF(记录巡查问题条数汇总!$B:$B,C474,记录巡查问题条数汇总!$E:$E)</f>
        <v>0</v>
      </c>
      <c r="I475" s="77"/>
      <c r="J475" s="77">
        <f>SUMIF(安全质量事故!$B:$B,C474,安全质量事故!$G:$G)</f>
        <v>0</v>
      </c>
      <c r="K475" s="72">
        <f>COUNTIF(L475:AP475,标准数据!$A$2)*标准数据!$B$2+COUNTIF(L475:AP475,标准数据!$A$3)*标准数据!$B$3+COUNTIF(L475:AP475,标准数据!$A$4)*标准数据!$B$4</f>
        <v>0</v>
      </c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189"/>
      <c r="AQ475" s="55"/>
      <c r="AR475" s="41"/>
      <c r="AS475" s="41"/>
      <c r="AT475" s="41"/>
    </row>
    <row r="476" spans="1:48" ht="21" customHeight="1">
      <c r="A476" s="227" t="s">
        <v>2115</v>
      </c>
      <c r="B476" s="45" t="s">
        <v>14</v>
      </c>
      <c r="C476" s="46" t="s">
        <v>228</v>
      </c>
      <c r="D476" s="47" t="s">
        <v>229</v>
      </c>
      <c r="E476" s="48">
        <v>45483</v>
      </c>
      <c r="F476" s="49">
        <f t="shared" si="22"/>
        <v>0</v>
      </c>
      <c r="G476" s="77">
        <f>SUMIF(积分汇总!$B:$B,C475,积分汇总!$E:$E)</f>
        <v>0</v>
      </c>
      <c r="H476" s="77">
        <f>SUMIF(记录巡查问题条数汇总!$B:$B,C475,记录巡查问题条数汇总!$E:$E)</f>
        <v>0</v>
      </c>
      <c r="I476" s="77"/>
      <c r="J476" s="77">
        <f>SUMIF(安全质量事故!$B:$B,C475,安全质量事故!$G:$G)</f>
        <v>0</v>
      </c>
      <c r="K476" s="72">
        <f>COUNTIF(L476:AP476,标准数据!$A$2)*标准数据!$B$2+COUNTIF(L476:AP476,标准数据!$A$3)*标准数据!$B$3+COUNTIF(L476:AP476,标准数据!$A$4)*标准数据!$B$4</f>
        <v>0</v>
      </c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189"/>
      <c r="AQ476" s="55"/>
      <c r="AR476" s="194"/>
      <c r="AS476" s="41"/>
      <c r="AT476" s="41"/>
    </row>
    <row r="477" spans="1:48" ht="21" customHeight="1">
      <c r="A477" s="227" t="s">
        <v>2115</v>
      </c>
      <c r="B477" s="45" t="s">
        <v>87</v>
      </c>
      <c r="C477" s="46" t="s">
        <v>551</v>
      </c>
      <c r="D477" s="47" t="s">
        <v>516</v>
      </c>
      <c r="E477" s="48">
        <v>45889</v>
      </c>
      <c r="F477" s="49">
        <f t="shared" si="22"/>
        <v>0</v>
      </c>
      <c r="G477" s="77">
        <f>SUMIF(积分汇总!$B:$B,C476,积分汇总!$E:$E)</f>
        <v>0</v>
      </c>
      <c r="H477" s="77">
        <f>SUMIF(记录巡查问题条数汇总!$B:$B,C476,记录巡查问题条数汇总!$E:$E)</f>
        <v>0</v>
      </c>
      <c r="I477" s="77"/>
      <c r="J477" s="77">
        <f>SUMIF(安全质量事故!$B:$B,C476,安全质量事故!$G:$G)</f>
        <v>0</v>
      </c>
      <c r="K477" s="72">
        <f>COUNTIF(L477:AP477,标准数据!$A$2)*标准数据!$B$2+COUNTIF(L477:AP477,标准数据!$A$3)*标准数据!$B$3+COUNTIF(L477:AP477,标准数据!$A$4)*标准数据!$B$4</f>
        <v>0</v>
      </c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189"/>
      <c r="AQ477" s="55"/>
      <c r="AR477" s="41"/>
      <c r="AS477" s="41"/>
      <c r="AT477" s="41"/>
    </row>
    <row r="478" spans="1:48" ht="21" customHeight="1">
      <c r="A478" s="227" t="s">
        <v>2115</v>
      </c>
      <c r="B478" s="45" t="s">
        <v>14</v>
      </c>
      <c r="C478" s="46" t="s">
        <v>647</v>
      </c>
      <c r="D478" s="47" t="s">
        <v>580</v>
      </c>
      <c r="E478" s="48">
        <v>45896</v>
      </c>
      <c r="F478" s="49">
        <f t="shared" si="22"/>
        <v>0</v>
      </c>
      <c r="G478" s="77">
        <f>SUMIF(积分汇总!$B:$B,C477,积分汇总!$E:$E)</f>
        <v>0</v>
      </c>
      <c r="H478" s="77">
        <f>SUMIF(记录巡查问题条数汇总!$B:$B,C477,记录巡查问题条数汇总!$E:$E)</f>
        <v>0</v>
      </c>
      <c r="I478" s="77"/>
      <c r="J478" s="77">
        <f>SUMIF(安全质量事故!$B:$B,C477,安全质量事故!$G:$G)</f>
        <v>0</v>
      </c>
      <c r="K478" s="72">
        <f>COUNTIF(L478:AP478,标准数据!$A$2)*标准数据!$B$2+COUNTIF(L478:AP478,标准数据!$A$3)*标准数据!$B$3+COUNTIF(L478:AP478,标准数据!$A$4)*标准数据!$B$4</f>
        <v>0</v>
      </c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189"/>
      <c r="AQ478" s="55"/>
    </row>
    <row r="479" spans="1:48" ht="21" customHeight="1">
      <c r="A479" s="227" t="s">
        <v>2115</v>
      </c>
      <c r="B479" s="45" t="s">
        <v>87</v>
      </c>
      <c r="C479" s="46" t="s">
        <v>727</v>
      </c>
      <c r="D479" s="52" t="s">
        <v>693</v>
      </c>
      <c r="E479" s="46">
        <v>45509</v>
      </c>
      <c r="F479" s="49">
        <f t="shared" ref="F479:F540" si="25">(K479+G479+H479+I479-J479)</f>
        <v>0</v>
      </c>
      <c r="G479" s="77">
        <f>SUMIF(积分汇总!$B:$B,C478,积分汇总!$E:$E)</f>
        <v>0</v>
      </c>
      <c r="H479" s="77">
        <f>SUMIF(记录巡查问题条数汇总!$B:$B,C478,记录巡查问题条数汇总!$E:$E)</f>
        <v>0</v>
      </c>
      <c r="I479" s="77"/>
      <c r="J479" s="77">
        <f>SUMIF(安全质量事故!$B:$B,C478,安全质量事故!$G:$G)</f>
        <v>0</v>
      </c>
      <c r="K479" s="72">
        <f>COUNTIF(L479:AP479,标准数据!$A$2)*标准数据!$B$2+COUNTIF(L479:AP479,标准数据!$A$3)*标准数据!$B$3+COUNTIF(L479:AP479,标准数据!$A$4)*标准数据!$B$4</f>
        <v>0</v>
      </c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189"/>
      <c r="AQ479" s="55"/>
    </row>
    <row r="480" spans="1:48" ht="21" customHeight="1">
      <c r="A480" s="227" t="s">
        <v>2115</v>
      </c>
      <c r="B480" s="45" t="s">
        <v>14</v>
      </c>
      <c r="C480" s="46" t="s">
        <v>734</v>
      </c>
      <c r="D480" s="52" t="s">
        <v>705</v>
      </c>
      <c r="E480" s="48">
        <v>45959</v>
      </c>
      <c r="F480" s="49">
        <f t="shared" si="25"/>
        <v>0</v>
      </c>
      <c r="G480" s="77">
        <f>SUMIF(积分汇总!$B:$B,C479,积分汇总!$E:$E)</f>
        <v>0</v>
      </c>
      <c r="H480" s="77">
        <f>SUMIF(记录巡查问题条数汇总!$B:$B,C479,记录巡查问题条数汇总!$E:$E)</f>
        <v>0</v>
      </c>
      <c r="I480" s="77"/>
      <c r="J480" s="77">
        <f>SUMIF(安全质量事故!$B:$B,C479,安全质量事故!$G:$G)</f>
        <v>0</v>
      </c>
      <c r="K480" s="72">
        <f>COUNTIF(L480:AP480,标准数据!$A$2)*标准数据!$B$2+COUNTIF(L480:AP480,标准数据!$A$3)*标准数据!$B$3+COUNTIF(L480:AP480,标准数据!$A$4)*标准数据!$B$4</f>
        <v>0</v>
      </c>
      <c r="L480" s="90"/>
      <c r="M480" s="90"/>
      <c r="N480" s="90"/>
      <c r="O480" s="90"/>
      <c r="P480" s="90"/>
      <c r="Q480" s="90"/>
      <c r="R480" s="90"/>
      <c r="S480" s="90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189"/>
      <c r="AQ480" s="55"/>
    </row>
    <row r="481" spans="1:46" ht="21" customHeight="1">
      <c r="A481" s="227" t="s">
        <v>2115</v>
      </c>
      <c r="B481" s="45" t="s">
        <v>14</v>
      </c>
      <c r="C481" s="46" t="s">
        <v>825</v>
      </c>
      <c r="D481" s="52" t="s">
        <v>782</v>
      </c>
      <c r="E481" s="48">
        <v>45994</v>
      </c>
      <c r="F481" s="49">
        <f t="shared" si="25"/>
        <v>0</v>
      </c>
      <c r="G481" s="77">
        <f>SUMIF(积分汇总!$B:$B,C480,积分汇总!$E:$E)</f>
        <v>0</v>
      </c>
      <c r="H481" s="77">
        <f>SUMIF(记录巡查问题条数汇总!$B:$B,C480,记录巡查问题条数汇总!$E:$E)</f>
        <v>0</v>
      </c>
      <c r="I481" s="77"/>
      <c r="J481" s="77">
        <f>SUMIF(安全质量事故!$B:$B,C480,安全质量事故!$G:$G)</f>
        <v>0</v>
      </c>
      <c r="K481" s="72">
        <f>COUNTIF(L481:AP481,标准数据!$A$2)*标准数据!$B$2+COUNTIF(L481:AP481,标准数据!$A$3)*标准数据!$B$3+COUNTIF(L481:AP481,标准数据!$A$4)*标准数据!$B$4</f>
        <v>0</v>
      </c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189"/>
      <c r="AQ481" s="55"/>
    </row>
    <row r="482" spans="1:46" ht="21" customHeight="1">
      <c r="A482" s="227" t="s">
        <v>2115</v>
      </c>
      <c r="B482" s="45" t="s">
        <v>14</v>
      </c>
      <c r="C482" s="46" t="s">
        <v>826</v>
      </c>
      <c r="D482" s="47" t="s">
        <v>783</v>
      </c>
      <c r="E482" s="48">
        <v>45896</v>
      </c>
      <c r="F482" s="49">
        <f t="shared" si="25"/>
        <v>0</v>
      </c>
      <c r="G482" s="77">
        <f>SUMIF(积分汇总!$B:$B,C481,积分汇总!$E:$E)</f>
        <v>0</v>
      </c>
      <c r="H482" s="77">
        <f>SUMIF(记录巡查问题条数汇总!$B:$B,C481,记录巡查问题条数汇总!$E:$E)</f>
        <v>0</v>
      </c>
      <c r="I482" s="77"/>
      <c r="J482" s="77">
        <f>SUMIF(安全质量事故!$B:$B,C481,安全质量事故!$G:$G)</f>
        <v>0</v>
      </c>
      <c r="K482" s="72">
        <f>COUNTIF(L482:AP482,标准数据!$A$2)*标准数据!$B$2+COUNTIF(L482:AP482,标准数据!$A$3)*标准数据!$B$3+COUNTIF(L482:AP482,标准数据!$A$4)*标准数据!$B$4</f>
        <v>0</v>
      </c>
      <c r="L482" s="90"/>
      <c r="M482" s="90"/>
      <c r="N482" s="90"/>
      <c r="O482" s="90"/>
      <c r="P482" s="90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189"/>
      <c r="AQ482" s="55"/>
    </row>
    <row r="483" spans="1:46" ht="21" customHeight="1">
      <c r="A483" s="227" t="s">
        <v>2115</v>
      </c>
      <c r="B483" s="45" t="s">
        <v>14</v>
      </c>
      <c r="C483" s="46" t="s">
        <v>868</v>
      </c>
      <c r="D483" s="47" t="s">
        <v>784</v>
      </c>
      <c r="E483" s="48">
        <v>45896</v>
      </c>
      <c r="F483" s="49">
        <f t="shared" si="25"/>
        <v>0</v>
      </c>
      <c r="G483" s="77">
        <f>SUMIF(积分汇总!$B:$B,#REF!,积分汇总!$E:$E)</f>
        <v>0</v>
      </c>
      <c r="H483" s="77">
        <f>SUMIF(记录巡查问题条数汇总!$B:$B,#REF!,记录巡查问题条数汇总!$E:$E)</f>
        <v>0</v>
      </c>
      <c r="I483" s="77"/>
      <c r="J483" s="77">
        <f>SUMIF(安全质量事故!$B:$B,#REF!,安全质量事故!$G:$G)</f>
        <v>0</v>
      </c>
      <c r="K483" s="72">
        <f>COUNTIF(L483:AP483,标准数据!$A$2)*标准数据!$B$2+COUNTIF(L483:AP483,标准数据!$A$3)*标准数据!$B$3+COUNTIF(L483:AP483,标准数据!$A$4)*标准数据!$B$4</f>
        <v>0</v>
      </c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189"/>
      <c r="AQ483" s="55"/>
    </row>
    <row r="484" spans="1:46" ht="21" customHeight="1">
      <c r="A484" s="227" t="s">
        <v>2115</v>
      </c>
      <c r="B484" s="45" t="s">
        <v>87</v>
      </c>
      <c r="C484" s="46" t="s">
        <v>827</v>
      </c>
      <c r="D484" s="52" t="s">
        <v>785</v>
      </c>
      <c r="E484" s="46">
        <v>45994</v>
      </c>
      <c r="F484" s="49">
        <f t="shared" si="25"/>
        <v>0</v>
      </c>
      <c r="G484" s="77">
        <f>SUMIF(积分汇总!$B:$B,C483,积分汇总!$E:$E)</f>
        <v>0</v>
      </c>
      <c r="H484" s="77">
        <f>SUMIF(记录巡查问题条数汇总!$B:$B,C483,记录巡查问题条数汇总!$E:$E)</f>
        <v>0</v>
      </c>
      <c r="I484" s="77"/>
      <c r="J484" s="77">
        <f>SUMIF(安全质量事故!$B:$B,C483,安全质量事故!$G:$G)</f>
        <v>0</v>
      </c>
      <c r="K484" s="72">
        <f>COUNTIF(L484:AP484,标准数据!$A$2)*标准数据!$B$2+COUNTIF(L484:AP484,标准数据!$A$3)*标准数据!$B$3+COUNTIF(L484:AP484,标准数据!$A$4)*标准数据!$B$4</f>
        <v>0</v>
      </c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189"/>
      <c r="AQ484" s="55"/>
      <c r="AR484" s="41"/>
      <c r="AS484" s="41"/>
      <c r="AT484" s="41"/>
    </row>
    <row r="485" spans="1:46" ht="21" customHeight="1">
      <c r="A485" s="227" t="s">
        <v>2115</v>
      </c>
      <c r="B485" s="45" t="s">
        <v>14</v>
      </c>
      <c r="C485" s="46" t="s">
        <v>830</v>
      </c>
      <c r="D485" s="52" t="s">
        <v>788</v>
      </c>
      <c r="E485" s="48">
        <v>46001</v>
      </c>
      <c r="F485" s="49">
        <f t="shared" si="25"/>
        <v>0</v>
      </c>
      <c r="G485" s="77">
        <f>SUMIF(积分汇总!$B:$B,C484,积分汇总!$E:$E)</f>
        <v>0</v>
      </c>
      <c r="H485" s="77">
        <f>SUMIF(记录巡查问题条数汇总!$B:$B,C484,记录巡查问题条数汇总!$E:$E)</f>
        <v>0</v>
      </c>
      <c r="I485" s="77"/>
      <c r="J485" s="77">
        <f>SUMIF(安全质量事故!$B:$B,C484,安全质量事故!$G:$G)</f>
        <v>0</v>
      </c>
      <c r="K485" s="72">
        <f>COUNTIF(L485:AP485,标准数据!$A$2)*标准数据!$B$2+COUNTIF(L485:AP485,标准数据!$A$3)*标准数据!$B$3+COUNTIF(L485:AP485,标准数据!$A$4)*标准数据!$B$4</f>
        <v>0</v>
      </c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189"/>
      <c r="AQ485" s="55"/>
      <c r="AR485" s="41"/>
      <c r="AS485" s="41"/>
      <c r="AT485" s="41"/>
    </row>
    <row r="486" spans="1:46" ht="21" customHeight="1">
      <c r="A486" s="227" t="s">
        <v>2115</v>
      </c>
      <c r="B486" s="45" t="s">
        <v>14</v>
      </c>
      <c r="C486" s="46" t="s">
        <v>831</v>
      </c>
      <c r="D486" s="47" t="s">
        <v>789</v>
      </c>
      <c r="E486" s="48">
        <v>46008</v>
      </c>
      <c r="F486" s="49">
        <f t="shared" si="25"/>
        <v>0</v>
      </c>
      <c r="G486" s="77">
        <f>SUMIF(积分汇总!$B:$B,C485,积分汇总!$E:$E)</f>
        <v>0</v>
      </c>
      <c r="H486" s="77">
        <f>SUMIF(记录巡查问题条数汇总!$B:$B,C485,记录巡查问题条数汇总!$E:$E)</f>
        <v>0</v>
      </c>
      <c r="I486" s="77"/>
      <c r="J486" s="77">
        <f>SUMIF(安全质量事故!$B:$B,C485,安全质量事故!$G:$G)</f>
        <v>0</v>
      </c>
      <c r="K486" s="72">
        <f>COUNTIF(L486:AP486,标准数据!$A$2)*标准数据!$B$2+COUNTIF(L486:AP486,标准数据!$A$3)*标准数据!$B$3+COUNTIF(L486:AP486,标准数据!$A$4)*标准数据!$B$4</f>
        <v>0</v>
      </c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189"/>
      <c r="AQ486" s="55"/>
    </row>
    <row r="487" spans="1:46" ht="21" customHeight="1">
      <c r="A487" s="227" t="s">
        <v>2115</v>
      </c>
      <c r="B487" s="45" t="s">
        <v>87</v>
      </c>
      <c r="C487" s="46" t="s">
        <v>832</v>
      </c>
      <c r="D487" s="52" t="s">
        <v>791</v>
      </c>
      <c r="E487" s="46">
        <v>45987</v>
      </c>
      <c r="F487" s="49">
        <f t="shared" si="25"/>
        <v>0</v>
      </c>
      <c r="G487" s="77">
        <f>SUMIF(积分汇总!$B:$B,C486,积分汇总!$E:$E)</f>
        <v>0</v>
      </c>
      <c r="H487" s="77">
        <f>SUMIF(记录巡查问题条数汇总!$B:$B,C486,记录巡查问题条数汇总!$E:$E)</f>
        <v>0</v>
      </c>
      <c r="I487" s="77"/>
      <c r="J487" s="77">
        <f>SUMIF(安全质量事故!$B:$B,C486,安全质量事故!$G:$G)</f>
        <v>0</v>
      </c>
      <c r="K487" s="72">
        <f>COUNTIF(L487:AP487,标准数据!$A$2)*标准数据!$B$2+COUNTIF(L487:AP487,标准数据!$A$3)*标准数据!$B$3+COUNTIF(L487:AP487,标准数据!$A$4)*标准数据!$B$4</f>
        <v>0</v>
      </c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189"/>
      <c r="AQ487" s="55"/>
    </row>
    <row r="488" spans="1:46" ht="21" customHeight="1">
      <c r="A488" s="227" t="s">
        <v>2115</v>
      </c>
      <c r="B488" s="45" t="s">
        <v>14</v>
      </c>
      <c r="C488" s="46" t="s">
        <v>833</v>
      </c>
      <c r="D488" s="47" t="s">
        <v>794</v>
      </c>
      <c r="E488" s="48">
        <v>43922</v>
      </c>
      <c r="F488" s="49">
        <f t="shared" si="25"/>
        <v>0</v>
      </c>
      <c r="G488" s="77">
        <f>SUMIF(积分汇总!$B:$B,C487,积分汇总!$E:$E)</f>
        <v>0</v>
      </c>
      <c r="H488" s="77">
        <f>SUMIF(记录巡查问题条数汇总!$B:$B,C487,记录巡查问题条数汇总!$E:$E)</f>
        <v>0</v>
      </c>
      <c r="I488" s="77"/>
      <c r="J488" s="77">
        <f>SUMIF(安全质量事故!$B:$B,C487,安全质量事故!$G:$G)</f>
        <v>0</v>
      </c>
      <c r="K488" s="72">
        <f>COUNTIF(L488:AP488,标准数据!$A$2)*标准数据!$B$2+COUNTIF(L488:AP488,标准数据!$A$3)*标准数据!$B$3+COUNTIF(L488:AP488,标准数据!$A$4)*标准数据!$B$4</f>
        <v>0</v>
      </c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189"/>
      <c r="AQ488" s="55"/>
      <c r="AR488" s="41"/>
      <c r="AS488" s="41"/>
      <c r="AT488" s="41"/>
    </row>
    <row r="489" spans="1:46" ht="21" customHeight="1">
      <c r="A489" s="227" t="s">
        <v>2115</v>
      </c>
      <c r="B489" s="45" t="s">
        <v>14</v>
      </c>
      <c r="C489" s="46" t="s">
        <v>834</v>
      </c>
      <c r="D489" s="47" t="s">
        <v>795</v>
      </c>
      <c r="E489" s="48">
        <v>44706</v>
      </c>
      <c r="F489" s="49">
        <f t="shared" si="25"/>
        <v>0</v>
      </c>
      <c r="G489" s="77">
        <f>SUMIF(积分汇总!$B:$B,C488,积分汇总!$E:$E)</f>
        <v>0</v>
      </c>
      <c r="H489" s="77">
        <f>SUMIF(记录巡查问题条数汇总!$B:$B,C488,记录巡查问题条数汇总!$E:$E)</f>
        <v>0</v>
      </c>
      <c r="I489" s="77"/>
      <c r="J489" s="77">
        <f>SUMIF(安全质量事故!$B:$B,C488,安全质量事故!$G:$G)</f>
        <v>0</v>
      </c>
      <c r="K489" s="72">
        <f>COUNTIF(L489:AP489,标准数据!$A$2)*标准数据!$B$2+COUNTIF(L489:AP489,标准数据!$A$3)*标准数据!$B$3+COUNTIF(L489:AP489,标准数据!$A$4)*标准数据!$B$4</f>
        <v>0</v>
      </c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189"/>
      <c r="AQ489" s="55"/>
      <c r="AR489" s="41"/>
      <c r="AS489" s="41"/>
      <c r="AT489" s="41"/>
    </row>
    <row r="490" spans="1:46" ht="21" customHeight="1">
      <c r="A490" s="227" t="s">
        <v>2115</v>
      </c>
      <c r="B490" s="45" t="s">
        <v>14</v>
      </c>
      <c r="C490" s="46" t="s">
        <v>837</v>
      </c>
      <c r="D490" s="47" t="s">
        <v>798</v>
      </c>
      <c r="E490" s="48">
        <v>45987</v>
      </c>
      <c r="F490" s="49">
        <f t="shared" si="25"/>
        <v>0</v>
      </c>
      <c r="G490" s="77">
        <f>SUMIF(积分汇总!$B:$B,C489,积分汇总!$E:$E)</f>
        <v>0</v>
      </c>
      <c r="H490" s="77">
        <f>SUMIF(记录巡查问题条数汇总!$B:$B,C489,记录巡查问题条数汇总!$E:$E)</f>
        <v>0</v>
      </c>
      <c r="I490" s="77"/>
      <c r="J490" s="77">
        <f>SUMIF(安全质量事故!$B:$B,C489,安全质量事故!$G:$G)</f>
        <v>0</v>
      </c>
      <c r="K490" s="72">
        <f>COUNTIF(L490:AP490,标准数据!$A$2)*标准数据!$B$2+COUNTIF(L490:AP490,标准数据!$A$3)*标准数据!$B$3+COUNTIF(L490:AP490,标准数据!$A$4)*标准数据!$B$4</f>
        <v>0</v>
      </c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189"/>
      <c r="AQ490" s="55"/>
      <c r="AR490" s="41"/>
      <c r="AS490" s="41"/>
      <c r="AT490" s="41"/>
    </row>
    <row r="491" spans="1:46" ht="21" customHeight="1">
      <c r="A491" s="227" t="s">
        <v>2115</v>
      </c>
      <c r="B491" s="45" t="s">
        <v>14</v>
      </c>
      <c r="C491" s="46" t="s">
        <v>351</v>
      </c>
      <c r="D491" s="47" t="s">
        <v>335</v>
      </c>
      <c r="E491" s="48">
        <v>45637</v>
      </c>
      <c r="F491" s="49">
        <f t="shared" si="25"/>
        <v>0</v>
      </c>
      <c r="G491" s="77">
        <f>SUMIF(积分汇总!$B:$B,C490,积分汇总!$E:$E)</f>
        <v>0</v>
      </c>
      <c r="H491" s="77">
        <f>SUMIF(记录巡查问题条数汇总!$B:$B,C490,记录巡查问题条数汇总!$E:$E)</f>
        <v>0</v>
      </c>
      <c r="I491" s="77"/>
      <c r="J491" s="77">
        <f>SUMIF(安全质量事故!$B:$B,C490,安全质量事故!$G:$G)</f>
        <v>0</v>
      </c>
      <c r="K491" s="72">
        <f>COUNTIF(L491:AP491,标准数据!$A$2)*标准数据!$B$2+COUNTIF(L491:AP491,标准数据!$A$3)*标准数据!$B$3+COUNTIF(L491:AP491,标准数据!$A$4)*标准数据!$B$4</f>
        <v>0</v>
      </c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189"/>
      <c r="AQ491" s="55"/>
      <c r="AR491" s="41"/>
      <c r="AS491" s="41"/>
      <c r="AT491" s="41"/>
    </row>
    <row r="492" spans="1:46" ht="21" customHeight="1">
      <c r="A492" s="227" t="s">
        <v>2115</v>
      </c>
      <c r="B492" s="45" t="s">
        <v>14</v>
      </c>
      <c r="C492" s="46" t="s">
        <v>914</v>
      </c>
      <c r="D492" s="47" t="s">
        <v>885</v>
      </c>
      <c r="E492" s="48">
        <v>45916</v>
      </c>
      <c r="F492" s="49">
        <f t="shared" si="25"/>
        <v>0</v>
      </c>
      <c r="G492" s="77">
        <f>SUMIF(积分汇总!$B:$B,C491,积分汇总!$E:$E)</f>
        <v>0</v>
      </c>
      <c r="H492" s="77">
        <f>SUMIF(记录巡查问题条数汇总!$B:$B,C491,记录巡查问题条数汇总!$E:$E)</f>
        <v>0</v>
      </c>
      <c r="I492" s="77"/>
      <c r="J492" s="77">
        <f>SUMIF(安全质量事故!$B:$B,C491,安全质量事故!$G:$G)</f>
        <v>0</v>
      </c>
      <c r="K492" s="72">
        <f>COUNTIF(L492:AP492,标准数据!$A$2)*标准数据!$B$2+COUNTIF(L492:AP492,标准数据!$A$3)*标准数据!$B$3+COUNTIF(L492:AP492,标准数据!$A$4)*标准数据!$B$4</f>
        <v>0</v>
      </c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189"/>
      <c r="AQ492" s="55"/>
    </row>
    <row r="493" spans="1:46" ht="21" customHeight="1">
      <c r="A493" s="227" t="s">
        <v>2115</v>
      </c>
      <c r="B493" s="45" t="s">
        <v>14</v>
      </c>
      <c r="C493" s="46" t="s">
        <v>557</v>
      </c>
      <c r="D493" s="47" t="s">
        <v>532</v>
      </c>
      <c r="E493" s="48">
        <v>45882</v>
      </c>
      <c r="F493" s="49">
        <f t="shared" si="25"/>
        <v>0</v>
      </c>
      <c r="G493" s="77">
        <f>SUMIF(积分汇总!$B:$B,C492,积分汇总!$E:$E)</f>
        <v>0</v>
      </c>
      <c r="H493" s="77">
        <f>SUMIF(记录巡查问题条数汇总!$B:$B,C492,记录巡查问题条数汇总!$E:$E)</f>
        <v>0</v>
      </c>
      <c r="I493" s="77"/>
      <c r="J493" s="77">
        <f>SUMIF(安全质量事故!$B:$B,C492,安全质量事故!$G:$G)</f>
        <v>0</v>
      </c>
      <c r="K493" s="72">
        <f>COUNTIF(L493:AP493,标准数据!$A$2)*标准数据!$B$2+COUNTIF(L493:AP493,标准数据!$A$3)*标准数据!$B$3+COUNTIF(L493:AP493,标准数据!$A$4)*标准数据!$B$4</f>
        <v>0</v>
      </c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192"/>
      <c r="AQ493" s="90"/>
    </row>
    <row r="494" spans="1:46" ht="21" customHeight="1">
      <c r="A494" s="227" t="s">
        <v>2115</v>
      </c>
      <c r="B494" s="45" t="s">
        <v>87</v>
      </c>
      <c r="C494" s="46" t="s">
        <v>479</v>
      </c>
      <c r="D494" s="47" t="s">
        <v>448</v>
      </c>
      <c r="E494" s="48">
        <v>45833</v>
      </c>
      <c r="F494" s="49">
        <f t="shared" si="25"/>
        <v>0</v>
      </c>
      <c r="G494" s="77">
        <f>SUMIF(积分汇总!$B:$B,C493,积分汇总!$E:$E)</f>
        <v>0</v>
      </c>
      <c r="H494" s="77">
        <f>SUMIF(记录巡查问题条数汇总!$B:$B,C493,记录巡查问题条数汇总!$E:$E)</f>
        <v>0</v>
      </c>
      <c r="I494" s="77"/>
      <c r="J494" s="77">
        <f>SUMIF(安全质量事故!$B:$B,C493,安全质量事故!$G:$G)</f>
        <v>0</v>
      </c>
      <c r="K494" s="72">
        <f>COUNTIF(L494:AP494,标准数据!$A$2)*标准数据!$B$2+COUNTIF(L494:AP494,标准数据!$A$3)*标准数据!$B$3+COUNTIF(L494:AP494,标准数据!$A$4)*标准数据!$B$4</f>
        <v>0</v>
      </c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189"/>
      <c r="AQ494" s="55"/>
      <c r="AR494" s="41"/>
      <c r="AS494" s="41"/>
      <c r="AT494" s="41"/>
    </row>
    <row r="495" spans="1:46" ht="21" customHeight="1">
      <c r="A495" s="227" t="s">
        <v>2115</v>
      </c>
      <c r="B495" s="45" t="s">
        <v>14</v>
      </c>
      <c r="C495" s="46" t="s">
        <v>863</v>
      </c>
      <c r="D495" s="47" t="s">
        <v>810</v>
      </c>
      <c r="E495" s="48">
        <v>45987</v>
      </c>
      <c r="F495" s="49">
        <f t="shared" si="25"/>
        <v>0</v>
      </c>
      <c r="G495" s="77">
        <f>SUMIF(积分汇总!$B:$B,C494,积分汇总!$E:$E)</f>
        <v>0</v>
      </c>
      <c r="H495" s="77">
        <f>SUMIF(记录巡查问题条数汇总!$B:$B,C494,记录巡查问题条数汇总!$E:$E)</f>
        <v>0</v>
      </c>
      <c r="I495" s="77"/>
      <c r="J495" s="77">
        <f>SUMIF(安全质量事故!$B:$B,C494,安全质量事故!$G:$G)</f>
        <v>0</v>
      </c>
      <c r="K495" s="72">
        <f>COUNTIF(L495:AP495,标准数据!$A$2)*标准数据!$B$2+COUNTIF(L495:AP495,标准数据!$A$3)*标准数据!$B$3+COUNTIF(L495:AP495,标准数据!$A$4)*标准数据!$B$4</f>
        <v>0</v>
      </c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189"/>
      <c r="AQ495" s="55"/>
      <c r="AR495" s="41"/>
      <c r="AS495" s="41"/>
      <c r="AT495" s="41"/>
    </row>
    <row r="496" spans="1:46" ht="21" customHeight="1">
      <c r="A496" s="227" t="s">
        <v>2115</v>
      </c>
      <c r="B496" s="45" t="s">
        <v>14</v>
      </c>
      <c r="C496" s="46" t="s">
        <v>909</v>
      </c>
      <c r="D496" s="47" t="s">
        <v>892</v>
      </c>
      <c r="E496" s="48">
        <v>45882</v>
      </c>
      <c r="F496" s="49">
        <f t="shared" si="25"/>
        <v>0</v>
      </c>
      <c r="G496" s="77">
        <f>SUMIF(积分汇总!$B:$B,C495,积分汇总!$E:$E)</f>
        <v>0</v>
      </c>
      <c r="H496" s="77">
        <f>SUMIF(记录巡查问题条数汇总!$B:$B,C495,记录巡查问题条数汇总!$E:$E)</f>
        <v>0</v>
      </c>
      <c r="I496" s="77"/>
      <c r="J496" s="77">
        <f>SUMIF(安全质量事故!$B:$B,C495,安全质量事故!$G:$G)</f>
        <v>0</v>
      </c>
      <c r="K496" s="72">
        <f>COUNTIF(L496:AP496,标准数据!$A$2)*标准数据!$B$2+COUNTIF(L496:AP496,标准数据!$A$3)*标准数据!$B$3+COUNTIF(L496:AP496,标准数据!$A$4)*标准数据!$B$4</f>
        <v>0</v>
      </c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192"/>
      <c r="AQ496" s="90"/>
    </row>
    <row r="497" spans="1:46" ht="21" customHeight="1">
      <c r="A497" s="227" t="s">
        <v>2115</v>
      </c>
      <c r="B497" s="45" t="s">
        <v>14</v>
      </c>
      <c r="C497" s="46" t="s">
        <v>1159</v>
      </c>
      <c r="D497" s="47" t="s">
        <v>1160</v>
      </c>
      <c r="E497" s="48">
        <v>46000</v>
      </c>
      <c r="F497" s="49">
        <f t="shared" si="25"/>
        <v>0</v>
      </c>
      <c r="G497" s="77">
        <f>SUMIF(积分汇总!$B:$B,C496,积分汇总!$E:$E)</f>
        <v>0</v>
      </c>
      <c r="H497" s="77">
        <f>SUMIF(记录巡查问题条数汇总!$B:$B,C496,记录巡查问题条数汇总!$E:$E)</f>
        <v>0</v>
      </c>
      <c r="I497" s="77"/>
      <c r="J497" s="77">
        <f>SUMIF(安全质量事故!$B:$B,C496,安全质量事故!$G:$G)</f>
        <v>0</v>
      </c>
      <c r="K497" s="72">
        <f>COUNTIF(L497:AP497,标准数据!$A$2)*标准数据!$B$2+COUNTIF(L497:AP497,标准数据!$A$3)*标准数据!$B$3+COUNTIF(L497:AP497,标准数据!$A$4)*标准数据!$B$4</f>
        <v>0</v>
      </c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192"/>
      <c r="AQ497" s="90"/>
      <c r="AR497" s="41"/>
      <c r="AS497" s="41"/>
      <c r="AT497" s="41"/>
    </row>
    <row r="498" spans="1:46" ht="21" customHeight="1">
      <c r="A498" s="227" t="s">
        <v>2115</v>
      </c>
      <c r="B498" s="45" t="s">
        <v>14</v>
      </c>
      <c r="C498" s="46" t="s">
        <v>1161</v>
      </c>
      <c r="D498" s="47" t="s">
        <v>1162</v>
      </c>
      <c r="E498" s="48">
        <v>46015</v>
      </c>
      <c r="F498" s="49">
        <f t="shared" si="25"/>
        <v>0</v>
      </c>
      <c r="G498" s="77">
        <f>SUMIF(积分汇总!$B:$B,C497,积分汇总!$E:$E)</f>
        <v>0</v>
      </c>
      <c r="H498" s="77">
        <f>SUMIF(记录巡查问题条数汇总!$B:$B,C497,记录巡查问题条数汇总!$E:$E)</f>
        <v>0</v>
      </c>
      <c r="I498" s="77"/>
      <c r="J498" s="77">
        <f>SUMIF(安全质量事故!$B:$B,C497,安全质量事故!$G:$G)</f>
        <v>0</v>
      </c>
      <c r="K498" s="72">
        <f>COUNTIF(L498:AP498,标准数据!$A$2)*标准数据!$B$2+COUNTIF(L498:AP498,标准数据!$A$3)*标准数据!$B$3+COUNTIF(L498:AP498,标准数据!$A$4)*标准数据!$B$4</f>
        <v>0</v>
      </c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189"/>
      <c r="AQ498" s="55"/>
      <c r="AR498" s="41"/>
      <c r="AS498" s="41"/>
      <c r="AT498" s="41"/>
    </row>
    <row r="499" spans="1:46" ht="21" customHeight="1">
      <c r="A499" s="227" t="s">
        <v>2115</v>
      </c>
      <c r="B499" s="45" t="s">
        <v>14</v>
      </c>
      <c r="C499" s="46" t="s">
        <v>1163</v>
      </c>
      <c r="D499" s="47" t="s">
        <v>1164</v>
      </c>
      <c r="E499" s="48">
        <v>46015</v>
      </c>
      <c r="F499" s="49">
        <f t="shared" si="25"/>
        <v>0</v>
      </c>
      <c r="G499" s="77">
        <f>SUMIF(积分汇总!$B:$B,C498,积分汇总!$E:$E)</f>
        <v>0</v>
      </c>
      <c r="H499" s="77">
        <f>SUMIF(记录巡查问题条数汇总!$B:$B,C498,记录巡查问题条数汇总!$E:$E)</f>
        <v>0</v>
      </c>
      <c r="I499" s="77"/>
      <c r="J499" s="77">
        <f>SUMIF(安全质量事故!$B:$B,C498,安全质量事故!$G:$G)</f>
        <v>0</v>
      </c>
      <c r="K499" s="72">
        <f>COUNTIF(L499:AP499,标准数据!$A$2)*标准数据!$B$2+COUNTIF(L499:AP499,标准数据!$A$3)*标准数据!$B$3+COUNTIF(L499:AP499,标准数据!$A$4)*标准数据!$B$4</f>
        <v>0</v>
      </c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192"/>
      <c r="AQ499" s="90"/>
    </row>
    <row r="500" spans="1:46" ht="21" customHeight="1">
      <c r="A500" s="227" t="s">
        <v>2115</v>
      </c>
      <c r="B500" s="45" t="s">
        <v>87</v>
      </c>
      <c r="C500" s="46" t="s">
        <v>1169</v>
      </c>
      <c r="D500" s="52" t="s">
        <v>1170</v>
      </c>
      <c r="E500" s="46">
        <v>46029</v>
      </c>
      <c r="F500" s="49">
        <f t="shared" si="25"/>
        <v>0</v>
      </c>
      <c r="G500" s="77">
        <f>SUMIF(积分汇总!$B:$B,C499,积分汇总!$E:$E)</f>
        <v>0</v>
      </c>
      <c r="H500" s="77">
        <f>SUMIF(记录巡查问题条数汇总!$B:$B,C499,记录巡查问题条数汇总!$E:$E)</f>
        <v>0</v>
      </c>
      <c r="I500" s="77"/>
      <c r="J500" s="77">
        <f>SUMIF(安全质量事故!$B:$B,C499,安全质量事故!$G:$G)</f>
        <v>0</v>
      </c>
      <c r="K500" s="72">
        <f>COUNTIF(L500:AP500,标准数据!$A$2)*标准数据!$B$2+COUNTIF(L500:AP500,标准数据!$A$3)*标准数据!$B$3+COUNTIF(L500:AP500,标准数据!$A$4)*标准数据!$B$4</f>
        <v>0</v>
      </c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189"/>
      <c r="AQ500" s="55"/>
      <c r="AR500" s="41"/>
      <c r="AS500" s="41"/>
      <c r="AT500" s="41"/>
    </row>
    <row r="501" spans="1:46" ht="21" customHeight="1">
      <c r="A501" s="227" t="s">
        <v>2115</v>
      </c>
      <c r="B501" s="45" t="s">
        <v>14</v>
      </c>
      <c r="C501" s="46" t="s">
        <v>1173</v>
      </c>
      <c r="D501" s="47" t="s">
        <v>1174</v>
      </c>
      <c r="E501" s="48">
        <v>46113</v>
      </c>
      <c r="F501" s="49">
        <f t="shared" si="25"/>
        <v>0</v>
      </c>
      <c r="G501" s="77">
        <f>SUMIF(积分汇总!$B:$B,C500,积分汇总!$E:$E)</f>
        <v>0</v>
      </c>
      <c r="H501" s="77">
        <f>SUMIF(记录巡查问题条数汇总!$B:$B,C500,记录巡查问题条数汇总!$E:$E)</f>
        <v>0</v>
      </c>
      <c r="I501" s="77"/>
      <c r="J501" s="77">
        <f>SUMIF(安全质量事故!$B:$B,C500,安全质量事故!$G:$G)</f>
        <v>0</v>
      </c>
      <c r="K501" s="72">
        <f>COUNTIF(L501:AP501,标准数据!$A$2)*标准数据!$B$2+COUNTIF(L501:AP501,标准数据!$A$3)*标准数据!$B$3+COUNTIF(L501:AP501,标准数据!$A$4)*标准数据!$B$4</f>
        <v>0</v>
      </c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189"/>
      <c r="AQ501" s="55"/>
    </row>
    <row r="502" spans="1:46" ht="21" customHeight="1">
      <c r="A502" s="227" t="s">
        <v>2115</v>
      </c>
      <c r="B502" s="45" t="s">
        <v>14</v>
      </c>
      <c r="C502" s="46" t="s">
        <v>1175</v>
      </c>
      <c r="D502" s="47" t="s">
        <v>1176</v>
      </c>
      <c r="E502" s="48">
        <v>46113</v>
      </c>
      <c r="F502" s="49">
        <f t="shared" si="25"/>
        <v>0</v>
      </c>
      <c r="G502" s="77">
        <f>SUMIF(积分汇总!$B:$B,C501,积分汇总!$E:$E)</f>
        <v>0</v>
      </c>
      <c r="H502" s="77">
        <f>SUMIF(记录巡查问题条数汇总!$B:$B,C501,记录巡查问题条数汇总!$E:$E)</f>
        <v>0</v>
      </c>
      <c r="I502" s="77"/>
      <c r="J502" s="77">
        <f>SUMIF(安全质量事故!$B:$B,C501,安全质量事故!$G:$G)</f>
        <v>0</v>
      </c>
      <c r="K502" s="72">
        <f>COUNTIF(L502:AP502,标准数据!$A$2)*标准数据!$B$2+COUNTIF(L502:AP502,标准数据!$A$3)*标准数据!$B$3+COUNTIF(L502:AP502,标准数据!$A$4)*标准数据!$B$4</f>
        <v>0</v>
      </c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189"/>
      <c r="AQ502" s="55"/>
      <c r="AR502" s="41"/>
      <c r="AS502" s="41"/>
      <c r="AT502" s="41"/>
    </row>
    <row r="503" spans="1:46" ht="21" customHeight="1">
      <c r="A503" s="227" t="s">
        <v>2115</v>
      </c>
      <c r="B503" s="45" t="s">
        <v>87</v>
      </c>
      <c r="C503" s="46" t="s">
        <v>1177</v>
      </c>
      <c r="D503" s="52" t="s">
        <v>1178</v>
      </c>
      <c r="E503" s="46">
        <v>46113</v>
      </c>
      <c r="F503" s="49">
        <f t="shared" si="25"/>
        <v>0</v>
      </c>
      <c r="G503" s="77">
        <f>SUMIF(积分汇总!$B:$B,C502,积分汇总!$E:$E)</f>
        <v>0</v>
      </c>
      <c r="H503" s="77">
        <f>SUMIF(记录巡查问题条数汇总!$B:$B,C502,记录巡查问题条数汇总!$E:$E)</f>
        <v>0</v>
      </c>
      <c r="I503" s="77"/>
      <c r="J503" s="77">
        <f>SUMIF(安全质量事故!$B:$B,C502,安全质量事故!$G:$G)</f>
        <v>0</v>
      </c>
      <c r="K503" s="72">
        <f>COUNTIF(L503:AP503,标准数据!$A$2)*标准数据!$B$2+COUNTIF(L503:AP503,标准数据!$A$3)*标准数据!$B$3+COUNTIF(L503:AP503,标准数据!$A$4)*标准数据!$B$4</f>
        <v>0</v>
      </c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192"/>
      <c r="AQ503" s="90"/>
    </row>
    <row r="504" spans="1:46" ht="21" customHeight="1">
      <c r="A504" s="227" t="s">
        <v>2115</v>
      </c>
      <c r="B504" s="45" t="s">
        <v>14</v>
      </c>
      <c r="C504" s="46" t="s">
        <v>1179</v>
      </c>
      <c r="D504" s="47" t="s">
        <v>1180</v>
      </c>
      <c r="E504" s="48">
        <v>46113</v>
      </c>
      <c r="F504" s="49">
        <f t="shared" si="25"/>
        <v>0</v>
      </c>
      <c r="G504" s="77">
        <f>SUMIF(积分汇总!$B:$B,C503,积分汇总!$E:$E)</f>
        <v>0</v>
      </c>
      <c r="H504" s="77">
        <f>SUMIF(记录巡查问题条数汇总!$B:$B,C503,记录巡查问题条数汇总!$E:$E)</f>
        <v>0</v>
      </c>
      <c r="I504" s="77"/>
      <c r="J504" s="77">
        <f>SUMIF(安全质量事故!$B:$B,C503,安全质量事故!$G:$G)</f>
        <v>0</v>
      </c>
      <c r="K504" s="72">
        <f>COUNTIF(L504:AP504,标准数据!$A$2)*标准数据!$B$2+COUNTIF(L504:AP504,标准数据!$A$3)*标准数据!$B$3+COUNTIF(L504:AP504,标准数据!$A$4)*标准数据!$B$4</f>
        <v>0</v>
      </c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189"/>
      <c r="AQ504" s="55"/>
    </row>
    <row r="505" spans="1:46" ht="21" customHeight="1">
      <c r="A505" s="227" t="s">
        <v>2115</v>
      </c>
      <c r="B505" s="45" t="s">
        <v>87</v>
      </c>
      <c r="C505" s="46" t="s">
        <v>1181</v>
      </c>
      <c r="D505" s="52" t="s">
        <v>1182</v>
      </c>
      <c r="E505" s="46">
        <v>46113</v>
      </c>
      <c r="F505" s="49">
        <f t="shared" si="25"/>
        <v>0</v>
      </c>
      <c r="G505" s="77">
        <f>SUMIF(积分汇总!$B:$B,C504,积分汇总!$E:$E)</f>
        <v>0</v>
      </c>
      <c r="H505" s="77">
        <f>SUMIF(记录巡查问题条数汇总!$B:$B,C504,记录巡查问题条数汇总!$E:$E)</f>
        <v>0</v>
      </c>
      <c r="I505" s="77"/>
      <c r="J505" s="77">
        <f>SUMIF(安全质量事故!$B:$B,C504,安全质量事故!$G:$G)</f>
        <v>0</v>
      </c>
      <c r="K505" s="72">
        <f>COUNTIF(L505:AP505,标准数据!$A$2)*标准数据!$B$2+COUNTIF(L505:AP505,标准数据!$A$3)*标准数据!$B$3+COUNTIF(L505:AP505,标准数据!$A$4)*标准数据!$B$4</f>
        <v>0</v>
      </c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189"/>
      <c r="AQ505" s="55"/>
      <c r="AR505" s="41"/>
      <c r="AS505" s="41"/>
      <c r="AT505" s="41"/>
    </row>
    <row r="506" spans="1:46" ht="21" customHeight="1">
      <c r="A506" s="227" t="s">
        <v>2115</v>
      </c>
      <c r="B506" s="45" t="s">
        <v>87</v>
      </c>
      <c r="C506" s="46" t="s">
        <v>1183</v>
      </c>
      <c r="D506" s="52" t="s">
        <v>1184</v>
      </c>
      <c r="E506" s="46">
        <v>46120</v>
      </c>
      <c r="F506" s="49">
        <f t="shared" si="25"/>
        <v>0</v>
      </c>
      <c r="G506" s="77">
        <f>SUMIF(积分汇总!$B:$B,C505,积分汇总!$E:$E)</f>
        <v>0</v>
      </c>
      <c r="H506" s="77">
        <f>SUMIF(记录巡查问题条数汇总!$B:$B,C505,记录巡查问题条数汇总!$E:$E)</f>
        <v>0</v>
      </c>
      <c r="I506" s="77"/>
      <c r="J506" s="77">
        <f>SUMIF(安全质量事故!$B:$B,C505,安全质量事故!$G:$G)</f>
        <v>0</v>
      </c>
      <c r="K506" s="72">
        <f>COUNTIF(L506:AP506,标准数据!$A$2)*标准数据!$B$2+COUNTIF(L506:AP506,标准数据!$A$3)*标准数据!$B$3+COUNTIF(L506:AP506,标准数据!$A$4)*标准数据!$B$4</f>
        <v>0</v>
      </c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189"/>
      <c r="AQ506" s="55"/>
      <c r="AR506" s="41"/>
      <c r="AS506" s="41"/>
      <c r="AT506" s="41"/>
    </row>
    <row r="507" spans="1:46" ht="21" customHeight="1">
      <c r="A507" s="227" t="s">
        <v>2115</v>
      </c>
      <c r="B507" s="45" t="s">
        <v>14</v>
      </c>
      <c r="C507" s="46" t="s">
        <v>1191</v>
      </c>
      <c r="D507" s="47" t="s">
        <v>1192</v>
      </c>
      <c r="E507" s="48">
        <v>46127</v>
      </c>
      <c r="F507" s="49">
        <f t="shared" si="25"/>
        <v>0</v>
      </c>
      <c r="G507" s="77">
        <f>SUMIF(积分汇总!$B:$B,C506,积分汇总!$E:$E)</f>
        <v>0</v>
      </c>
      <c r="H507" s="77">
        <f>SUMIF(记录巡查问题条数汇总!$B:$B,C506,记录巡查问题条数汇总!$E:$E)</f>
        <v>0</v>
      </c>
      <c r="I507" s="77"/>
      <c r="J507" s="77">
        <f>SUMIF(安全质量事故!$B:$B,C506,安全质量事故!$G:$G)</f>
        <v>0</v>
      </c>
      <c r="K507" s="72">
        <f>COUNTIF(L507:AP507,标准数据!$A$2)*标准数据!$B$2+COUNTIF(L507:AP507,标准数据!$A$3)*标准数据!$B$3+COUNTIF(L507:AP507,标准数据!$A$4)*标准数据!$B$4</f>
        <v>0</v>
      </c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192"/>
      <c r="AQ507" s="90"/>
      <c r="AR507" s="41"/>
      <c r="AS507" s="41"/>
      <c r="AT507" s="41"/>
    </row>
    <row r="508" spans="1:46" ht="21" customHeight="1">
      <c r="A508" s="227" t="s">
        <v>2115</v>
      </c>
      <c r="B508" s="45" t="s">
        <v>14</v>
      </c>
      <c r="C508" s="46" t="s">
        <v>1193</v>
      </c>
      <c r="D508" s="47" t="s">
        <v>1194</v>
      </c>
      <c r="E508" s="48">
        <v>46127</v>
      </c>
      <c r="F508" s="49">
        <f t="shared" si="25"/>
        <v>0</v>
      </c>
      <c r="G508" s="77">
        <f>SUMIF(积分汇总!$B:$B,C507,积分汇总!$E:$E)</f>
        <v>0</v>
      </c>
      <c r="H508" s="77">
        <f>SUMIF(记录巡查问题条数汇总!$B:$B,C507,记录巡查问题条数汇总!$E:$E)</f>
        <v>0</v>
      </c>
      <c r="I508" s="77"/>
      <c r="J508" s="77">
        <f>SUMIF(安全质量事故!$B:$B,C507,安全质量事故!$G:$G)</f>
        <v>0</v>
      </c>
      <c r="K508" s="72">
        <f>COUNTIF(L508:AP508,标准数据!$A$2)*标准数据!$B$2+COUNTIF(L508:AP508,标准数据!$A$3)*标准数据!$B$3+COUNTIF(L508:AP508,标准数据!$A$4)*标准数据!$B$4</f>
        <v>0</v>
      </c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192"/>
      <c r="AQ508" s="90"/>
      <c r="AR508" s="41"/>
      <c r="AS508" s="41"/>
      <c r="AT508" s="41"/>
    </row>
    <row r="509" spans="1:46" ht="21" customHeight="1">
      <c r="A509" s="227" t="s">
        <v>2115</v>
      </c>
      <c r="B509" s="45" t="s">
        <v>14</v>
      </c>
      <c r="C509" s="46" t="s">
        <v>1195</v>
      </c>
      <c r="D509" s="47" t="s">
        <v>1196</v>
      </c>
      <c r="E509" s="48">
        <v>46127</v>
      </c>
      <c r="F509" s="49">
        <f t="shared" si="25"/>
        <v>0</v>
      </c>
      <c r="G509" s="77">
        <f>SUMIF(积分汇总!$B:$B,C508,积分汇总!$E:$E)</f>
        <v>0</v>
      </c>
      <c r="H509" s="77">
        <f>SUMIF(记录巡查问题条数汇总!$B:$B,C508,记录巡查问题条数汇总!$E:$E)</f>
        <v>0</v>
      </c>
      <c r="I509" s="77"/>
      <c r="J509" s="77">
        <f>SUMIF(安全质量事故!$B:$B,C508,安全质量事故!$G:$G)</f>
        <v>0</v>
      </c>
      <c r="K509" s="72">
        <f>COUNTIF(L509:AP509,标准数据!$A$2)*标准数据!$B$2+COUNTIF(L509:AP509,标准数据!$A$3)*标准数据!$B$3+COUNTIF(L509:AP509,标准数据!$A$4)*标准数据!$B$4</f>
        <v>0</v>
      </c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189"/>
      <c r="AQ509" s="55"/>
      <c r="AR509" s="41"/>
      <c r="AS509" s="41"/>
      <c r="AT509" s="41"/>
    </row>
    <row r="510" spans="1:46" ht="21" customHeight="1">
      <c r="A510" s="227" t="s">
        <v>2115</v>
      </c>
      <c r="B510" s="45" t="s">
        <v>14</v>
      </c>
      <c r="C510" s="47" t="s">
        <v>1201</v>
      </c>
      <c r="D510" s="52" t="s">
        <v>1202</v>
      </c>
      <c r="E510" s="46">
        <v>46127</v>
      </c>
      <c r="F510" s="49">
        <f t="shared" si="25"/>
        <v>0</v>
      </c>
      <c r="G510" s="77">
        <f>SUMIF(积分汇总!$B:$B,C509,积分汇总!$E:$E)</f>
        <v>0</v>
      </c>
      <c r="H510" s="77">
        <f>SUMIF(记录巡查问题条数汇总!$B:$B,C509,记录巡查问题条数汇总!$E:$E)</f>
        <v>0</v>
      </c>
      <c r="I510" s="77"/>
      <c r="J510" s="77">
        <f>SUMIF(安全质量事故!$B:$B,C509,安全质量事故!$G:$G)</f>
        <v>0</v>
      </c>
      <c r="K510" s="72">
        <f>COUNTIF(L510:AP510,标准数据!$A$2)*标准数据!$B$2+COUNTIF(L510:AP510,标准数据!$A$3)*标准数据!$B$3+COUNTIF(L510:AP510,标准数据!$A$4)*标准数据!$B$4</f>
        <v>0</v>
      </c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189"/>
      <c r="AQ510" s="55"/>
      <c r="AR510" s="41"/>
      <c r="AS510" s="41"/>
      <c r="AT510" s="41"/>
    </row>
    <row r="511" spans="1:46" ht="21" customHeight="1">
      <c r="A511" s="227" t="s">
        <v>2115</v>
      </c>
      <c r="B511" s="45" t="s">
        <v>14</v>
      </c>
      <c r="C511" s="46" t="s">
        <v>1203</v>
      </c>
      <c r="D511" s="47" t="s">
        <v>1204</v>
      </c>
      <c r="E511" s="48">
        <v>46127</v>
      </c>
      <c r="F511" s="49">
        <f t="shared" si="25"/>
        <v>0</v>
      </c>
      <c r="G511" s="77">
        <f>SUMIF(积分汇总!$B:$B,C510,积分汇总!$E:$E)</f>
        <v>0</v>
      </c>
      <c r="H511" s="77">
        <f>SUMIF(记录巡查问题条数汇总!$B:$B,C510,记录巡查问题条数汇总!$E:$E)</f>
        <v>0</v>
      </c>
      <c r="I511" s="77"/>
      <c r="J511" s="77">
        <f>SUMIF(安全质量事故!$B:$B,C510,安全质量事故!$G:$G)</f>
        <v>0</v>
      </c>
      <c r="K511" s="72">
        <f>COUNTIF(L511:AP511,标准数据!$A$2)*标准数据!$B$2+COUNTIF(L511:AP511,标准数据!$A$3)*标准数据!$B$3+COUNTIF(L511:AP511,标准数据!$A$4)*标准数据!$B$4</f>
        <v>0</v>
      </c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192"/>
      <c r="AQ511" s="90"/>
      <c r="AR511" s="41"/>
      <c r="AS511" s="41"/>
      <c r="AT511" s="41"/>
    </row>
    <row r="512" spans="1:46" ht="21" customHeight="1">
      <c r="A512" s="227" t="s">
        <v>2115</v>
      </c>
      <c r="B512" s="45" t="s">
        <v>14</v>
      </c>
      <c r="C512" s="46" t="s">
        <v>1205</v>
      </c>
      <c r="D512" s="47" t="s">
        <v>1206</v>
      </c>
      <c r="E512" s="48">
        <v>46127</v>
      </c>
      <c r="F512" s="49">
        <f t="shared" si="25"/>
        <v>0</v>
      </c>
      <c r="G512" s="77">
        <f>SUMIF(积分汇总!$B:$B,#REF!,积分汇总!$E:$E)</f>
        <v>0</v>
      </c>
      <c r="H512" s="77">
        <f>SUMIF(记录巡查问题条数汇总!$B:$B,#REF!,记录巡查问题条数汇总!$E:$E)</f>
        <v>0</v>
      </c>
      <c r="I512" s="77"/>
      <c r="J512" s="77">
        <f>SUMIF(安全质量事故!$B:$B,#REF!,安全质量事故!$G:$G)</f>
        <v>0</v>
      </c>
      <c r="K512" s="72">
        <f>COUNTIF(L512:AP512,标准数据!$A$2)*标准数据!$B$2+COUNTIF(L512:AP512,标准数据!$A$3)*标准数据!$B$3+COUNTIF(L512:AP512,标准数据!$A$4)*标准数据!$B$4</f>
        <v>0</v>
      </c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189"/>
      <c r="AQ512" s="55"/>
    </row>
    <row r="513" spans="1:48" ht="21" customHeight="1">
      <c r="A513" s="227" t="s">
        <v>2115</v>
      </c>
      <c r="B513" s="45" t="s">
        <v>14</v>
      </c>
      <c r="C513" s="46" t="s">
        <v>1311</v>
      </c>
      <c r="D513" s="47" t="s">
        <v>1312</v>
      </c>
      <c r="E513" s="48">
        <v>46134</v>
      </c>
      <c r="F513" s="49">
        <f t="shared" si="25"/>
        <v>0</v>
      </c>
      <c r="G513" s="77">
        <f>SUMIF(积分汇总!$B:$B,C512,积分汇总!$E:$E)</f>
        <v>0</v>
      </c>
      <c r="H513" s="77">
        <f>SUMIF(记录巡查问题条数汇总!$B:$B,C512,记录巡查问题条数汇总!$E:$E)</f>
        <v>0</v>
      </c>
      <c r="I513" s="77"/>
      <c r="J513" s="77">
        <f>SUMIF(安全质量事故!$B:$B,C512,安全质量事故!$G:$G)</f>
        <v>0</v>
      </c>
      <c r="K513" s="72">
        <f>COUNTIF(L513:AP513,标准数据!$A$2)*标准数据!$B$2+COUNTIF(L513:AP513,标准数据!$A$3)*标准数据!$B$3+COUNTIF(L513:AP513,标准数据!$A$4)*标准数据!$B$4</f>
        <v>0</v>
      </c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189"/>
      <c r="AQ513" s="55"/>
      <c r="AR513" s="41"/>
      <c r="AS513" s="41"/>
      <c r="AT513" s="41"/>
    </row>
    <row r="514" spans="1:48" ht="21" customHeight="1">
      <c r="A514" s="227" t="s">
        <v>2115</v>
      </c>
      <c r="B514" s="45" t="s">
        <v>14</v>
      </c>
      <c r="C514" s="46" t="s">
        <v>1313</v>
      </c>
      <c r="D514" s="47" t="s">
        <v>1314</v>
      </c>
      <c r="E514" s="48">
        <v>46134</v>
      </c>
      <c r="F514" s="49">
        <f t="shared" si="25"/>
        <v>0</v>
      </c>
      <c r="G514" s="77">
        <f>SUMIF(积分汇总!$B:$B,C513,积分汇总!$E:$E)</f>
        <v>0</v>
      </c>
      <c r="H514" s="77">
        <f>SUMIF(记录巡查问题条数汇总!$B:$B,C513,记录巡查问题条数汇总!$E:$E)</f>
        <v>0</v>
      </c>
      <c r="I514" s="77"/>
      <c r="J514" s="77">
        <f>SUMIF(安全质量事故!$B:$B,C513,安全质量事故!$G:$G)</f>
        <v>0</v>
      </c>
      <c r="K514" s="72">
        <f>COUNTIF(L514:AP514,标准数据!$A$2)*标准数据!$B$2+COUNTIF(L514:AP514,标准数据!$A$3)*标准数据!$B$3+COUNTIF(L514:AP514,标准数据!$A$4)*标准数据!$B$4</f>
        <v>0</v>
      </c>
      <c r="L514" s="90"/>
      <c r="M514" s="90"/>
      <c r="N514" s="90"/>
      <c r="O514" s="90"/>
      <c r="P514" s="90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189"/>
      <c r="AQ514" s="55"/>
    </row>
    <row r="515" spans="1:48" ht="21" customHeight="1">
      <c r="A515" s="227" t="s">
        <v>2115</v>
      </c>
      <c r="B515" s="45" t="s">
        <v>14</v>
      </c>
      <c r="C515" s="46" t="s">
        <v>1315</v>
      </c>
      <c r="D515" s="47" t="s">
        <v>1316</v>
      </c>
      <c r="E515" s="48">
        <v>46132</v>
      </c>
      <c r="F515" s="49">
        <f t="shared" si="25"/>
        <v>0</v>
      </c>
      <c r="G515" s="77">
        <f>SUMIF(积分汇总!$B:$B,C514,积分汇总!$E:$E)</f>
        <v>0</v>
      </c>
      <c r="H515" s="77">
        <f>SUMIF(记录巡查问题条数汇总!$B:$B,C514,记录巡查问题条数汇总!$E:$E)</f>
        <v>0</v>
      </c>
      <c r="I515" s="77"/>
      <c r="J515" s="77">
        <f>SUMIF(安全质量事故!$B:$B,C514,安全质量事故!$G:$G)</f>
        <v>0</v>
      </c>
      <c r="K515" s="72">
        <f>COUNTIF(L515:AP515,标准数据!$A$2)*标准数据!$B$2+COUNTIF(L515:AP515,标准数据!$A$3)*标准数据!$B$3+COUNTIF(L515:AP515,标准数据!$A$4)*标准数据!$B$4</f>
        <v>0</v>
      </c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189"/>
      <c r="AQ515" s="55"/>
    </row>
    <row r="516" spans="1:48" ht="21" customHeight="1">
      <c r="A516" s="227" t="s">
        <v>2115</v>
      </c>
      <c r="B516" s="45" t="s">
        <v>14</v>
      </c>
      <c r="C516" s="46" t="s">
        <v>1317</v>
      </c>
      <c r="D516" s="47" t="s">
        <v>1318</v>
      </c>
      <c r="E516" s="48">
        <v>46132</v>
      </c>
      <c r="F516" s="49">
        <f t="shared" si="25"/>
        <v>0</v>
      </c>
      <c r="G516" s="77">
        <f>SUMIF(积分汇总!$B:$B,C515,积分汇总!$E:$E)</f>
        <v>0</v>
      </c>
      <c r="H516" s="77">
        <f>SUMIF(记录巡查问题条数汇总!$B:$B,C515,记录巡查问题条数汇总!$E:$E)</f>
        <v>0</v>
      </c>
      <c r="I516" s="77"/>
      <c r="J516" s="77">
        <f>SUMIF(安全质量事故!$B:$B,C515,安全质量事故!$G:$G)</f>
        <v>0</v>
      </c>
      <c r="K516" s="72">
        <f>COUNTIF(L516:AP516,标准数据!$A$2)*标准数据!$B$2+COUNTIF(L516:AP516,标准数据!$A$3)*标准数据!$B$3+COUNTIF(L516:AP516,标准数据!$A$4)*标准数据!$B$4</f>
        <v>0</v>
      </c>
      <c r="L516" s="90"/>
      <c r="M516" s="90"/>
      <c r="N516" s="90"/>
      <c r="O516" s="90"/>
      <c r="P516" s="90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189"/>
      <c r="AQ516" s="55"/>
    </row>
    <row r="517" spans="1:48" ht="21" customHeight="1">
      <c r="A517" s="227" t="s">
        <v>2115</v>
      </c>
      <c r="B517" s="45" t="s">
        <v>14</v>
      </c>
      <c r="C517" s="46" t="s">
        <v>1345</v>
      </c>
      <c r="D517" s="47" t="s">
        <v>1346</v>
      </c>
      <c r="E517" s="48">
        <v>46139</v>
      </c>
      <c r="F517" s="49">
        <f t="shared" si="25"/>
        <v>0</v>
      </c>
      <c r="G517" s="77">
        <f>SUMIF(积分汇总!$B:$B,C516,积分汇总!$E:$E)</f>
        <v>0</v>
      </c>
      <c r="H517" s="77">
        <f>SUMIF(记录巡查问题条数汇总!$B:$B,C516,记录巡查问题条数汇总!$E:$E)</f>
        <v>0</v>
      </c>
      <c r="I517" s="77"/>
      <c r="J517" s="77">
        <f>SUMIF(安全质量事故!$B:$B,C516,安全质量事故!$G:$G)</f>
        <v>0</v>
      </c>
      <c r="K517" s="72">
        <f>COUNTIF(L517:AP517,标准数据!$A$2)*标准数据!$B$2+COUNTIF(L517:AP517,标准数据!$A$3)*标准数据!$B$3+COUNTIF(L517:AP517,标准数据!$A$4)*标准数据!$B$4</f>
        <v>0</v>
      </c>
      <c r="L517" s="90"/>
      <c r="M517" s="90"/>
      <c r="N517" s="90"/>
      <c r="O517" s="90"/>
      <c r="P517" s="90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189"/>
      <c r="AQ517" s="55"/>
    </row>
    <row r="518" spans="1:48" s="51" customFormat="1" ht="21" customHeight="1">
      <c r="A518" s="227" t="s">
        <v>2115</v>
      </c>
      <c r="B518" s="45" t="s">
        <v>14</v>
      </c>
      <c r="C518" s="46" t="s">
        <v>1347</v>
      </c>
      <c r="D518" s="47" t="s">
        <v>1348</v>
      </c>
      <c r="E518" s="48">
        <v>46139</v>
      </c>
      <c r="F518" s="49">
        <f t="shared" si="25"/>
        <v>0</v>
      </c>
      <c r="G518" s="77">
        <f>SUMIF(积分汇总!$B:$B,C517,积分汇总!$E:$E)</f>
        <v>0</v>
      </c>
      <c r="H518" s="77">
        <f>SUMIF(记录巡查问题条数汇总!$B:$B,C517,记录巡查问题条数汇总!$E:$E)</f>
        <v>0</v>
      </c>
      <c r="I518" s="77"/>
      <c r="J518" s="77">
        <f>SUMIF(安全质量事故!$B:$B,C517,安全质量事故!$G:$G)</f>
        <v>0</v>
      </c>
      <c r="K518" s="72">
        <f>COUNTIF(L518:AP518,标准数据!$A$2)*标准数据!$B$2+COUNTIF(L518:AP518,标准数据!$A$3)*标准数据!$B$3+COUNTIF(L518:AP518,标准数据!$A$4)*标准数据!$B$4</f>
        <v>0</v>
      </c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192"/>
      <c r="AQ518" s="90"/>
      <c r="AU518" s="76"/>
      <c r="AV518" s="41"/>
    </row>
    <row r="519" spans="1:48" ht="21" customHeight="1">
      <c r="A519" s="227" t="s">
        <v>2115</v>
      </c>
      <c r="B519" s="45" t="s">
        <v>14</v>
      </c>
      <c r="C519" s="47" t="s">
        <v>1351</v>
      </c>
      <c r="D519" s="52" t="s">
        <v>1352</v>
      </c>
      <c r="E519" s="46">
        <v>46139</v>
      </c>
      <c r="F519" s="49">
        <f t="shared" si="25"/>
        <v>0</v>
      </c>
      <c r="G519" s="77">
        <f>SUMIF(积分汇总!$B:$B,C518,积分汇总!$E:$E)</f>
        <v>0</v>
      </c>
      <c r="H519" s="77">
        <f>SUMIF(记录巡查问题条数汇总!$B:$B,C518,记录巡查问题条数汇总!$E:$E)</f>
        <v>0</v>
      </c>
      <c r="I519" s="77"/>
      <c r="J519" s="77">
        <f>SUMIF(安全质量事故!$B:$B,C518,安全质量事故!$G:$G)</f>
        <v>0</v>
      </c>
      <c r="K519" s="72">
        <f>COUNTIF(L519:AP519,标准数据!$A$2)*标准数据!$B$2+COUNTIF(L519:AP519,标准数据!$A$3)*标准数据!$B$3+COUNTIF(L519:AP519,标准数据!$A$4)*标准数据!$B$4</f>
        <v>0</v>
      </c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189"/>
      <c r="AQ519" s="55"/>
    </row>
    <row r="520" spans="1:48" ht="21" customHeight="1">
      <c r="A520" s="227" t="s">
        <v>2115</v>
      </c>
      <c r="B520" s="45" t="s">
        <v>14</v>
      </c>
      <c r="C520" s="47" t="s">
        <v>1353</v>
      </c>
      <c r="D520" s="52" t="s">
        <v>1354</v>
      </c>
      <c r="E520" s="46">
        <v>46139</v>
      </c>
      <c r="F520" s="49">
        <f t="shared" si="25"/>
        <v>0</v>
      </c>
      <c r="G520" s="77">
        <f>SUMIF(积分汇总!$B:$B,C519,积分汇总!$E:$E)</f>
        <v>0</v>
      </c>
      <c r="H520" s="77">
        <f>SUMIF(记录巡查问题条数汇总!$B:$B,C519,记录巡查问题条数汇总!$E:$E)</f>
        <v>0</v>
      </c>
      <c r="I520" s="77"/>
      <c r="J520" s="77">
        <f>SUMIF(安全质量事故!$B:$B,C519,安全质量事故!$G:$G)</f>
        <v>0</v>
      </c>
      <c r="K520" s="72">
        <f>COUNTIF(L520:AP520,标准数据!$A$2)*标准数据!$B$2+COUNTIF(L520:AP520,标准数据!$A$3)*标准数据!$B$3+COUNTIF(L520:AP520,标准数据!$A$4)*标准数据!$B$4</f>
        <v>0</v>
      </c>
      <c r="L520" s="90"/>
      <c r="M520" s="90"/>
      <c r="N520" s="90"/>
      <c r="O520" s="90"/>
      <c r="P520" s="90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189"/>
      <c r="AQ520" s="55"/>
    </row>
    <row r="521" spans="1:48" ht="21" customHeight="1">
      <c r="A521" s="227" t="s">
        <v>2115</v>
      </c>
      <c r="B521" s="45" t="s">
        <v>14</v>
      </c>
      <c r="C521" s="46" t="s">
        <v>1355</v>
      </c>
      <c r="D521" s="47" t="s">
        <v>1356</v>
      </c>
      <c r="E521" s="48">
        <v>46153</v>
      </c>
      <c r="F521" s="49">
        <f t="shared" si="25"/>
        <v>0</v>
      </c>
      <c r="G521" s="77">
        <f>SUMIF(积分汇总!$B:$B,C520,积分汇总!$E:$E)</f>
        <v>0</v>
      </c>
      <c r="H521" s="77">
        <f>SUMIF(记录巡查问题条数汇总!$B:$B,C520,记录巡查问题条数汇总!$E:$E)</f>
        <v>0</v>
      </c>
      <c r="I521" s="77"/>
      <c r="J521" s="77">
        <f>SUMIF(安全质量事故!$B:$B,C520,安全质量事故!$G:$G)</f>
        <v>0</v>
      </c>
      <c r="K521" s="72">
        <f>COUNTIF(L521:AP521,标准数据!$A$2)*标准数据!$B$2+COUNTIF(L521:AP521,标准数据!$A$3)*标准数据!$B$3+COUNTIF(L521:AP521,标准数据!$A$4)*标准数据!$B$4</f>
        <v>0</v>
      </c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192"/>
      <c r="AQ521" s="90"/>
      <c r="AR521" s="41"/>
      <c r="AS521" s="41"/>
      <c r="AT521" s="41"/>
    </row>
    <row r="522" spans="1:48" ht="21" customHeight="1">
      <c r="A522" s="227" t="s">
        <v>2115</v>
      </c>
      <c r="B522" s="45" t="s">
        <v>14</v>
      </c>
      <c r="C522" s="46" t="s">
        <v>862</v>
      </c>
      <c r="D522" s="47" t="s">
        <v>809</v>
      </c>
      <c r="E522" s="48">
        <v>45987</v>
      </c>
      <c r="F522" s="49">
        <f t="shared" si="25"/>
        <v>0</v>
      </c>
      <c r="G522" s="77">
        <f>SUMIF(积分汇总!$B:$B,C521,积分汇总!$E:$E)</f>
        <v>0</v>
      </c>
      <c r="H522" s="77">
        <f>SUMIF(记录巡查问题条数汇总!$B:$B,C521,记录巡查问题条数汇总!$E:$E)</f>
        <v>0</v>
      </c>
      <c r="I522" s="77"/>
      <c r="J522" s="77">
        <f>SUMIF(安全质量事故!$B:$B,C521,安全质量事故!$G:$G)</f>
        <v>0</v>
      </c>
      <c r="K522" s="72">
        <f>COUNTIF(L522:AP522,标准数据!$A$2)*标准数据!$B$2+COUNTIF(L522:AP522,标准数据!$A$3)*标准数据!$B$3+COUNTIF(L522:AP522,标准数据!$A$4)*标准数据!$B$4</f>
        <v>0</v>
      </c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189"/>
      <c r="AQ522" s="55"/>
      <c r="AR522" s="41"/>
      <c r="AS522" s="41"/>
      <c r="AT522" s="41"/>
    </row>
    <row r="523" spans="1:48" ht="21" customHeight="1">
      <c r="A523" s="227" t="s">
        <v>2115</v>
      </c>
      <c r="B523" s="45" t="s">
        <v>14</v>
      </c>
      <c r="C523" s="46" t="s">
        <v>910</v>
      </c>
      <c r="D523" s="47" t="s">
        <v>893</v>
      </c>
      <c r="E523" s="48">
        <v>45882</v>
      </c>
      <c r="F523" s="49">
        <f t="shared" si="25"/>
        <v>0</v>
      </c>
      <c r="G523" s="77">
        <f>SUMIF(积分汇总!$B:$B,C522,积分汇总!$E:$E)</f>
        <v>0</v>
      </c>
      <c r="H523" s="77">
        <f>SUMIF(记录巡查问题条数汇总!$B:$B,C522,记录巡查问题条数汇总!$E:$E)</f>
        <v>0</v>
      </c>
      <c r="I523" s="77"/>
      <c r="J523" s="77">
        <f>SUMIF(安全质量事故!$B:$B,C522,安全质量事故!$G:$G)</f>
        <v>0</v>
      </c>
      <c r="K523" s="72">
        <f>COUNTIF(L523:AP523,标准数据!$A$2)*标准数据!$B$2+COUNTIF(L523:AP523,标准数据!$A$3)*标准数据!$B$3+COUNTIF(L523:AP523,标准数据!$A$4)*标准数据!$B$4</f>
        <v>0</v>
      </c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189"/>
      <c r="AQ523" s="55"/>
      <c r="AR523" s="41"/>
      <c r="AS523" s="41"/>
      <c r="AT523" s="41"/>
    </row>
    <row r="524" spans="1:48" ht="21" customHeight="1">
      <c r="A524" s="227" t="s">
        <v>2115</v>
      </c>
      <c r="B524" s="45" t="s">
        <v>14</v>
      </c>
      <c r="C524" s="46" t="s">
        <v>911</v>
      </c>
      <c r="D524" s="47" t="s">
        <v>894</v>
      </c>
      <c r="E524" s="48">
        <v>45889</v>
      </c>
      <c r="F524" s="49">
        <f t="shared" si="25"/>
        <v>0</v>
      </c>
      <c r="G524" s="77">
        <f>SUMIF(积分汇总!$B:$B,C523,积分汇总!$E:$E)</f>
        <v>0</v>
      </c>
      <c r="H524" s="77">
        <f>SUMIF(记录巡查问题条数汇总!$B:$B,C523,记录巡查问题条数汇总!$E:$E)</f>
        <v>0</v>
      </c>
      <c r="I524" s="77"/>
      <c r="J524" s="77">
        <f>SUMIF(安全质量事故!$B:$B,C523,安全质量事故!$G:$G)</f>
        <v>0</v>
      </c>
      <c r="K524" s="72">
        <f>COUNTIF(L524:AP524,标准数据!$A$2)*标准数据!$B$2+COUNTIF(L524:AP524,标准数据!$A$3)*标准数据!$B$3+COUNTIF(L524:AP524,标准数据!$A$4)*标准数据!$B$4</f>
        <v>0</v>
      </c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189"/>
      <c r="AQ524" s="55"/>
      <c r="AR524" s="195"/>
      <c r="AS524" s="41"/>
      <c r="AT524" s="41"/>
    </row>
    <row r="525" spans="1:48" ht="21" customHeight="1">
      <c r="A525" s="227" t="s">
        <v>2115</v>
      </c>
      <c r="B525" s="45" t="s">
        <v>14</v>
      </c>
      <c r="C525" s="46" t="s">
        <v>838</v>
      </c>
      <c r="D525" s="47" t="s">
        <v>799</v>
      </c>
      <c r="E525" s="48">
        <v>45462</v>
      </c>
      <c r="F525" s="49">
        <f t="shared" si="25"/>
        <v>0</v>
      </c>
      <c r="G525" s="77">
        <f>SUMIF(积分汇总!$B:$B,C524,积分汇总!$E:$E)</f>
        <v>0</v>
      </c>
      <c r="H525" s="77">
        <f>SUMIF(记录巡查问题条数汇总!$B:$B,C524,记录巡查问题条数汇总!$E:$E)</f>
        <v>0</v>
      </c>
      <c r="I525" s="77"/>
      <c r="J525" s="77">
        <f>SUMIF(安全质量事故!$B:$B,C524,安全质量事故!$G:$G)</f>
        <v>0</v>
      </c>
      <c r="K525" s="72">
        <f>COUNTIF(L525:AP525,标准数据!$A$2)*标准数据!$B$2+COUNTIF(L525:AP525,标准数据!$A$3)*标准数据!$B$3+COUNTIF(L525:AP525,标准数据!$A$4)*标准数据!$B$4</f>
        <v>0</v>
      </c>
      <c r="L525" s="56"/>
      <c r="M525" s="56"/>
      <c r="N525" s="56"/>
      <c r="O525" s="56"/>
      <c r="P525" s="56"/>
      <c r="Q525" s="56"/>
      <c r="R525" s="56"/>
      <c r="S525" s="56"/>
      <c r="T525" s="56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192"/>
      <c r="AQ525" s="90"/>
      <c r="AR525" s="195"/>
      <c r="AS525" s="41"/>
      <c r="AT525" s="41"/>
    </row>
    <row r="526" spans="1:48" ht="21" customHeight="1">
      <c r="A526" s="227" t="s">
        <v>2115</v>
      </c>
      <c r="B526" s="45" t="s">
        <v>14</v>
      </c>
      <c r="C526" s="47" t="s">
        <v>1462</v>
      </c>
      <c r="D526" s="52" t="s">
        <v>1463</v>
      </c>
      <c r="E526" s="46">
        <v>46169</v>
      </c>
      <c r="F526" s="49">
        <f t="shared" si="25"/>
        <v>0</v>
      </c>
      <c r="G526" s="77">
        <f>SUMIF(积分汇总!$B:$B,C525,积分汇总!$E:$E)</f>
        <v>0</v>
      </c>
      <c r="H526" s="77">
        <f>SUMIF(记录巡查问题条数汇总!$B:$B,C525,记录巡查问题条数汇总!$E:$E)</f>
        <v>0</v>
      </c>
      <c r="I526" s="77"/>
      <c r="J526" s="77">
        <f>SUMIF(安全质量事故!$B:$B,C525,安全质量事故!$G:$G)</f>
        <v>0</v>
      </c>
      <c r="K526" s="72">
        <f>COUNTIF(L526:AP526,标准数据!$A$2)*标准数据!$B$2+COUNTIF(L526:AP526,标准数据!$A$3)*标准数据!$B$3+COUNTIF(L526:AP526,标准数据!$A$4)*标准数据!$B$4</f>
        <v>0</v>
      </c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189"/>
      <c r="AQ526" s="55"/>
      <c r="AR526" s="195"/>
      <c r="AS526" s="41"/>
      <c r="AT526" s="41"/>
    </row>
    <row r="527" spans="1:48" ht="21" customHeight="1">
      <c r="A527" s="227" t="s">
        <v>2115</v>
      </c>
      <c r="B527" s="45" t="s">
        <v>14</v>
      </c>
      <c r="C527" s="46" t="s">
        <v>1466</v>
      </c>
      <c r="D527" s="47" t="s">
        <v>1467</v>
      </c>
      <c r="E527" s="48">
        <v>46127</v>
      </c>
      <c r="F527" s="49">
        <f t="shared" si="25"/>
        <v>0</v>
      </c>
      <c r="G527" s="77">
        <f>SUMIF(积分汇总!$B:$B,C526,积分汇总!$E:$E)</f>
        <v>0</v>
      </c>
      <c r="H527" s="77">
        <f>SUMIF(记录巡查问题条数汇总!$B:$B,C526,记录巡查问题条数汇总!$E:$E)</f>
        <v>0</v>
      </c>
      <c r="I527" s="77"/>
      <c r="J527" s="77">
        <f>SUMIF(安全质量事故!$B:$B,C526,安全质量事故!$G:$G)</f>
        <v>0</v>
      </c>
      <c r="K527" s="72">
        <f>COUNTIF(L527:AP527,标准数据!$A$2)*标准数据!$B$2+COUNTIF(L527:AP527,标准数据!$A$3)*标准数据!$B$3+COUNTIF(L527:AP527,标准数据!$A$4)*标准数据!$B$4</f>
        <v>0</v>
      </c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189"/>
      <c r="AQ527" s="55"/>
      <c r="AR527" s="195"/>
    </row>
    <row r="528" spans="1:48" ht="21" customHeight="1">
      <c r="A528" s="227" t="s">
        <v>2115</v>
      </c>
      <c r="B528" s="45" t="s">
        <v>14</v>
      </c>
      <c r="C528" s="46" t="s">
        <v>2098</v>
      </c>
      <c r="D528" s="47" t="s">
        <v>2099</v>
      </c>
      <c r="E528" s="48">
        <v>46134</v>
      </c>
      <c r="F528" s="49">
        <f t="shared" si="25"/>
        <v>0</v>
      </c>
      <c r="G528" s="77">
        <f>SUMIF(积分汇总!$B:$B,C527,积分汇总!$E:$E)</f>
        <v>0</v>
      </c>
      <c r="H528" s="77">
        <f>SUMIF(记录巡查问题条数汇总!$B:$B,C527,记录巡查问题条数汇总!$E:$E)</f>
        <v>0</v>
      </c>
      <c r="I528" s="77"/>
      <c r="J528" s="77">
        <f>SUMIF(安全质量事故!$B:$B,C527,安全质量事故!$G:$G)</f>
        <v>0</v>
      </c>
      <c r="K528" s="72">
        <f>COUNTIF(L528:AP528,标准数据!$A$2)*标准数据!$B$2+COUNTIF(L528:AP528,标准数据!$A$3)*标准数据!$B$3+COUNTIF(L528:AP528,标准数据!$A$4)*标准数据!$B$4</f>
        <v>0</v>
      </c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189"/>
      <c r="AQ528" s="55"/>
      <c r="AR528" s="195"/>
      <c r="AS528" s="41"/>
      <c r="AT528" s="41"/>
    </row>
    <row r="529" spans="1:46" ht="21" customHeight="1">
      <c r="A529" s="227" t="s">
        <v>2115</v>
      </c>
      <c r="B529" s="45" t="s">
        <v>14</v>
      </c>
      <c r="C529" s="46" t="s">
        <v>1378</v>
      </c>
      <c r="D529" s="47" t="s">
        <v>1379</v>
      </c>
      <c r="E529" s="48">
        <v>46155</v>
      </c>
      <c r="F529" s="49">
        <f t="shared" si="25"/>
        <v>0</v>
      </c>
      <c r="G529" s="77">
        <f>SUMIF(积分汇总!$B:$B,C528,积分汇总!$E:$E)</f>
        <v>0</v>
      </c>
      <c r="H529" s="77">
        <f>SUMIF(记录巡查问题条数汇总!$B:$B,C528,记录巡查问题条数汇总!$E:$E)</f>
        <v>0</v>
      </c>
      <c r="I529" s="77"/>
      <c r="J529" s="77">
        <f>SUMIF(安全质量事故!$B:$B,C528,安全质量事故!$G:$G)</f>
        <v>0</v>
      </c>
      <c r="K529" s="72">
        <f>COUNTIF(L529:AP529,标准数据!$A$2)*标准数据!$B$2+COUNTIF(L529:AP529,标准数据!$A$3)*标准数据!$B$3+COUNTIF(L529:AP529,标准数据!$A$4)*标准数据!$B$4</f>
        <v>0</v>
      </c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189"/>
      <c r="AQ529" s="55"/>
      <c r="AR529" s="195"/>
      <c r="AS529" s="41"/>
      <c r="AT529" s="41"/>
    </row>
    <row r="530" spans="1:46" ht="21" customHeight="1">
      <c r="A530" s="227" t="s">
        <v>2115</v>
      </c>
      <c r="B530" s="45" t="s">
        <v>14</v>
      </c>
      <c r="C530" s="46" t="s">
        <v>470</v>
      </c>
      <c r="D530" s="47" t="s">
        <v>430</v>
      </c>
      <c r="E530" s="48">
        <v>45840</v>
      </c>
      <c r="F530" s="49">
        <f t="shared" si="25"/>
        <v>0</v>
      </c>
      <c r="G530" s="77">
        <f>SUMIF(积分汇总!$B:$B,C529,积分汇总!$E:$E)</f>
        <v>0</v>
      </c>
      <c r="H530" s="77">
        <f>SUMIF(记录巡查问题条数汇总!$B:$B,C529,记录巡查问题条数汇总!$E:$E)</f>
        <v>0</v>
      </c>
      <c r="I530" s="77"/>
      <c r="J530" s="77">
        <f>SUMIF(安全质量事故!$B:$B,C529,安全质量事故!$G:$G)</f>
        <v>0</v>
      </c>
      <c r="K530" s="72">
        <f>COUNTIF(L530:AP530,标准数据!$A$2)*标准数据!$B$2+COUNTIF(L530:AP530,标准数据!$A$3)*标准数据!$B$3+COUNTIF(L530:AP530,标准数据!$A$4)*标准数据!$B$4</f>
        <v>0</v>
      </c>
      <c r="L530" s="56"/>
      <c r="M530" s="56"/>
      <c r="N530" s="56"/>
      <c r="O530" s="56"/>
      <c r="P530" s="56"/>
      <c r="Q530" s="56"/>
      <c r="R530" s="56"/>
      <c r="S530" s="56"/>
      <c r="T530" s="56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192"/>
      <c r="AQ530" s="90"/>
      <c r="AR530" s="195"/>
    </row>
    <row r="531" spans="1:46" ht="21" customHeight="1">
      <c r="A531" s="227" t="s">
        <v>2115</v>
      </c>
      <c r="B531" s="45" t="s">
        <v>14</v>
      </c>
      <c r="C531" s="46" t="s">
        <v>471</v>
      </c>
      <c r="D531" s="47" t="s">
        <v>431</v>
      </c>
      <c r="E531" s="48">
        <v>45854</v>
      </c>
      <c r="F531" s="49">
        <f t="shared" si="25"/>
        <v>0</v>
      </c>
      <c r="G531" s="77">
        <f>SUMIF(积分汇总!$B:$B,C530,积分汇总!$E:$E)</f>
        <v>0</v>
      </c>
      <c r="H531" s="77">
        <f>SUMIF(记录巡查问题条数汇总!$B:$B,C530,记录巡查问题条数汇总!$E:$E)</f>
        <v>0</v>
      </c>
      <c r="I531" s="77"/>
      <c r="J531" s="77">
        <f>SUMIF(安全质量事故!$B:$B,C530,安全质量事故!$G:$G)</f>
        <v>0</v>
      </c>
      <c r="K531" s="72">
        <f>COUNTIF(L531:AP531,标准数据!$A$2)*标准数据!$B$2+COUNTIF(L531:AP531,标准数据!$A$3)*标准数据!$B$3+COUNTIF(L531:AP531,标准数据!$A$4)*标准数据!$B$4</f>
        <v>0</v>
      </c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189"/>
      <c r="AQ531" s="55"/>
      <c r="AR531" s="41"/>
      <c r="AS531" s="41"/>
      <c r="AT531" s="41"/>
    </row>
    <row r="532" spans="1:46" ht="21" customHeight="1">
      <c r="A532" s="227" t="s">
        <v>2115</v>
      </c>
      <c r="B532" s="45" t="s">
        <v>14</v>
      </c>
      <c r="C532" s="46" t="s">
        <v>472</v>
      </c>
      <c r="D532" s="47" t="s">
        <v>432</v>
      </c>
      <c r="E532" s="48">
        <v>45861</v>
      </c>
      <c r="F532" s="49">
        <f t="shared" si="25"/>
        <v>0</v>
      </c>
      <c r="G532" s="77">
        <f>SUMIF(积分汇总!$B:$B,C531,积分汇总!$E:$E)</f>
        <v>0</v>
      </c>
      <c r="H532" s="77">
        <f>SUMIF(记录巡查问题条数汇总!$B:$B,C531,记录巡查问题条数汇总!$E:$E)</f>
        <v>0</v>
      </c>
      <c r="I532" s="77"/>
      <c r="J532" s="77">
        <f>SUMIF(安全质量事故!$B:$B,C531,安全质量事故!$G:$G)</f>
        <v>0</v>
      </c>
      <c r="K532" s="72">
        <f>COUNTIF(L532:AP532,标准数据!$A$2)*标准数据!$B$2+COUNTIF(L532:AP532,标准数据!$A$3)*标准数据!$B$3+COUNTIF(L532:AP532,标准数据!$A$4)*标准数据!$B$4</f>
        <v>0</v>
      </c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192"/>
      <c r="AQ532" s="90"/>
      <c r="AR532" s="41"/>
      <c r="AS532" s="41"/>
      <c r="AT532" s="41"/>
    </row>
    <row r="533" spans="1:46" ht="21" customHeight="1">
      <c r="A533" s="227" t="s">
        <v>2115</v>
      </c>
      <c r="B533" s="45" t="s">
        <v>14</v>
      </c>
      <c r="C533" s="46" t="s">
        <v>542</v>
      </c>
      <c r="D533" s="47" t="s">
        <v>508</v>
      </c>
      <c r="E533" s="48">
        <v>45868</v>
      </c>
      <c r="F533" s="49">
        <f t="shared" si="25"/>
        <v>0</v>
      </c>
      <c r="G533" s="77">
        <f>SUMIF(积分汇总!$B:$B,C532,积分汇总!$E:$E)</f>
        <v>0</v>
      </c>
      <c r="H533" s="77">
        <f>SUMIF(记录巡查问题条数汇总!$B:$B,C532,记录巡查问题条数汇总!$E:$E)</f>
        <v>0</v>
      </c>
      <c r="I533" s="77"/>
      <c r="J533" s="77">
        <f>SUMIF(安全质量事故!$B:$B,C532,安全质量事故!$G:$G)</f>
        <v>0</v>
      </c>
      <c r="K533" s="72">
        <f>COUNTIF(L533:AP533,标准数据!$A$2)*标准数据!$B$2+COUNTIF(L533:AP533,标准数据!$A$3)*标准数据!$B$3+COUNTIF(L533:AP533,标准数据!$A$4)*标准数据!$B$4</f>
        <v>0</v>
      </c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189"/>
      <c r="AQ533" s="55"/>
      <c r="AR533" s="41"/>
      <c r="AS533" s="41"/>
      <c r="AT533" s="41"/>
    </row>
    <row r="534" spans="1:46" ht="21" customHeight="1">
      <c r="A534" s="227" t="s">
        <v>2115</v>
      </c>
      <c r="B534" s="45" t="s">
        <v>14</v>
      </c>
      <c r="C534" s="46" t="s">
        <v>2031</v>
      </c>
      <c r="D534" s="47" t="s">
        <v>2032</v>
      </c>
      <c r="E534" s="48">
        <v>46225</v>
      </c>
      <c r="F534" s="49">
        <f t="shared" si="25"/>
        <v>0</v>
      </c>
      <c r="G534" s="77">
        <f>SUMIF(积分汇总!$B:$B,C533,积分汇总!$E:$E)</f>
        <v>0</v>
      </c>
      <c r="H534" s="77">
        <f>SUMIF(记录巡查问题条数汇总!$B:$B,C533,记录巡查问题条数汇总!$E:$E)</f>
        <v>0</v>
      </c>
      <c r="I534" s="77"/>
      <c r="J534" s="77">
        <f>SUMIF(安全质量事故!$B:$B,C533,安全质量事故!$G:$G)</f>
        <v>0</v>
      </c>
      <c r="K534" s="72">
        <f>COUNTIF(L534:AP534,标准数据!$A$2)*标准数据!$B$2+COUNTIF(L534:AP534,标准数据!$A$3)*标准数据!$B$3+COUNTIF(L534:AP534,标准数据!$A$4)*标准数据!$B$4</f>
        <v>0</v>
      </c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189"/>
      <c r="AQ534" s="55"/>
      <c r="AR534" s="41"/>
      <c r="AS534" s="41"/>
      <c r="AT534" s="41"/>
    </row>
    <row r="535" spans="1:46" ht="21" customHeight="1">
      <c r="A535" s="227" t="s">
        <v>2115</v>
      </c>
      <c r="B535" s="45" t="s">
        <v>14</v>
      </c>
      <c r="C535" s="46" t="s">
        <v>2033</v>
      </c>
      <c r="D535" s="47" t="s">
        <v>2034</v>
      </c>
      <c r="E535" s="48">
        <v>46225</v>
      </c>
      <c r="F535" s="49">
        <f t="shared" si="25"/>
        <v>0</v>
      </c>
      <c r="G535" s="77">
        <f>SUMIF(积分汇总!$B:$B,C534,积分汇总!$E:$E)</f>
        <v>0</v>
      </c>
      <c r="H535" s="77">
        <f>SUMIF(记录巡查问题条数汇总!$B:$B,C534,记录巡查问题条数汇总!$E:$E)</f>
        <v>0</v>
      </c>
      <c r="I535" s="77"/>
      <c r="J535" s="77">
        <f>SUMIF(安全质量事故!$B:$B,C534,安全质量事故!$G:$G)</f>
        <v>0</v>
      </c>
      <c r="K535" s="72">
        <f>COUNTIF(L535:AP535,标准数据!$A$2)*标准数据!$B$2+COUNTIF(L535:AP535,标准数据!$A$3)*标准数据!$B$3+COUNTIF(L535:AP535,标准数据!$A$4)*标准数据!$B$4</f>
        <v>0</v>
      </c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189"/>
      <c r="AQ535" s="55"/>
      <c r="AR535" s="41"/>
      <c r="AS535" s="41"/>
      <c r="AT535" s="41"/>
    </row>
    <row r="536" spans="1:46" ht="21" customHeight="1">
      <c r="A536" s="227" t="s">
        <v>2115</v>
      </c>
      <c r="B536" s="45" t="s">
        <v>14</v>
      </c>
      <c r="C536" s="46" t="s">
        <v>2045</v>
      </c>
      <c r="D536" s="47" t="s">
        <v>2046</v>
      </c>
      <c r="E536" s="48">
        <v>46225</v>
      </c>
      <c r="F536" s="49">
        <f t="shared" si="25"/>
        <v>0</v>
      </c>
      <c r="G536" s="77">
        <f>SUMIF(积分汇总!$B:$B,C535,积分汇总!$E:$E)</f>
        <v>0</v>
      </c>
      <c r="H536" s="77">
        <f>SUMIF(记录巡查问题条数汇总!$B:$B,C535,记录巡查问题条数汇总!$E:$E)</f>
        <v>0</v>
      </c>
      <c r="I536" s="77"/>
      <c r="J536" s="77">
        <f>SUMIF(安全质量事故!$B:$B,C535,安全质量事故!$G:$G)</f>
        <v>0</v>
      </c>
      <c r="K536" s="72">
        <f>COUNTIF(L536:AP536,标准数据!$A$2)*标准数据!$B$2+COUNTIF(L536:AP536,标准数据!$A$3)*标准数据!$B$3+COUNTIF(L536:AP536,标准数据!$A$4)*标准数据!$B$4</f>
        <v>0</v>
      </c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189"/>
      <c r="AQ536" s="55"/>
      <c r="AR536" s="41"/>
      <c r="AS536" s="41"/>
      <c r="AT536" s="41"/>
    </row>
    <row r="537" spans="1:46" ht="21" customHeight="1">
      <c r="A537" s="227" t="s">
        <v>2115</v>
      </c>
      <c r="B537" s="45" t="s">
        <v>14</v>
      </c>
      <c r="C537" s="46" t="s">
        <v>2049</v>
      </c>
      <c r="D537" s="47" t="s">
        <v>2050</v>
      </c>
      <c r="E537" s="48">
        <v>46225</v>
      </c>
      <c r="F537" s="49">
        <f t="shared" si="25"/>
        <v>0</v>
      </c>
      <c r="G537" s="77">
        <f>SUMIF(积分汇总!$B:$B,C536,积分汇总!$E:$E)</f>
        <v>0</v>
      </c>
      <c r="H537" s="77">
        <f>SUMIF(记录巡查问题条数汇总!$B:$B,C536,记录巡查问题条数汇总!$E:$E)</f>
        <v>0</v>
      </c>
      <c r="I537" s="77"/>
      <c r="J537" s="77">
        <f>SUMIF(安全质量事故!$B:$B,C536,安全质量事故!$G:$G)</f>
        <v>0</v>
      </c>
      <c r="K537" s="72">
        <f>COUNTIF(L537:AP537,标准数据!$A$2)*标准数据!$B$2+COUNTIF(L537:AP537,标准数据!$A$3)*标准数据!$B$3+COUNTIF(L537:AP537,标准数据!$A$4)*标准数据!$B$4</f>
        <v>0</v>
      </c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192"/>
      <c r="AQ537" s="90"/>
    </row>
    <row r="538" spans="1:46" ht="21" customHeight="1">
      <c r="A538" s="227" t="s">
        <v>2115</v>
      </c>
      <c r="B538" s="45" t="s">
        <v>14</v>
      </c>
      <c r="C538" s="46" t="s">
        <v>2051</v>
      </c>
      <c r="D538" s="47" t="s">
        <v>2052</v>
      </c>
      <c r="E538" s="48">
        <v>46225</v>
      </c>
      <c r="F538" s="49">
        <f t="shared" si="25"/>
        <v>0</v>
      </c>
      <c r="G538" s="77">
        <f>SUMIF(积分汇总!$B:$B,C537,积分汇总!$E:$E)</f>
        <v>0</v>
      </c>
      <c r="H538" s="77">
        <f>SUMIF(记录巡查问题条数汇总!$B:$B,C537,记录巡查问题条数汇总!$E:$E)</f>
        <v>0</v>
      </c>
      <c r="I538" s="77"/>
      <c r="J538" s="77">
        <f>SUMIF(安全质量事故!$B:$B,C537,安全质量事故!$G:$G)</f>
        <v>0</v>
      </c>
      <c r="K538" s="72">
        <f>COUNTIF(L538:AP538,标准数据!$A$2)*标准数据!$B$2+COUNTIF(L538:AP538,标准数据!$A$3)*标准数据!$B$3+COUNTIF(L538:AP538,标准数据!$A$4)*标准数据!$B$4</f>
        <v>0</v>
      </c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192"/>
      <c r="AQ538" s="90"/>
      <c r="AR538" s="41"/>
      <c r="AS538" s="41"/>
      <c r="AT538" s="41"/>
    </row>
    <row r="539" spans="1:46" ht="21" customHeight="1">
      <c r="A539" s="227" t="s">
        <v>2115</v>
      </c>
      <c r="B539" s="45" t="s">
        <v>14</v>
      </c>
      <c r="C539" s="46" t="s">
        <v>2053</v>
      </c>
      <c r="D539" s="47" t="s">
        <v>2054</v>
      </c>
      <c r="E539" s="48">
        <v>46225</v>
      </c>
      <c r="F539" s="49">
        <f t="shared" si="25"/>
        <v>0</v>
      </c>
      <c r="G539" s="77">
        <f>SUMIF(积分汇总!$B:$B,C538,积分汇总!$E:$E)</f>
        <v>0</v>
      </c>
      <c r="H539" s="77">
        <f>SUMIF(记录巡查问题条数汇总!$B:$B,C538,记录巡查问题条数汇总!$E:$E)</f>
        <v>0</v>
      </c>
      <c r="I539" s="77"/>
      <c r="J539" s="77">
        <f>SUMIF(安全质量事故!$B:$B,C538,安全质量事故!$G:$G)</f>
        <v>0</v>
      </c>
      <c r="K539" s="72">
        <f>COUNTIF(L539:AP539,标准数据!$A$2)*标准数据!$B$2+COUNTIF(L539:AP539,标准数据!$A$3)*标准数据!$B$3+COUNTIF(L539:AP539,标准数据!$A$4)*标准数据!$B$4</f>
        <v>0</v>
      </c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192"/>
      <c r="AQ539" s="90"/>
    </row>
    <row r="540" spans="1:46" ht="21" customHeight="1">
      <c r="A540" s="227" t="s">
        <v>2115</v>
      </c>
      <c r="B540" s="45" t="s">
        <v>14</v>
      </c>
      <c r="C540" s="46" t="s">
        <v>1730</v>
      </c>
      <c r="D540" s="47" t="s">
        <v>1731</v>
      </c>
      <c r="E540" s="48">
        <v>46204</v>
      </c>
      <c r="F540" s="49">
        <f t="shared" si="25"/>
        <v>0</v>
      </c>
      <c r="G540" s="77">
        <f>SUMIF(积分汇总!$B:$B,C539,积分汇总!$E:$E)</f>
        <v>0</v>
      </c>
      <c r="H540" s="77">
        <f>SUMIF(记录巡查问题条数汇总!$B:$B,C539,记录巡查问题条数汇总!$E:$E)</f>
        <v>0</v>
      </c>
      <c r="I540" s="77"/>
      <c r="J540" s="77">
        <f>SUMIF(安全质量事故!$B:$B,C539,安全质量事故!$G:$G)</f>
        <v>0</v>
      </c>
      <c r="K540" s="72">
        <f>COUNTIF(L540:AP540,标准数据!$A$2)*标准数据!$B$2+COUNTIF(L540:AP540,标准数据!$A$3)*标准数据!$B$3+COUNTIF(L540:AP540,标准数据!$A$4)*标准数据!$B$4</f>
        <v>0</v>
      </c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189"/>
      <c r="AQ540" s="55"/>
    </row>
    <row r="541" spans="1:46" ht="21" customHeight="1">
      <c r="A541" s="227" t="s">
        <v>2115</v>
      </c>
      <c r="B541" s="45" t="s">
        <v>14</v>
      </c>
      <c r="C541" s="46" t="s">
        <v>1732</v>
      </c>
      <c r="D541" s="47" t="s">
        <v>1733</v>
      </c>
      <c r="E541" s="48">
        <v>46208</v>
      </c>
      <c r="F541" s="49">
        <f t="shared" ref="F541:F604" si="26">(K541+G541+H541+I541-J541)</f>
        <v>0</v>
      </c>
      <c r="G541" s="77">
        <f>SUMIF(积分汇总!$B:$B,C540,积分汇总!$E:$E)</f>
        <v>0</v>
      </c>
      <c r="H541" s="77">
        <f>SUMIF(记录巡查问题条数汇总!$B:$B,C540,记录巡查问题条数汇总!$E:$E)</f>
        <v>0</v>
      </c>
      <c r="I541" s="77"/>
      <c r="J541" s="77">
        <f>SUMIF(安全质量事故!$B:$B,C540,安全质量事故!$G:$G)</f>
        <v>0</v>
      </c>
      <c r="K541" s="72">
        <f>COUNTIF(L541:AP541,标准数据!$A$2)*标准数据!$B$2+COUNTIF(L541:AP541,标准数据!$A$3)*标准数据!$B$3+COUNTIF(L541:AP541,标准数据!$A$4)*标准数据!$B$4</f>
        <v>0</v>
      </c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192"/>
      <c r="AQ541" s="90"/>
      <c r="AR541" s="41"/>
      <c r="AS541" s="41"/>
      <c r="AT541" s="41"/>
    </row>
    <row r="542" spans="1:46" ht="21" customHeight="1">
      <c r="A542" s="227" t="s">
        <v>2115</v>
      </c>
      <c r="B542" s="45" t="s">
        <v>14</v>
      </c>
      <c r="C542" s="46" t="s">
        <v>1734</v>
      </c>
      <c r="D542" s="47" t="s">
        <v>1735</v>
      </c>
      <c r="E542" s="48">
        <v>46208</v>
      </c>
      <c r="F542" s="49">
        <f t="shared" si="26"/>
        <v>0</v>
      </c>
      <c r="G542" s="77">
        <f>SUMIF(积分汇总!$B:$B,C541,积分汇总!$E:$E)</f>
        <v>0</v>
      </c>
      <c r="H542" s="77">
        <f>SUMIF(记录巡查问题条数汇总!$B:$B,C541,记录巡查问题条数汇总!$E:$E)</f>
        <v>0</v>
      </c>
      <c r="I542" s="77"/>
      <c r="J542" s="77">
        <f>SUMIF(安全质量事故!$B:$B,C541,安全质量事故!$G:$G)</f>
        <v>0</v>
      </c>
      <c r="K542" s="72">
        <f>COUNTIF(L542:AP542,标准数据!$A$2)*标准数据!$B$2+COUNTIF(L542:AP542,标准数据!$A$3)*标准数据!$B$3+COUNTIF(L542:AP542,标准数据!$A$4)*标准数据!$B$4</f>
        <v>0</v>
      </c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189"/>
      <c r="AQ542" s="55"/>
    </row>
    <row r="543" spans="1:46" ht="21" customHeight="1">
      <c r="A543" s="227" t="s">
        <v>2115</v>
      </c>
      <c r="B543" s="45" t="s">
        <v>14</v>
      </c>
      <c r="C543" s="46" t="s">
        <v>563</v>
      </c>
      <c r="D543" s="47" t="s">
        <v>1736</v>
      </c>
      <c r="E543" s="48">
        <v>46208</v>
      </c>
      <c r="F543" s="49">
        <f t="shared" si="26"/>
        <v>0</v>
      </c>
      <c r="G543" s="77">
        <f>SUMIF(积分汇总!$B:$B,C542,积分汇总!$E:$E)</f>
        <v>0</v>
      </c>
      <c r="H543" s="77">
        <f>SUMIF(记录巡查问题条数汇总!$B:$B,C542,记录巡查问题条数汇总!$E:$E)</f>
        <v>0</v>
      </c>
      <c r="I543" s="77"/>
      <c r="J543" s="77">
        <f>SUMIF(安全质量事故!$B:$B,C542,安全质量事故!$G:$G)</f>
        <v>0</v>
      </c>
      <c r="K543" s="72">
        <f>COUNTIF(L543:AP543,标准数据!$A$2)*标准数据!$B$2+COUNTIF(L543:AP543,标准数据!$A$3)*标准数据!$B$3+COUNTIF(L543:AP543,标准数据!$A$4)*标准数据!$B$4</f>
        <v>0</v>
      </c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189"/>
      <c r="AQ543" s="55"/>
    </row>
    <row r="544" spans="1:46" ht="21" customHeight="1">
      <c r="A544" s="227" t="s">
        <v>2115</v>
      </c>
      <c r="B544" s="45" t="s">
        <v>14</v>
      </c>
      <c r="C544" s="46" t="s">
        <v>1739</v>
      </c>
      <c r="D544" s="47" t="s">
        <v>1740</v>
      </c>
      <c r="E544" s="48">
        <v>46208</v>
      </c>
      <c r="F544" s="49">
        <f t="shared" si="26"/>
        <v>0</v>
      </c>
      <c r="G544" s="77">
        <f>SUMIF(积分汇总!$B:$B,C543,积分汇总!$E:$E)</f>
        <v>0</v>
      </c>
      <c r="H544" s="77">
        <f>SUMIF(记录巡查问题条数汇总!$B:$B,C543,记录巡查问题条数汇总!$E:$E)</f>
        <v>0</v>
      </c>
      <c r="I544" s="77"/>
      <c r="J544" s="77">
        <f>SUMIF(安全质量事故!$B:$B,C543,安全质量事故!$G:$G)</f>
        <v>0</v>
      </c>
      <c r="K544" s="72">
        <f>COUNTIF(L544:AP544,标准数据!$A$2)*标准数据!$B$2+COUNTIF(L544:AP544,标准数据!$A$3)*标准数据!$B$3+COUNTIF(L544:AP544,标准数据!$A$4)*标准数据!$B$4</f>
        <v>0</v>
      </c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189"/>
      <c r="AQ544" s="55"/>
    </row>
    <row r="545" spans="1:48" ht="21" customHeight="1">
      <c r="A545" s="227" t="s">
        <v>2115</v>
      </c>
      <c r="B545" s="45" t="s">
        <v>14</v>
      </c>
      <c r="C545" s="46" t="s">
        <v>1741</v>
      </c>
      <c r="D545" s="47" t="s">
        <v>1742</v>
      </c>
      <c r="E545" s="104">
        <v>45889</v>
      </c>
      <c r="F545" s="49">
        <f t="shared" si="26"/>
        <v>0</v>
      </c>
      <c r="G545" s="77">
        <f>SUMIF(积分汇总!$B:$B,C544,积分汇总!$E:$E)</f>
        <v>0</v>
      </c>
      <c r="H545" s="77">
        <f>SUMIF(记录巡查问题条数汇总!$B:$B,C544,记录巡查问题条数汇总!$E:$E)</f>
        <v>0</v>
      </c>
      <c r="I545" s="77"/>
      <c r="J545" s="77">
        <f>SUMIF(安全质量事故!$B:$B,C544,安全质量事故!$G:$G)</f>
        <v>0</v>
      </c>
      <c r="K545" s="72">
        <f>COUNTIF(L545:AP545,标准数据!$A$2)*标准数据!$B$2+COUNTIF(L545:AP545,标准数据!$A$3)*标准数据!$B$3+COUNTIF(L545:AP545,标准数据!$A$4)*标准数据!$B$4</f>
        <v>0</v>
      </c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189"/>
      <c r="AQ545" s="55"/>
    </row>
    <row r="546" spans="1:48" ht="21" customHeight="1">
      <c r="A546" s="227" t="s">
        <v>2115</v>
      </c>
      <c r="B546" s="45" t="s">
        <v>14</v>
      </c>
      <c r="C546" s="46" t="s">
        <v>1743</v>
      </c>
      <c r="D546" s="47" t="s">
        <v>1744</v>
      </c>
      <c r="E546" s="48">
        <v>46197</v>
      </c>
      <c r="F546" s="49">
        <f t="shared" si="26"/>
        <v>0</v>
      </c>
      <c r="G546" s="77">
        <f>SUMIF(积分汇总!$B:$B,C545,积分汇总!$E:$E)</f>
        <v>0</v>
      </c>
      <c r="H546" s="77">
        <f>SUMIF(记录巡查问题条数汇总!$B:$B,C545,记录巡查问题条数汇总!$E:$E)</f>
        <v>0</v>
      </c>
      <c r="I546" s="77"/>
      <c r="J546" s="77">
        <f>SUMIF(安全质量事故!$B:$B,C545,安全质量事故!$G:$G)</f>
        <v>0</v>
      </c>
      <c r="K546" s="72">
        <f>COUNTIF(L546:AP546,标准数据!$A$2)*标准数据!$B$2+COUNTIF(L546:AP546,标准数据!$A$3)*标准数据!$B$3+COUNTIF(L546:AP546,标准数据!$A$4)*标准数据!$B$4</f>
        <v>0</v>
      </c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189"/>
      <c r="AQ546" s="55"/>
    </row>
    <row r="547" spans="1:48" s="51" customFormat="1" ht="21" customHeight="1">
      <c r="A547" s="227" t="s">
        <v>2115</v>
      </c>
      <c r="B547" s="45" t="s">
        <v>14</v>
      </c>
      <c r="C547" s="47" t="s">
        <v>1745</v>
      </c>
      <c r="D547" s="52" t="s">
        <v>1746</v>
      </c>
      <c r="E547" s="46">
        <v>46197</v>
      </c>
      <c r="F547" s="49">
        <f t="shared" si="26"/>
        <v>0</v>
      </c>
      <c r="G547" s="77">
        <f>SUMIF(积分汇总!$B:$B,C546,积分汇总!$E:$E)</f>
        <v>0</v>
      </c>
      <c r="H547" s="77">
        <f>SUMIF(记录巡查问题条数汇总!$B:$B,C546,记录巡查问题条数汇总!$E:$E)</f>
        <v>0</v>
      </c>
      <c r="I547" s="77"/>
      <c r="J547" s="77">
        <f>SUMIF(安全质量事故!$B:$B,C546,安全质量事故!$G:$G)</f>
        <v>0</v>
      </c>
      <c r="K547" s="72">
        <f>COUNTIF(L547:AP547,标准数据!$A$2)*标准数据!$B$2+COUNTIF(L547:AP547,标准数据!$A$3)*标准数据!$B$3+COUNTIF(L547:AP547,标准数据!$A$4)*标准数据!$B$4</f>
        <v>0</v>
      </c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192"/>
      <c r="AQ547" s="90"/>
      <c r="AU547" s="76"/>
      <c r="AV547" s="41"/>
    </row>
    <row r="548" spans="1:48" ht="21" customHeight="1">
      <c r="A548" s="227" t="s">
        <v>2115</v>
      </c>
      <c r="B548" s="45" t="s">
        <v>14</v>
      </c>
      <c r="C548" s="46" t="s">
        <v>1764</v>
      </c>
      <c r="D548" s="47" t="s">
        <v>1765</v>
      </c>
      <c r="E548" s="48">
        <v>46215</v>
      </c>
      <c r="F548" s="49">
        <f t="shared" si="26"/>
        <v>0</v>
      </c>
      <c r="G548" s="77">
        <f>SUMIF(积分汇总!$B:$B,C547,积分汇总!$E:$E)</f>
        <v>0</v>
      </c>
      <c r="H548" s="77">
        <f>SUMIF(记录巡查问题条数汇总!$B:$B,C547,记录巡查问题条数汇总!$E:$E)</f>
        <v>0</v>
      </c>
      <c r="I548" s="77"/>
      <c r="J548" s="77">
        <f>SUMIF(安全质量事故!$B:$B,C547,安全质量事故!$G:$G)</f>
        <v>0</v>
      </c>
      <c r="K548" s="72">
        <f>COUNTIF(L548:AP548,标准数据!$A$2)*标准数据!$B$2+COUNTIF(L548:AP548,标准数据!$A$3)*标准数据!$B$3+COUNTIF(L548:AP548,标准数据!$A$4)*标准数据!$B$4</f>
        <v>0</v>
      </c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189"/>
      <c r="AQ548" s="55"/>
      <c r="AR548" s="41"/>
      <c r="AS548" s="41"/>
      <c r="AT548" s="41"/>
    </row>
    <row r="549" spans="1:48" ht="21" customHeight="1">
      <c r="A549" s="227" t="s">
        <v>2115</v>
      </c>
      <c r="B549" s="45" t="s">
        <v>14</v>
      </c>
      <c r="C549" s="46" t="s">
        <v>1766</v>
      </c>
      <c r="D549" s="47" t="s">
        <v>1767</v>
      </c>
      <c r="E549" s="48">
        <v>46215</v>
      </c>
      <c r="F549" s="49">
        <f t="shared" si="26"/>
        <v>0</v>
      </c>
      <c r="G549" s="77">
        <f>SUMIF(积分汇总!$B:$B,C548,积分汇总!$E:$E)</f>
        <v>0</v>
      </c>
      <c r="H549" s="77">
        <f>SUMIF(记录巡查问题条数汇总!$B:$B,C548,记录巡查问题条数汇总!$E:$E)</f>
        <v>0</v>
      </c>
      <c r="I549" s="77"/>
      <c r="J549" s="77">
        <f>SUMIF(安全质量事故!$B:$B,C548,安全质量事故!$G:$G)</f>
        <v>0</v>
      </c>
      <c r="K549" s="72">
        <f>COUNTIF(L549:AP549,标准数据!$A$2)*标准数据!$B$2+COUNTIF(L549:AP549,标准数据!$A$3)*标准数据!$B$3+COUNTIF(L549:AP549,标准数据!$A$4)*标准数据!$B$4</f>
        <v>0</v>
      </c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192"/>
      <c r="AQ549" s="90"/>
      <c r="AR549" s="41"/>
      <c r="AS549" s="41"/>
      <c r="AT549" s="41"/>
    </row>
    <row r="550" spans="1:48" ht="21" customHeight="1">
      <c r="A550" s="227" t="s">
        <v>2115</v>
      </c>
      <c r="B550" s="45" t="s">
        <v>14</v>
      </c>
      <c r="C550" s="46" t="s">
        <v>1774</v>
      </c>
      <c r="D550" s="47" t="s">
        <v>1775</v>
      </c>
      <c r="E550" s="48">
        <v>46215</v>
      </c>
      <c r="F550" s="49">
        <f t="shared" si="26"/>
        <v>0</v>
      </c>
      <c r="G550" s="77">
        <f>SUMIF(积分汇总!$B:$B,C549,积分汇总!$E:$E)</f>
        <v>0</v>
      </c>
      <c r="H550" s="77">
        <f>SUMIF(记录巡查问题条数汇总!$B:$B,C549,记录巡查问题条数汇总!$E:$E)</f>
        <v>0</v>
      </c>
      <c r="I550" s="77"/>
      <c r="J550" s="77">
        <f>SUMIF(安全质量事故!$B:$B,C549,安全质量事故!$G:$G)</f>
        <v>0</v>
      </c>
      <c r="K550" s="72">
        <f>COUNTIF(L550:AP550,标准数据!$A$2)*标准数据!$B$2+COUNTIF(L550:AP550,标准数据!$A$3)*标准数据!$B$3+COUNTIF(L550:AP550,标准数据!$A$4)*标准数据!$B$4</f>
        <v>0</v>
      </c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189"/>
      <c r="AQ550" s="55"/>
    </row>
    <row r="551" spans="1:48" ht="21" customHeight="1">
      <c r="A551" s="227" t="s">
        <v>2115</v>
      </c>
      <c r="B551" s="45" t="s">
        <v>14</v>
      </c>
      <c r="C551" s="46" t="s">
        <v>1430</v>
      </c>
      <c r="D551" s="47" t="s">
        <v>1431</v>
      </c>
      <c r="E551" s="48">
        <v>46183</v>
      </c>
      <c r="F551" s="49">
        <f t="shared" si="26"/>
        <v>0</v>
      </c>
      <c r="G551" s="77">
        <f>SUMIF(积分汇总!$B:$B,C550,积分汇总!$E:$E)</f>
        <v>0</v>
      </c>
      <c r="H551" s="77">
        <f>SUMIF(记录巡查问题条数汇总!$B:$B,C550,记录巡查问题条数汇总!$E:$E)</f>
        <v>0</v>
      </c>
      <c r="I551" s="77"/>
      <c r="J551" s="77">
        <f>SUMIF(安全质量事故!$B:$B,C550,安全质量事故!$G:$G)</f>
        <v>0</v>
      </c>
      <c r="K551" s="72">
        <f>COUNTIF(L551:AP551,标准数据!$A$2)*标准数据!$B$2+COUNTIF(L551:AP551,标准数据!$A$3)*标准数据!$B$3+COUNTIF(L551:AP551,标准数据!$A$4)*标准数据!$B$4</f>
        <v>0</v>
      </c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189"/>
      <c r="AQ551" s="55"/>
    </row>
    <row r="552" spans="1:48" ht="21" customHeight="1">
      <c r="A552" s="227" t="s">
        <v>2115</v>
      </c>
      <c r="B552" s="45" t="s">
        <v>14</v>
      </c>
      <c r="C552" s="46" t="s">
        <v>1432</v>
      </c>
      <c r="D552" s="47" t="s">
        <v>1433</v>
      </c>
      <c r="E552" s="48">
        <v>46183</v>
      </c>
      <c r="F552" s="49">
        <f t="shared" si="26"/>
        <v>0</v>
      </c>
      <c r="G552" s="77">
        <f>SUMIF(积分汇总!$B:$B,#REF!,积分汇总!$E:$E)</f>
        <v>0</v>
      </c>
      <c r="H552" s="77">
        <f>SUMIF(记录巡查问题条数汇总!$B:$B,#REF!,记录巡查问题条数汇总!$E:$E)</f>
        <v>0</v>
      </c>
      <c r="I552" s="77"/>
      <c r="J552" s="77">
        <f>SUMIF(安全质量事故!$B:$B,#REF!,安全质量事故!$G:$G)</f>
        <v>0</v>
      </c>
      <c r="K552" s="72">
        <f>COUNTIF(L552:AP552,标准数据!$A$2)*标准数据!$B$2+COUNTIF(L552:AP552,标准数据!$A$3)*标准数据!$B$3+COUNTIF(L552:AP552,标准数据!$A$4)*标准数据!$B$4</f>
        <v>0</v>
      </c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189"/>
      <c r="AQ552" s="55"/>
    </row>
    <row r="553" spans="1:48" ht="21" customHeight="1">
      <c r="A553" s="227" t="s">
        <v>2115</v>
      </c>
      <c r="B553" s="45" t="s">
        <v>14</v>
      </c>
      <c r="C553" s="46" t="s">
        <v>478</v>
      </c>
      <c r="D553" s="47" t="s">
        <v>446</v>
      </c>
      <c r="E553" s="48">
        <v>45847</v>
      </c>
      <c r="F553" s="49">
        <f t="shared" si="26"/>
        <v>0</v>
      </c>
      <c r="G553" s="77">
        <f>SUMIF(积分汇总!$B:$B,#REF!,积分汇总!$E:$E)</f>
        <v>0</v>
      </c>
      <c r="H553" s="77">
        <f>SUMIF(记录巡查问题条数汇总!$B:$B,#REF!,记录巡查问题条数汇总!$E:$E)</f>
        <v>0</v>
      </c>
      <c r="I553" s="77"/>
      <c r="J553" s="77">
        <f>SUMIF(安全质量事故!$B:$B,#REF!,安全质量事故!$G:$G)</f>
        <v>0</v>
      </c>
      <c r="K553" s="72">
        <f>COUNTIF(L553:AP553,标准数据!$A$2)*标准数据!$B$2+COUNTIF(L553:AP553,标准数据!$A$3)*标准数据!$B$3+COUNTIF(L553:AP553,标准数据!$A$4)*标准数据!$B$4</f>
        <v>0</v>
      </c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192"/>
      <c r="AQ553" s="90"/>
      <c r="AR553" s="41"/>
      <c r="AS553" s="41"/>
      <c r="AT553" s="41"/>
    </row>
    <row r="554" spans="1:48" ht="21" customHeight="1">
      <c r="A554" s="227" t="s">
        <v>2115</v>
      </c>
      <c r="B554" s="45" t="s">
        <v>14</v>
      </c>
      <c r="C554" s="46" t="s">
        <v>1327</v>
      </c>
      <c r="D554" s="47" t="s">
        <v>1328</v>
      </c>
      <c r="E554" s="48">
        <v>46134</v>
      </c>
      <c r="F554" s="49">
        <f t="shared" si="26"/>
        <v>0</v>
      </c>
      <c r="G554" s="77">
        <f>SUMIF(积分汇总!$B:$B,C553,积分汇总!$E:$E)</f>
        <v>0</v>
      </c>
      <c r="H554" s="77">
        <f>SUMIF(记录巡查问题条数汇总!$B:$B,C553,记录巡查问题条数汇总!$E:$E)</f>
        <v>0</v>
      </c>
      <c r="I554" s="77"/>
      <c r="J554" s="77">
        <f>SUMIF(安全质量事故!$B:$B,C553,安全质量事故!$G:$G)</f>
        <v>0</v>
      </c>
      <c r="K554" s="72">
        <f>COUNTIF(L554:AP554,标准数据!$A$2)*标准数据!$B$2+COUNTIF(L554:AP554,标准数据!$A$3)*标准数据!$B$3+COUNTIF(L554:AP554,标准数据!$A$4)*标准数据!$B$4</f>
        <v>0</v>
      </c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189"/>
      <c r="AQ554" s="55"/>
    </row>
    <row r="555" spans="1:48" ht="21" customHeight="1">
      <c r="A555" s="227" t="s">
        <v>2115</v>
      </c>
      <c r="B555" s="45" t="s">
        <v>129</v>
      </c>
      <c r="C555" s="46" t="s">
        <v>494</v>
      </c>
      <c r="D555" s="47" t="s">
        <v>445</v>
      </c>
      <c r="E555" s="48">
        <v>45854</v>
      </c>
      <c r="F555" s="49">
        <f t="shared" si="26"/>
        <v>0</v>
      </c>
      <c r="G555" s="77">
        <f>SUMIF(积分汇总!$B:$B,C554,积分汇总!$E:$E)</f>
        <v>0</v>
      </c>
      <c r="H555" s="77">
        <f>SUMIF(记录巡查问题条数汇总!$B:$B,C554,记录巡查问题条数汇总!$E:$E)</f>
        <v>0</v>
      </c>
      <c r="I555" s="77"/>
      <c r="J555" s="77">
        <f>SUMIF(安全质量事故!$B:$B,C554,安全质量事故!$G:$G)</f>
        <v>0</v>
      </c>
      <c r="K555" s="72">
        <f>COUNTIF(L555:AP555,标准数据!$A$2)*标准数据!$B$2+COUNTIF(L555:AP555,标准数据!$A$3)*标准数据!$B$3+COUNTIF(L555:AP555,标准数据!$A$4)*标准数据!$B$4</f>
        <v>0</v>
      </c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189"/>
      <c r="AQ555" s="55"/>
    </row>
    <row r="556" spans="1:48" ht="21" customHeight="1">
      <c r="A556" s="227" t="s">
        <v>2115</v>
      </c>
      <c r="B556" s="45" t="s">
        <v>129</v>
      </c>
      <c r="C556" s="46" t="s">
        <v>473</v>
      </c>
      <c r="D556" s="47" t="s">
        <v>433</v>
      </c>
      <c r="E556" s="48">
        <v>45840</v>
      </c>
      <c r="F556" s="49">
        <f t="shared" si="26"/>
        <v>0</v>
      </c>
      <c r="G556" s="77">
        <f>SUMIF(积分汇总!$B:$B,#REF!,积分汇总!$E:$E)</f>
        <v>0</v>
      </c>
      <c r="H556" s="77">
        <f>SUMIF(记录巡查问题条数汇总!$B:$B,#REF!,记录巡查问题条数汇总!$E:$E)</f>
        <v>0</v>
      </c>
      <c r="I556" s="77"/>
      <c r="J556" s="77">
        <f>SUMIF(安全质量事故!$B:$B,#REF!,安全质量事故!$G:$G)</f>
        <v>0</v>
      </c>
      <c r="K556" s="72">
        <f>COUNTIF(L556:AP556,标准数据!$A$2)*标准数据!$B$2+COUNTIF(L556:AP556,标准数据!$A$3)*标准数据!$B$3+COUNTIF(L556:AP556,标准数据!$A$4)*标准数据!$B$4</f>
        <v>0</v>
      </c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189"/>
      <c r="AQ556" s="55"/>
    </row>
    <row r="557" spans="1:48" ht="21" customHeight="1">
      <c r="A557" s="227" t="s">
        <v>2115</v>
      </c>
      <c r="B557" s="45" t="s">
        <v>129</v>
      </c>
      <c r="C557" s="46" t="s">
        <v>474</v>
      </c>
      <c r="D557" s="47" t="s">
        <v>435</v>
      </c>
      <c r="E557" s="48">
        <v>45854</v>
      </c>
      <c r="F557" s="49">
        <f t="shared" si="26"/>
        <v>0</v>
      </c>
      <c r="G557" s="77">
        <f>SUMIF(积分汇总!$B:$B,C556,积分汇总!$E:$E)</f>
        <v>0</v>
      </c>
      <c r="H557" s="77">
        <f>SUMIF(记录巡查问题条数汇总!$B:$B,C556,记录巡查问题条数汇总!$E:$E)</f>
        <v>0</v>
      </c>
      <c r="I557" s="77"/>
      <c r="J557" s="77">
        <f>SUMIF(安全质量事故!$B:$B,C556,安全质量事故!$G:$G)</f>
        <v>0</v>
      </c>
      <c r="K557" s="72">
        <f>COUNTIF(L557:AP557,标准数据!$A$2)*标准数据!$B$2+COUNTIF(L557:AP557,标准数据!$A$3)*标准数据!$B$3+COUNTIF(L557:AP557,标准数据!$A$4)*标准数据!$B$4</f>
        <v>0</v>
      </c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189"/>
      <c r="AQ557" s="55"/>
    </row>
    <row r="558" spans="1:48" ht="21" customHeight="1">
      <c r="A558" s="227" t="s">
        <v>2115</v>
      </c>
      <c r="B558" s="45" t="s">
        <v>129</v>
      </c>
      <c r="C558" s="46" t="s">
        <v>850</v>
      </c>
      <c r="D558" s="47" t="s">
        <v>767</v>
      </c>
      <c r="E558" s="48">
        <v>44307</v>
      </c>
      <c r="F558" s="49">
        <f t="shared" si="26"/>
        <v>0</v>
      </c>
      <c r="G558" s="77">
        <f>SUMIF(积分汇总!$B:$B,#REF!,积分汇总!$E:$E)</f>
        <v>0</v>
      </c>
      <c r="H558" s="77">
        <f>SUMIF(记录巡查问题条数汇总!$B:$B,#REF!,记录巡查问题条数汇总!$E:$E)</f>
        <v>0</v>
      </c>
      <c r="I558" s="77"/>
      <c r="J558" s="77">
        <f>SUMIF(安全质量事故!$B:$B,#REF!,安全质量事故!$G:$G)</f>
        <v>0</v>
      </c>
      <c r="K558" s="72">
        <f>COUNTIF(L558:AP558,标准数据!$A$2)*标准数据!$B$2+COUNTIF(L558:AP558,标准数据!$A$3)*标准数据!$B$3+COUNTIF(L558:AP558,标准数据!$A$4)*标准数据!$B$4</f>
        <v>0</v>
      </c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189"/>
      <c r="AQ558" s="55"/>
      <c r="AR558" s="41"/>
      <c r="AS558" s="41"/>
      <c r="AT558" s="41"/>
    </row>
    <row r="559" spans="1:48" ht="21" customHeight="1">
      <c r="A559" s="227" t="s">
        <v>2115</v>
      </c>
      <c r="B559" s="45" t="s">
        <v>129</v>
      </c>
      <c r="C559" s="46" t="s">
        <v>1238</v>
      </c>
      <c r="D559" s="47" t="s">
        <v>1239</v>
      </c>
      <c r="E559" s="48">
        <v>46125</v>
      </c>
      <c r="F559" s="49">
        <f t="shared" si="26"/>
        <v>0</v>
      </c>
      <c r="G559" s="77">
        <f>SUMIF(积分汇总!$B:$B,C558,积分汇总!$E:$E)</f>
        <v>0</v>
      </c>
      <c r="H559" s="77">
        <f>SUMIF(记录巡查问题条数汇总!$B:$B,C558,记录巡查问题条数汇总!$E:$E)</f>
        <v>0</v>
      </c>
      <c r="I559" s="77"/>
      <c r="J559" s="77">
        <f>SUMIF(安全质量事故!$B:$B,C558,安全质量事故!$G:$G)</f>
        <v>0</v>
      </c>
      <c r="K559" s="72">
        <f>COUNTIF(L559:AP559,标准数据!$A$2)*标准数据!$B$2+COUNTIF(L559:AP559,标准数据!$A$3)*标准数据!$B$3+COUNTIF(L559:AP559,标准数据!$A$4)*标准数据!$B$4</f>
        <v>0</v>
      </c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192"/>
      <c r="AQ559" s="90"/>
      <c r="AR559" s="41"/>
      <c r="AS559" s="41"/>
      <c r="AT559" s="41"/>
    </row>
    <row r="560" spans="1:48" ht="21" customHeight="1">
      <c r="A560" s="227" t="s">
        <v>2115</v>
      </c>
      <c r="B560" s="45" t="s">
        <v>146</v>
      </c>
      <c r="C560" s="46" t="s">
        <v>846</v>
      </c>
      <c r="D560" s="47" t="s">
        <v>790</v>
      </c>
      <c r="E560" s="48">
        <v>45882</v>
      </c>
      <c r="F560" s="49">
        <f t="shared" si="26"/>
        <v>0</v>
      </c>
      <c r="G560" s="77">
        <f>SUMIF(积分汇总!$B:$B,C559,积分汇总!$E:$E)</f>
        <v>0</v>
      </c>
      <c r="H560" s="77">
        <f>SUMIF(记录巡查问题条数汇总!$B:$B,C559,记录巡查问题条数汇总!$E:$E)</f>
        <v>0</v>
      </c>
      <c r="I560" s="77"/>
      <c r="J560" s="77">
        <f>SUMIF(安全质量事故!$B:$B,C559,安全质量事故!$G:$G)</f>
        <v>0</v>
      </c>
      <c r="K560" s="72">
        <f>COUNTIF(L560:AP560,标准数据!$A$2)*标准数据!$B$2+COUNTIF(L560:AP560,标准数据!$A$3)*标准数据!$B$3+COUNTIF(L560:AP560,标准数据!$A$4)*标准数据!$B$4</f>
        <v>0</v>
      </c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189"/>
      <c r="AQ560" s="55"/>
    </row>
    <row r="561" spans="1:48" ht="21" customHeight="1">
      <c r="A561" s="227" t="s">
        <v>2115</v>
      </c>
      <c r="B561" s="45" t="s">
        <v>129</v>
      </c>
      <c r="C561" s="46" t="s">
        <v>495</v>
      </c>
      <c r="D561" s="47" t="s">
        <v>451</v>
      </c>
      <c r="E561" s="48">
        <v>45854</v>
      </c>
      <c r="F561" s="49">
        <f t="shared" si="26"/>
        <v>0</v>
      </c>
      <c r="G561" s="77">
        <f>SUMIF(积分汇总!$B:$B,C560,积分汇总!$E:$E)</f>
        <v>0</v>
      </c>
      <c r="H561" s="77">
        <f>SUMIF(记录巡查问题条数汇总!$B:$B,C560,记录巡查问题条数汇总!$E:$E)</f>
        <v>0</v>
      </c>
      <c r="I561" s="77"/>
      <c r="J561" s="77">
        <f>SUMIF(安全质量事故!$B:$B,C560,安全质量事故!$G:$G)</f>
        <v>0</v>
      </c>
      <c r="K561" s="72">
        <f>COUNTIF(L561:AP561,标准数据!$A$2)*标准数据!$B$2+COUNTIF(L561:AP561,标准数据!$A$3)*标准数据!$B$3+COUNTIF(L561:AP561,标准数据!$A$4)*标准数据!$B$4</f>
        <v>0</v>
      </c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189"/>
      <c r="AQ561" s="55"/>
    </row>
    <row r="562" spans="1:48" ht="21" customHeight="1">
      <c r="A562" s="227" t="s">
        <v>2115</v>
      </c>
      <c r="B562" s="45" t="s">
        <v>129</v>
      </c>
      <c r="C562" s="46" t="s">
        <v>565</v>
      </c>
      <c r="D562" s="47" t="s">
        <v>526</v>
      </c>
      <c r="E562" s="48">
        <v>44260</v>
      </c>
      <c r="F562" s="49">
        <f t="shared" si="26"/>
        <v>0</v>
      </c>
      <c r="G562" s="77">
        <f>SUMIF(积分汇总!$B:$B,C561,积分汇总!$E:$E)</f>
        <v>0</v>
      </c>
      <c r="H562" s="77">
        <f>SUMIF(记录巡查问题条数汇总!$B:$B,C561,记录巡查问题条数汇总!$E:$E)</f>
        <v>0</v>
      </c>
      <c r="I562" s="77"/>
      <c r="J562" s="77">
        <f>SUMIF(安全质量事故!$B:$B,C561,安全质量事故!$G:$G)</f>
        <v>0</v>
      </c>
      <c r="K562" s="72">
        <f>COUNTIF(L562:AP562,标准数据!$A$2)*标准数据!$B$2+COUNTIF(L562:AP562,标准数据!$A$3)*标准数据!$B$3+COUNTIF(L562:AP562,标准数据!$A$4)*标准数据!$B$4</f>
        <v>0</v>
      </c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189"/>
      <c r="AQ562" s="55"/>
    </row>
    <row r="563" spans="1:48" ht="21" customHeight="1">
      <c r="A563" s="227" t="s">
        <v>2115</v>
      </c>
      <c r="B563" s="45" t="s">
        <v>129</v>
      </c>
      <c r="C563" s="46" t="s">
        <v>566</v>
      </c>
      <c r="D563" s="47" t="s">
        <v>527</v>
      </c>
      <c r="E563" s="48">
        <v>44463</v>
      </c>
      <c r="F563" s="49">
        <f t="shared" si="26"/>
        <v>0</v>
      </c>
      <c r="G563" s="77">
        <f>SUMIF(积分汇总!$B:$B,C562,积分汇总!$E:$E)</f>
        <v>0</v>
      </c>
      <c r="H563" s="77">
        <f>SUMIF(记录巡查问题条数汇总!$B:$B,C562,记录巡查问题条数汇总!$E:$E)</f>
        <v>0</v>
      </c>
      <c r="I563" s="77"/>
      <c r="J563" s="77">
        <f>SUMIF(安全质量事故!$B:$B,C562,安全质量事故!$G:$G)</f>
        <v>0</v>
      </c>
      <c r="K563" s="72">
        <f>COUNTIF(L563:AP563,标准数据!$A$2)*标准数据!$B$2+COUNTIF(L563:AP563,标准数据!$A$3)*标准数据!$B$3+COUNTIF(L563:AP563,标准数据!$A$4)*标准数据!$B$4</f>
        <v>0</v>
      </c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189"/>
      <c r="AQ563" s="55"/>
    </row>
    <row r="564" spans="1:48" ht="21" customHeight="1">
      <c r="A564" s="227" t="s">
        <v>2115</v>
      </c>
      <c r="B564" s="45" t="s">
        <v>129</v>
      </c>
      <c r="C564" s="46" t="s">
        <v>628</v>
      </c>
      <c r="D564" s="47" t="s">
        <v>593</v>
      </c>
      <c r="E564" s="48" t="s">
        <v>1038</v>
      </c>
      <c r="F564" s="49">
        <f t="shared" si="26"/>
        <v>0</v>
      </c>
      <c r="G564" s="77">
        <f>SUMIF(积分汇总!$B:$B,C563,积分汇总!$E:$E)</f>
        <v>0</v>
      </c>
      <c r="H564" s="77">
        <f>SUMIF(记录巡查问题条数汇总!$B:$B,C563,记录巡查问题条数汇总!$E:$E)</f>
        <v>0</v>
      </c>
      <c r="I564" s="77"/>
      <c r="J564" s="77">
        <f>SUMIF(安全质量事故!$B:$B,C563,安全质量事故!$G:$G)</f>
        <v>0</v>
      </c>
      <c r="K564" s="72">
        <f>COUNTIF(L564:AP564,标准数据!$A$2)*标准数据!$B$2+COUNTIF(L564:AP564,标准数据!$A$3)*标准数据!$B$3+COUNTIF(L564:AP564,标准数据!$A$4)*标准数据!$B$4</f>
        <v>0</v>
      </c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189"/>
      <c r="AQ564" s="55"/>
    </row>
    <row r="565" spans="1:48" ht="21" customHeight="1">
      <c r="A565" s="227" t="s">
        <v>2115</v>
      </c>
      <c r="B565" s="45" t="s">
        <v>129</v>
      </c>
      <c r="C565" s="46" t="s">
        <v>629</v>
      </c>
      <c r="D565" s="47" t="s">
        <v>594</v>
      </c>
      <c r="E565" s="48">
        <v>45896</v>
      </c>
      <c r="F565" s="49">
        <f t="shared" si="26"/>
        <v>0</v>
      </c>
      <c r="G565" s="77">
        <f>SUMIF(积分汇总!$B:$B,C564,积分汇总!$E:$E)</f>
        <v>0</v>
      </c>
      <c r="H565" s="77">
        <f>SUMIF(记录巡查问题条数汇总!$B:$B,C564,记录巡查问题条数汇总!$E:$E)</f>
        <v>0</v>
      </c>
      <c r="I565" s="77"/>
      <c r="J565" s="77">
        <f>SUMIF(安全质量事故!$B:$B,C564,安全质量事故!$G:$G)</f>
        <v>0</v>
      </c>
      <c r="K565" s="72">
        <f>COUNTIF(L565:AP565,标准数据!$A$2)*标准数据!$B$2+COUNTIF(L565:AP565,标准数据!$A$3)*标准数据!$B$3+COUNTIF(L565:AP565,标准数据!$A$4)*标准数据!$B$4</f>
        <v>0</v>
      </c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189"/>
      <c r="AQ565" s="55"/>
    </row>
    <row r="566" spans="1:48" s="51" customFormat="1" ht="21" customHeight="1">
      <c r="A566" s="227" t="s">
        <v>2115</v>
      </c>
      <c r="B566" s="45" t="s">
        <v>129</v>
      </c>
      <c r="C566" s="46" t="s">
        <v>630</v>
      </c>
      <c r="D566" s="47" t="s">
        <v>595</v>
      </c>
      <c r="E566" s="48">
        <v>45908</v>
      </c>
      <c r="F566" s="49">
        <f t="shared" si="26"/>
        <v>0</v>
      </c>
      <c r="G566" s="77">
        <f>SUMIF(积分汇总!$B:$B,C565,积分汇总!$E:$E)</f>
        <v>0</v>
      </c>
      <c r="H566" s="77">
        <f>SUMIF(记录巡查问题条数汇总!$B:$B,C565,记录巡查问题条数汇总!$E:$E)</f>
        <v>0</v>
      </c>
      <c r="I566" s="77"/>
      <c r="J566" s="77">
        <f>SUMIF(安全质量事故!$B:$B,C565,安全质量事故!$G:$G)</f>
        <v>0</v>
      </c>
      <c r="K566" s="72">
        <f>COUNTIF(L566:AP566,标准数据!$A$2)*标准数据!$B$2+COUNTIF(L566:AP566,标准数据!$A$3)*标准数据!$B$3+COUNTIF(L566:AP566,标准数据!$A$4)*标准数据!$B$4</f>
        <v>0</v>
      </c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192"/>
      <c r="AQ566" s="90"/>
      <c r="AU566" s="76"/>
      <c r="AV566" s="41"/>
    </row>
    <row r="567" spans="1:48" ht="21" customHeight="1">
      <c r="A567" s="227" t="s">
        <v>2115</v>
      </c>
      <c r="B567" s="45" t="s">
        <v>129</v>
      </c>
      <c r="C567" s="46" t="s">
        <v>631</v>
      </c>
      <c r="D567" s="47" t="s">
        <v>596</v>
      </c>
      <c r="E567" s="48">
        <v>45908</v>
      </c>
      <c r="F567" s="49">
        <f t="shared" si="26"/>
        <v>0</v>
      </c>
      <c r="G567" s="77">
        <f>SUMIF(积分汇总!$B:$B,C566,积分汇总!$E:$E)</f>
        <v>0</v>
      </c>
      <c r="H567" s="77">
        <f>SUMIF(记录巡查问题条数汇总!$B:$B,C566,记录巡查问题条数汇总!$E:$E)</f>
        <v>0</v>
      </c>
      <c r="I567" s="77"/>
      <c r="J567" s="77">
        <f>SUMIF(安全质量事故!$B:$B,C566,安全质量事故!$G:$G)</f>
        <v>0</v>
      </c>
      <c r="K567" s="72">
        <f>COUNTIF(L567:AP567,标准数据!$A$2)*标准数据!$B$2+COUNTIF(L567:AP567,标准数据!$A$3)*标准数据!$B$3+COUNTIF(L567:AP567,标准数据!$A$4)*标准数据!$B$4</f>
        <v>0</v>
      </c>
      <c r="L567" s="90"/>
      <c r="M567" s="90"/>
      <c r="N567" s="90"/>
      <c r="O567" s="90"/>
      <c r="P567" s="90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189"/>
      <c r="AQ567" s="55"/>
    </row>
    <row r="568" spans="1:48" ht="21" customHeight="1">
      <c r="A568" s="227" t="s">
        <v>2115</v>
      </c>
      <c r="B568" s="45" t="s">
        <v>129</v>
      </c>
      <c r="C568" s="46" t="s">
        <v>552</v>
      </c>
      <c r="D568" s="47" t="s">
        <v>513</v>
      </c>
      <c r="E568" s="48">
        <v>45889</v>
      </c>
      <c r="F568" s="49">
        <f t="shared" si="26"/>
        <v>0</v>
      </c>
      <c r="G568" s="77">
        <f>SUMIF(积分汇总!$B:$B,C567,积分汇总!$E:$E)</f>
        <v>0</v>
      </c>
      <c r="H568" s="77">
        <f>SUMIF(记录巡查问题条数汇总!$B:$B,C567,记录巡查问题条数汇总!$E:$E)</f>
        <v>0</v>
      </c>
      <c r="I568" s="77"/>
      <c r="J568" s="77">
        <f>SUMIF(安全质量事故!$B:$B,C567,安全质量事故!$G:$G)</f>
        <v>0</v>
      </c>
      <c r="K568" s="72">
        <f>COUNTIF(L568:AP568,标准数据!$A$2)*标准数据!$B$2+COUNTIF(L568:AP568,标准数据!$A$3)*标准数据!$B$3+COUNTIF(L568:AP568,标准数据!$A$4)*标准数据!$B$4</f>
        <v>0</v>
      </c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192"/>
      <c r="AQ568" s="90"/>
      <c r="AR568" s="41"/>
      <c r="AS568" s="41"/>
      <c r="AT568" s="41"/>
    </row>
    <row r="569" spans="1:48" ht="21" customHeight="1">
      <c r="A569" s="227" t="s">
        <v>2115</v>
      </c>
      <c r="B569" s="45" t="s">
        <v>129</v>
      </c>
      <c r="C569" s="46" t="s">
        <v>632</v>
      </c>
      <c r="D569" s="47" t="s">
        <v>597</v>
      </c>
      <c r="E569" s="48">
        <v>45910</v>
      </c>
      <c r="F569" s="49">
        <f t="shared" si="26"/>
        <v>0</v>
      </c>
      <c r="G569" s="77">
        <f>SUMIF(积分汇总!$B:$B,C568,积分汇总!$E:$E)</f>
        <v>0</v>
      </c>
      <c r="H569" s="77">
        <f>SUMIF(记录巡查问题条数汇总!$B:$B,C568,记录巡查问题条数汇总!$E:$E)</f>
        <v>0</v>
      </c>
      <c r="I569" s="77"/>
      <c r="J569" s="77">
        <f>SUMIF(安全质量事故!$B:$B,C568,安全质量事故!$G:$G)</f>
        <v>0</v>
      </c>
      <c r="K569" s="72">
        <f>COUNTIF(L569:AP569,标准数据!$A$2)*标准数据!$B$2+COUNTIF(L569:AP569,标准数据!$A$3)*标准数据!$B$3+COUNTIF(L569:AP569,标准数据!$A$4)*标准数据!$B$4</f>
        <v>0</v>
      </c>
      <c r="L569" s="90"/>
      <c r="M569" s="90"/>
      <c r="N569" s="90"/>
      <c r="O569" s="90"/>
      <c r="P569" s="90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189"/>
      <c r="AQ569" s="55"/>
    </row>
    <row r="570" spans="1:48" ht="21" customHeight="1">
      <c r="A570" s="227" t="s">
        <v>2115</v>
      </c>
      <c r="B570" s="45" t="s">
        <v>129</v>
      </c>
      <c r="C570" s="46" t="s">
        <v>633</v>
      </c>
      <c r="D570" s="47" t="s">
        <v>598</v>
      </c>
      <c r="E570" s="48">
        <v>45910</v>
      </c>
      <c r="F570" s="49">
        <f t="shared" si="26"/>
        <v>0</v>
      </c>
      <c r="G570" s="77">
        <f>SUMIF(积分汇总!$B:$B,C569,积分汇总!$E:$E)</f>
        <v>0</v>
      </c>
      <c r="H570" s="77">
        <f>SUMIF(记录巡查问题条数汇总!$B:$B,C569,记录巡查问题条数汇总!$E:$E)</f>
        <v>0</v>
      </c>
      <c r="I570" s="77"/>
      <c r="J570" s="77">
        <f>SUMIF(安全质量事故!$B:$B,C569,安全质量事故!$G:$G)</f>
        <v>0</v>
      </c>
      <c r="K570" s="72">
        <f>COUNTIF(L570:AP570,标准数据!$A$2)*标准数据!$B$2+COUNTIF(L570:AP570,标准数据!$A$3)*标准数据!$B$3+COUNTIF(L570:AP570,标准数据!$A$4)*标准数据!$B$4</f>
        <v>0</v>
      </c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189"/>
      <c r="AQ570" s="55"/>
    </row>
    <row r="571" spans="1:48" ht="21" customHeight="1">
      <c r="A571" s="227" t="s">
        <v>2115</v>
      </c>
      <c r="B571" s="45" t="s">
        <v>129</v>
      </c>
      <c r="C571" s="46" t="s">
        <v>735</v>
      </c>
      <c r="D571" s="47" t="s">
        <v>699</v>
      </c>
      <c r="E571" s="48">
        <v>45940</v>
      </c>
      <c r="F571" s="49">
        <f t="shared" si="26"/>
        <v>0</v>
      </c>
      <c r="G571" s="77">
        <f>SUMIF(积分汇总!$B:$B,C570,积分汇总!$E:$E)</f>
        <v>0</v>
      </c>
      <c r="H571" s="77">
        <f>SUMIF(记录巡查问题条数汇总!$B:$B,C570,记录巡查问题条数汇总!$E:$E)</f>
        <v>0</v>
      </c>
      <c r="I571" s="77"/>
      <c r="J571" s="77">
        <f>SUMIF(安全质量事故!$B:$B,C570,安全质量事故!$G:$G)</f>
        <v>0</v>
      </c>
      <c r="K571" s="72">
        <f>COUNTIF(L571:AP571,标准数据!$A$2)*标准数据!$B$2+COUNTIF(L571:AP571,标准数据!$A$3)*标准数据!$B$3+COUNTIF(L571:AP571,标准数据!$A$4)*标准数据!$B$4</f>
        <v>0</v>
      </c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189"/>
      <c r="AQ571" s="55"/>
    </row>
    <row r="572" spans="1:48" ht="21" customHeight="1">
      <c r="A572" s="227" t="s">
        <v>2115</v>
      </c>
      <c r="B572" s="45" t="s">
        <v>129</v>
      </c>
      <c r="C572" s="46" t="s">
        <v>737</v>
      </c>
      <c r="D572" s="47" t="s">
        <v>701</v>
      </c>
      <c r="E572" s="48">
        <v>45966</v>
      </c>
      <c r="F572" s="49">
        <f t="shared" si="26"/>
        <v>0</v>
      </c>
      <c r="G572" s="77">
        <f>SUMIF(积分汇总!$B:$B,#REF!,积分汇总!$E:$E)</f>
        <v>0</v>
      </c>
      <c r="H572" s="77">
        <f>SUMIF(记录巡查问题条数汇总!$B:$B,#REF!,记录巡查问题条数汇总!$E:$E)</f>
        <v>0</v>
      </c>
      <c r="I572" s="77"/>
      <c r="J572" s="77">
        <f>SUMIF(安全质量事故!$B:$B,#REF!,安全质量事故!$G:$G)</f>
        <v>0</v>
      </c>
      <c r="K572" s="72">
        <f>COUNTIF(L572:AP572,标准数据!$A$2)*标准数据!$B$2+COUNTIF(L572:AP572,标准数据!$A$3)*标准数据!$B$3+COUNTIF(L572:AP572,标准数据!$A$4)*标准数据!$B$4</f>
        <v>0</v>
      </c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189"/>
      <c r="AQ572" s="55"/>
    </row>
    <row r="573" spans="1:48" ht="21" customHeight="1">
      <c r="A573" s="227" t="s">
        <v>2115</v>
      </c>
      <c r="B573" s="45" t="s">
        <v>129</v>
      </c>
      <c r="C573" s="46" t="s">
        <v>845</v>
      </c>
      <c r="D573" s="47" t="s">
        <v>780</v>
      </c>
      <c r="E573" s="48">
        <v>41583</v>
      </c>
      <c r="F573" s="49">
        <f t="shared" si="26"/>
        <v>0</v>
      </c>
      <c r="G573" s="77">
        <f>SUMIF(积分汇总!$B:$B,C572,积分汇总!$E:$E)</f>
        <v>0</v>
      </c>
      <c r="H573" s="77">
        <f>SUMIF(记录巡查问题条数汇总!$B:$B,C572,记录巡查问题条数汇总!$E:$E)</f>
        <v>0</v>
      </c>
      <c r="I573" s="77"/>
      <c r="J573" s="77">
        <f>SUMIF(安全质量事故!$B:$B,C572,安全质量事故!$G:$G)</f>
        <v>0</v>
      </c>
      <c r="K573" s="72">
        <f>COUNTIF(L573:AP573,标准数据!$A$2)*标准数据!$B$2+COUNTIF(L573:AP573,标准数据!$A$3)*标准数据!$B$3+COUNTIF(L573:AP573,标准数据!$A$4)*标准数据!$B$4</f>
        <v>0</v>
      </c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189"/>
      <c r="AQ573" s="55"/>
      <c r="AR573" s="196"/>
    </row>
    <row r="574" spans="1:48" s="51" customFormat="1" ht="21" customHeight="1">
      <c r="A574" s="227" t="s">
        <v>2115</v>
      </c>
      <c r="B574" s="45" t="s">
        <v>129</v>
      </c>
      <c r="C574" s="46" t="s">
        <v>937</v>
      </c>
      <c r="D574" s="47" t="s">
        <v>883</v>
      </c>
      <c r="E574" s="48">
        <v>46015</v>
      </c>
      <c r="F574" s="49">
        <f t="shared" ref="F574:F575" si="27">(K574+G574+H574+I574-J574)</f>
        <v>0</v>
      </c>
      <c r="G574" s="77">
        <f>SUMIF(积分汇总!$B:$B,#REF!,积分汇总!$E:$E)</f>
        <v>0</v>
      </c>
      <c r="H574" s="77">
        <f>SUMIF(记录巡查问题条数汇总!$B:$B,#REF!,记录巡查问题条数汇总!$E:$E)</f>
        <v>0</v>
      </c>
      <c r="I574" s="77"/>
      <c r="J574" s="77">
        <f>SUMIF(安全质量事故!$B:$B,#REF!,安全质量事故!$G:$G)</f>
        <v>0</v>
      </c>
      <c r="K574" s="72">
        <f>COUNTIF(L574:AP574,标准数据!$A$2)*标准数据!$B$2+COUNTIF(L574:AP574,标准数据!$A$3)*标准数据!$B$3+COUNTIF(L574:AP574,标准数据!$A$4)*标准数据!$B$4</f>
        <v>0</v>
      </c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192"/>
      <c r="AQ574" s="90"/>
      <c r="AR574" s="196"/>
      <c r="AU574" s="76"/>
      <c r="AV574" s="41"/>
    </row>
    <row r="575" spans="1:48" s="51" customFormat="1" ht="21" customHeight="1">
      <c r="A575" s="227" t="s">
        <v>2115</v>
      </c>
      <c r="B575" s="45" t="s">
        <v>129</v>
      </c>
      <c r="C575" s="46" t="s">
        <v>739</v>
      </c>
      <c r="D575" s="47" t="s">
        <v>703</v>
      </c>
      <c r="E575" s="48">
        <v>45847</v>
      </c>
      <c r="F575" s="49">
        <f t="shared" si="27"/>
        <v>0</v>
      </c>
      <c r="G575" s="77">
        <f>SUMIF(积分汇总!$B:$B,C574,积分汇总!$E:$E)</f>
        <v>0</v>
      </c>
      <c r="H575" s="77">
        <f>SUMIF(记录巡查问题条数汇总!$B:$B,C574,记录巡查问题条数汇总!$E:$E)</f>
        <v>0</v>
      </c>
      <c r="I575" s="77"/>
      <c r="J575" s="77">
        <f>SUMIF(安全质量事故!$B:$B,C574,安全质量事故!$G:$G)</f>
        <v>0</v>
      </c>
      <c r="K575" s="72">
        <f>COUNTIF(L575:AP575,标准数据!$A$2)*标准数据!$B$2+COUNTIF(L575:AP575,标准数据!$A$3)*标准数据!$B$3+COUNTIF(L575:AP575,标准数据!$A$4)*标准数据!$B$4</f>
        <v>0</v>
      </c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192"/>
      <c r="AQ575" s="90"/>
      <c r="AR575" s="193"/>
      <c r="AU575" s="76"/>
      <c r="AV575" s="41"/>
    </row>
    <row r="576" spans="1:48" s="51" customFormat="1" ht="21" customHeight="1">
      <c r="A576" s="227" t="s">
        <v>2115</v>
      </c>
      <c r="B576" s="45" t="s">
        <v>129</v>
      </c>
      <c r="C576" s="46" t="s">
        <v>546</v>
      </c>
      <c r="D576" s="47" t="s">
        <v>514</v>
      </c>
      <c r="E576" s="48">
        <v>45509</v>
      </c>
      <c r="F576" s="49">
        <f t="shared" si="26"/>
        <v>0</v>
      </c>
      <c r="G576" s="77">
        <f>SUMIF(积分汇总!$B:$B,C573,积分汇总!$E:$E)</f>
        <v>0</v>
      </c>
      <c r="H576" s="77">
        <f>SUMIF(记录巡查问题条数汇总!$B:$B,C573,记录巡查问题条数汇总!$E:$E)</f>
        <v>0</v>
      </c>
      <c r="I576" s="77"/>
      <c r="J576" s="77">
        <f>SUMIF(安全质量事故!$B:$B,C573,安全质量事故!$G:$G)</f>
        <v>0</v>
      </c>
      <c r="K576" s="72">
        <f>COUNTIF(L576:AP576,标准数据!$A$2)*标准数据!$B$2+COUNTIF(L576:AP576,标准数据!$A$3)*标准数据!$B$3+COUNTIF(L576:AP576,标准数据!$A$4)*标准数据!$B$4</f>
        <v>0</v>
      </c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192"/>
      <c r="AQ576" s="90"/>
      <c r="AR576" s="196"/>
      <c r="AU576" s="76"/>
      <c r="AV576" s="41"/>
    </row>
    <row r="577" spans="1:48" s="51" customFormat="1" ht="21" customHeight="1">
      <c r="A577" s="227" t="s">
        <v>2115</v>
      </c>
      <c r="B577" s="45" t="s">
        <v>146</v>
      </c>
      <c r="C577" s="46" t="s">
        <v>936</v>
      </c>
      <c r="D577" s="47" t="s">
        <v>896</v>
      </c>
      <c r="E577" s="48">
        <v>45896</v>
      </c>
      <c r="F577" s="49">
        <f t="shared" si="26"/>
        <v>0</v>
      </c>
      <c r="G577" s="77">
        <f>SUMIF(积分汇总!$B:$B,C576,积分汇总!$E:$E)</f>
        <v>0</v>
      </c>
      <c r="H577" s="77">
        <f>SUMIF(记录巡查问题条数汇总!$B:$B,C576,记录巡查问题条数汇总!$E:$E)</f>
        <v>0</v>
      </c>
      <c r="I577" s="77"/>
      <c r="J577" s="77">
        <f>SUMIF(安全质量事故!$B:$B,C576,安全质量事故!$G:$G)</f>
        <v>0</v>
      </c>
      <c r="K577" s="72">
        <f>COUNTIF(L577:AP577,标准数据!$A$2)*标准数据!$B$2+COUNTIF(L577:AP577,标准数据!$A$3)*标准数据!$B$3+COUNTIF(L577:AP577,标准数据!$A$4)*标准数据!$B$4</f>
        <v>0</v>
      </c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192"/>
      <c r="AQ577" s="90"/>
      <c r="AR577" s="67"/>
      <c r="AU577" s="76"/>
      <c r="AV577" s="41"/>
    </row>
    <row r="578" spans="1:48" s="51" customFormat="1" ht="21" customHeight="1">
      <c r="A578" s="227" t="s">
        <v>2115</v>
      </c>
      <c r="B578" s="45" t="s">
        <v>129</v>
      </c>
      <c r="C578" s="46" t="s">
        <v>1210</v>
      </c>
      <c r="D578" s="47" t="s">
        <v>1211</v>
      </c>
      <c r="E578" s="48">
        <v>46120</v>
      </c>
      <c r="F578" s="49">
        <f t="shared" ref="F578:F582" si="28">(K578+G578+H578+I578-J578)</f>
        <v>0</v>
      </c>
      <c r="G578" s="77">
        <f>SUMIF(积分汇总!$B:$B,C577,积分汇总!$E:$E)</f>
        <v>0</v>
      </c>
      <c r="H578" s="77">
        <f>SUMIF(记录巡查问题条数汇总!$B:$B,C577,记录巡查问题条数汇总!$E:$E)</f>
        <v>0</v>
      </c>
      <c r="I578" s="77"/>
      <c r="J578" s="77">
        <f>SUMIF(安全质量事故!$B:$B,C577,安全质量事故!$G:$G)</f>
        <v>0</v>
      </c>
      <c r="K578" s="72">
        <f>COUNTIF(L578:AP578,标准数据!$A$2)*标准数据!$B$2+COUNTIF(L578:AP578,标准数据!$A$3)*标准数据!$B$3+COUNTIF(L578:AP578,标准数据!$A$4)*标准数据!$B$4</f>
        <v>0</v>
      </c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192"/>
      <c r="AQ578" s="90"/>
      <c r="AR578" s="67"/>
      <c r="AU578" s="76"/>
      <c r="AV578" s="41"/>
    </row>
    <row r="579" spans="1:48" ht="21" customHeight="1">
      <c r="A579" s="227" t="s">
        <v>2115</v>
      </c>
      <c r="B579" s="45" t="s">
        <v>129</v>
      </c>
      <c r="C579" s="46" t="s">
        <v>1212</v>
      </c>
      <c r="D579" s="47" t="s">
        <v>1213</v>
      </c>
      <c r="E579" s="48">
        <v>46127</v>
      </c>
      <c r="F579" s="49">
        <f t="shared" si="28"/>
        <v>0</v>
      </c>
      <c r="G579" s="77">
        <f>SUMIF(积分汇总!$B:$B,C578,积分汇总!$E:$E)</f>
        <v>0</v>
      </c>
      <c r="H579" s="77">
        <f>SUMIF(记录巡查问题条数汇总!$B:$B,C578,记录巡查问题条数汇总!$E:$E)</f>
        <v>0</v>
      </c>
      <c r="I579" s="77"/>
      <c r="J579" s="77">
        <f>SUMIF(安全质量事故!$B:$B,C578,安全质量事故!$G:$G)</f>
        <v>0</v>
      </c>
      <c r="K579" s="72">
        <f>COUNTIF(L579:AP579,标准数据!$A$2)*标准数据!$B$2+COUNTIF(L579:AP579,标准数据!$A$3)*标准数据!$B$3+COUNTIF(L579:AP579,标准数据!$A$4)*标准数据!$B$4</f>
        <v>0</v>
      </c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188"/>
      <c r="AQ579" s="90"/>
      <c r="AR579" s="41"/>
      <c r="AS579" s="41"/>
      <c r="AT579" s="41"/>
    </row>
    <row r="580" spans="1:48" ht="21" customHeight="1">
      <c r="A580" s="227" t="s">
        <v>2115</v>
      </c>
      <c r="B580" s="45" t="s">
        <v>146</v>
      </c>
      <c r="C580" s="46" t="s">
        <v>1469</v>
      </c>
      <c r="D580" s="47" t="s">
        <v>1470</v>
      </c>
      <c r="E580" s="48">
        <v>46050</v>
      </c>
      <c r="F580" s="49">
        <f t="shared" si="28"/>
        <v>0</v>
      </c>
      <c r="G580" s="77">
        <f>SUMIF(积分汇总!$B:$B,C579,积分汇总!$E:$E)</f>
        <v>0</v>
      </c>
      <c r="H580" s="77">
        <f>SUMIF(记录巡查问题条数汇总!$B:$B,C579,记录巡查问题条数汇总!$E:$E)</f>
        <v>0</v>
      </c>
      <c r="I580" s="77"/>
      <c r="J580" s="77">
        <f>SUMIF(安全质量事故!$B:$B,C579,安全质量事故!$G:$G)</f>
        <v>0</v>
      </c>
      <c r="K580" s="72">
        <f>COUNTIF(L580:AP580,标准数据!$A$2)*标准数据!$B$2+COUNTIF(L580:AP580,标准数据!$A$3)*标准数据!$B$3+COUNTIF(L580:AP580,标准数据!$A$4)*标准数据!$B$4</f>
        <v>0</v>
      </c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188"/>
      <c r="AQ580" s="90"/>
      <c r="AR580" s="41"/>
      <c r="AS580" s="41"/>
      <c r="AT580" s="41"/>
    </row>
    <row r="581" spans="1:48" ht="21" customHeight="1">
      <c r="A581" s="227" t="s">
        <v>2115</v>
      </c>
      <c r="B581" s="45" t="s">
        <v>129</v>
      </c>
      <c r="C581" s="46" t="s">
        <v>1471</v>
      </c>
      <c r="D581" s="47" t="s">
        <v>1472</v>
      </c>
      <c r="E581" s="48">
        <v>46085</v>
      </c>
      <c r="F581" s="49">
        <f t="shared" si="28"/>
        <v>0</v>
      </c>
      <c r="G581" s="77">
        <f>SUMIF(积分汇总!$B:$B,C580,积分汇总!$E:$E)</f>
        <v>0</v>
      </c>
      <c r="H581" s="77">
        <f>SUMIF(记录巡查问题条数汇总!$B:$B,C580,记录巡查问题条数汇总!$E:$E)</f>
        <v>0</v>
      </c>
      <c r="I581" s="77"/>
      <c r="J581" s="77">
        <f>SUMIF(安全质量事故!$B:$B,C580,安全质量事故!$G:$G)</f>
        <v>0</v>
      </c>
      <c r="K581" s="72">
        <f>COUNTIF(L581:AP581,标准数据!$A$2)*标准数据!$B$2+COUNTIF(L581:AP581,标准数据!$A$3)*标准数据!$B$3+COUNTIF(L581:AP581,标准数据!$A$4)*标准数据!$B$4</f>
        <v>0</v>
      </c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188"/>
      <c r="AQ581" s="90"/>
      <c r="AR581" s="41"/>
      <c r="AS581" s="41"/>
      <c r="AT581" s="41"/>
    </row>
    <row r="582" spans="1:48" ht="21" customHeight="1">
      <c r="A582" s="227" t="s">
        <v>2115</v>
      </c>
      <c r="B582" s="45" t="s">
        <v>129</v>
      </c>
      <c r="C582" s="46" t="s">
        <v>1473</v>
      </c>
      <c r="D582" s="47" t="s">
        <v>1474</v>
      </c>
      <c r="E582" s="48">
        <v>46050</v>
      </c>
      <c r="F582" s="49">
        <f t="shared" si="28"/>
        <v>0</v>
      </c>
      <c r="G582" s="77">
        <f>SUMIF(积分汇总!$B:$B,C581,积分汇总!$E:$E)</f>
        <v>0</v>
      </c>
      <c r="H582" s="77">
        <f>SUMIF(记录巡查问题条数汇总!$B:$B,C581,记录巡查问题条数汇总!$E:$E)</f>
        <v>0</v>
      </c>
      <c r="I582" s="77"/>
      <c r="J582" s="77">
        <f>SUMIF(安全质量事故!$B:$B,C581,安全质量事故!$G:$G)</f>
        <v>0</v>
      </c>
      <c r="K582" s="72">
        <f>COUNTIF(L582:AP582,标准数据!$A$2)*标准数据!$B$2+COUNTIF(L582:AP582,标准数据!$A$3)*标准数据!$B$3+COUNTIF(L582:AP582,标准数据!$A$4)*标准数据!$B$4</f>
        <v>0</v>
      </c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188"/>
      <c r="AQ582" s="90"/>
      <c r="AR582" s="41"/>
      <c r="AS582" s="41"/>
      <c r="AT582" s="41"/>
    </row>
    <row r="583" spans="1:48" s="51" customFormat="1" ht="21" customHeight="1">
      <c r="A583" s="227" t="s">
        <v>2115</v>
      </c>
      <c r="B583" s="45" t="s">
        <v>146</v>
      </c>
      <c r="C583" s="46" t="s">
        <v>1792</v>
      </c>
      <c r="D583" s="47" t="s">
        <v>1793</v>
      </c>
      <c r="E583" s="48">
        <v>46204</v>
      </c>
      <c r="F583" s="49">
        <f t="shared" si="26"/>
        <v>0</v>
      </c>
      <c r="G583" s="77">
        <f>SUMIF(积分汇总!$B:$B,C577,积分汇总!$E:$E)</f>
        <v>0</v>
      </c>
      <c r="H583" s="77">
        <f>SUMIF(记录巡查问题条数汇总!$B:$B,C577,记录巡查问题条数汇总!$E:$E)</f>
        <v>0</v>
      </c>
      <c r="I583" s="77"/>
      <c r="J583" s="77">
        <f>SUMIF(安全质量事故!$B:$B,C577,安全质量事故!$G:$G)</f>
        <v>0</v>
      </c>
      <c r="K583" s="72">
        <f>COUNTIF(L583:AP583,标准数据!$A$2)*标准数据!$B$2+COUNTIF(L583:AP583,标准数据!$A$3)*标准数据!$B$3+COUNTIF(L583:AP583,标准数据!$A$4)*标准数据!$B$4</f>
        <v>0</v>
      </c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192"/>
      <c r="AQ583" s="90"/>
      <c r="AR583" s="193"/>
      <c r="AU583" s="76"/>
      <c r="AV583" s="41"/>
    </row>
    <row r="584" spans="1:48" s="51" customFormat="1" ht="21" customHeight="1">
      <c r="A584" s="227" t="s">
        <v>2115</v>
      </c>
      <c r="B584" s="45" t="s">
        <v>129</v>
      </c>
      <c r="C584" s="46" t="s">
        <v>1794</v>
      </c>
      <c r="D584" s="47" t="s">
        <v>1795</v>
      </c>
      <c r="E584" s="48">
        <v>46204</v>
      </c>
      <c r="F584" s="49">
        <f t="shared" si="26"/>
        <v>0</v>
      </c>
      <c r="G584" s="77">
        <f>SUMIF(积分汇总!$B:$B,C583,积分汇总!$E:$E)</f>
        <v>0</v>
      </c>
      <c r="H584" s="77">
        <f>SUMIF(记录巡查问题条数汇总!$B:$B,C583,记录巡查问题条数汇总!$E:$E)</f>
        <v>0</v>
      </c>
      <c r="I584" s="77"/>
      <c r="J584" s="77">
        <f>SUMIF(安全质量事故!$B:$B,C583,安全质量事故!$G:$G)</f>
        <v>0</v>
      </c>
      <c r="K584" s="72">
        <f>COUNTIF(L584:AP584,标准数据!$A$2)*标准数据!$B$2+COUNTIF(L584:AP584,标准数据!$A$3)*标准数据!$B$3+COUNTIF(L584:AP584,标准数据!$A$4)*标准数据!$B$4</f>
        <v>0</v>
      </c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192"/>
      <c r="AQ584" s="90"/>
      <c r="AR584" s="193"/>
      <c r="AU584" s="76"/>
      <c r="AV584" s="41"/>
    </row>
    <row r="585" spans="1:48" s="51" customFormat="1" ht="21" customHeight="1">
      <c r="A585" s="227" t="s">
        <v>2115</v>
      </c>
      <c r="B585" s="45" t="s">
        <v>146</v>
      </c>
      <c r="C585" s="46" t="s">
        <v>1796</v>
      </c>
      <c r="D585" s="47" t="s">
        <v>1797</v>
      </c>
      <c r="E585" s="48">
        <v>46204</v>
      </c>
      <c r="F585" s="49">
        <f t="shared" si="26"/>
        <v>0</v>
      </c>
      <c r="G585" s="77">
        <f>SUMIF(积分汇总!$B:$B,C584,积分汇总!$E:$E)</f>
        <v>0</v>
      </c>
      <c r="H585" s="77">
        <f>SUMIF(记录巡查问题条数汇总!$B:$B,C584,记录巡查问题条数汇总!$E:$E)</f>
        <v>0</v>
      </c>
      <c r="I585" s="77"/>
      <c r="J585" s="77">
        <f>SUMIF(安全质量事故!$B:$B,C584,安全质量事故!$G:$G)</f>
        <v>0</v>
      </c>
      <c r="K585" s="72">
        <f>COUNTIF(L585:AP585,标准数据!$A$2)*标准数据!$B$2+COUNTIF(L585:AP585,标准数据!$A$3)*标准数据!$B$3+COUNTIF(L585:AP585,标准数据!$A$4)*标准数据!$B$4</f>
        <v>0</v>
      </c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192"/>
      <c r="AQ585" s="90"/>
      <c r="AR585" s="193"/>
      <c r="AU585" s="76"/>
      <c r="AV585" s="41"/>
    </row>
    <row r="586" spans="1:48" s="51" customFormat="1" ht="21" customHeight="1">
      <c r="A586" s="227" t="s">
        <v>2115</v>
      </c>
      <c r="B586" s="45" t="s">
        <v>146</v>
      </c>
      <c r="C586" s="46" t="s">
        <v>1798</v>
      </c>
      <c r="D586" s="47" t="s">
        <v>1799</v>
      </c>
      <c r="E586" s="48">
        <v>46204</v>
      </c>
      <c r="F586" s="49">
        <f t="shared" si="26"/>
        <v>0</v>
      </c>
      <c r="G586" s="77">
        <f>SUMIF(积分汇总!$B:$B,C585,积分汇总!$E:$E)</f>
        <v>0</v>
      </c>
      <c r="H586" s="77">
        <f>SUMIF(记录巡查问题条数汇总!$B:$B,C585,记录巡查问题条数汇总!$E:$E)</f>
        <v>0</v>
      </c>
      <c r="I586" s="77"/>
      <c r="J586" s="77">
        <f>SUMIF(安全质量事故!$B:$B,C585,安全质量事故!$G:$G)</f>
        <v>0</v>
      </c>
      <c r="K586" s="72">
        <f>COUNTIF(L586:AP586,标准数据!$A$2)*标准数据!$B$2+COUNTIF(L586:AP586,标准数据!$A$3)*标准数据!$B$3+COUNTIF(L586:AP586,标准数据!$A$4)*标准数据!$B$4</f>
        <v>0</v>
      </c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192"/>
      <c r="AQ586" s="90"/>
      <c r="AR586" s="193"/>
      <c r="AU586" s="76"/>
      <c r="AV586" s="41"/>
    </row>
    <row r="587" spans="1:48" s="51" customFormat="1" ht="21" customHeight="1">
      <c r="A587" s="227" t="s">
        <v>2115</v>
      </c>
      <c r="B587" s="45" t="s">
        <v>129</v>
      </c>
      <c r="C587" s="46" t="s">
        <v>1800</v>
      </c>
      <c r="D587" s="47" t="s">
        <v>1801</v>
      </c>
      <c r="E587" s="48">
        <v>46204</v>
      </c>
      <c r="F587" s="49">
        <f t="shared" si="26"/>
        <v>0</v>
      </c>
      <c r="G587" s="77">
        <f>SUMIF(积分汇总!$B:$B,C586,积分汇总!$E:$E)</f>
        <v>0</v>
      </c>
      <c r="H587" s="77">
        <f>SUMIF(记录巡查问题条数汇总!$B:$B,C586,记录巡查问题条数汇总!$E:$E)</f>
        <v>0</v>
      </c>
      <c r="I587" s="77"/>
      <c r="J587" s="77">
        <f>SUMIF(安全质量事故!$B:$B,C586,安全质量事故!$G:$G)</f>
        <v>0</v>
      </c>
      <c r="K587" s="72">
        <f>COUNTIF(L587:AP587,标准数据!$A$2)*标准数据!$B$2+COUNTIF(L587:AP587,标准数据!$A$3)*标准数据!$B$3+COUNTIF(L587:AP587,标准数据!$A$4)*标准数据!$B$4</f>
        <v>0</v>
      </c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192"/>
      <c r="AQ587" s="90"/>
      <c r="AR587" s="193"/>
      <c r="AU587" s="76"/>
      <c r="AV587" s="41"/>
    </row>
    <row r="588" spans="1:48" s="51" customFormat="1" ht="21" customHeight="1">
      <c r="A588" s="227" t="s">
        <v>2115</v>
      </c>
      <c r="B588" s="45" t="s">
        <v>146</v>
      </c>
      <c r="C588" s="46" t="s">
        <v>740</v>
      </c>
      <c r="D588" s="47" t="s">
        <v>711</v>
      </c>
      <c r="E588" s="48">
        <v>45868</v>
      </c>
      <c r="F588" s="49">
        <f t="shared" si="26"/>
        <v>0</v>
      </c>
      <c r="G588" s="77">
        <f>SUMIF(积分汇总!$B:$B,C587,积分汇总!$E:$E)</f>
        <v>0</v>
      </c>
      <c r="H588" s="77">
        <f>SUMIF(记录巡查问题条数汇总!$B:$B,C587,记录巡查问题条数汇总!$E:$E)</f>
        <v>0</v>
      </c>
      <c r="I588" s="77"/>
      <c r="J588" s="77">
        <f>SUMIF(安全质量事故!$B:$B,C587,安全质量事故!$G:$G)</f>
        <v>0</v>
      </c>
      <c r="K588" s="72">
        <f>COUNTIF(L588:AP588,标准数据!$A$2)*标准数据!$B$2+COUNTIF(L588:AP588,标准数据!$A$3)*标准数据!$B$3+COUNTIF(L588:AP588,标准数据!$A$4)*标准数据!$B$4</f>
        <v>0</v>
      </c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192"/>
      <c r="AQ588" s="90"/>
      <c r="AR588" s="193"/>
      <c r="AU588" s="76"/>
      <c r="AV588" s="41"/>
    </row>
    <row r="589" spans="1:48" s="51" customFormat="1" ht="21" customHeight="1">
      <c r="A589" s="227" t="s">
        <v>2115</v>
      </c>
      <c r="B589" s="45" t="s">
        <v>129</v>
      </c>
      <c r="C589" s="46" t="s">
        <v>1214</v>
      </c>
      <c r="D589" s="47" t="s">
        <v>1215</v>
      </c>
      <c r="E589" s="48">
        <v>46008</v>
      </c>
      <c r="F589" s="49">
        <f t="shared" si="26"/>
        <v>0</v>
      </c>
      <c r="G589" s="77">
        <f>SUMIF(积分汇总!$B:$B,C588,积分汇总!$E:$E)</f>
        <v>0</v>
      </c>
      <c r="H589" s="77">
        <f>SUMIF(记录巡查问题条数汇总!$B:$B,C588,记录巡查问题条数汇总!$E:$E)</f>
        <v>0</v>
      </c>
      <c r="I589" s="77"/>
      <c r="J589" s="77">
        <f>SUMIF(安全质量事故!$B:$B,C588,安全质量事故!$G:$G)</f>
        <v>0</v>
      </c>
      <c r="K589" s="72">
        <f>COUNTIF(L589:AP589,标准数据!$A$2)*标准数据!$B$2+COUNTIF(L589:AP589,标准数据!$A$3)*标准数据!$B$3+COUNTIF(L589:AP589,标准数据!$A$4)*标准数据!$B$4</f>
        <v>0</v>
      </c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192"/>
      <c r="AQ589" s="90"/>
      <c r="AR589" s="193"/>
      <c r="AU589" s="76"/>
      <c r="AV589" s="41"/>
    </row>
    <row r="590" spans="1:48" s="51" customFormat="1" ht="21" customHeight="1">
      <c r="A590" s="227" t="s">
        <v>2115</v>
      </c>
      <c r="B590" s="45" t="s">
        <v>129</v>
      </c>
      <c r="C590" s="46" t="s">
        <v>1386</v>
      </c>
      <c r="D590" s="47" t="s">
        <v>1387</v>
      </c>
      <c r="E590" s="48">
        <v>46155</v>
      </c>
      <c r="F590" s="49">
        <f t="shared" si="26"/>
        <v>0</v>
      </c>
      <c r="G590" s="77">
        <f>SUMIF(积分汇总!$B:$B,#REF!,积分汇总!$E:$E)</f>
        <v>0</v>
      </c>
      <c r="H590" s="77">
        <f>SUMIF(记录巡查问题条数汇总!$B:$B,#REF!,记录巡查问题条数汇总!$E:$E)</f>
        <v>0</v>
      </c>
      <c r="I590" s="77"/>
      <c r="J590" s="77">
        <f>SUMIF(安全质量事故!$B:$B,#REF!,安全质量事故!$G:$G)</f>
        <v>0</v>
      </c>
      <c r="K590" s="72">
        <f>COUNTIF(L590:AP590,标准数据!$A$2)*标准数据!$B$2+COUNTIF(L590:AP590,标准数据!$A$3)*标准数据!$B$3+COUNTIF(L590:AP590,标准数据!$A$4)*标准数据!$B$4</f>
        <v>0</v>
      </c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192"/>
      <c r="AQ590" s="90"/>
      <c r="AR590" s="193"/>
      <c r="AU590" s="76"/>
      <c r="AV590" s="41"/>
    </row>
    <row r="591" spans="1:48" s="51" customFormat="1" ht="21" customHeight="1">
      <c r="A591" s="227" t="s">
        <v>2115</v>
      </c>
      <c r="B591" s="45" t="s">
        <v>146</v>
      </c>
      <c r="C591" s="46" t="s">
        <v>2057</v>
      </c>
      <c r="D591" s="47" t="s">
        <v>2058</v>
      </c>
      <c r="E591" s="48">
        <v>44272</v>
      </c>
      <c r="F591" s="49">
        <f t="shared" si="26"/>
        <v>0</v>
      </c>
      <c r="G591" s="77">
        <f>SUMIF(积分汇总!$B:$B,C590,积分汇总!$E:$E)</f>
        <v>0</v>
      </c>
      <c r="H591" s="77">
        <f>SUMIF(记录巡查问题条数汇总!$B:$B,C590,记录巡查问题条数汇总!$E:$E)</f>
        <v>0</v>
      </c>
      <c r="I591" s="77"/>
      <c r="J591" s="77">
        <f>SUMIF(安全质量事故!$B:$B,C590,安全质量事故!$G:$G)</f>
        <v>0</v>
      </c>
      <c r="K591" s="72">
        <f>COUNTIF(L591:AP591,标准数据!$A$2)*标准数据!$B$2+COUNTIF(L591:AP591,标准数据!$A$3)*标准数据!$B$3+COUNTIF(L591:AP591,标准数据!$A$4)*标准数据!$B$4</f>
        <v>0</v>
      </c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192"/>
      <c r="AQ591" s="90"/>
      <c r="AR591" s="193"/>
      <c r="AU591" s="76"/>
      <c r="AV591" s="41"/>
    </row>
    <row r="592" spans="1:48" s="51" customFormat="1" ht="21" customHeight="1">
      <c r="A592" s="227" t="s">
        <v>2115</v>
      </c>
      <c r="B592" s="45" t="s">
        <v>146</v>
      </c>
      <c r="C592" s="46" t="s">
        <v>2059</v>
      </c>
      <c r="D592" s="47" t="s">
        <v>2060</v>
      </c>
      <c r="E592" s="48">
        <v>45805</v>
      </c>
      <c r="F592" s="49">
        <f t="shared" si="26"/>
        <v>0</v>
      </c>
      <c r="G592" s="77">
        <f>SUMIF(积分汇总!$B:$B,C591,积分汇总!$E:$E)</f>
        <v>0</v>
      </c>
      <c r="H592" s="77">
        <f>SUMIF(记录巡查问题条数汇总!$B:$B,C591,记录巡查问题条数汇总!$E:$E)</f>
        <v>0</v>
      </c>
      <c r="I592" s="77"/>
      <c r="J592" s="77">
        <f>SUMIF(安全质量事故!$B:$B,C591,安全质量事故!$G:$G)</f>
        <v>0</v>
      </c>
      <c r="K592" s="72">
        <f>COUNTIF(L592:AP592,标准数据!$A$2)*标准数据!$B$2+COUNTIF(L592:AP592,标准数据!$A$3)*标准数据!$B$3+COUNTIF(L592:AP592,标准数据!$A$4)*标准数据!$B$4</f>
        <v>0</v>
      </c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192"/>
      <c r="AQ592" s="90"/>
      <c r="AR592" s="193"/>
      <c r="AU592" s="76"/>
      <c r="AV592" s="41"/>
    </row>
    <row r="593" spans="1:48" s="51" customFormat="1" ht="21" customHeight="1">
      <c r="A593" s="227" t="s">
        <v>2115</v>
      </c>
      <c r="B593" s="45" t="s">
        <v>146</v>
      </c>
      <c r="C593" s="46" t="s">
        <v>2063</v>
      </c>
      <c r="D593" s="47" t="s">
        <v>2064</v>
      </c>
      <c r="E593" s="48">
        <v>44118</v>
      </c>
      <c r="F593" s="49">
        <f t="shared" si="26"/>
        <v>0</v>
      </c>
      <c r="G593" s="77">
        <f>SUMIF(积分汇总!$B:$B,C592,积分汇总!$E:$E)</f>
        <v>0</v>
      </c>
      <c r="H593" s="77">
        <f>SUMIF(记录巡查问题条数汇总!$B:$B,C592,记录巡查问题条数汇总!$E:$E)</f>
        <v>0</v>
      </c>
      <c r="I593" s="77"/>
      <c r="J593" s="77">
        <f>SUMIF(安全质量事故!$B:$B,C592,安全质量事故!$G:$G)</f>
        <v>0</v>
      </c>
      <c r="K593" s="72">
        <f>COUNTIF(L593:AP593,标准数据!$A$2)*标准数据!$B$2+COUNTIF(L593:AP593,标准数据!$A$3)*标准数据!$B$3+COUNTIF(L593:AP593,标准数据!$A$4)*标准数据!$B$4</f>
        <v>0</v>
      </c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192"/>
      <c r="AQ593" s="90"/>
      <c r="AR593" s="193"/>
      <c r="AU593" s="76"/>
      <c r="AV593" s="41"/>
    </row>
    <row r="594" spans="1:48" s="51" customFormat="1" ht="21" customHeight="1">
      <c r="A594" s="227" t="s">
        <v>2115</v>
      </c>
      <c r="B594" s="45" t="s">
        <v>146</v>
      </c>
      <c r="C594" s="46" t="s">
        <v>2067</v>
      </c>
      <c r="D594" s="47" t="s">
        <v>2068</v>
      </c>
      <c r="E594" s="48">
        <v>46225</v>
      </c>
      <c r="F594" s="49">
        <f t="shared" si="26"/>
        <v>0</v>
      </c>
      <c r="G594" s="77">
        <f>SUMIF(积分汇总!$B:$B,C593,积分汇总!$E:$E)</f>
        <v>0</v>
      </c>
      <c r="H594" s="77">
        <f>SUMIF(记录巡查问题条数汇总!$B:$B,C593,记录巡查问题条数汇总!$E:$E)</f>
        <v>0</v>
      </c>
      <c r="I594" s="77"/>
      <c r="J594" s="77">
        <f>SUMIF(安全质量事故!$B:$B,C593,安全质量事故!$G:$G)</f>
        <v>0</v>
      </c>
      <c r="K594" s="72">
        <f>COUNTIF(L594:AP594,标准数据!$A$2)*标准数据!$B$2+COUNTIF(L594:AP594,标准数据!$A$3)*标准数据!$B$3+COUNTIF(L594:AP594,标准数据!$A$4)*标准数据!$B$4</f>
        <v>0</v>
      </c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192"/>
      <c r="AQ594" s="90"/>
      <c r="AR594" s="193"/>
      <c r="AU594" s="76"/>
      <c r="AV594" s="41"/>
    </row>
    <row r="595" spans="1:48" s="51" customFormat="1" ht="21" customHeight="1">
      <c r="A595" s="227" t="s">
        <v>2115</v>
      </c>
      <c r="B595" s="45" t="s">
        <v>146</v>
      </c>
      <c r="C595" s="46" t="s">
        <v>2069</v>
      </c>
      <c r="D595" s="47" t="s">
        <v>2070</v>
      </c>
      <c r="E595" s="48">
        <v>46225</v>
      </c>
      <c r="F595" s="49">
        <f t="shared" si="26"/>
        <v>0</v>
      </c>
      <c r="G595" s="77">
        <f>SUMIF(积分汇总!$B:$B,C594,积分汇总!$E:$E)</f>
        <v>0</v>
      </c>
      <c r="H595" s="77">
        <f>SUMIF(记录巡查问题条数汇总!$B:$B,C594,记录巡查问题条数汇总!$E:$E)</f>
        <v>0</v>
      </c>
      <c r="I595" s="77"/>
      <c r="J595" s="77">
        <f>SUMIF(安全质量事故!$B:$B,C594,安全质量事故!$G:$G)</f>
        <v>0</v>
      </c>
      <c r="K595" s="72">
        <f>COUNTIF(L595:AP595,标准数据!$A$2)*标准数据!$B$2+COUNTIF(L595:AP595,标准数据!$A$3)*标准数据!$B$3+COUNTIF(L595:AP595,标准数据!$A$4)*标准数据!$B$4</f>
        <v>0</v>
      </c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192"/>
      <c r="AQ595" s="90"/>
      <c r="AR595" s="193"/>
      <c r="AU595" s="76"/>
      <c r="AV595" s="41"/>
    </row>
    <row r="596" spans="1:48" s="51" customFormat="1" ht="21" customHeight="1">
      <c r="A596" s="227" t="s">
        <v>2115</v>
      </c>
      <c r="B596" s="45" t="s">
        <v>14</v>
      </c>
      <c r="C596" s="46" t="s">
        <v>553</v>
      </c>
      <c r="D596" s="52" t="s">
        <v>528</v>
      </c>
      <c r="E596" s="48">
        <v>45868</v>
      </c>
      <c r="F596" s="49">
        <f t="shared" si="26"/>
        <v>0</v>
      </c>
      <c r="G596" s="77">
        <f>SUMIF(积分汇总!$B:$B,C595,积分汇总!$E:$E)</f>
        <v>0</v>
      </c>
      <c r="H596" s="77">
        <f>SUMIF(记录巡查问题条数汇总!$B:$B,C595,记录巡查问题条数汇总!$E:$E)</f>
        <v>0</v>
      </c>
      <c r="I596" s="77"/>
      <c r="J596" s="77">
        <f>SUMIF(安全质量事故!$B:$B,C595,安全质量事故!$G:$G)</f>
        <v>0</v>
      </c>
      <c r="K596" s="72">
        <f>COUNTIF(L596:AP596,标准数据!$A$2)*标准数据!$B$2+COUNTIF(L596:AP596,标准数据!$A$3)*标准数据!$B$3+COUNTIF(L596:AP596,标准数据!$A$4)*标准数据!$B$4</f>
        <v>0</v>
      </c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192"/>
      <c r="AQ596" s="90"/>
      <c r="AR596" s="193"/>
      <c r="AU596" s="76"/>
      <c r="AV596" s="41"/>
    </row>
    <row r="597" spans="1:48" s="51" customFormat="1" ht="21" customHeight="1">
      <c r="A597" s="227" t="s">
        <v>2115</v>
      </c>
      <c r="B597" s="45" t="s">
        <v>14</v>
      </c>
      <c r="C597" s="46" t="s">
        <v>477</v>
      </c>
      <c r="D597" s="47" t="s">
        <v>442</v>
      </c>
      <c r="E597" s="48">
        <v>45847</v>
      </c>
      <c r="F597" s="49">
        <f t="shared" si="26"/>
        <v>0</v>
      </c>
      <c r="G597" s="77">
        <f>SUMIF(积分汇总!$B:$B,C596,积分汇总!$E:$E)</f>
        <v>0</v>
      </c>
      <c r="H597" s="77">
        <f>SUMIF(记录巡查问题条数汇总!$B:$B,C596,记录巡查问题条数汇总!$E:$E)</f>
        <v>0</v>
      </c>
      <c r="I597" s="77"/>
      <c r="J597" s="77">
        <f>SUMIF(安全质量事故!$B:$B,C596,安全质量事故!$G:$G)</f>
        <v>0</v>
      </c>
      <c r="K597" s="72">
        <f>COUNTIF(L597:AP597,标准数据!$A$2)*标准数据!$B$2+COUNTIF(L597:AP597,标准数据!$A$3)*标准数据!$B$3+COUNTIF(L597:AP597,标准数据!$A$4)*标准数据!$B$4</f>
        <v>0</v>
      </c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192"/>
      <c r="AQ597" s="90"/>
      <c r="AR597" s="193"/>
      <c r="AU597" s="76"/>
      <c r="AV597" s="41"/>
    </row>
    <row r="598" spans="1:48" s="51" customFormat="1" ht="21" customHeight="1">
      <c r="A598" s="227" t="s">
        <v>2115</v>
      </c>
      <c r="B598" s="45" t="s">
        <v>146</v>
      </c>
      <c r="C598" s="46" t="s">
        <v>329</v>
      </c>
      <c r="D598" s="47" t="s">
        <v>304</v>
      </c>
      <c r="E598" s="48">
        <v>45600</v>
      </c>
      <c r="F598" s="49">
        <f t="shared" si="26"/>
        <v>0</v>
      </c>
      <c r="G598" s="77">
        <f>SUMIF(积分汇总!$B:$B,C597,积分汇总!$E:$E)</f>
        <v>0</v>
      </c>
      <c r="H598" s="77">
        <f>SUMIF(记录巡查问题条数汇总!$B:$B,C597,记录巡查问题条数汇总!$E:$E)</f>
        <v>0</v>
      </c>
      <c r="I598" s="77"/>
      <c r="J598" s="77">
        <f>SUMIF(安全质量事故!$B:$B,C597,安全质量事故!$G:$G)</f>
        <v>0</v>
      </c>
      <c r="K598" s="72">
        <f>COUNTIF(L598:AP598,标准数据!$A$2)*标准数据!$B$2+COUNTIF(L598:AP598,标准数据!$A$3)*标准数据!$B$3+COUNTIF(L598:AP598,标准数据!$A$4)*标准数据!$B$4</f>
        <v>0</v>
      </c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192"/>
      <c r="AQ598" s="90"/>
      <c r="AR598" s="193"/>
      <c r="AU598" s="76"/>
      <c r="AV598" s="41"/>
    </row>
    <row r="599" spans="1:48" s="51" customFormat="1" ht="21" customHeight="1">
      <c r="A599" s="227" t="s">
        <v>2115</v>
      </c>
      <c r="B599" s="45" t="s">
        <v>14</v>
      </c>
      <c r="C599" s="46" t="s">
        <v>1329</v>
      </c>
      <c r="D599" s="47" t="s">
        <v>1330</v>
      </c>
      <c r="E599" s="48">
        <v>46139</v>
      </c>
      <c r="F599" s="49">
        <f t="shared" si="26"/>
        <v>0</v>
      </c>
      <c r="G599" s="77">
        <f>SUMIF(积分汇总!$B:$B,C598,积分汇总!$E:$E)</f>
        <v>0</v>
      </c>
      <c r="H599" s="77">
        <f>SUMIF(记录巡查问题条数汇总!$B:$B,C598,记录巡查问题条数汇总!$E:$E)</f>
        <v>0</v>
      </c>
      <c r="I599" s="77"/>
      <c r="J599" s="77">
        <f>SUMIF(安全质量事故!$B:$B,C598,安全质量事故!$G:$G)</f>
        <v>0</v>
      </c>
      <c r="K599" s="72">
        <f>COUNTIF(L599:AP599,标准数据!$A$2)*标准数据!$B$2+COUNTIF(L599:AP599,标准数据!$A$3)*标准数据!$B$3+COUNTIF(L599:AP599,标准数据!$A$4)*标准数据!$B$4</f>
        <v>0</v>
      </c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192"/>
      <c r="AQ599" s="90"/>
      <c r="AR599" s="193"/>
      <c r="AU599" s="76"/>
      <c r="AV599" s="41"/>
    </row>
    <row r="600" spans="1:48" ht="21" customHeight="1">
      <c r="A600" s="227" t="s">
        <v>2115</v>
      </c>
      <c r="B600" s="45" t="s">
        <v>14</v>
      </c>
      <c r="C600" s="46" t="s">
        <v>2078</v>
      </c>
      <c r="D600" s="47" t="s">
        <v>2079</v>
      </c>
      <c r="E600" s="48">
        <v>44018</v>
      </c>
      <c r="F600" s="49">
        <f t="shared" si="26"/>
        <v>0</v>
      </c>
      <c r="G600" s="77">
        <f>SUMIF(积分汇总!$B:$B,C599,积分汇总!$E:$E)</f>
        <v>0</v>
      </c>
      <c r="H600" s="77">
        <f>SUMIF(记录巡查问题条数汇总!$B:$B,C599,记录巡查问题条数汇总!$E:$E)</f>
        <v>0</v>
      </c>
      <c r="I600" s="77"/>
      <c r="J600" s="77">
        <f>SUMIF(安全质量事故!$B:$B,C599,安全质量事故!$G:$G)</f>
        <v>0</v>
      </c>
      <c r="K600" s="72">
        <f>COUNTIF(L600:AP600,标准数据!$A$2)*标准数据!$B$2+COUNTIF(L600:AP600,标准数据!$A$3)*标准数据!$B$3+COUNTIF(L600:AP600,标准数据!$A$4)*标准数据!$B$4</f>
        <v>0</v>
      </c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189"/>
      <c r="AQ600" s="55"/>
      <c r="AR600" s="41"/>
      <c r="AS600" s="41"/>
      <c r="AT600" s="41"/>
    </row>
    <row r="601" spans="1:48" ht="21" customHeight="1">
      <c r="A601" s="267" t="s">
        <v>2117</v>
      </c>
      <c r="B601" s="45" t="s">
        <v>81</v>
      </c>
      <c r="C601" s="46" t="s">
        <v>726</v>
      </c>
      <c r="D601" s="52" t="s">
        <v>707</v>
      </c>
      <c r="E601" s="46">
        <v>44151</v>
      </c>
      <c r="F601" s="49">
        <f t="shared" si="26"/>
        <v>0</v>
      </c>
      <c r="G601" s="77">
        <f>SUMIF(积分汇总!$B:$B,#REF!,积分汇总!$E:$E)</f>
        <v>0</v>
      </c>
      <c r="H601" s="77">
        <f>SUMIF(记录巡查问题条数汇总!$B:$B,#REF!,记录巡查问题条数汇总!$E:$E)</f>
        <v>0</v>
      </c>
      <c r="I601" s="77"/>
      <c r="J601" s="77">
        <f>SUMIF(安全质量事故!$B:$B,#REF!,安全质量事故!$G:$G)</f>
        <v>0</v>
      </c>
      <c r="K601" s="72">
        <f>COUNTIF(L601:AP601,标准数据!$A$2)*标准数据!$B$2+COUNTIF(L601:AP601,标准数据!$A$3)*标准数据!$B$3+COUNTIF(L601:AP601,标准数据!$A$4)*标准数据!$B$4</f>
        <v>0</v>
      </c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189"/>
      <c r="AQ601" s="55"/>
      <c r="AR601" s="41"/>
      <c r="AS601" s="41"/>
      <c r="AT601" s="41"/>
    </row>
    <row r="602" spans="1:48" ht="21" customHeight="1">
      <c r="A602" s="267" t="s">
        <v>2117</v>
      </c>
      <c r="B602" s="45" t="s">
        <v>81</v>
      </c>
      <c r="C602" s="46" t="s">
        <v>1790</v>
      </c>
      <c r="D602" s="47" t="s">
        <v>1791</v>
      </c>
      <c r="E602" s="48">
        <v>46208</v>
      </c>
      <c r="F602" s="49">
        <f t="shared" si="26"/>
        <v>0</v>
      </c>
      <c r="G602" s="77">
        <f>SUMIF(积分汇总!$B:$B,C601,积分汇总!$E:$E)</f>
        <v>0</v>
      </c>
      <c r="H602" s="77">
        <f>SUMIF(记录巡查问题条数汇总!$B:$B,C601,记录巡查问题条数汇总!$E:$E)</f>
        <v>0</v>
      </c>
      <c r="I602" s="77"/>
      <c r="J602" s="77">
        <f>SUMIF(安全质量事故!$B:$B,C601,安全质量事故!$G:$G)</f>
        <v>0</v>
      </c>
      <c r="K602" s="72">
        <f>COUNTIF(L602:AP602,标准数据!$A$2)*标准数据!$B$2+COUNTIF(L602:AP602,标准数据!$A$3)*标准数据!$B$3+COUNTIF(L602:AP602,标准数据!$A$4)*标准数据!$B$4</f>
        <v>0</v>
      </c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192"/>
      <c r="AQ602" s="90"/>
      <c r="AR602" s="41"/>
      <c r="AS602" s="41"/>
      <c r="AT602" s="41"/>
    </row>
    <row r="603" spans="1:48" ht="21" customHeight="1">
      <c r="A603" s="267" t="s">
        <v>2117</v>
      </c>
      <c r="B603" s="45" t="s">
        <v>13</v>
      </c>
      <c r="C603" s="46" t="s">
        <v>2017</v>
      </c>
      <c r="D603" s="47" t="s">
        <v>2018</v>
      </c>
      <c r="E603" s="48">
        <v>46225</v>
      </c>
      <c r="F603" s="49">
        <f t="shared" si="26"/>
        <v>0</v>
      </c>
      <c r="G603" s="77">
        <f>SUMIF(积分汇总!$B:$B,C602,积分汇总!$E:$E)</f>
        <v>0</v>
      </c>
      <c r="H603" s="77">
        <f>SUMIF(记录巡查问题条数汇总!$B:$B,C602,记录巡查问题条数汇总!$E:$E)</f>
        <v>0</v>
      </c>
      <c r="I603" s="77"/>
      <c r="J603" s="77">
        <f>SUMIF(安全质量事故!$B:$B,C602,安全质量事故!$G:$G)</f>
        <v>0</v>
      </c>
      <c r="K603" s="72">
        <f>COUNTIF(L603:AP603,标准数据!$A$2)*标准数据!$B$2+COUNTIF(L603:AP603,标准数据!$A$3)*标准数据!$B$3+COUNTIF(L603:AP603,标准数据!$A$4)*标准数据!$B$4</f>
        <v>0</v>
      </c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189"/>
      <c r="AQ603" s="55"/>
    </row>
    <row r="604" spans="1:48" ht="21" customHeight="1">
      <c r="A604" s="267" t="s">
        <v>2117</v>
      </c>
      <c r="B604" s="45" t="s">
        <v>13</v>
      </c>
      <c r="C604" s="46" t="s">
        <v>2019</v>
      </c>
      <c r="D604" s="47" t="s">
        <v>2020</v>
      </c>
      <c r="E604" s="48">
        <v>45847</v>
      </c>
      <c r="F604" s="49">
        <f t="shared" si="26"/>
        <v>0</v>
      </c>
      <c r="G604" s="77">
        <f>SUMIF(积分汇总!$B:$B,C603,积分汇总!$E:$E)</f>
        <v>0</v>
      </c>
      <c r="H604" s="77">
        <f>SUMIF(记录巡查问题条数汇总!$B:$B,C603,记录巡查问题条数汇总!$E:$E)</f>
        <v>0</v>
      </c>
      <c r="I604" s="77"/>
      <c r="J604" s="77">
        <f>SUMIF(安全质量事故!$B:$B,C603,安全质量事故!$G:$G)</f>
        <v>0</v>
      </c>
      <c r="K604" s="72">
        <f>COUNTIF(L604:AP604,标准数据!$A$2)*标准数据!$B$2+COUNTIF(L604:AP604,标准数据!$A$3)*标准数据!$B$3+COUNTIF(L604:AP604,标准数据!$A$4)*标准数据!$B$4</f>
        <v>0</v>
      </c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189"/>
      <c r="AQ604" s="55"/>
    </row>
    <row r="605" spans="1:48" ht="21" customHeight="1">
      <c r="A605" s="267" t="s">
        <v>2117</v>
      </c>
      <c r="B605" s="45" t="s">
        <v>154</v>
      </c>
      <c r="C605" s="46" t="s">
        <v>667</v>
      </c>
      <c r="D605" s="47" t="s">
        <v>653</v>
      </c>
      <c r="E605" s="48">
        <v>45943</v>
      </c>
      <c r="F605" s="49">
        <f t="shared" ref="F605:F662" si="29">(K605+G605+H605+I605-J605)</f>
        <v>0</v>
      </c>
      <c r="G605" s="77">
        <f>SUMIF(积分汇总!$B:$B,C604,积分汇总!$E:$E)</f>
        <v>0</v>
      </c>
      <c r="H605" s="77">
        <f>SUMIF(记录巡查问题条数汇总!$B:$B,C604,记录巡查问题条数汇总!$E:$E)</f>
        <v>0</v>
      </c>
      <c r="I605" s="77"/>
      <c r="J605" s="77">
        <f>SUMIF(安全质量事故!$B:$B,C604,安全质量事故!$G:$G)</f>
        <v>0</v>
      </c>
      <c r="K605" s="72">
        <f>COUNTIF(L605:AP605,标准数据!$A$2)*标准数据!$B$2+COUNTIF(L605:AP605,标准数据!$A$3)*标准数据!$B$3+COUNTIF(L605:AP605,标准数据!$A$4)*标准数据!$B$4</f>
        <v>0</v>
      </c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192"/>
      <c r="AQ605" s="90"/>
    </row>
    <row r="606" spans="1:48" ht="21" customHeight="1">
      <c r="A606" s="267" t="s">
        <v>2117</v>
      </c>
      <c r="B606" s="45" t="s">
        <v>14</v>
      </c>
      <c r="C606" s="46" t="s">
        <v>562</v>
      </c>
      <c r="D606" s="47" t="s">
        <v>523</v>
      </c>
      <c r="E606" s="48">
        <v>45875</v>
      </c>
      <c r="F606" s="49">
        <f t="shared" si="29"/>
        <v>0</v>
      </c>
      <c r="G606" s="77">
        <f>SUMIF(积分汇总!$B:$B,C605,积分汇总!$E:$E)</f>
        <v>0</v>
      </c>
      <c r="H606" s="77">
        <f>SUMIF(记录巡查问题条数汇总!$B:$B,C605,记录巡查问题条数汇总!$E:$E)</f>
        <v>0</v>
      </c>
      <c r="I606" s="77"/>
      <c r="J606" s="77">
        <f>SUMIF(安全质量事故!$B:$B,C605,安全质量事故!$G:$G)</f>
        <v>0</v>
      </c>
      <c r="K606" s="72">
        <f>COUNTIF(L606:AP606,标准数据!$A$2)*标准数据!$B$2+COUNTIF(L606:AP606,标准数据!$A$3)*标准数据!$B$3+COUNTIF(L606:AP606,标准数据!$A$4)*标准数据!$B$4</f>
        <v>0</v>
      </c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189"/>
      <c r="AQ606" s="55"/>
    </row>
    <row r="607" spans="1:48" ht="21" customHeight="1">
      <c r="A607" s="267" t="s">
        <v>2117</v>
      </c>
      <c r="B607" s="45" t="s">
        <v>14</v>
      </c>
      <c r="C607" s="46" t="s">
        <v>641</v>
      </c>
      <c r="D607" s="47" t="s">
        <v>582</v>
      </c>
      <c r="E607" s="48">
        <v>45910</v>
      </c>
      <c r="F607" s="49">
        <f t="shared" si="29"/>
        <v>0</v>
      </c>
      <c r="G607" s="77">
        <f>SUMIF(积分汇总!$B:$B,#REF!,积分汇总!$E:$E)</f>
        <v>0</v>
      </c>
      <c r="H607" s="77">
        <f>SUMIF(记录巡查问题条数汇总!$B:$B,#REF!,记录巡查问题条数汇总!$E:$E)</f>
        <v>0</v>
      </c>
      <c r="I607" s="77"/>
      <c r="J607" s="77">
        <f>SUMIF(安全质量事故!$B:$B,#REF!,安全质量事故!$G:$G)</f>
        <v>0</v>
      </c>
      <c r="K607" s="72">
        <f>COUNTIF(L607:AP607,标准数据!$A$2)*标准数据!$B$2+COUNTIF(L607:AP607,标准数据!$A$3)*标准数据!$B$3+COUNTIF(L607:AP607,标准数据!$A$4)*标准数据!$B$4</f>
        <v>0</v>
      </c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189"/>
      <c r="AQ607" s="55"/>
    </row>
    <row r="608" spans="1:48" ht="21" customHeight="1">
      <c r="A608" s="267" t="s">
        <v>2117</v>
      </c>
      <c r="B608" s="45" t="s">
        <v>87</v>
      </c>
      <c r="C608" s="46" t="s">
        <v>642</v>
      </c>
      <c r="D608" s="52" t="s">
        <v>583</v>
      </c>
      <c r="E608" s="46">
        <v>45910</v>
      </c>
      <c r="F608" s="49">
        <f t="shared" si="29"/>
        <v>0</v>
      </c>
      <c r="G608" s="77">
        <f>SUMIF(积分汇总!$B:$B,C607,积分汇总!$E:$E)</f>
        <v>0</v>
      </c>
      <c r="H608" s="77">
        <f>SUMIF(记录巡查问题条数汇总!$B:$B,C607,记录巡查问题条数汇总!$E:$E)</f>
        <v>0</v>
      </c>
      <c r="I608" s="77"/>
      <c r="J608" s="77">
        <f>SUMIF(安全质量事故!$B:$B,C607,安全质量事故!$G:$G)</f>
        <v>0</v>
      </c>
      <c r="K608" s="72">
        <f>COUNTIF(L608:AP608,标准数据!$A$2)*标准数据!$B$2+COUNTIF(L608:AP608,标准数据!$A$3)*标准数据!$B$3+COUNTIF(L608:AP608,标准数据!$A$4)*标准数据!$B$4</f>
        <v>0</v>
      </c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189"/>
      <c r="AQ608" s="55"/>
      <c r="AR608" s="197"/>
    </row>
    <row r="609" spans="1:48" ht="21" customHeight="1">
      <c r="A609" s="267" t="s">
        <v>2117</v>
      </c>
      <c r="B609" s="45" t="s">
        <v>87</v>
      </c>
      <c r="C609" s="46" t="s">
        <v>728</v>
      </c>
      <c r="D609" s="52" t="s">
        <v>694</v>
      </c>
      <c r="E609" s="46">
        <v>45475</v>
      </c>
      <c r="F609" s="49">
        <f t="shared" si="29"/>
        <v>0</v>
      </c>
      <c r="G609" s="77">
        <f>SUMIF(积分汇总!$B:$B,C608,积分汇总!$E:$E)</f>
        <v>0</v>
      </c>
      <c r="H609" s="77">
        <f>SUMIF(记录巡查问题条数汇总!$B:$B,C608,记录巡查问题条数汇总!$E:$E)</f>
        <v>0</v>
      </c>
      <c r="I609" s="77"/>
      <c r="J609" s="77">
        <f>SUMIF(安全质量事故!$B:$B,C608,安全质量事故!$G:$G)</f>
        <v>0</v>
      </c>
      <c r="K609" s="72">
        <f>COUNTIF(L609:AP609,标准数据!$A$2)*标准数据!$B$2+COUNTIF(L609:AP609,标准数据!$A$3)*标准数据!$B$3+COUNTIF(L609:AP609,标准数据!$A$4)*标准数据!$B$4</f>
        <v>0</v>
      </c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189"/>
      <c r="AQ609" s="55"/>
      <c r="AR609" s="197"/>
    </row>
    <row r="610" spans="1:48" ht="21" customHeight="1">
      <c r="A610" s="267" t="s">
        <v>2117</v>
      </c>
      <c r="B610" s="45" t="s">
        <v>14</v>
      </c>
      <c r="C610" s="46" t="s">
        <v>731</v>
      </c>
      <c r="D610" s="52" t="s">
        <v>697</v>
      </c>
      <c r="E610" s="48">
        <v>45971</v>
      </c>
      <c r="F610" s="49">
        <f t="shared" si="29"/>
        <v>0</v>
      </c>
      <c r="G610" s="77">
        <f>SUMIF(积分汇总!$B:$B,C609,积分汇总!$E:$E)</f>
        <v>0</v>
      </c>
      <c r="H610" s="77">
        <f>SUMIF(记录巡查问题条数汇总!$B:$B,C609,记录巡查问题条数汇总!$E:$E)</f>
        <v>0</v>
      </c>
      <c r="I610" s="77"/>
      <c r="J610" s="77">
        <f>SUMIF(安全质量事故!$B:$B,C609,安全质量事故!$G:$G)</f>
        <v>0</v>
      </c>
      <c r="K610" s="72">
        <f>COUNTIF(L610:AP610,标准数据!$A$2)*标准数据!$B$2+COUNTIF(L610:AP610,标准数据!$A$3)*标准数据!$B$3+COUNTIF(L610:AP610,标准数据!$A$4)*标准数据!$B$4</f>
        <v>0</v>
      </c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189"/>
      <c r="AQ610" s="55"/>
    </row>
    <row r="611" spans="1:48" s="51" customFormat="1" ht="21" customHeight="1">
      <c r="A611" s="267" t="s">
        <v>2117</v>
      </c>
      <c r="B611" s="45" t="s">
        <v>87</v>
      </c>
      <c r="C611" s="46" t="s">
        <v>732</v>
      </c>
      <c r="D611" s="52" t="s">
        <v>698</v>
      </c>
      <c r="E611" s="46">
        <v>45985</v>
      </c>
      <c r="F611" s="49">
        <f t="shared" si="29"/>
        <v>0</v>
      </c>
      <c r="G611" s="77">
        <f>SUMIF(积分汇总!$B:$B,C610,积分汇总!$E:$E)</f>
        <v>0</v>
      </c>
      <c r="H611" s="77">
        <f>SUMIF(记录巡查问题条数汇总!$B:$B,C610,记录巡查问题条数汇总!$E:$E)</f>
        <v>0</v>
      </c>
      <c r="I611" s="77"/>
      <c r="J611" s="77">
        <f>SUMIF(安全质量事故!$B:$B,C610,安全质量事故!$G:$G)</f>
        <v>0</v>
      </c>
      <c r="K611" s="72">
        <f>COUNTIF(L611:AP611,标准数据!$A$2)*标准数据!$B$2+COUNTIF(L611:AP611,标准数据!$A$3)*标准数据!$B$3+COUNTIF(L611:AP611,标准数据!$A$4)*标准数据!$B$4</f>
        <v>0</v>
      </c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192"/>
      <c r="AQ611" s="90"/>
      <c r="AR611" s="195"/>
      <c r="AU611" s="76"/>
      <c r="AV611" s="41"/>
    </row>
    <row r="612" spans="1:48" ht="21" customHeight="1">
      <c r="A612" s="267" t="s">
        <v>2117</v>
      </c>
      <c r="B612" s="45" t="s">
        <v>87</v>
      </c>
      <c r="C612" s="46" t="s">
        <v>733</v>
      </c>
      <c r="D612" s="52" t="s">
        <v>704</v>
      </c>
      <c r="E612" s="46">
        <v>45959</v>
      </c>
      <c r="F612" s="49">
        <f t="shared" si="29"/>
        <v>0</v>
      </c>
      <c r="G612" s="77">
        <f>SUMIF(积分汇总!$B:$B,#REF!,积分汇总!$E:$E)</f>
        <v>0</v>
      </c>
      <c r="H612" s="77">
        <f>SUMIF(记录巡查问题条数汇总!$B:$B,#REF!,记录巡查问题条数汇总!$E:$E)</f>
        <v>0</v>
      </c>
      <c r="I612" s="77"/>
      <c r="J612" s="77">
        <f>SUMIF(安全质量事故!$B:$B,#REF!,安全质量事故!$G:$G)</f>
        <v>0</v>
      </c>
      <c r="K612" s="72">
        <f>COUNTIF(L612:AP612,标准数据!$A$2)*标准数据!$B$2+COUNTIF(L612:AP612,标准数据!$A$3)*标准数据!$B$3+COUNTIF(L612:AP612,标准数据!$A$4)*标准数据!$B$4</f>
        <v>0</v>
      </c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192"/>
      <c r="AQ612" s="90"/>
      <c r="AR612" s="41"/>
      <c r="AS612" s="41"/>
      <c r="AT612" s="41"/>
    </row>
    <row r="613" spans="1:48" ht="21" customHeight="1">
      <c r="A613" s="267" t="s">
        <v>2117</v>
      </c>
      <c r="B613" s="45" t="s">
        <v>14</v>
      </c>
      <c r="C613" s="46" t="s">
        <v>637</v>
      </c>
      <c r="D613" s="47" t="s">
        <v>601</v>
      </c>
      <c r="E613" s="48" t="s">
        <v>1038</v>
      </c>
      <c r="F613" s="49">
        <f t="shared" si="29"/>
        <v>0</v>
      </c>
      <c r="G613" s="77">
        <f>SUMIF(积分汇总!$B:$B,C612,积分汇总!$E:$E)</f>
        <v>0</v>
      </c>
      <c r="H613" s="77">
        <f>SUMIF(记录巡查问题条数汇总!$B:$B,C612,记录巡查问题条数汇总!$E:$E)</f>
        <v>0</v>
      </c>
      <c r="I613" s="77"/>
      <c r="J613" s="77">
        <f>SUMIF(安全质量事故!$B:$B,C612,安全质量事故!$G:$G)</f>
        <v>0</v>
      </c>
      <c r="K613" s="72">
        <f>COUNTIF(L613:AP613,标准数据!$A$2)*标准数据!$B$2+COUNTIF(L613:AP613,标准数据!$A$3)*标准数据!$B$3+COUNTIF(L613:AP613,标准数据!$A$4)*标准数据!$B$4</f>
        <v>0</v>
      </c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189"/>
      <c r="AQ613" s="55"/>
    </row>
    <row r="614" spans="1:48" ht="21" customHeight="1">
      <c r="A614" s="267" t="s">
        <v>2117</v>
      </c>
      <c r="B614" s="45" t="s">
        <v>87</v>
      </c>
      <c r="C614" s="46" t="s">
        <v>824</v>
      </c>
      <c r="D614" s="52" t="s">
        <v>781</v>
      </c>
      <c r="E614" s="46">
        <v>45987</v>
      </c>
      <c r="F614" s="49">
        <f t="shared" si="29"/>
        <v>0</v>
      </c>
      <c r="G614" s="77">
        <f>SUMIF(积分汇总!$B:$B,C613,积分汇总!$E:$E)</f>
        <v>0</v>
      </c>
      <c r="H614" s="77">
        <f>SUMIF(记录巡查问题条数汇总!$B:$B,C613,记录巡查问题条数汇总!$E:$E)</f>
        <v>0</v>
      </c>
      <c r="I614" s="77"/>
      <c r="J614" s="77">
        <f>SUMIF(安全质量事故!$B:$B,C613,安全质量事故!$G:$G)</f>
        <v>0</v>
      </c>
      <c r="K614" s="72">
        <f>COUNTIF(L614:AP614,标准数据!$A$2)*标准数据!$B$2+COUNTIF(L614:AP614,标准数据!$A$3)*标准数据!$B$3+COUNTIF(L614:AP614,标准数据!$A$4)*标准数据!$B$4</f>
        <v>0</v>
      </c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189"/>
      <c r="AQ614" s="55"/>
    </row>
    <row r="615" spans="1:48" ht="21" customHeight="1">
      <c r="A615" s="267" t="s">
        <v>2117</v>
      </c>
      <c r="B615" s="45" t="s">
        <v>14</v>
      </c>
      <c r="C615" s="46" t="s">
        <v>835</v>
      </c>
      <c r="D615" s="47" t="s">
        <v>796</v>
      </c>
      <c r="E615" s="48">
        <v>44760</v>
      </c>
      <c r="F615" s="49">
        <f t="shared" si="29"/>
        <v>0</v>
      </c>
      <c r="G615" s="77">
        <f>SUMIF(积分汇总!$B:$B,C614,积分汇总!$E:$E)</f>
        <v>0</v>
      </c>
      <c r="H615" s="77">
        <f>SUMIF(记录巡查问题条数汇总!$B:$B,C614,记录巡查问题条数汇总!$E:$E)</f>
        <v>0</v>
      </c>
      <c r="I615" s="77"/>
      <c r="J615" s="77">
        <f>SUMIF(安全质量事故!$B:$B,C614,安全质量事故!$G:$G)</f>
        <v>0</v>
      </c>
      <c r="K615" s="72">
        <f>COUNTIF(L615:AP615,标准数据!$A$2)*标准数据!$B$2+COUNTIF(L615:AP615,标准数据!$A$3)*标准数据!$B$3+COUNTIF(L615:AP615,标准数据!$A$4)*标准数据!$B$4</f>
        <v>0</v>
      </c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189"/>
      <c r="AQ615" s="55"/>
    </row>
    <row r="616" spans="1:48" ht="21" customHeight="1">
      <c r="A616" s="267" t="s">
        <v>2117</v>
      </c>
      <c r="B616" s="45" t="s">
        <v>14</v>
      </c>
      <c r="C616" s="46" t="s">
        <v>842</v>
      </c>
      <c r="D616" s="47" t="s">
        <v>803</v>
      </c>
      <c r="E616" s="48">
        <v>45994</v>
      </c>
      <c r="F616" s="49">
        <f t="shared" si="29"/>
        <v>0</v>
      </c>
      <c r="G616" s="77">
        <f>SUMIF(积分汇总!$B:$B,C615,积分汇总!$E:$E)</f>
        <v>0</v>
      </c>
      <c r="H616" s="77">
        <f>SUMIF(记录巡查问题条数汇总!$B:$B,C615,记录巡查问题条数汇总!$E:$E)</f>
        <v>0</v>
      </c>
      <c r="I616" s="77"/>
      <c r="J616" s="77">
        <f>SUMIF(安全质量事故!$B:$B,C615,安全质量事故!$G:$G)</f>
        <v>0</v>
      </c>
      <c r="K616" s="72">
        <f>COUNTIF(L616:AP616,标准数据!$A$2)*标准数据!$B$2+COUNTIF(L616:AP616,标准数据!$A$3)*标准数据!$B$3+COUNTIF(L616:AP616,标准数据!$A$4)*标准数据!$B$4</f>
        <v>0</v>
      </c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189"/>
      <c r="AQ616" s="55"/>
    </row>
    <row r="617" spans="1:48" ht="21" customHeight="1">
      <c r="A617" s="267" t="s">
        <v>2117</v>
      </c>
      <c r="B617" s="45" t="s">
        <v>14</v>
      </c>
      <c r="C617" s="46" t="s">
        <v>643</v>
      </c>
      <c r="D617" s="47" t="s">
        <v>584</v>
      </c>
      <c r="E617" s="48">
        <v>45896</v>
      </c>
      <c r="F617" s="49">
        <f t="shared" si="29"/>
        <v>0</v>
      </c>
      <c r="G617" s="77">
        <f>SUMIF(积分汇总!$B:$B,C616,积分汇总!$E:$E)</f>
        <v>0</v>
      </c>
      <c r="H617" s="77">
        <f>SUMIF(记录巡查问题条数汇总!$B:$B,C616,记录巡查问题条数汇总!$E:$E)</f>
        <v>0</v>
      </c>
      <c r="I617" s="77"/>
      <c r="J617" s="77">
        <f>SUMIF(安全质量事故!$B:$B,C616,安全质量事故!$G:$G)</f>
        <v>0</v>
      </c>
      <c r="K617" s="72">
        <f>COUNTIF(L617:AP617,标准数据!$A$2)*标准数据!$B$2+COUNTIF(L617:AP617,标准数据!$A$3)*标准数据!$B$3+COUNTIF(L617:AP617,标准数据!$A$4)*标准数据!$B$4</f>
        <v>0</v>
      </c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189"/>
      <c r="AQ617" s="55"/>
    </row>
    <row r="618" spans="1:48" ht="21" customHeight="1">
      <c r="A618" s="267" t="s">
        <v>2117</v>
      </c>
      <c r="B618" s="45" t="s">
        <v>14</v>
      </c>
      <c r="C618" s="46" t="s">
        <v>915</v>
      </c>
      <c r="D618" s="47" t="s">
        <v>886</v>
      </c>
      <c r="E618" s="48">
        <v>45901</v>
      </c>
      <c r="F618" s="49">
        <f t="shared" si="29"/>
        <v>0</v>
      </c>
      <c r="G618" s="77">
        <f>SUMIF(积分汇总!$B:$B,C617,积分汇总!$E:$E)</f>
        <v>0</v>
      </c>
      <c r="H618" s="77">
        <f>SUMIF(记录巡查问题条数汇总!$B:$B,C617,记录巡查问题条数汇总!$E:$E)</f>
        <v>0</v>
      </c>
      <c r="I618" s="77"/>
      <c r="J618" s="77">
        <f>SUMIF(安全质量事故!$B:$B,C617,安全质量事故!$G:$G)</f>
        <v>0</v>
      </c>
      <c r="K618" s="72">
        <f>COUNTIF(L618:AP618,标准数据!$A$2)*标准数据!$B$2+COUNTIF(L618:AP618,标准数据!$A$3)*标准数据!$B$3+COUNTIF(L618:AP618,标准数据!$A$4)*标准数据!$B$4</f>
        <v>0</v>
      </c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189"/>
      <c r="AQ618" s="55"/>
    </row>
    <row r="619" spans="1:48" s="51" customFormat="1" ht="21" customHeight="1">
      <c r="A619" s="267" t="s">
        <v>2117</v>
      </c>
      <c r="B619" s="45" t="s">
        <v>14</v>
      </c>
      <c r="C619" s="46" t="s">
        <v>916</v>
      </c>
      <c r="D619" s="47" t="s">
        <v>887</v>
      </c>
      <c r="E619" s="48">
        <v>45896</v>
      </c>
      <c r="F619" s="49">
        <f t="shared" si="29"/>
        <v>0</v>
      </c>
      <c r="G619" s="77">
        <f>SUMIF(积分汇总!$B:$B,C618,积分汇总!$E:$E)</f>
        <v>0</v>
      </c>
      <c r="H619" s="77">
        <f>SUMIF(记录巡查问题条数汇总!$B:$B,C618,记录巡查问题条数汇总!$E:$E)</f>
        <v>0</v>
      </c>
      <c r="I619" s="77"/>
      <c r="J619" s="77">
        <f>SUMIF(安全质量事故!$B:$B,C618,安全质量事故!$G:$G)</f>
        <v>0</v>
      </c>
      <c r="K619" s="72">
        <f>COUNTIF(L619:AP619,标准数据!$A$2)*标准数据!$B$2+COUNTIF(L619:AP619,标准数据!$A$3)*标准数据!$B$3+COUNTIF(L619:AP619,标准数据!$A$4)*标准数据!$B$4</f>
        <v>0</v>
      </c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192"/>
      <c r="AQ619" s="90"/>
      <c r="AU619" s="76"/>
      <c r="AV619" s="41"/>
    </row>
    <row r="620" spans="1:48" ht="21" customHeight="1">
      <c r="A620" s="267" t="s">
        <v>2117</v>
      </c>
      <c r="B620" s="45" t="s">
        <v>14</v>
      </c>
      <c r="C620" s="47" t="s">
        <v>927</v>
      </c>
      <c r="D620" s="52" t="s">
        <v>906</v>
      </c>
      <c r="E620" s="46">
        <v>45987</v>
      </c>
      <c r="F620" s="49">
        <f t="shared" ref="F620" si="30">(K620+G620+H620+I620-J620)</f>
        <v>0</v>
      </c>
      <c r="G620" s="77">
        <f>SUMIF(积分汇总!$B:$B,#REF!,积分汇总!$E:$E)</f>
        <v>0</v>
      </c>
      <c r="H620" s="77">
        <f>SUMIF(记录巡查问题条数汇总!$B:$B,#REF!,记录巡查问题条数汇总!$E:$E)</f>
        <v>0</v>
      </c>
      <c r="I620" s="77"/>
      <c r="J620" s="77">
        <f>SUMIF(安全质量事故!$B:$B,#REF!,安全质量事故!$G:$G)</f>
        <v>0</v>
      </c>
      <c r="K620" s="72">
        <f>COUNTIF(L620:AP620,标准数据!$A$2)*标准数据!$B$2+COUNTIF(L620:AP620,标准数据!$A$3)*标准数据!$B$3+COUNTIF(L620:AP620,标准数据!$A$4)*标准数据!$B$4</f>
        <v>0</v>
      </c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189"/>
      <c r="AQ620" s="55"/>
    </row>
    <row r="621" spans="1:48" ht="21" customHeight="1">
      <c r="A621" s="267" t="s">
        <v>2117</v>
      </c>
      <c r="B621" s="45" t="s">
        <v>14</v>
      </c>
      <c r="C621" s="46" t="s">
        <v>1185</v>
      </c>
      <c r="D621" s="52" t="s">
        <v>1186</v>
      </c>
      <c r="E621" s="48">
        <v>46127</v>
      </c>
      <c r="F621" s="49">
        <f t="shared" ref="F621" si="31">(K621+G621+H621+I621-J621)</f>
        <v>0</v>
      </c>
      <c r="G621" s="77">
        <f>SUMIF(积分汇总!$B:$B,#REF!,积分汇总!$E:$E)</f>
        <v>0</v>
      </c>
      <c r="H621" s="77">
        <f>SUMIF(记录巡查问题条数汇总!$B:$B,#REF!,记录巡查问题条数汇总!$E:$E)</f>
        <v>0</v>
      </c>
      <c r="I621" s="77"/>
      <c r="J621" s="77">
        <f>SUMIF(安全质量事故!$B:$B,#REF!,安全质量事故!$G:$G)</f>
        <v>0</v>
      </c>
      <c r="K621" s="72">
        <f>COUNTIF(L621:AP621,标准数据!$A$2)*标准数据!$B$2+COUNTIF(L621:AP621,标准数据!$A$3)*标准数据!$B$3+COUNTIF(L621:AP621,标准数据!$A$4)*标准数据!$B$4</f>
        <v>0</v>
      </c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189"/>
      <c r="AQ621" s="55"/>
    </row>
    <row r="622" spans="1:48" s="51" customFormat="1" ht="21" customHeight="1">
      <c r="A622" s="267" t="s">
        <v>2117</v>
      </c>
      <c r="B622" s="45" t="s">
        <v>14</v>
      </c>
      <c r="C622" s="46" t="s">
        <v>1189</v>
      </c>
      <c r="D622" s="52" t="s">
        <v>1190</v>
      </c>
      <c r="E622" s="48">
        <v>46127</v>
      </c>
      <c r="F622" s="49">
        <f t="shared" si="29"/>
        <v>0</v>
      </c>
      <c r="G622" s="77">
        <f>SUMIF(积分汇总!$B:$B,#REF!,积分汇总!$E:$E)</f>
        <v>0</v>
      </c>
      <c r="H622" s="77">
        <f>SUMIF(记录巡查问题条数汇总!$B:$B,#REF!,记录巡查问题条数汇总!$E:$E)</f>
        <v>0</v>
      </c>
      <c r="I622" s="77"/>
      <c r="J622" s="77">
        <f>SUMIF(安全质量事故!$B:$B,#REF!,安全质量事故!$G:$G)</f>
        <v>0</v>
      </c>
      <c r="K622" s="72">
        <f>COUNTIF(L622:AP622,标准数据!$A$2)*标准数据!$B$2+COUNTIF(L622:AP622,标准数据!$A$3)*标准数据!$B$3+COUNTIF(L622:AP622,标准数据!$A$4)*标准数据!$B$4</f>
        <v>0</v>
      </c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192"/>
      <c r="AQ622" s="90"/>
      <c r="AR622" s="193"/>
      <c r="AU622" s="76"/>
      <c r="AV622" s="41"/>
    </row>
    <row r="623" spans="1:48" ht="21" customHeight="1">
      <c r="A623" s="267" t="s">
        <v>2117</v>
      </c>
      <c r="B623" s="45" t="s">
        <v>14</v>
      </c>
      <c r="C623" s="47" t="s">
        <v>1197</v>
      </c>
      <c r="D623" s="52" t="s">
        <v>1198</v>
      </c>
      <c r="E623" s="46">
        <v>46127</v>
      </c>
      <c r="F623" s="49">
        <f t="shared" si="29"/>
        <v>0</v>
      </c>
      <c r="G623" s="77">
        <f>SUMIF(积分汇总!$B:$B,#REF!,积分汇总!$E:$E)</f>
        <v>0</v>
      </c>
      <c r="H623" s="77">
        <f>SUMIF(记录巡查问题条数汇总!$B:$B,#REF!,记录巡查问题条数汇总!$E:$E)</f>
        <v>0</v>
      </c>
      <c r="I623" s="77"/>
      <c r="J623" s="77">
        <f>SUMIF(安全质量事故!$B:$B,#REF!,安全质量事故!$G:$G)</f>
        <v>0</v>
      </c>
      <c r="K623" s="72">
        <f>COUNTIF(L623:AP623,标准数据!$A$2)*标准数据!$B$2+COUNTIF(L623:AP623,标准数据!$A$3)*标准数据!$B$3+COUNTIF(L623:AP623,标准数据!$A$4)*标准数据!$B$4</f>
        <v>0</v>
      </c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189"/>
      <c r="AQ623" s="55"/>
      <c r="AR623" s="41"/>
      <c r="AS623" s="41"/>
      <c r="AT623" s="41"/>
    </row>
    <row r="624" spans="1:48" ht="21" customHeight="1">
      <c r="A624" s="267" t="s">
        <v>2117</v>
      </c>
      <c r="B624" s="45" t="s">
        <v>14</v>
      </c>
      <c r="C624" s="47" t="s">
        <v>1199</v>
      </c>
      <c r="D624" s="52" t="s">
        <v>1200</v>
      </c>
      <c r="E624" s="46">
        <v>46127</v>
      </c>
      <c r="F624" s="49">
        <f t="shared" si="29"/>
        <v>0</v>
      </c>
      <c r="G624" s="77">
        <f>SUMIF(积分汇总!$B:$B,C623,积分汇总!$E:$E)</f>
        <v>0</v>
      </c>
      <c r="H624" s="77">
        <f>SUMIF(记录巡查问题条数汇总!$B:$B,C623,记录巡查问题条数汇总!$E:$E)</f>
        <v>0</v>
      </c>
      <c r="I624" s="77"/>
      <c r="J624" s="77">
        <f>SUMIF(安全质量事故!$B:$B,C623,安全质量事故!$G:$G)</f>
        <v>0</v>
      </c>
      <c r="K624" s="72">
        <f>COUNTIF(L624:AP624,标准数据!$A$2)*标准数据!$B$2+COUNTIF(L624:AP624,标准数据!$A$3)*标准数据!$B$3+COUNTIF(L624:AP624,标准数据!$A$4)*标准数据!$B$4</f>
        <v>0</v>
      </c>
      <c r="L624" s="90"/>
      <c r="M624" s="90"/>
      <c r="N624" s="90"/>
      <c r="O624" s="90"/>
      <c r="P624" s="90"/>
      <c r="Q624" s="90"/>
      <c r="R624" s="90"/>
      <c r="S624" s="90"/>
      <c r="T624" s="90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189"/>
      <c r="AQ624" s="55"/>
    </row>
    <row r="625" spans="1:48" s="51" customFormat="1" ht="21" customHeight="1">
      <c r="A625" s="267" t="s">
        <v>2117</v>
      </c>
      <c r="B625" s="45" t="s">
        <v>14</v>
      </c>
      <c r="C625" s="46" t="s">
        <v>1363</v>
      </c>
      <c r="D625" s="47" t="s">
        <v>1364</v>
      </c>
      <c r="E625" s="48">
        <v>46155</v>
      </c>
      <c r="F625" s="49">
        <f t="shared" si="29"/>
        <v>0</v>
      </c>
      <c r="G625" s="77">
        <f>SUMIF(积分汇总!$B:$B,C624,积分汇总!$E:$E)</f>
        <v>0</v>
      </c>
      <c r="H625" s="77">
        <f>SUMIF(记录巡查问题条数汇总!$B:$B,C624,记录巡查问题条数汇总!$E:$E)</f>
        <v>0</v>
      </c>
      <c r="I625" s="77"/>
      <c r="J625" s="77">
        <f>SUMIF(安全质量事故!$B:$B,C624,安全质量事故!$G:$G)</f>
        <v>0</v>
      </c>
      <c r="K625" s="72">
        <f>COUNTIF(L625:AP625,标准数据!$A$2)*标准数据!$B$2+COUNTIF(L625:AP625,标准数据!$A$3)*标准数据!$B$3+COUNTIF(L625:AP625,标准数据!$A$4)*标准数据!$B$4</f>
        <v>0</v>
      </c>
      <c r="L625" s="90"/>
      <c r="M625" s="90"/>
      <c r="N625" s="90"/>
      <c r="O625" s="90"/>
      <c r="P625" s="90"/>
      <c r="Q625" s="90"/>
      <c r="R625" s="90"/>
      <c r="S625" s="90"/>
      <c r="T625" s="90"/>
      <c r="U625" s="56"/>
      <c r="V625" s="56"/>
      <c r="W625" s="56"/>
      <c r="X625" s="56"/>
      <c r="Y625" s="56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192"/>
      <c r="AQ625" s="90"/>
      <c r="AU625" s="76"/>
      <c r="AV625" s="41"/>
    </row>
    <row r="626" spans="1:48" ht="21" customHeight="1">
      <c r="A626" s="267" t="s">
        <v>2117</v>
      </c>
      <c r="B626" s="45" t="s">
        <v>14</v>
      </c>
      <c r="C626" s="47" t="s">
        <v>1365</v>
      </c>
      <c r="D626" s="52" t="s">
        <v>1366</v>
      </c>
      <c r="E626" s="46">
        <v>46155</v>
      </c>
      <c r="F626" s="49">
        <f t="shared" si="29"/>
        <v>0</v>
      </c>
      <c r="G626" s="77">
        <f>SUMIF(积分汇总!$B:$B,C625,积分汇总!$E:$E)</f>
        <v>0</v>
      </c>
      <c r="H626" s="77">
        <f>SUMIF(记录巡查问题条数汇总!$B:$B,C625,记录巡查问题条数汇总!$E:$E)</f>
        <v>0</v>
      </c>
      <c r="I626" s="77"/>
      <c r="J626" s="77">
        <f>SUMIF(安全质量事故!$B:$B,C625,安全质量事故!$G:$G)</f>
        <v>0</v>
      </c>
      <c r="K626" s="72">
        <f>COUNTIF(L626:AP626,标准数据!$A$2)*标准数据!$B$2+COUNTIF(L626:AP626,标准数据!$A$3)*标准数据!$B$3+COUNTIF(L626:AP626,标准数据!$A$4)*标准数据!$B$4</f>
        <v>0</v>
      </c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189"/>
      <c r="AQ626" s="55"/>
    </row>
    <row r="627" spans="1:48" ht="21" customHeight="1">
      <c r="A627" s="267" t="s">
        <v>2117</v>
      </c>
      <c r="B627" s="45" t="s">
        <v>14</v>
      </c>
      <c r="C627" s="46" t="s">
        <v>1369</v>
      </c>
      <c r="D627" s="47" t="s">
        <v>1370</v>
      </c>
      <c r="E627" s="48">
        <v>46155</v>
      </c>
      <c r="F627" s="49">
        <f t="shared" si="29"/>
        <v>0</v>
      </c>
      <c r="G627" s="77">
        <f>SUMIF(积分汇总!$B:$B,C626,积分汇总!$E:$E)</f>
        <v>0</v>
      </c>
      <c r="H627" s="77">
        <f>SUMIF(记录巡查问题条数汇总!$B:$B,C626,记录巡查问题条数汇总!$E:$E)</f>
        <v>0</v>
      </c>
      <c r="I627" s="77"/>
      <c r="J627" s="77">
        <f>SUMIF(安全质量事故!$B:$B,C626,安全质量事故!$G:$G)</f>
        <v>0</v>
      </c>
      <c r="K627" s="72">
        <f>COUNTIF(L627:AP627,标准数据!$A$2)*标准数据!$B$2+COUNTIF(L627:AP627,标准数据!$A$3)*标准数据!$B$3+COUNTIF(L627:AP627,标准数据!$A$4)*标准数据!$B$4</f>
        <v>0</v>
      </c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192"/>
      <c r="AQ627" s="90"/>
      <c r="AR627" s="41"/>
      <c r="AS627" s="41"/>
      <c r="AT627" s="41"/>
    </row>
    <row r="628" spans="1:48" ht="21" customHeight="1">
      <c r="A628" s="267" t="s">
        <v>2117</v>
      </c>
      <c r="B628" s="45" t="s">
        <v>14</v>
      </c>
      <c r="C628" s="46" t="s">
        <v>1371</v>
      </c>
      <c r="D628" s="47" t="s">
        <v>1372</v>
      </c>
      <c r="E628" s="48">
        <v>46155</v>
      </c>
      <c r="F628" s="49">
        <f t="shared" si="29"/>
        <v>0</v>
      </c>
      <c r="G628" s="77">
        <f>SUMIF(积分汇总!$B:$B,C627,积分汇总!$E:$E)</f>
        <v>0</v>
      </c>
      <c r="H628" s="77">
        <f>SUMIF(记录巡查问题条数汇总!$B:$B,C627,记录巡查问题条数汇总!$E:$E)</f>
        <v>0</v>
      </c>
      <c r="I628" s="77"/>
      <c r="J628" s="77">
        <f>SUMIF(安全质量事故!$B:$B,C627,安全质量事故!$G:$G)</f>
        <v>0</v>
      </c>
      <c r="K628" s="72">
        <f>COUNTIF(L628:AP628,标准数据!$A$2)*标准数据!$B$2+COUNTIF(L628:AP628,标准数据!$A$3)*标准数据!$B$3+COUNTIF(L628:AP628,标准数据!$A$4)*标准数据!$B$4</f>
        <v>0</v>
      </c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189"/>
      <c r="AQ628" s="55"/>
    </row>
    <row r="629" spans="1:48" ht="21" customHeight="1">
      <c r="A629" s="267" t="s">
        <v>2117</v>
      </c>
      <c r="B629" s="45" t="s">
        <v>14</v>
      </c>
      <c r="C629" s="46" t="s">
        <v>1480</v>
      </c>
      <c r="D629" s="47" t="s">
        <v>1481</v>
      </c>
      <c r="E629" s="48">
        <v>46188</v>
      </c>
      <c r="F629" s="49">
        <f t="shared" si="29"/>
        <v>0</v>
      </c>
      <c r="G629" s="77">
        <f>SUMIF(积分汇总!$B:$B,C628,积分汇总!$E:$E)</f>
        <v>0</v>
      </c>
      <c r="H629" s="77">
        <f>SUMIF(记录巡查问题条数汇总!$B:$B,C628,记录巡查问题条数汇总!$E:$E)</f>
        <v>0</v>
      </c>
      <c r="I629" s="77"/>
      <c r="J629" s="77">
        <f>SUMIF(安全质量事故!$B:$B,C628,安全质量事故!$G:$G)</f>
        <v>0</v>
      </c>
      <c r="K629" s="72">
        <f>COUNTIF(L629:AP629,标准数据!$A$2)*标准数据!$B$2+COUNTIF(L629:AP629,标准数据!$A$3)*标准数据!$B$3+COUNTIF(L629:AP629,标准数据!$A$4)*标准数据!$B$4</f>
        <v>0</v>
      </c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189"/>
      <c r="AQ629" s="55"/>
    </row>
    <row r="630" spans="1:48" ht="21" customHeight="1">
      <c r="A630" s="267" t="s">
        <v>2117</v>
      </c>
      <c r="B630" s="45" t="s">
        <v>14</v>
      </c>
      <c r="C630" s="46" t="s">
        <v>1100</v>
      </c>
      <c r="D630" s="47" t="s">
        <v>1101</v>
      </c>
      <c r="E630" s="48">
        <v>46111</v>
      </c>
      <c r="F630" s="49">
        <f t="shared" si="29"/>
        <v>0</v>
      </c>
      <c r="G630" s="77">
        <f>SUMIF(积分汇总!$B:$B,C628,积分汇总!$E:$E)</f>
        <v>0</v>
      </c>
      <c r="H630" s="77">
        <f>SUMIF(记录巡查问题条数汇总!$B:$B,C628,记录巡查问题条数汇总!$E:$E)</f>
        <v>0</v>
      </c>
      <c r="I630" s="77"/>
      <c r="J630" s="77">
        <f>SUMIF(安全质量事故!$B:$B,C628,安全质量事故!$G:$G)</f>
        <v>0</v>
      </c>
      <c r="K630" s="72">
        <f>COUNTIF(L630:AP630,标准数据!$A$2)*标准数据!$B$2+COUNTIF(L630:AP630,标准数据!$A$3)*标准数据!$B$3+COUNTIF(L630:AP630,标准数据!$A$4)*标准数据!$B$4</f>
        <v>0</v>
      </c>
      <c r="L630" s="58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190"/>
      <c r="AQ630" s="55"/>
      <c r="AR630" s="41"/>
      <c r="AS630" s="41"/>
      <c r="AT630" s="41"/>
    </row>
    <row r="631" spans="1:48" ht="21" customHeight="1">
      <c r="A631" s="267" t="s">
        <v>2117</v>
      </c>
      <c r="B631" s="45" t="s">
        <v>14</v>
      </c>
      <c r="C631" s="46" t="s">
        <v>2021</v>
      </c>
      <c r="D631" s="47" t="s">
        <v>2022</v>
      </c>
      <c r="E631" s="48">
        <v>46253</v>
      </c>
      <c r="F631" s="49">
        <f t="shared" si="29"/>
        <v>0</v>
      </c>
      <c r="G631" s="77">
        <f>SUMIF(积分汇总!$B:$B,C625,积分汇总!$E:$E)</f>
        <v>0</v>
      </c>
      <c r="H631" s="77">
        <f>SUMIF(记录巡查问题条数汇总!$B:$B,C625,记录巡查问题条数汇总!$E:$E)</f>
        <v>0</v>
      </c>
      <c r="I631" s="77"/>
      <c r="J631" s="77">
        <f>SUMIF(安全质量事故!$B:$B,C625,安全质量事故!$G:$G)</f>
        <v>0</v>
      </c>
      <c r="K631" s="72">
        <f>COUNTIF(L631:AP631,标准数据!$A$2)*标准数据!$B$2+COUNTIF(L631:AP631,标准数据!$A$3)*标准数据!$B$3+COUNTIF(L631:AP631,标准数据!$A$4)*标准数据!$B$4</f>
        <v>0</v>
      </c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188"/>
      <c r="AQ631" s="90"/>
    </row>
    <row r="632" spans="1:48" ht="21" customHeight="1">
      <c r="A632" s="267" t="s">
        <v>2117</v>
      </c>
      <c r="B632" s="45" t="s">
        <v>14</v>
      </c>
      <c r="C632" s="46" t="s">
        <v>2025</v>
      </c>
      <c r="D632" s="47" t="s">
        <v>2026</v>
      </c>
      <c r="E632" s="48">
        <v>46225</v>
      </c>
      <c r="F632" s="49">
        <f t="shared" si="29"/>
        <v>0</v>
      </c>
      <c r="G632" s="77">
        <f>SUMIF(积分汇总!$B:$B,C631,积分汇总!$E:$E)</f>
        <v>0</v>
      </c>
      <c r="H632" s="77">
        <f>SUMIF(记录巡查问题条数汇总!$B:$B,C631,记录巡查问题条数汇总!$E:$E)</f>
        <v>0</v>
      </c>
      <c r="I632" s="77"/>
      <c r="J632" s="77">
        <f>SUMIF(安全质量事故!$B:$B,C631,安全质量事故!$G:$G)</f>
        <v>0</v>
      </c>
      <c r="K632" s="72">
        <f>COUNTIF(L632:AP632,标准数据!$A$2)*标准数据!$B$2+COUNTIF(L632:AP632,标准数据!$A$3)*标准数据!$B$3+COUNTIF(L632:AP632,标准数据!$A$4)*标准数据!$B$4</f>
        <v>0</v>
      </c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188"/>
      <c r="AQ632" s="90"/>
    </row>
    <row r="633" spans="1:48" ht="21" customHeight="1">
      <c r="A633" s="267" t="s">
        <v>2117</v>
      </c>
      <c r="B633" s="45" t="s">
        <v>14</v>
      </c>
      <c r="C633" s="46" t="s">
        <v>2027</v>
      </c>
      <c r="D633" s="47" t="s">
        <v>2028</v>
      </c>
      <c r="E633" s="48">
        <v>46225</v>
      </c>
      <c r="F633" s="49">
        <f t="shared" si="29"/>
        <v>0</v>
      </c>
      <c r="G633" s="77">
        <f>SUMIF(积分汇总!$B:$B,C625,积分汇总!$E:$E)</f>
        <v>0</v>
      </c>
      <c r="H633" s="77">
        <f>SUMIF(记录巡查问题条数汇总!$B:$B,C625,记录巡查问题条数汇总!$E:$E)</f>
        <v>0</v>
      </c>
      <c r="I633" s="77"/>
      <c r="J633" s="77">
        <f>SUMIF(安全质量事故!$B:$B,C625,安全质量事故!$G:$G)</f>
        <v>0</v>
      </c>
      <c r="K633" s="72">
        <f>COUNTIF(L633:AP633,标准数据!$A$2)*标准数据!$B$2+COUNTIF(L633:AP633,标准数据!$A$3)*标准数据!$B$3+COUNTIF(L633:AP633,标准数据!$A$4)*标准数据!$B$4</f>
        <v>0</v>
      </c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188"/>
      <c r="AQ633" s="90"/>
    </row>
    <row r="634" spans="1:48" ht="21" customHeight="1">
      <c r="A634" s="267" t="s">
        <v>2117</v>
      </c>
      <c r="B634" s="45" t="s">
        <v>14</v>
      </c>
      <c r="C634" s="46" t="s">
        <v>2035</v>
      </c>
      <c r="D634" s="47" t="s">
        <v>2036</v>
      </c>
      <c r="E634" s="48">
        <v>44524</v>
      </c>
      <c r="F634" s="49">
        <f t="shared" si="29"/>
        <v>0</v>
      </c>
      <c r="G634" s="77">
        <f>SUMIF(积分汇总!$B:$B,C633,积分汇总!$E:$E)</f>
        <v>0</v>
      </c>
      <c r="H634" s="77">
        <f>SUMIF(记录巡查问题条数汇总!$B:$B,C633,记录巡查问题条数汇总!$E:$E)</f>
        <v>0</v>
      </c>
      <c r="I634" s="77"/>
      <c r="J634" s="77">
        <f>SUMIF(安全质量事故!$B:$B,C633,安全质量事故!$G:$G)</f>
        <v>0</v>
      </c>
      <c r="K634" s="72">
        <f>COUNTIF(L634:AP634,标准数据!$A$2)*标准数据!$B$2+COUNTIF(L634:AP634,标准数据!$A$3)*标准数据!$B$3+COUNTIF(L634:AP634,标准数据!$A$4)*标准数据!$B$4</f>
        <v>0</v>
      </c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188"/>
      <c r="AQ634" s="90"/>
    </row>
    <row r="635" spans="1:48" ht="21" customHeight="1">
      <c r="A635" s="267" t="s">
        <v>2117</v>
      </c>
      <c r="B635" s="45" t="s">
        <v>14</v>
      </c>
      <c r="C635" s="46" t="s">
        <v>2037</v>
      </c>
      <c r="D635" s="47" t="s">
        <v>2038</v>
      </c>
      <c r="E635" s="48">
        <v>45483</v>
      </c>
      <c r="F635" s="49">
        <f t="shared" si="29"/>
        <v>0</v>
      </c>
      <c r="G635" s="77">
        <f>SUMIF(积分汇总!$B:$B,#REF!,积分汇总!$E:$E)</f>
        <v>0</v>
      </c>
      <c r="H635" s="77">
        <f>SUMIF(记录巡查问题条数汇总!$B:$B,#REF!,记录巡查问题条数汇总!$E:$E)</f>
        <v>0</v>
      </c>
      <c r="I635" s="77"/>
      <c r="J635" s="77">
        <f>SUMIF(安全质量事故!$B:$B,#REF!,安全质量事故!$G:$G)</f>
        <v>0</v>
      </c>
      <c r="K635" s="72">
        <f>COUNTIF(L635:AP635,标准数据!$A$2)*标准数据!$B$2+COUNTIF(L635:AP635,标准数据!$A$3)*标准数据!$B$3+COUNTIF(L635:AP635,标准数据!$A$4)*标准数据!$B$4</f>
        <v>0</v>
      </c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189"/>
      <c r="AQ635" s="55"/>
    </row>
    <row r="636" spans="1:48" ht="21" customHeight="1">
      <c r="A636" s="267" t="s">
        <v>2117</v>
      </c>
      <c r="B636" s="45" t="s">
        <v>14</v>
      </c>
      <c r="C636" s="46" t="s">
        <v>2039</v>
      </c>
      <c r="D636" s="47" t="s">
        <v>2040</v>
      </c>
      <c r="E636" s="48">
        <v>45476</v>
      </c>
      <c r="F636" s="49">
        <f t="shared" si="29"/>
        <v>0</v>
      </c>
      <c r="G636" s="77">
        <f>SUMIF(积分汇总!$B:$B,#REF!,积分汇总!$E:$E)</f>
        <v>0</v>
      </c>
      <c r="H636" s="77">
        <f>SUMIF(记录巡查问题条数汇总!$B:$B,#REF!,记录巡查问题条数汇总!$E:$E)</f>
        <v>0</v>
      </c>
      <c r="I636" s="77"/>
      <c r="J636" s="77">
        <f>SUMIF(安全质量事故!$B:$B,#REF!,安全质量事故!$G:$G)</f>
        <v>0</v>
      </c>
      <c r="K636" s="72">
        <f>COUNTIF(L636:AP636,标准数据!$A$2)*标准数据!$B$2+COUNTIF(L636:AP636,标准数据!$A$3)*标准数据!$B$3+COUNTIF(L636:AP636,标准数据!$A$4)*标准数据!$B$4</f>
        <v>0</v>
      </c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192"/>
      <c r="AQ636" s="90"/>
      <c r="AR636" s="41"/>
      <c r="AS636" s="41"/>
      <c r="AT636" s="41"/>
    </row>
    <row r="637" spans="1:48" ht="21" customHeight="1">
      <c r="A637" s="267" t="s">
        <v>2117</v>
      </c>
      <c r="B637" s="45" t="s">
        <v>14</v>
      </c>
      <c r="C637" s="46" t="s">
        <v>2041</v>
      </c>
      <c r="D637" s="47" t="s">
        <v>2042</v>
      </c>
      <c r="E637" s="48">
        <v>44118</v>
      </c>
      <c r="F637" s="49">
        <f t="shared" si="29"/>
        <v>0</v>
      </c>
      <c r="G637" s="77">
        <f>SUMIF(积分汇总!$B:$B,C636,积分汇总!$E:$E)</f>
        <v>0</v>
      </c>
      <c r="H637" s="77">
        <f>SUMIF(记录巡查问题条数汇总!$B:$B,C636,记录巡查问题条数汇总!$E:$E)</f>
        <v>0</v>
      </c>
      <c r="I637" s="77"/>
      <c r="J637" s="77">
        <f>SUMIF(安全质量事故!$B:$B,C636,安全质量事故!$G:$G)</f>
        <v>0</v>
      </c>
      <c r="K637" s="72">
        <f>COUNTIF(L637:AP637,标准数据!$A$2)*标准数据!$B$2+COUNTIF(L637:AP637,标准数据!$A$3)*标准数据!$B$3+COUNTIF(L637:AP637,标准数据!$A$4)*标准数据!$B$4</f>
        <v>0</v>
      </c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189"/>
      <c r="AQ637" s="55"/>
    </row>
    <row r="638" spans="1:48" ht="21" customHeight="1">
      <c r="A638" s="267" t="s">
        <v>2117</v>
      </c>
      <c r="B638" s="45" t="s">
        <v>14</v>
      </c>
      <c r="C638" s="46" t="s">
        <v>2043</v>
      </c>
      <c r="D638" s="47" t="s">
        <v>2044</v>
      </c>
      <c r="E638" s="48">
        <v>44118</v>
      </c>
      <c r="F638" s="49">
        <f t="shared" si="29"/>
        <v>0</v>
      </c>
      <c r="G638" s="77">
        <f>SUMIF(积分汇总!$B:$B,C637,积分汇总!$E:$E)</f>
        <v>0</v>
      </c>
      <c r="H638" s="77">
        <f>SUMIF(记录巡查问题条数汇总!$B:$B,C637,记录巡查问题条数汇总!$E:$E)</f>
        <v>0</v>
      </c>
      <c r="I638" s="77"/>
      <c r="J638" s="77">
        <f>SUMIF(安全质量事故!$B:$B,C637,安全质量事故!$G:$G)</f>
        <v>0</v>
      </c>
      <c r="K638" s="72">
        <f>COUNTIF(L638:AP638,标准数据!$A$2)*标准数据!$B$2+COUNTIF(L638:AP638,标准数据!$A$3)*标准数据!$B$3+COUNTIF(L638:AP638,标准数据!$A$4)*标准数据!$B$4</f>
        <v>0</v>
      </c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189"/>
      <c r="AQ638" s="55"/>
      <c r="AR638" s="41"/>
      <c r="AS638" s="41"/>
      <c r="AT638" s="41"/>
    </row>
    <row r="639" spans="1:48" ht="21" customHeight="1">
      <c r="A639" s="267" t="s">
        <v>2117</v>
      </c>
      <c r="B639" s="45" t="s">
        <v>14</v>
      </c>
      <c r="C639" s="47" t="s">
        <v>1296</v>
      </c>
      <c r="D639" s="52" t="s">
        <v>1747</v>
      </c>
      <c r="E639" s="46">
        <v>46208</v>
      </c>
      <c r="F639" s="49">
        <f t="shared" si="29"/>
        <v>0</v>
      </c>
      <c r="G639" s="77">
        <f>SUMIF(积分汇总!$B:$B,C638,积分汇总!$E:$E)</f>
        <v>0</v>
      </c>
      <c r="H639" s="77">
        <f>SUMIF(记录巡查问题条数汇总!$B:$B,C638,记录巡查问题条数汇总!$E:$E)</f>
        <v>0</v>
      </c>
      <c r="I639" s="77"/>
      <c r="J639" s="77">
        <f>SUMIF(安全质量事故!$B:$B,C638,安全质量事故!$G:$G)</f>
        <v>0</v>
      </c>
      <c r="K639" s="72">
        <f>COUNTIF(L639:AP639,标准数据!$A$2)*标准数据!$B$2+COUNTIF(L639:AP639,标准数据!$A$3)*标准数据!$B$3+COUNTIF(L639:AP639,标准数据!$A$4)*标准数据!$B$4</f>
        <v>0</v>
      </c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189"/>
      <c r="AQ639" s="55"/>
      <c r="AR639" s="41"/>
      <c r="AS639" s="41"/>
      <c r="AT639" s="41"/>
    </row>
    <row r="640" spans="1:48" ht="21" customHeight="1">
      <c r="A640" s="267" t="s">
        <v>2117</v>
      </c>
      <c r="B640" s="45" t="s">
        <v>14</v>
      </c>
      <c r="C640" s="47" t="s">
        <v>1748</v>
      </c>
      <c r="D640" s="52" t="s">
        <v>1749</v>
      </c>
      <c r="E640" s="46">
        <v>46208</v>
      </c>
      <c r="F640" s="49">
        <f t="shared" si="29"/>
        <v>0</v>
      </c>
      <c r="G640" s="77">
        <f>SUMIF(积分汇总!$B:$B,#REF!,积分汇总!$E:$E)</f>
        <v>0</v>
      </c>
      <c r="H640" s="77">
        <f>SUMIF(记录巡查问题条数汇总!$B:$B,#REF!,记录巡查问题条数汇总!$E:$E)</f>
        <v>0</v>
      </c>
      <c r="I640" s="77"/>
      <c r="J640" s="77">
        <f>SUMIF(安全质量事故!$B:$B,#REF!,安全质量事故!$G:$G)</f>
        <v>0</v>
      </c>
      <c r="K640" s="72">
        <f>COUNTIF(L640:AP640,标准数据!$A$2)*标准数据!$B$2+COUNTIF(L640:AP640,标准数据!$A$3)*标准数据!$B$3+COUNTIF(L640:AP640,标准数据!$A$4)*标准数据!$B$4</f>
        <v>0</v>
      </c>
      <c r="L640" s="90"/>
      <c r="M640" s="90"/>
      <c r="N640" s="90"/>
      <c r="O640" s="90"/>
      <c r="P640" s="90"/>
      <c r="Q640" s="90"/>
      <c r="R640" s="90"/>
      <c r="S640" s="90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189"/>
      <c r="AQ640" s="55"/>
    </row>
    <row r="641" spans="1:46" ht="21" customHeight="1">
      <c r="A641" s="267" t="s">
        <v>2117</v>
      </c>
      <c r="B641" s="45" t="s">
        <v>14</v>
      </c>
      <c r="C641" s="46" t="s">
        <v>1752</v>
      </c>
      <c r="D641" s="47" t="s">
        <v>1753</v>
      </c>
      <c r="E641" s="48">
        <v>46208</v>
      </c>
      <c r="F641" s="49">
        <f t="shared" si="29"/>
        <v>0</v>
      </c>
      <c r="G641" s="77">
        <f>SUMIF(积分汇总!$B:$B,C640,积分汇总!$E:$E)</f>
        <v>0</v>
      </c>
      <c r="H641" s="77">
        <f>SUMIF(记录巡查问题条数汇总!$B:$B,C640,记录巡查问题条数汇总!$E:$E)</f>
        <v>0</v>
      </c>
      <c r="I641" s="77"/>
      <c r="J641" s="77">
        <f>SUMIF(安全质量事故!$B:$B,C640,安全质量事故!$G:$G)</f>
        <v>0</v>
      </c>
      <c r="K641" s="72">
        <f>COUNTIF(L641:AP641,标准数据!$A$2)*标准数据!$B$2+COUNTIF(L641:AP641,标准数据!$A$3)*标准数据!$B$3+COUNTIF(L641:AP641,标准数据!$A$4)*标准数据!$B$4</f>
        <v>0</v>
      </c>
      <c r="L641" s="90"/>
      <c r="M641" s="90"/>
      <c r="N641" s="90"/>
      <c r="O641" s="90"/>
      <c r="P641" s="90"/>
      <c r="Q641" s="90"/>
      <c r="R641" s="90"/>
      <c r="S641" s="90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189"/>
      <c r="AQ641" s="55"/>
    </row>
    <row r="642" spans="1:46" ht="21" customHeight="1">
      <c r="A642" s="267" t="s">
        <v>2117</v>
      </c>
      <c r="B642" s="45" t="s">
        <v>14</v>
      </c>
      <c r="C642" s="46" t="s">
        <v>1754</v>
      </c>
      <c r="D642" s="47" t="s">
        <v>1755</v>
      </c>
      <c r="E642" s="48">
        <v>46197</v>
      </c>
      <c r="F642" s="49">
        <f t="shared" si="29"/>
        <v>0</v>
      </c>
      <c r="G642" s="77">
        <f>SUMIF(积分汇总!$B:$B,#REF!,积分汇总!$E:$E)</f>
        <v>0</v>
      </c>
      <c r="H642" s="77">
        <f>SUMIF(记录巡查问题条数汇总!$B:$B,#REF!,记录巡查问题条数汇总!$E:$E)</f>
        <v>0</v>
      </c>
      <c r="I642" s="77"/>
      <c r="J642" s="77">
        <f>SUMIF(安全质量事故!$B:$B,#REF!,安全质量事故!$G:$G)</f>
        <v>0</v>
      </c>
      <c r="K642" s="72">
        <f>COUNTIF(L642:AP642,标准数据!$A$2)*标准数据!$B$2+COUNTIF(L642:AP642,标准数据!$A$3)*标准数据!$B$3+COUNTIF(L642:AP642,标准数据!$A$4)*标准数据!$B$4</f>
        <v>0</v>
      </c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189"/>
      <c r="AQ642" s="55"/>
    </row>
    <row r="643" spans="1:46" ht="21" customHeight="1">
      <c r="A643" s="267" t="s">
        <v>2117</v>
      </c>
      <c r="B643" s="45" t="s">
        <v>14</v>
      </c>
      <c r="C643" s="46" t="s">
        <v>1756</v>
      </c>
      <c r="D643" s="47" t="s">
        <v>1757</v>
      </c>
      <c r="E643" s="48">
        <v>46208</v>
      </c>
      <c r="F643" s="49">
        <f t="shared" si="29"/>
        <v>0</v>
      </c>
      <c r="G643" s="77">
        <f>SUMIF(积分汇总!$B:$B,C642,积分汇总!$E:$E)</f>
        <v>0</v>
      </c>
      <c r="H643" s="77">
        <f>SUMIF(记录巡查问题条数汇总!$B:$B,C642,记录巡查问题条数汇总!$E:$E)</f>
        <v>0</v>
      </c>
      <c r="I643" s="77"/>
      <c r="J643" s="77">
        <f>SUMIF(安全质量事故!$B:$B,C642,安全质量事故!$G:$G)</f>
        <v>0</v>
      </c>
      <c r="K643" s="72">
        <f>COUNTIF(L643:AP643,标准数据!$A$2)*标准数据!$B$2+COUNTIF(L643:AP643,标准数据!$A$3)*标准数据!$B$3+COUNTIF(L643:AP643,标准数据!$A$4)*标准数据!$B$4</f>
        <v>0</v>
      </c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189"/>
      <c r="AQ643" s="55"/>
    </row>
    <row r="644" spans="1:46" ht="21" customHeight="1">
      <c r="A644" s="267" t="s">
        <v>2117</v>
      </c>
      <c r="B644" s="45" t="s">
        <v>14</v>
      </c>
      <c r="C644" s="46" t="s">
        <v>1758</v>
      </c>
      <c r="D644" s="47" t="s">
        <v>1759</v>
      </c>
      <c r="E644" s="48">
        <v>46197</v>
      </c>
      <c r="F644" s="49">
        <f t="shared" si="29"/>
        <v>0</v>
      </c>
      <c r="G644" s="77">
        <f>SUMIF(积分汇总!$B:$B,C643,积分汇总!$E:$E)</f>
        <v>0</v>
      </c>
      <c r="H644" s="77">
        <f>SUMIF(记录巡查问题条数汇总!$B:$B,C643,记录巡查问题条数汇总!$E:$E)</f>
        <v>0</v>
      </c>
      <c r="I644" s="77"/>
      <c r="J644" s="77">
        <f>SUMIF(安全质量事故!$B:$B,C643,安全质量事故!$G:$G)</f>
        <v>0</v>
      </c>
      <c r="K644" s="72">
        <f>COUNTIF(L644:AP644,标准数据!$A$2)*标准数据!$B$2+COUNTIF(L644:AP644,标准数据!$A$3)*标准数据!$B$3+COUNTIF(L644:AP644,标准数据!$A$4)*标准数据!$B$4</f>
        <v>0</v>
      </c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189"/>
      <c r="AQ644" s="55"/>
    </row>
    <row r="645" spans="1:46" ht="21" customHeight="1">
      <c r="A645" s="267" t="s">
        <v>2117</v>
      </c>
      <c r="B645" s="45" t="s">
        <v>14</v>
      </c>
      <c r="C645" s="47" t="s">
        <v>1760</v>
      </c>
      <c r="D645" s="52" t="s">
        <v>1761</v>
      </c>
      <c r="E645" s="46">
        <v>46208</v>
      </c>
      <c r="F645" s="49">
        <f t="shared" si="29"/>
        <v>0</v>
      </c>
      <c r="G645" s="77">
        <f>SUMIF(积分汇总!$B:$B,C644,积分汇总!$E:$E)</f>
        <v>0</v>
      </c>
      <c r="H645" s="77">
        <f>SUMIF(记录巡查问题条数汇总!$B:$B,C644,记录巡查问题条数汇总!$E:$E)</f>
        <v>0</v>
      </c>
      <c r="I645" s="77"/>
      <c r="J645" s="77">
        <f>SUMIF(安全质量事故!$B:$B,C644,安全质量事故!$G:$G)</f>
        <v>0</v>
      </c>
      <c r="K645" s="72">
        <f>COUNTIF(L645:AP645,标准数据!$A$2)*标准数据!$B$2+COUNTIF(L645:AP645,标准数据!$A$3)*标准数据!$B$3+COUNTIF(L645:AP645,标准数据!$A$4)*标准数据!$B$4</f>
        <v>0</v>
      </c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189"/>
      <c r="AQ645" s="55"/>
    </row>
    <row r="646" spans="1:46" ht="21" customHeight="1">
      <c r="A646" s="267" t="s">
        <v>2117</v>
      </c>
      <c r="B646" s="45" t="s">
        <v>14</v>
      </c>
      <c r="C646" s="47" t="s">
        <v>1762</v>
      </c>
      <c r="D646" s="52" t="s">
        <v>1763</v>
      </c>
      <c r="E646" s="46">
        <v>46208</v>
      </c>
      <c r="F646" s="49">
        <f t="shared" si="29"/>
        <v>0</v>
      </c>
      <c r="G646" s="77">
        <f>SUMIF(积分汇总!$B:$B,C645,积分汇总!$E:$E)</f>
        <v>0</v>
      </c>
      <c r="H646" s="77">
        <f>SUMIF(记录巡查问题条数汇总!$B:$B,C645,记录巡查问题条数汇总!$E:$E)</f>
        <v>0</v>
      </c>
      <c r="I646" s="77"/>
      <c r="J646" s="77">
        <f>SUMIF(安全质量事故!$B:$B,C645,安全质量事故!$G:$G)</f>
        <v>0</v>
      </c>
      <c r="K646" s="72">
        <f>COUNTIF(L646:AP646,标准数据!$A$2)*标准数据!$B$2+COUNTIF(L646:AP646,标准数据!$A$3)*标准数据!$B$3+COUNTIF(L646:AP646,标准数据!$A$4)*标准数据!$B$4</f>
        <v>0</v>
      </c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189"/>
      <c r="AQ646" s="55"/>
    </row>
    <row r="647" spans="1:46" ht="21" customHeight="1">
      <c r="A647" s="267" t="s">
        <v>2117</v>
      </c>
      <c r="B647" s="45" t="s">
        <v>87</v>
      </c>
      <c r="C647" s="46" t="s">
        <v>839</v>
      </c>
      <c r="D647" s="52" t="s">
        <v>800</v>
      </c>
      <c r="E647" s="46">
        <v>45469</v>
      </c>
      <c r="F647" s="49">
        <f t="shared" si="29"/>
        <v>0</v>
      </c>
      <c r="G647" s="77">
        <f>SUMIF(积分汇总!$B:$B,C646,积分汇总!$E:$E)</f>
        <v>0</v>
      </c>
      <c r="H647" s="77">
        <f>SUMIF(记录巡查问题条数汇总!$B:$B,C646,记录巡查问题条数汇总!$E:$E)</f>
        <v>0</v>
      </c>
      <c r="I647" s="77"/>
      <c r="J647" s="77">
        <f>SUMIF(安全质量事故!$B:$B,C646,安全质量事故!$G:$G)</f>
        <v>0</v>
      </c>
      <c r="K647" s="72">
        <f>COUNTIF(L647:AP647,标准数据!$A$2)*标准数据!$B$2+COUNTIF(L647:AP647,标准数据!$A$3)*标准数据!$B$3+COUNTIF(L647:AP647,标准数据!$A$4)*标准数据!$B$4</f>
        <v>0</v>
      </c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189"/>
      <c r="AQ647" s="55"/>
      <c r="AR647" s="41"/>
      <c r="AS647" s="41"/>
      <c r="AT647" s="41"/>
    </row>
    <row r="648" spans="1:46" ht="21" customHeight="1">
      <c r="A648" s="267" t="s">
        <v>2117</v>
      </c>
      <c r="B648" s="45" t="s">
        <v>146</v>
      </c>
      <c r="C648" s="46" t="s">
        <v>558</v>
      </c>
      <c r="D648" s="47" t="s">
        <v>533</v>
      </c>
      <c r="E648" s="48">
        <v>45868</v>
      </c>
      <c r="F648" s="49">
        <f t="shared" si="29"/>
        <v>0</v>
      </c>
      <c r="G648" s="77">
        <f>SUMIF(积分汇总!$B:$B,C646,积分汇总!$E:$E)</f>
        <v>0</v>
      </c>
      <c r="H648" s="77">
        <f>SUMIF(记录巡查问题条数汇总!$B:$B,C646,记录巡查问题条数汇总!$E:$E)</f>
        <v>0</v>
      </c>
      <c r="I648" s="77"/>
      <c r="J648" s="77">
        <f>SUMIF(安全质量事故!$B:$B,C646,安全质量事故!$G:$G)</f>
        <v>0</v>
      </c>
      <c r="K648" s="72">
        <f>COUNTIF(L648:AP648,标准数据!$A$2)*标准数据!$B$2+COUNTIF(L648:AP648,标准数据!$A$3)*标准数据!$B$3+COUNTIF(L648:AP648,标准数据!$A$4)*标准数据!$B$4</f>
        <v>0</v>
      </c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189"/>
      <c r="AQ648" s="55"/>
    </row>
    <row r="649" spans="1:46" ht="21" customHeight="1">
      <c r="A649" s="267" t="s">
        <v>2117</v>
      </c>
      <c r="B649" s="45" t="s">
        <v>129</v>
      </c>
      <c r="C649" s="46" t="s">
        <v>487</v>
      </c>
      <c r="D649" s="47" t="s">
        <v>455</v>
      </c>
      <c r="E649" s="48">
        <v>45847</v>
      </c>
      <c r="F649" s="49">
        <f t="shared" si="29"/>
        <v>0</v>
      </c>
      <c r="G649" s="77">
        <f>SUMIF(积分汇总!$B:$B,C648,积分汇总!$E:$E)</f>
        <v>0</v>
      </c>
      <c r="H649" s="77">
        <f>SUMIF(记录巡查问题条数汇总!$B:$B,C648,记录巡查问题条数汇总!$E:$E)</f>
        <v>0</v>
      </c>
      <c r="I649" s="77"/>
      <c r="J649" s="77">
        <f>SUMIF(安全质量事故!$B:$B,C648,安全质量事故!$G:$G)</f>
        <v>0</v>
      </c>
      <c r="K649" s="72">
        <f>COUNTIF(L649:AP649,标准数据!$A$2)*标准数据!$B$2+COUNTIF(L649:AP649,标准数据!$A$3)*标准数据!$B$3+COUNTIF(L649:AP649,标准数据!$A$4)*标准数据!$B$4</f>
        <v>0</v>
      </c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189"/>
      <c r="AQ649" s="55"/>
    </row>
    <row r="650" spans="1:46" ht="21" customHeight="1">
      <c r="A650" s="267" t="s">
        <v>2117</v>
      </c>
      <c r="B650" s="45" t="s">
        <v>129</v>
      </c>
      <c r="C650" s="46" t="s">
        <v>627</v>
      </c>
      <c r="D650" s="47" t="s">
        <v>592</v>
      </c>
      <c r="E650" s="48" t="s">
        <v>1038</v>
      </c>
      <c r="F650" s="49">
        <f t="shared" si="29"/>
        <v>0</v>
      </c>
      <c r="G650" s="77">
        <f>SUMIF(积分汇总!$B:$B,C649,积分汇总!$E:$E)</f>
        <v>0</v>
      </c>
      <c r="H650" s="77">
        <f>SUMIF(记录巡查问题条数汇总!$B:$B,C649,记录巡查问题条数汇总!$E:$E)</f>
        <v>0</v>
      </c>
      <c r="I650" s="77"/>
      <c r="J650" s="77">
        <f>SUMIF(安全质量事故!$B:$B,C649,安全质量事故!$G:$G)</f>
        <v>0</v>
      </c>
      <c r="K650" s="72">
        <f>COUNTIF(L650:AP650,标准数据!$A$2)*标准数据!$B$2+COUNTIF(L650:AP650,标准数据!$A$3)*标准数据!$B$3+COUNTIF(L650:AP650,标准数据!$A$4)*标准数据!$B$4</f>
        <v>0</v>
      </c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189"/>
      <c r="AQ650" s="55"/>
    </row>
    <row r="651" spans="1:46" ht="21" customHeight="1">
      <c r="A651" s="267" t="s">
        <v>2117</v>
      </c>
      <c r="B651" s="45" t="s">
        <v>129</v>
      </c>
      <c r="C651" s="46" t="s">
        <v>736</v>
      </c>
      <c r="D651" s="47" t="s">
        <v>700</v>
      </c>
      <c r="E651" s="48">
        <v>45940</v>
      </c>
      <c r="F651" s="49">
        <f t="shared" si="29"/>
        <v>0</v>
      </c>
      <c r="G651" s="77">
        <f>SUMIF(积分汇总!$B:$B,C650,积分汇总!$E:$E)</f>
        <v>0</v>
      </c>
      <c r="H651" s="77">
        <f>SUMIF(记录巡查问题条数汇总!$B:$B,C650,记录巡查问题条数汇总!$E:$E)</f>
        <v>0</v>
      </c>
      <c r="I651" s="77"/>
      <c r="J651" s="77">
        <f>SUMIF(安全质量事故!$B:$B,C650,安全质量事故!$G:$G)</f>
        <v>0</v>
      </c>
      <c r="K651" s="72">
        <f>COUNTIF(L651:AP651,标准数据!$A$2)*标准数据!$B$2+COUNTIF(L651:AP651,标准数据!$A$3)*标准数据!$B$3+COUNTIF(L651:AP651,标准数据!$A$4)*标准数据!$B$4</f>
        <v>0</v>
      </c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189"/>
      <c r="AQ651" s="55"/>
    </row>
    <row r="652" spans="1:46" ht="21" customHeight="1">
      <c r="A652" s="267" t="s">
        <v>2117</v>
      </c>
      <c r="B652" s="45" t="s">
        <v>129</v>
      </c>
      <c r="C652" s="46" t="s">
        <v>1802</v>
      </c>
      <c r="D652" s="47" t="s">
        <v>1803</v>
      </c>
      <c r="E652" s="48">
        <v>46197</v>
      </c>
      <c r="F652" s="49">
        <f t="shared" si="29"/>
        <v>0</v>
      </c>
      <c r="G652" s="77">
        <f>SUMIF(积分汇总!$B:$B,C651,积分汇总!$E:$E)</f>
        <v>0</v>
      </c>
      <c r="H652" s="77">
        <f>SUMIF(记录巡查问题条数汇总!$B:$B,C651,记录巡查问题条数汇总!$E:$E)</f>
        <v>0</v>
      </c>
      <c r="I652" s="77"/>
      <c r="J652" s="77">
        <f>SUMIF(安全质量事故!$B:$B,C651,安全质量事故!$G:$G)</f>
        <v>0</v>
      </c>
      <c r="K652" s="72">
        <f>COUNTIF(L652:AP652,标准数据!$A$2)*标准数据!$B$2+COUNTIF(L652:AP652,标准数据!$A$3)*标准数据!$B$3+COUNTIF(L652:AP652,标准数据!$A$4)*标准数据!$B$4</f>
        <v>0</v>
      </c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189"/>
      <c r="AQ652" s="55"/>
    </row>
    <row r="653" spans="1:46" ht="21" customHeight="1">
      <c r="A653" s="267" t="s">
        <v>2117</v>
      </c>
      <c r="B653" s="45" t="s">
        <v>129</v>
      </c>
      <c r="C653" s="46" t="s">
        <v>1216</v>
      </c>
      <c r="D653" s="47" t="s">
        <v>1217</v>
      </c>
      <c r="E653" s="48">
        <v>45994</v>
      </c>
      <c r="F653" s="49">
        <f t="shared" si="29"/>
        <v>0</v>
      </c>
      <c r="G653" s="77">
        <f>SUMIF(积分汇总!$B:$B,C652,积分汇总!$E:$E)</f>
        <v>0</v>
      </c>
      <c r="H653" s="77">
        <f>SUMIF(记录巡查问题条数汇总!$B:$B,C652,记录巡查问题条数汇总!$E:$E)</f>
        <v>0</v>
      </c>
      <c r="I653" s="77"/>
      <c r="J653" s="77">
        <f>SUMIF(安全质量事故!$B:$B,C652,安全质量事故!$G:$G)</f>
        <v>0</v>
      </c>
      <c r="K653" s="72">
        <f>COUNTIF(L653:AP653,标准数据!$A$2)*标准数据!$B$2+COUNTIF(L653:AP653,标准数据!$A$3)*标准数据!$B$3+COUNTIF(L653:AP653,标准数据!$A$4)*标准数据!$B$4</f>
        <v>0</v>
      </c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189"/>
      <c r="AQ653" s="55"/>
    </row>
    <row r="654" spans="1:46" ht="21" customHeight="1">
      <c r="A654" s="267" t="s">
        <v>2117</v>
      </c>
      <c r="B654" s="45" t="s">
        <v>146</v>
      </c>
      <c r="C654" s="46" t="s">
        <v>2055</v>
      </c>
      <c r="D654" s="47" t="s">
        <v>2056</v>
      </c>
      <c r="E654" s="48">
        <v>46225</v>
      </c>
      <c r="F654" s="49">
        <f t="shared" si="29"/>
        <v>0</v>
      </c>
      <c r="G654" s="77">
        <f>SUMIF(积分汇总!$B:$B,C653,积分汇总!$E:$E)</f>
        <v>0</v>
      </c>
      <c r="H654" s="77">
        <f>SUMIF(记录巡查问题条数汇总!$B:$B,C653,记录巡查问题条数汇总!$E:$E)</f>
        <v>0</v>
      </c>
      <c r="I654" s="77"/>
      <c r="J654" s="77">
        <f>SUMIF(安全质量事故!$B:$B,C653,安全质量事故!$G:$G)</f>
        <v>0</v>
      </c>
      <c r="K654" s="72">
        <f>COUNTIF(L654:AP654,标准数据!$A$2)*标准数据!$B$2+COUNTIF(L654:AP654,标准数据!$A$3)*标准数据!$B$3+COUNTIF(L654:AP654,标准数据!$A$4)*标准数据!$B$4</f>
        <v>0</v>
      </c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189"/>
      <c r="AQ654" s="55"/>
    </row>
    <row r="655" spans="1:46" ht="21" customHeight="1">
      <c r="A655" s="267" t="s">
        <v>2117</v>
      </c>
      <c r="B655" s="45" t="s">
        <v>146</v>
      </c>
      <c r="C655" s="46" t="s">
        <v>2061</v>
      </c>
      <c r="D655" s="47" t="s">
        <v>2062</v>
      </c>
      <c r="E655" s="48">
        <v>45236</v>
      </c>
      <c r="F655" s="49">
        <f t="shared" si="29"/>
        <v>0</v>
      </c>
      <c r="G655" s="77">
        <f>SUMIF(积分汇总!$B:$B,C654,积分汇总!$E:$E)</f>
        <v>0</v>
      </c>
      <c r="H655" s="77">
        <f>SUMIF(记录巡查问题条数汇总!$B:$B,C654,记录巡查问题条数汇总!$E:$E)</f>
        <v>0</v>
      </c>
      <c r="I655" s="77"/>
      <c r="J655" s="77">
        <f>SUMIF(安全质量事故!$B:$B,C654,安全质量事故!$G:$G)</f>
        <v>0</v>
      </c>
      <c r="K655" s="72">
        <f>COUNTIF(L655:AP655,标准数据!$A$2)*标准数据!$B$2+COUNTIF(L655:AP655,标准数据!$A$3)*标准数据!$B$3+COUNTIF(L655:AP655,标准数据!$A$4)*标准数据!$B$4</f>
        <v>0</v>
      </c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189"/>
      <c r="AQ655" s="55"/>
    </row>
    <row r="656" spans="1:46" ht="21" customHeight="1">
      <c r="A656" s="267" t="s">
        <v>2117</v>
      </c>
      <c r="B656" s="45" t="s">
        <v>146</v>
      </c>
      <c r="C656" s="46" t="s">
        <v>2065</v>
      </c>
      <c r="D656" s="47" t="s">
        <v>2066</v>
      </c>
      <c r="E656" s="48">
        <v>45455</v>
      </c>
      <c r="F656" s="49">
        <f t="shared" si="29"/>
        <v>0</v>
      </c>
      <c r="G656" s="77">
        <f>SUMIF(积分汇总!$B:$B,C655,积分汇总!$E:$E)</f>
        <v>0</v>
      </c>
      <c r="H656" s="77">
        <f>SUMIF(记录巡查问题条数汇总!$B:$B,C655,记录巡查问题条数汇总!$E:$E)</f>
        <v>0</v>
      </c>
      <c r="I656" s="77"/>
      <c r="J656" s="77">
        <f>SUMIF(安全质量事故!$B:$B,C655,安全质量事故!$G:$G)</f>
        <v>0</v>
      </c>
      <c r="K656" s="72">
        <f>COUNTIF(L656:AP656,标准数据!$A$2)*标准数据!$B$2+COUNTIF(L656:AP656,标准数据!$A$3)*标准数据!$B$3+COUNTIF(L656:AP656,标准数据!$A$4)*标准数据!$B$4</f>
        <v>0</v>
      </c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189"/>
      <c r="AQ656" s="55"/>
      <c r="AR656" s="41"/>
      <c r="AS656" s="41"/>
      <c r="AT656" s="41"/>
    </row>
    <row r="657" spans="1:46" ht="21" customHeight="1">
      <c r="A657" s="267" t="s">
        <v>2117</v>
      </c>
      <c r="B657" s="45" t="s">
        <v>14</v>
      </c>
      <c r="C657" s="46" t="s">
        <v>1750</v>
      </c>
      <c r="D657" s="47" t="s">
        <v>1751</v>
      </c>
      <c r="E657" s="48">
        <v>46197</v>
      </c>
      <c r="F657" s="49">
        <f t="shared" si="29"/>
        <v>0</v>
      </c>
      <c r="G657" s="77">
        <f>SUMIF(积分汇总!$B:$B,C656,积分汇总!$E:$E)</f>
        <v>0</v>
      </c>
      <c r="H657" s="77">
        <f>SUMIF(记录巡查问题条数汇总!$B:$B,C656,记录巡查问题条数汇总!$E:$E)</f>
        <v>0</v>
      </c>
      <c r="I657" s="77"/>
      <c r="J657" s="77">
        <f>SUMIF(安全质量事故!$B:$B,C656,安全质量事故!$G:$G)</f>
        <v>0</v>
      </c>
      <c r="K657" s="72">
        <f>COUNTIF(L657:AP657,标准数据!$A$2)*标准数据!$B$2+COUNTIF(L657:AP657,标准数据!$A$3)*标准数据!$B$3+COUNTIF(L657:AP657,标准数据!$A$4)*标准数据!$B$4</f>
        <v>0</v>
      </c>
      <c r="L657" s="90"/>
      <c r="M657" s="90"/>
      <c r="N657" s="90"/>
      <c r="O657" s="90"/>
      <c r="P657" s="90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189"/>
      <c r="AQ657" s="55"/>
    </row>
    <row r="658" spans="1:46" ht="21" customHeight="1">
      <c r="A658" s="267" t="s">
        <v>2117</v>
      </c>
      <c r="B658" s="45" t="s">
        <v>14</v>
      </c>
      <c r="C658" s="46" t="s">
        <v>1319</v>
      </c>
      <c r="D658" s="47" t="s">
        <v>1320</v>
      </c>
      <c r="E658" s="48">
        <v>46134</v>
      </c>
      <c r="F658" s="49">
        <f t="shared" si="29"/>
        <v>0</v>
      </c>
      <c r="G658" s="77">
        <f>SUMIF(积分汇总!$B:$B,C657,积分汇总!$E:$E)</f>
        <v>0</v>
      </c>
      <c r="H658" s="77">
        <f>SUMIF(记录巡查问题条数汇总!$B:$B,C657,记录巡查问题条数汇总!$E:$E)</f>
        <v>0</v>
      </c>
      <c r="I658" s="77"/>
      <c r="J658" s="77">
        <f>SUMIF(安全质量事故!$B:$B,C657,安全质量事故!$G:$G)</f>
        <v>0</v>
      </c>
      <c r="K658" s="72">
        <f>COUNTIF(L658:AP658,标准数据!$A$2)*标准数据!$B$2+COUNTIF(L658:AP658,标准数据!$A$3)*标准数据!$B$3+COUNTIF(L658:AP658,标准数据!$A$4)*标准数据!$B$4</f>
        <v>0</v>
      </c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189"/>
      <c r="AQ658" s="55"/>
      <c r="AR658" s="195"/>
    </row>
    <row r="659" spans="1:46" ht="21" customHeight="1">
      <c r="A659" s="267" t="s">
        <v>2117</v>
      </c>
      <c r="B659" s="45" t="s">
        <v>14</v>
      </c>
      <c r="C659" s="47" t="s">
        <v>1321</v>
      </c>
      <c r="D659" s="52" t="s">
        <v>1322</v>
      </c>
      <c r="E659" s="46">
        <v>46134</v>
      </c>
      <c r="F659" s="49">
        <f t="shared" si="29"/>
        <v>0</v>
      </c>
      <c r="G659" s="77">
        <f>SUMIF(积分汇总!$B:$B,C658,积分汇总!$E:$E)</f>
        <v>0</v>
      </c>
      <c r="H659" s="77">
        <f>SUMIF(记录巡查问题条数汇总!$B:$B,C658,记录巡查问题条数汇总!$E:$E)</f>
        <v>0</v>
      </c>
      <c r="I659" s="77"/>
      <c r="J659" s="77">
        <f>SUMIF(安全质量事故!$B:$B,C658,安全质量事故!$G:$G)</f>
        <v>0</v>
      </c>
      <c r="K659" s="72">
        <f>COUNTIF(L659:AP659,标准数据!$A$2)*标准数据!$B$2+COUNTIF(L659:AP659,标准数据!$A$3)*标准数据!$B$3+COUNTIF(L659:AP659,标准数据!$A$4)*标准数据!$B$4</f>
        <v>0</v>
      </c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189"/>
      <c r="AQ659" s="55"/>
    </row>
    <row r="660" spans="1:46" ht="21" customHeight="1">
      <c r="A660" s="227" t="s">
        <v>2118</v>
      </c>
      <c r="B660" s="45" t="s">
        <v>81</v>
      </c>
      <c r="C660" s="46" t="s">
        <v>1786</v>
      </c>
      <c r="D660" s="47" t="s">
        <v>1787</v>
      </c>
      <c r="E660" s="48">
        <v>46206</v>
      </c>
      <c r="F660" s="49">
        <f t="shared" si="29"/>
        <v>0</v>
      </c>
      <c r="G660" s="77">
        <f>SUMIF(积分汇总!$B:$B,C659,积分汇总!$E:$E)</f>
        <v>0</v>
      </c>
      <c r="H660" s="77">
        <f>SUMIF(记录巡查问题条数汇总!$B:$B,C659,记录巡查问题条数汇总!$E:$E)</f>
        <v>0</v>
      </c>
      <c r="I660" s="77"/>
      <c r="J660" s="77">
        <f>SUMIF(安全质量事故!$B:$B,C659,安全质量事故!$G:$G)</f>
        <v>0</v>
      </c>
      <c r="K660" s="72">
        <f>COUNTIF(L660:AP660,标准数据!$A$2)*标准数据!$B$2+COUNTIF(L660:AP660,标准数据!$A$3)*标准数据!$B$3+COUNTIF(L660:AP660,标准数据!$A$4)*标准数据!$B$4</f>
        <v>0</v>
      </c>
      <c r="L660" s="90"/>
      <c r="M660" s="90"/>
      <c r="N660" s="90"/>
      <c r="O660" s="90"/>
      <c r="P660" s="90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189"/>
      <c r="AQ660" s="55"/>
      <c r="AR660" s="196"/>
    </row>
    <row r="661" spans="1:46" ht="21" customHeight="1">
      <c r="A661" s="227" t="s">
        <v>2118</v>
      </c>
      <c r="B661" s="45" t="s">
        <v>14</v>
      </c>
      <c r="C661" s="46" t="s">
        <v>729</v>
      </c>
      <c r="D661" s="47" t="s">
        <v>695</v>
      </c>
      <c r="E661" s="48">
        <v>45966</v>
      </c>
      <c r="F661" s="49">
        <f t="shared" si="29"/>
        <v>0</v>
      </c>
      <c r="G661" s="77">
        <f>SUMIF(积分汇总!$B:$B,C660,积分汇总!$E:$E)</f>
        <v>0</v>
      </c>
      <c r="H661" s="77">
        <f>SUMIF(记录巡查问题条数汇总!$B:$B,C660,记录巡查问题条数汇总!$E:$E)</f>
        <v>0</v>
      </c>
      <c r="I661" s="77"/>
      <c r="J661" s="77">
        <f>SUMIF(安全质量事故!$B:$B,C660,安全质量事故!$G:$G)</f>
        <v>0</v>
      </c>
      <c r="K661" s="72">
        <f>COUNTIF(L661:AP661,标准数据!$A$2)*标准数据!$B$2+COUNTIF(L661:AP661,标准数据!$A$3)*标准数据!$B$3+COUNTIF(L661:AP661,标准数据!$A$4)*标准数据!$B$4</f>
        <v>0</v>
      </c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189"/>
      <c r="AQ661" s="55"/>
      <c r="AR661" s="196"/>
    </row>
    <row r="662" spans="1:46" ht="21" customHeight="1">
      <c r="A662" s="227" t="s">
        <v>2118</v>
      </c>
      <c r="B662" s="45" t="s">
        <v>14</v>
      </c>
      <c r="C662" s="46" t="s">
        <v>1187</v>
      </c>
      <c r="D662" s="47" t="s">
        <v>1188</v>
      </c>
      <c r="E662" s="48">
        <v>46127</v>
      </c>
      <c r="F662" s="49">
        <f t="shared" si="29"/>
        <v>0</v>
      </c>
      <c r="G662" s="77">
        <f>SUMIF(积分汇总!$B:$B,C661,积分汇总!$E:$E)</f>
        <v>0</v>
      </c>
      <c r="H662" s="77">
        <f>SUMIF(记录巡查问题条数汇总!$B:$B,C661,记录巡查问题条数汇总!$E:$E)</f>
        <v>0</v>
      </c>
      <c r="I662" s="77"/>
      <c r="J662" s="77">
        <f>SUMIF(安全质量事故!$B:$B,C661,安全质量事故!$G:$G)</f>
        <v>0</v>
      </c>
      <c r="K662" s="72">
        <f>COUNTIF(L662:AP662,标准数据!$A$2)*标准数据!$B$2+COUNTIF(L662:AP662,标准数据!$A$3)*标准数据!$B$3+COUNTIF(L662:AP662,标准数据!$A$4)*标准数据!$B$4</f>
        <v>0</v>
      </c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189"/>
      <c r="AQ662" s="55"/>
    </row>
    <row r="663" spans="1:46" ht="21" customHeight="1">
      <c r="A663" s="227" t="s">
        <v>2118</v>
      </c>
      <c r="B663" s="45" t="s">
        <v>87</v>
      </c>
      <c r="C663" s="46" t="s">
        <v>319</v>
      </c>
      <c r="D663" s="47" t="s">
        <v>305</v>
      </c>
      <c r="E663" s="48">
        <v>45607</v>
      </c>
      <c r="F663" s="49">
        <f t="shared" ref="F663:F708" si="32">(K663+G663+H663+I663-J663)</f>
        <v>0</v>
      </c>
      <c r="G663" s="77">
        <f>SUMIF(积分汇总!$B:$B,C662,积分汇总!$E:$E)</f>
        <v>0</v>
      </c>
      <c r="H663" s="77">
        <f>SUMIF(记录巡查问题条数汇总!$B:$B,C662,记录巡查问题条数汇总!$E:$E)</f>
        <v>0</v>
      </c>
      <c r="I663" s="77"/>
      <c r="J663" s="77">
        <f>SUMIF(安全质量事故!$B:$B,C662,安全质量事故!$G:$G)</f>
        <v>0</v>
      </c>
      <c r="K663" s="72">
        <f>COUNTIF(L663:AP663,标准数据!$A$2)*标准数据!$B$2+COUNTIF(L663:AP663,标准数据!$A$3)*标准数据!$B$3+COUNTIF(L663:AP663,标准数据!$A$4)*标准数据!$B$4</f>
        <v>0</v>
      </c>
      <c r="L663" s="90"/>
      <c r="M663" s="90"/>
      <c r="N663" s="90"/>
      <c r="O663" s="90"/>
      <c r="P663" s="90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189"/>
      <c r="AQ663" s="55"/>
    </row>
    <row r="664" spans="1:46" ht="21" customHeight="1">
      <c r="A664" s="227" t="s">
        <v>2118</v>
      </c>
      <c r="B664" s="45" t="s">
        <v>14</v>
      </c>
      <c r="C664" s="46" t="s">
        <v>555</v>
      </c>
      <c r="D664" s="47" t="s">
        <v>530</v>
      </c>
      <c r="E664" s="48">
        <v>45882</v>
      </c>
      <c r="F664" s="49">
        <f t="shared" si="32"/>
        <v>0</v>
      </c>
      <c r="G664" s="77">
        <f>SUMIF(积分汇总!$B:$B,C663,积分汇总!$E:$E)</f>
        <v>0</v>
      </c>
      <c r="H664" s="77">
        <f>SUMIF(记录巡查问题条数汇总!$B:$B,C663,记录巡查问题条数汇总!$E:$E)</f>
        <v>0</v>
      </c>
      <c r="I664" s="77"/>
      <c r="J664" s="77">
        <f>SUMIF(安全质量事故!$B:$B,C663,安全质量事故!$G:$G)</f>
        <v>0</v>
      </c>
      <c r="K664" s="72">
        <f>COUNTIF(L664:AP664,标准数据!$A$2)*标准数据!$B$2+COUNTIF(L664:AP664,标准数据!$A$3)*标准数据!$B$3+COUNTIF(L664:AP664,标准数据!$A$4)*标准数据!$B$4</f>
        <v>0</v>
      </c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189"/>
      <c r="AQ664" s="55"/>
      <c r="AR664" s="195"/>
    </row>
    <row r="665" spans="1:46" ht="21" customHeight="1">
      <c r="A665" s="267" t="s">
        <v>2121</v>
      </c>
      <c r="B665" s="45" t="s">
        <v>81</v>
      </c>
      <c r="C665" s="46" t="s">
        <v>853</v>
      </c>
      <c r="D665" s="47" t="s">
        <v>812</v>
      </c>
      <c r="E665" s="48">
        <v>46001</v>
      </c>
      <c r="F665" s="49">
        <f t="shared" si="32"/>
        <v>0</v>
      </c>
      <c r="G665" s="77">
        <f>SUMIF(积分汇总!$B:$B,#REF!,积分汇总!$E:$E)</f>
        <v>0</v>
      </c>
      <c r="H665" s="77">
        <f>SUMIF(记录巡查问题条数汇总!$B:$B,#REF!,记录巡查问题条数汇总!$E:$E)</f>
        <v>0</v>
      </c>
      <c r="I665" s="77"/>
      <c r="J665" s="77">
        <f>SUMIF(安全质量事故!$B:$B,#REF!,安全质量事故!$G:$G)</f>
        <v>0</v>
      </c>
      <c r="K665" s="72">
        <f>COUNTIF(L665:AP665,标准数据!$A$2)*标准数据!$B$2+COUNTIF(L665:AP665,标准数据!$A$3)*标准数据!$B$3+COUNTIF(L665:AP665,标准数据!$A$4)*标准数据!$B$4</f>
        <v>0</v>
      </c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192"/>
      <c r="AQ665" s="90"/>
      <c r="AR665" s="285" t="s">
        <v>1039</v>
      </c>
      <c r="AS665" s="285"/>
      <c r="AT665" s="283"/>
    </row>
    <row r="666" spans="1:46" ht="21" customHeight="1">
      <c r="A666" s="267" t="s">
        <v>2121</v>
      </c>
      <c r="B666" s="45" t="s">
        <v>81</v>
      </c>
      <c r="C666" s="46" t="s">
        <v>1242</v>
      </c>
      <c r="D666" s="47" t="s">
        <v>1243</v>
      </c>
      <c r="E666" s="48">
        <v>46120</v>
      </c>
      <c r="F666" s="49">
        <f t="shared" si="32"/>
        <v>0</v>
      </c>
      <c r="G666" s="77">
        <f>SUMIF(积分汇总!$B:$B,C665,积分汇总!$E:$E)</f>
        <v>0</v>
      </c>
      <c r="H666" s="77">
        <f>SUMIF(记录巡查问题条数汇总!$B:$B,C665,记录巡查问题条数汇总!$E:$E)</f>
        <v>0</v>
      </c>
      <c r="I666" s="77"/>
      <c r="J666" s="77">
        <f>SUMIF(安全质量事故!$B:$B,C665,安全质量事故!$G:$G)</f>
        <v>0</v>
      </c>
      <c r="K666" s="72">
        <f>COUNTIF(L666:AP666,标准数据!$A$2)*标准数据!$B$2+COUNTIF(L666:AP666,标准数据!$A$3)*标准数据!$B$3+COUNTIF(L666:AP666,标准数据!$A$4)*标准数据!$B$4</f>
        <v>0</v>
      </c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192"/>
      <c r="AQ666" s="90"/>
      <c r="AR666" s="43" t="s">
        <v>1031</v>
      </c>
      <c r="AS666" s="44" t="s">
        <v>1027</v>
      </c>
      <c r="AT666" s="44" t="s">
        <v>1037</v>
      </c>
    </row>
    <row r="667" spans="1:46" ht="21" customHeight="1">
      <c r="A667" s="267" t="s">
        <v>2121</v>
      </c>
      <c r="B667" s="45" t="s">
        <v>13</v>
      </c>
      <c r="C667" s="46" t="s">
        <v>1546</v>
      </c>
      <c r="D667" s="47" t="s">
        <v>1547</v>
      </c>
      <c r="E667" s="48">
        <v>46188</v>
      </c>
      <c r="F667" s="49">
        <f t="shared" si="32"/>
        <v>0</v>
      </c>
      <c r="G667" s="77">
        <f>SUMIF(积分汇总!$B:$B,C666,积分汇总!$E:$E)</f>
        <v>0</v>
      </c>
      <c r="H667" s="77">
        <f>SUMIF(记录巡查问题条数汇总!$B:$B,C666,记录巡查问题条数汇总!$E:$E)</f>
        <v>0</v>
      </c>
      <c r="I667" s="77"/>
      <c r="J667" s="77">
        <f>SUMIF(安全质量事故!$B:$B,C666,安全质量事故!$G:$G)</f>
        <v>0</v>
      </c>
      <c r="K667" s="72">
        <f>COUNTIF(L667:AP667,标准数据!$A$2)*标准数据!$B$2+COUNTIF(L667:AP667,标准数据!$A$3)*标准数据!$B$3+COUNTIF(L667:AP667,标准数据!$A$4)*标准数据!$B$4</f>
        <v>0</v>
      </c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192"/>
      <c r="AQ667" s="90"/>
      <c r="AR667" s="64">
        <f>COUNTIF($L$665:$AP$781,"a")</f>
        <v>0</v>
      </c>
      <c r="AS667" s="64">
        <f>COUNTIF($L$665:$AP$781,"b")</f>
        <v>0</v>
      </c>
      <c r="AT667" s="64">
        <f>COUNTIF($L$665:$AP$781,"c")</f>
        <v>0</v>
      </c>
    </row>
    <row r="668" spans="1:46" ht="21" customHeight="1">
      <c r="A668" s="267" t="s">
        <v>2121</v>
      </c>
      <c r="B668" s="45" t="s">
        <v>13</v>
      </c>
      <c r="C668" s="46" t="s">
        <v>2071</v>
      </c>
      <c r="D668" s="47" t="s">
        <v>2072</v>
      </c>
      <c r="E668" s="48">
        <v>46232</v>
      </c>
      <c r="F668" s="49">
        <f t="shared" si="32"/>
        <v>0</v>
      </c>
      <c r="G668" s="77">
        <f>SUMIF(积分汇总!$B:$B,C667,积分汇总!$E:$E)</f>
        <v>0</v>
      </c>
      <c r="H668" s="77">
        <f>SUMIF(记录巡查问题条数汇总!$B:$B,C667,记录巡查问题条数汇总!$E:$E)</f>
        <v>0</v>
      </c>
      <c r="I668" s="77"/>
      <c r="J668" s="77">
        <f>SUMIF(安全质量事故!$B:$B,C667,安全质量事故!$G:$G)</f>
        <v>0</v>
      </c>
      <c r="K668" s="72">
        <f>COUNTIF(L668:AP668,标准数据!$A$2)*标准数据!$B$2+COUNTIF(L668:AP668,标准数据!$A$3)*标准数据!$B$3+COUNTIF(L668:AP668,标准数据!$A$4)*标准数据!$B$4</f>
        <v>0</v>
      </c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192"/>
      <c r="AQ668" s="90"/>
      <c r="AR668" s="50" t="e">
        <f>AR667/($AR$667+$AS$667+$AT$667)</f>
        <v>#DIV/0!</v>
      </c>
      <c r="AS668" s="60" t="e">
        <f>AS667/($AR$667+$AS$667+$AT$667)</f>
        <v>#DIV/0!</v>
      </c>
      <c r="AT668" s="60" t="e">
        <f>AT667/($AR$667+$AS$667+$AT$667)</f>
        <v>#DIV/0!</v>
      </c>
    </row>
    <row r="669" spans="1:46" ht="21" customHeight="1">
      <c r="A669" s="267" t="s">
        <v>2121</v>
      </c>
      <c r="B669" s="45" t="s">
        <v>2073</v>
      </c>
      <c r="C669" s="46" t="s">
        <v>161</v>
      </c>
      <c r="D669" s="47" t="s">
        <v>68</v>
      </c>
      <c r="E669" s="48">
        <v>44755</v>
      </c>
      <c r="F669" s="49">
        <f t="shared" si="32"/>
        <v>0</v>
      </c>
      <c r="G669" s="77">
        <f>SUMIF(积分汇总!$B:$B,C668,积分汇总!$E:$E)</f>
        <v>0</v>
      </c>
      <c r="H669" s="77">
        <f>SUMIF(记录巡查问题条数汇总!$B:$B,C668,记录巡查问题条数汇总!$E:$E)</f>
        <v>0</v>
      </c>
      <c r="I669" s="77"/>
      <c r="J669" s="77">
        <f>SUMIF(安全质量事故!$B:$B,C668,安全质量事故!$G:$G)</f>
        <v>0</v>
      </c>
      <c r="K669" s="72">
        <f>COUNTIF(L669:AP669,标准数据!$A$2)*标准数据!$B$2+COUNTIF(L669:AP669,标准数据!$A$3)*标准数据!$B$3+COUNTIF(L669:AP669,标准数据!$A$4)*标准数据!$B$4</f>
        <v>0</v>
      </c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188"/>
      <c r="AQ669" s="90"/>
      <c r="AR669" s="41"/>
      <c r="AS669" s="41"/>
      <c r="AT669" s="41"/>
    </row>
    <row r="670" spans="1:46" ht="21" customHeight="1">
      <c r="A670" s="267" t="s">
        <v>2121</v>
      </c>
      <c r="B670" s="45" t="s">
        <v>14</v>
      </c>
      <c r="C670" s="46" t="s">
        <v>162</v>
      </c>
      <c r="D670" s="47" t="s">
        <v>72</v>
      </c>
      <c r="E670" s="48">
        <v>44755</v>
      </c>
      <c r="F670" s="49">
        <f t="shared" si="32"/>
        <v>0</v>
      </c>
      <c r="G670" s="77">
        <f>SUMIF(积分汇总!$B:$B,#REF!,积分汇总!$E:$E)</f>
        <v>0</v>
      </c>
      <c r="H670" s="77">
        <f>SUMIF(记录巡查问题条数汇总!$B:$B,#REF!,记录巡查问题条数汇总!$E:$E)</f>
        <v>0</v>
      </c>
      <c r="I670" s="77"/>
      <c r="J670" s="77">
        <f>SUMIF(安全质量事故!$B:$B,#REF!,安全质量事故!$G:$G)</f>
        <v>0</v>
      </c>
      <c r="K670" s="72">
        <f>COUNTIF(L670:AP670,标准数据!$A$2)*标准数据!$B$2+COUNTIF(L670:AP670,标准数据!$A$3)*标准数据!$B$3+COUNTIF(L670:AP670,标准数据!$A$4)*标准数据!$B$4</f>
        <v>0</v>
      </c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188"/>
      <c r="AQ670" s="90"/>
      <c r="AR670" s="41"/>
      <c r="AS670" s="41"/>
      <c r="AT670" s="41"/>
    </row>
    <row r="671" spans="1:46" ht="21" customHeight="1">
      <c r="A671" s="267" t="s">
        <v>2121</v>
      </c>
      <c r="B671" s="45" t="s">
        <v>14</v>
      </c>
      <c r="C671" s="46" t="s">
        <v>414</v>
      </c>
      <c r="D671" s="52" t="s">
        <v>410</v>
      </c>
      <c r="E671" s="48">
        <v>45798</v>
      </c>
      <c r="F671" s="49">
        <f t="shared" si="32"/>
        <v>0</v>
      </c>
      <c r="G671" s="77">
        <f>SUMIF(积分汇总!$B:$B,C670,积分汇总!$E:$E)</f>
        <v>0</v>
      </c>
      <c r="H671" s="77">
        <f>SUMIF(记录巡查问题条数汇总!$B:$B,C670,记录巡查问题条数汇总!$E:$E)</f>
        <v>0</v>
      </c>
      <c r="I671" s="77"/>
      <c r="J671" s="77">
        <f>SUMIF(安全质量事故!$B:$B,C670,安全质量事故!$G:$G)</f>
        <v>0</v>
      </c>
      <c r="K671" s="72">
        <f>COUNTIF(L671:AP671,标准数据!$A$2)*标准数据!$B$2+COUNTIF(L671:AP671,标准数据!$A$3)*标准数据!$B$3+COUNTIF(L671:AP671,标准数据!$A$4)*标准数据!$B$4</f>
        <v>0</v>
      </c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192"/>
      <c r="AQ671" s="90"/>
      <c r="AR671" s="41"/>
      <c r="AS671" s="41"/>
      <c r="AT671" s="41"/>
    </row>
    <row r="672" spans="1:46" ht="21" customHeight="1">
      <c r="A672" s="267" t="s">
        <v>2121</v>
      </c>
      <c r="B672" s="45" t="s">
        <v>14</v>
      </c>
      <c r="C672" s="46" t="s">
        <v>1548</v>
      </c>
      <c r="D672" s="52" t="s">
        <v>1549</v>
      </c>
      <c r="E672" s="48">
        <v>46183</v>
      </c>
      <c r="F672" s="49">
        <f t="shared" si="32"/>
        <v>0</v>
      </c>
      <c r="G672" s="77">
        <f>SUMIF(积分汇总!$B:$B,C671,积分汇总!$E:$E)</f>
        <v>0</v>
      </c>
      <c r="H672" s="77">
        <f>SUMIF(记录巡查问题条数汇总!$B:$B,C671,记录巡查问题条数汇总!$E:$E)</f>
        <v>0</v>
      </c>
      <c r="I672" s="77"/>
      <c r="J672" s="77">
        <f>SUMIF(安全质量事故!$B:$B,C671,安全质量事故!$G:$G)</f>
        <v>0</v>
      </c>
      <c r="K672" s="72">
        <f>COUNTIF(L672:AP672,标准数据!$A$2)*标准数据!$B$2+COUNTIF(L672:AP672,标准数据!$A$3)*标准数据!$B$3+COUNTIF(L672:AP672,标准数据!$A$4)*标准数据!$B$4</f>
        <v>0</v>
      </c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192"/>
      <c r="AQ672" s="90"/>
      <c r="AR672" s="41"/>
      <c r="AS672" s="41"/>
      <c r="AT672" s="41"/>
    </row>
    <row r="673" spans="1:46" ht="21" customHeight="1">
      <c r="A673" s="267" t="s">
        <v>2121</v>
      </c>
      <c r="B673" s="45" t="s">
        <v>14</v>
      </c>
      <c r="C673" s="46" t="s">
        <v>1908</v>
      </c>
      <c r="D673" s="52" t="s">
        <v>1909</v>
      </c>
      <c r="E673" s="48">
        <v>46197</v>
      </c>
      <c r="F673" s="49">
        <f t="shared" si="32"/>
        <v>0</v>
      </c>
      <c r="G673" s="77">
        <f>SUMIF(积分汇总!$B:$B,C672,积分汇总!$E:$E)</f>
        <v>0</v>
      </c>
      <c r="H673" s="77">
        <f>SUMIF(记录巡查问题条数汇总!$B:$B,C672,记录巡查问题条数汇总!$E:$E)</f>
        <v>0</v>
      </c>
      <c r="I673" s="77"/>
      <c r="J673" s="77">
        <f>SUMIF(安全质量事故!$B:$B,C672,安全质量事故!$G:$G)</f>
        <v>0</v>
      </c>
      <c r="K673" s="72">
        <f>COUNTIF(L673:AP673,标准数据!$A$2)*标准数据!$B$2+COUNTIF(L673:AP673,标准数据!$A$3)*标准数据!$B$3+COUNTIF(L673:AP673,标准数据!$A$4)*标准数据!$B$4</f>
        <v>0</v>
      </c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192"/>
      <c r="AQ673" s="90"/>
      <c r="AR673" s="41"/>
      <c r="AS673" s="41"/>
      <c r="AT673" s="41"/>
    </row>
    <row r="674" spans="1:46" ht="21" customHeight="1">
      <c r="A674" s="267" t="s">
        <v>2121</v>
      </c>
      <c r="B674" s="45" t="s">
        <v>14</v>
      </c>
      <c r="C674" s="46" t="s">
        <v>1910</v>
      </c>
      <c r="D674" s="52" t="s">
        <v>1911</v>
      </c>
      <c r="E674" s="48">
        <v>46197</v>
      </c>
      <c r="F674" s="49">
        <f t="shared" si="32"/>
        <v>0</v>
      </c>
      <c r="G674" s="77">
        <f>SUMIF(积分汇总!$B:$B,C673,积分汇总!$E:$E)</f>
        <v>0</v>
      </c>
      <c r="H674" s="77">
        <f>SUMIF(记录巡查问题条数汇总!$B:$B,C673,记录巡查问题条数汇总!$E:$E)</f>
        <v>0</v>
      </c>
      <c r="I674" s="77"/>
      <c r="J674" s="77">
        <f>SUMIF(安全质量事故!$B:$B,C673,安全质量事故!$G:$G)</f>
        <v>0</v>
      </c>
      <c r="K674" s="72">
        <f>COUNTIF(L674:AP674,标准数据!$A$2)*标准数据!$B$2+COUNTIF(L674:AP674,标准数据!$A$3)*标准数据!$B$3+COUNTIF(L674:AP674,标准数据!$A$4)*标准数据!$B$4</f>
        <v>0</v>
      </c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192"/>
      <c r="AQ674" s="90"/>
      <c r="AR674" s="41"/>
      <c r="AS674" s="41"/>
      <c r="AT674" s="41"/>
    </row>
    <row r="675" spans="1:46" ht="21" customHeight="1">
      <c r="A675" s="267" t="s">
        <v>2121</v>
      </c>
      <c r="B675" s="45" t="s">
        <v>129</v>
      </c>
      <c r="C675" s="46" t="s">
        <v>1912</v>
      </c>
      <c r="D675" s="47" t="s">
        <v>1913</v>
      </c>
      <c r="E675" s="48">
        <v>46113</v>
      </c>
      <c r="F675" s="49">
        <f t="shared" si="32"/>
        <v>0</v>
      </c>
      <c r="G675" s="77">
        <f>SUMIF(积分汇总!$B:$B,C674,积分汇总!$E:$E)</f>
        <v>0</v>
      </c>
      <c r="H675" s="77">
        <f>SUMIF(记录巡查问题条数汇总!$B:$B,C674,记录巡查问题条数汇总!$E:$E)</f>
        <v>0</v>
      </c>
      <c r="I675" s="77"/>
      <c r="J675" s="77">
        <f>SUMIF(安全质量事故!$B:$B,C674,安全质量事故!$G:$G)</f>
        <v>0</v>
      </c>
      <c r="K675" s="72">
        <f>COUNTIF(L675:AP675,标准数据!$A$2)*标准数据!$B$2+COUNTIF(L675:AP675,标准数据!$A$3)*标准数据!$B$3+COUNTIF(L675:AP675,标准数据!$A$4)*标准数据!$B$4</f>
        <v>0</v>
      </c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192"/>
      <c r="AQ675" s="90"/>
      <c r="AR675" s="41"/>
      <c r="AS675" s="41"/>
      <c r="AT675" s="41"/>
    </row>
    <row r="676" spans="1:46" ht="21" customHeight="1">
      <c r="A676" s="267" t="s">
        <v>2121</v>
      </c>
      <c r="B676" s="45" t="s">
        <v>129</v>
      </c>
      <c r="C676" s="46" t="s">
        <v>278</v>
      </c>
      <c r="D676" s="47" t="s">
        <v>274</v>
      </c>
      <c r="E676" s="48">
        <v>45532</v>
      </c>
      <c r="F676" s="49">
        <f t="shared" si="32"/>
        <v>0</v>
      </c>
      <c r="G676" s="77">
        <f>SUMIF(积分汇总!$B:$B,C675,积分汇总!$E:$E)</f>
        <v>0</v>
      </c>
      <c r="H676" s="77">
        <f>SUMIF(记录巡查问题条数汇总!$B:$B,C675,记录巡查问题条数汇总!$E:$E)</f>
        <v>0</v>
      </c>
      <c r="I676" s="77"/>
      <c r="J676" s="77">
        <f>SUMIF(安全质量事故!$B:$B,C675,安全质量事故!$G:$G)</f>
        <v>0</v>
      </c>
      <c r="K676" s="72">
        <f>COUNTIF(L676:AP676,标准数据!$A$2)*标准数据!$B$2+COUNTIF(L676:AP676,标准数据!$A$3)*标准数据!$B$3+COUNTIF(L676:AP676,标准数据!$A$4)*标准数据!$B$4</f>
        <v>0</v>
      </c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192"/>
      <c r="AQ676" s="90"/>
      <c r="AR676" s="41"/>
      <c r="AS676" s="41"/>
      <c r="AT676" s="41"/>
    </row>
    <row r="677" spans="1:46" ht="21" customHeight="1">
      <c r="A677" s="267" t="s">
        <v>2121</v>
      </c>
      <c r="B677" s="45" t="s">
        <v>129</v>
      </c>
      <c r="C677" s="46" t="s">
        <v>283</v>
      </c>
      <c r="D677" s="47" t="s">
        <v>275</v>
      </c>
      <c r="E677" s="48">
        <v>45537</v>
      </c>
      <c r="F677" s="49">
        <f t="shared" si="32"/>
        <v>0</v>
      </c>
      <c r="G677" s="77">
        <f>SUMIF(积分汇总!$B:$B,C676,积分汇总!$E:$E)</f>
        <v>0</v>
      </c>
      <c r="H677" s="77">
        <f>SUMIF(记录巡查问题条数汇总!$B:$B,C676,记录巡查问题条数汇总!$E:$E)</f>
        <v>0</v>
      </c>
      <c r="I677" s="77"/>
      <c r="J677" s="77">
        <f>SUMIF(安全质量事故!$B:$B,C676,安全质量事故!$G:$G)</f>
        <v>0</v>
      </c>
      <c r="K677" s="72">
        <f>COUNTIF(L677:AP677,标准数据!$A$2)*标准数据!$B$2+COUNTIF(L677:AP677,标准数据!$A$3)*标准数据!$B$3+COUNTIF(L677:AP677,标准数据!$A$4)*标准数据!$B$4</f>
        <v>0</v>
      </c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192"/>
      <c r="AQ677" s="90"/>
      <c r="AR677" s="41"/>
      <c r="AS677" s="41"/>
      <c r="AT677" s="41"/>
    </row>
    <row r="678" spans="1:46" ht="21" customHeight="1">
      <c r="A678" s="267" t="s">
        <v>2121</v>
      </c>
      <c r="B678" s="45" t="s">
        <v>129</v>
      </c>
      <c r="C678" s="46" t="s">
        <v>331</v>
      </c>
      <c r="D678" s="47" t="s">
        <v>315</v>
      </c>
      <c r="E678" s="48">
        <v>45593</v>
      </c>
      <c r="F678" s="49">
        <f t="shared" si="32"/>
        <v>0</v>
      </c>
      <c r="G678" s="77">
        <f>SUMIF(积分汇总!$B:$B,C677,积分汇总!$E:$E)</f>
        <v>0</v>
      </c>
      <c r="H678" s="77">
        <f>SUMIF(记录巡查问题条数汇总!$B:$B,C677,记录巡查问题条数汇总!$E:$E)</f>
        <v>0</v>
      </c>
      <c r="I678" s="77"/>
      <c r="J678" s="77">
        <f>SUMIF(安全质量事故!$B:$B,C677,安全质量事故!$G:$G)</f>
        <v>0</v>
      </c>
      <c r="K678" s="72">
        <f>COUNTIF(L678:AP678,标准数据!$A$2)*标准数据!$B$2+COUNTIF(L678:AP678,标准数据!$A$3)*标准数据!$B$3+COUNTIF(L678:AP678,标准数据!$A$4)*标准数据!$B$4</f>
        <v>0</v>
      </c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192"/>
      <c r="AQ678" s="90"/>
      <c r="AR678" s="41"/>
      <c r="AS678" s="41"/>
      <c r="AT678" s="41"/>
    </row>
    <row r="679" spans="1:46" ht="21" customHeight="1">
      <c r="A679" s="267" t="s">
        <v>2121</v>
      </c>
      <c r="B679" s="45" t="s">
        <v>129</v>
      </c>
      <c r="C679" s="46" t="s">
        <v>634</v>
      </c>
      <c r="D679" s="47" t="s">
        <v>605</v>
      </c>
      <c r="E679" s="48">
        <v>45910</v>
      </c>
      <c r="F679" s="49">
        <f t="shared" si="32"/>
        <v>0</v>
      </c>
      <c r="G679" s="77">
        <f>SUMIF(积分汇总!$B:$B,C678,积分汇总!$E:$E)</f>
        <v>0</v>
      </c>
      <c r="H679" s="77">
        <f>SUMIF(记录巡查问题条数汇总!$B:$B,C678,记录巡查问题条数汇总!$E:$E)</f>
        <v>0</v>
      </c>
      <c r="I679" s="77"/>
      <c r="J679" s="77">
        <f>SUMIF(安全质量事故!$B:$B,C678,安全质量事故!$G:$G)</f>
        <v>0</v>
      </c>
      <c r="K679" s="72">
        <f>COUNTIF(L679:AP679,标准数据!$A$2)*标准数据!$B$2+COUNTIF(L679:AP679,标准数据!$A$3)*标准数据!$B$3+COUNTIF(L679:AP679,标准数据!$A$4)*标准数据!$B$4</f>
        <v>0</v>
      </c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192"/>
      <c r="AQ679" s="90"/>
      <c r="AR679" s="41"/>
      <c r="AS679" s="41"/>
      <c r="AT679" s="41"/>
    </row>
    <row r="680" spans="1:46" ht="21" customHeight="1">
      <c r="A680" s="267" t="s">
        <v>2121</v>
      </c>
      <c r="B680" s="45" t="s">
        <v>129</v>
      </c>
      <c r="C680" s="46" t="s">
        <v>635</v>
      </c>
      <c r="D680" s="47" t="s">
        <v>606</v>
      </c>
      <c r="E680" s="48">
        <v>45910</v>
      </c>
      <c r="F680" s="49">
        <f t="shared" si="32"/>
        <v>0</v>
      </c>
      <c r="G680" s="77">
        <f>SUMIF(积分汇总!$B:$B,C679,积分汇总!$E:$E)</f>
        <v>0</v>
      </c>
      <c r="H680" s="77">
        <f>SUMIF(记录巡查问题条数汇总!$B:$B,C679,记录巡查问题条数汇总!$E:$E)</f>
        <v>0</v>
      </c>
      <c r="I680" s="77"/>
      <c r="J680" s="77">
        <f>SUMIF(安全质量事故!$B:$B,C679,安全质量事故!$G:$G)</f>
        <v>0</v>
      </c>
      <c r="K680" s="72">
        <f>COUNTIF(L680:AP680,标准数据!$A$2)*标准数据!$B$2+COUNTIF(L680:AP680,标准数据!$A$3)*标准数据!$B$3+COUNTIF(L680:AP680,标准数据!$A$4)*标准数据!$B$4</f>
        <v>0</v>
      </c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192"/>
      <c r="AQ680" s="90"/>
      <c r="AR680" s="41"/>
      <c r="AS680" s="41"/>
      <c r="AT680" s="41"/>
    </row>
    <row r="681" spans="1:46" ht="21" customHeight="1">
      <c r="A681" s="267" t="s">
        <v>2121</v>
      </c>
      <c r="B681" s="45" t="s">
        <v>129</v>
      </c>
      <c r="C681" s="46" t="s">
        <v>636</v>
      </c>
      <c r="D681" s="47" t="s">
        <v>607</v>
      </c>
      <c r="E681" s="48">
        <v>45917</v>
      </c>
      <c r="F681" s="49">
        <f t="shared" si="32"/>
        <v>0</v>
      </c>
      <c r="G681" s="77">
        <f>SUMIF(积分汇总!$B:$B,C680,积分汇总!$E:$E)</f>
        <v>0</v>
      </c>
      <c r="H681" s="77">
        <f>SUMIF(记录巡查问题条数汇总!$B:$B,C680,记录巡查问题条数汇总!$E:$E)</f>
        <v>0</v>
      </c>
      <c r="I681" s="77"/>
      <c r="J681" s="77">
        <f>SUMIF(安全质量事故!$B:$B,C680,安全质量事故!$G:$G)</f>
        <v>0</v>
      </c>
      <c r="K681" s="72">
        <f>COUNTIF(L681:AP681,标准数据!$A$2)*标准数据!$B$2+COUNTIF(L681:AP681,标准数据!$A$3)*标准数据!$B$3+COUNTIF(L681:AP681,标准数据!$A$4)*标准数据!$B$4</f>
        <v>0</v>
      </c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192"/>
      <c r="AQ681" s="90"/>
    </row>
    <row r="682" spans="1:46" ht="21" customHeight="1">
      <c r="A682" s="267" t="s">
        <v>2121</v>
      </c>
      <c r="B682" s="45" t="s">
        <v>146</v>
      </c>
      <c r="C682" s="46" t="s">
        <v>2074</v>
      </c>
      <c r="D682" s="47" t="s">
        <v>2075</v>
      </c>
      <c r="E682" s="48">
        <v>46225</v>
      </c>
      <c r="F682" s="49">
        <f t="shared" si="32"/>
        <v>0</v>
      </c>
      <c r="G682" s="77">
        <f>SUMIF(积分汇总!$B:$B,C681,积分汇总!$E:$E)</f>
        <v>0</v>
      </c>
      <c r="H682" s="77">
        <f>SUMIF(记录巡查问题条数汇总!$B:$B,C681,记录巡查问题条数汇总!$E:$E)</f>
        <v>0</v>
      </c>
      <c r="I682" s="77"/>
      <c r="J682" s="77">
        <f>SUMIF(安全质量事故!$B:$B,C681,安全质量事故!$G:$G)</f>
        <v>0</v>
      </c>
      <c r="K682" s="72">
        <f>COUNTIF(L682:AP682,标准数据!$A$2)*标准数据!$B$2+COUNTIF(L682:AP682,标准数据!$A$3)*标准数据!$B$3+COUNTIF(L682:AP682,标准数据!$A$4)*标准数据!$B$4</f>
        <v>0</v>
      </c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192"/>
      <c r="AQ682" s="90"/>
    </row>
    <row r="683" spans="1:46" ht="21" customHeight="1">
      <c r="A683" s="267" t="s">
        <v>2123</v>
      </c>
      <c r="B683" s="45" t="s">
        <v>14</v>
      </c>
      <c r="C683" s="46" t="s">
        <v>493</v>
      </c>
      <c r="D683" s="47" t="s">
        <v>457</v>
      </c>
      <c r="E683" s="48">
        <v>45854</v>
      </c>
      <c r="F683" s="49">
        <f t="shared" si="32"/>
        <v>0</v>
      </c>
      <c r="G683" s="77">
        <f>SUMIF(积分汇总!$B:$B,C682,积分汇总!$E:$E)</f>
        <v>0</v>
      </c>
      <c r="H683" s="77">
        <f>SUMIF(记录巡查问题条数汇总!$B:$B,C682,记录巡查问题条数汇总!$E:$E)</f>
        <v>0</v>
      </c>
      <c r="I683" s="77"/>
      <c r="J683" s="77">
        <f>SUMIF(安全质量事故!$B:$B,C682,安全质量事故!$G:$G)</f>
        <v>0</v>
      </c>
      <c r="K683" s="72">
        <f>COUNTIF(L683:AP683,标准数据!$A$2)*标准数据!$B$2+COUNTIF(L683:AP683,标准数据!$A$3)*标准数据!$B$3+COUNTIF(L683:AP683,标准数据!$A$4)*标准数据!$B$4</f>
        <v>0</v>
      </c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192"/>
      <c r="AQ683" s="90"/>
    </row>
    <row r="684" spans="1:46" ht="21" customHeight="1">
      <c r="A684" s="267" t="s">
        <v>2123</v>
      </c>
      <c r="B684" s="45" t="s">
        <v>14</v>
      </c>
      <c r="C684" s="46" t="s">
        <v>639</v>
      </c>
      <c r="D684" s="47" t="s">
        <v>603</v>
      </c>
      <c r="E684" s="48">
        <v>45908</v>
      </c>
      <c r="F684" s="49">
        <f t="shared" si="32"/>
        <v>0</v>
      </c>
      <c r="G684" s="77">
        <f>SUMIF(积分汇总!$B:$B,C683,积分汇总!$E:$E)</f>
        <v>0</v>
      </c>
      <c r="H684" s="77">
        <f>SUMIF(记录巡查问题条数汇总!$B:$B,C683,记录巡查问题条数汇总!$E:$E)</f>
        <v>0</v>
      </c>
      <c r="I684" s="77"/>
      <c r="J684" s="77">
        <f>SUMIF(安全质量事故!$B:$B,C683,安全质量事故!$G:$G)</f>
        <v>0</v>
      </c>
      <c r="K684" s="72">
        <f>COUNTIF(L684:AP684,标准数据!$A$2)*标准数据!$B$2+COUNTIF(L684:AP684,标准数据!$A$3)*标准数据!$B$3+COUNTIF(L684:AP684,标准数据!$A$4)*标准数据!$B$4</f>
        <v>0</v>
      </c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192"/>
      <c r="AQ684" s="90"/>
    </row>
    <row r="685" spans="1:46" ht="21" customHeight="1">
      <c r="A685" s="267" t="s">
        <v>2123</v>
      </c>
      <c r="B685" s="45" t="s">
        <v>14</v>
      </c>
      <c r="C685" s="46" t="s">
        <v>913</v>
      </c>
      <c r="D685" s="47" t="s">
        <v>898</v>
      </c>
      <c r="E685" s="48">
        <v>46015</v>
      </c>
      <c r="F685" s="49">
        <f t="shared" si="32"/>
        <v>0</v>
      </c>
      <c r="G685" s="77">
        <f>SUMIF(积分汇总!$B:$B,C684,积分汇总!$E:$E)</f>
        <v>0</v>
      </c>
      <c r="H685" s="77">
        <f>SUMIF(记录巡查问题条数汇总!$B:$B,C684,记录巡查问题条数汇总!$E:$E)</f>
        <v>0</v>
      </c>
      <c r="I685" s="77"/>
      <c r="J685" s="77">
        <f>SUMIF(安全质量事故!$B:$B,C684,安全质量事故!$G:$G)</f>
        <v>0</v>
      </c>
      <c r="K685" s="72">
        <f>COUNTIF(L685:AP685,标准数据!$A$2)*标准数据!$B$2+COUNTIF(L685:AP685,标准数据!$A$3)*标准数据!$B$3+COUNTIF(L685:AP685,标准数据!$A$4)*标准数据!$B$4</f>
        <v>0</v>
      </c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192"/>
      <c r="AQ685" s="90"/>
    </row>
    <row r="686" spans="1:46" ht="21" customHeight="1">
      <c r="A686" s="267" t="s">
        <v>2123</v>
      </c>
      <c r="B686" s="45" t="s">
        <v>87</v>
      </c>
      <c r="C686" s="46" t="s">
        <v>1244</v>
      </c>
      <c r="D686" s="52" t="s">
        <v>1245</v>
      </c>
      <c r="E686" s="46">
        <v>46113</v>
      </c>
      <c r="F686" s="49">
        <f t="shared" si="32"/>
        <v>0</v>
      </c>
      <c r="G686" s="77">
        <f>SUMIF(积分汇总!$B:$B,C685,积分汇总!$E:$E)</f>
        <v>0</v>
      </c>
      <c r="H686" s="77">
        <f>SUMIF(记录巡查问题条数汇总!$B:$B,C685,记录巡查问题条数汇总!$E:$E)</f>
        <v>0</v>
      </c>
      <c r="I686" s="77"/>
      <c r="J686" s="77">
        <f>SUMIF(安全质量事故!$B:$B,C685,安全质量事故!$G:$G)</f>
        <v>0</v>
      </c>
      <c r="K686" s="72">
        <f>COUNTIF(L686:AP686,标准数据!$A$2)*标准数据!$B$2+COUNTIF(L686:AP686,标准数据!$A$3)*标准数据!$B$3+COUNTIF(L686:AP686,标准数据!$A$4)*标准数据!$B$4</f>
        <v>0</v>
      </c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192"/>
      <c r="AQ686" s="90"/>
    </row>
    <row r="687" spans="1:46" ht="21" customHeight="1">
      <c r="A687" s="267" t="s">
        <v>2123</v>
      </c>
      <c r="B687" s="45" t="s">
        <v>14</v>
      </c>
      <c r="C687" s="46" t="s">
        <v>1724</v>
      </c>
      <c r="D687" s="47" t="s">
        <v>1725</v>
      </c>
      <c r="E687" s="48">
        <v>46197</v>
      </c>
      <c r="F687" s="49">
        <f t="shared" si="32"/>
        <v>0</v>
      </c>
      <c r="G687" s="77">
        <f>SUMIF(积分汇总!$B:$B,C686,积分汇总!$E:$E)</f>
        <v>0</v>
      </c>
      <c r="H687" s="77">
        <f>SUMIF(记录巡查问题条数汇总!$B:$B,C686,记录巡查问题条数汇总!$E:$E)</f>
        <v>0</v>
      </c>
      <c r="I687" s="77"/>
      <c r="J687" s="77">
        <f>SUMIF(安全质量事故!$B:$B,C686,安全质量事故!$G:$G)</f>
        <v>0</v>
      </c>
      <c r="K687" s="72">
        <f>COUNTIF(L687:AP687,标准数据!$A$2)*标准数据!$B$2+COUNTIF(L687:AP687,标准数据!$A$3)*标准数据!$B$3+COUNTIF(L687:AP687,标准数据!$A$4)*标准数据!$B$4</f>
        <v>0</v>
      </c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192"/>
      <c r="AQ687" s="90"/>
    </row>
    <row r="688" spans="1:46" ht="21" customHeight="1">
      <c r="A688" s="267" t="s">
        <v>2123</v>
      </c>
      <c r="B688" s="45" t="s">
        <v>14</v>
      </c>
      <c r="C688" s="46" t="s">
        <v>2080</v>
      </c>
      <c r="D688" s="47" t="s">
        <v>2081</v>
      </c>
      <c r="E688" s="48">
        <v>46225</v>
      </c>
      <c r="F688" s="49">
        <f t="shared" si="32"/>
        <v>0</v>
      </c>
      <c r="G688" s="77">
        <f>SUMIF(积分汇总!$B:$B,C687,积分汇总!$E:$E)</f>
        <v>0</v>
      </c>
      <c r="H688" s="77">
        <f>SUMIF(记录巡查问题条数汇总!$B:$B,C687,记录巡查问题条数汇总!$E:$E)</f>
        <v>0</v>
      </c>
      <c r="I688" s="77"/>
      <c r="J688" s="77">
        <f>SUMIF(安全质量事故!$B:$B,C687,安全质量事故!$G:$G)</f>
        <v>0</v>
      </c>
      <c r="K688" s="72">
        <f>COUNTIF(L688:AP688,标准数据!$A$2)*标准数据!$B$2+COUNTIF(L688:AP688,标准数据!$A$3)*标准数据!$B$3+COUNTIF(L688:AP688,标准数据!$A$4)*标准数据!$B$4</f>
        <v>0</v>
      </c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192"/>
      <c r="AQ688" s="90"/>
    </row>
    <row r="689" spans="1:46" ht="21" customHeight="1">
      <c r="A689" s="267" t="s">
        <v>2122</v>
      </c>
      <c r="B689" s="45" t="s">
        <v>13</v>
      </c>
      <c r="C689" s="46" t="s">
        <v>860</v>
      </c>
      <c r="D689" s="47" t="s">
        <v>811</v>
      </c>
      <c r="E689" s="48">
        <v>45992</v>
      </c>
      <c r="F689" s="49">
        <f t="shared" si="32"/>
        <v>0</v>
      </c>
      <c r="G689" s="77">
        <f>SUMIF(积分汇总!$B:$B,C688,积分汇总!$E:$E)</f>
        <v>0</v>
      </c>
      <c r="H689" s="77">
        <f>SUMIF(记录巡查问题条数汇总!$B:$B,C688,记录巡查问题条数汇总!$E:$E)</f>
        <v>0</v>
      </c>
      <c r="I689" s="77"/>
      <c r="J689" s="77">
        <f>SUMIF(安全质量事故!$B:$B,C688,安全质量事故!$G:$G)</f>
        <v>0</v>
      </c>
      <c r="K689" s="72">
        <f>COUNTIF(L689:AP689,标准数据!$A$2)*标准数据!$B$2+COUNTIF(L689:AP689,标准数据!$A$3)*标准数据!$B$3+COUNTIF(L689:AP689,标准数据!$A$4)*标准数据!$B$4</f>
        <v>0</v>
      </c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192"/>
      <c r="AQ689" s="90"/>
    </row>
    <row r="690" spans="1:46" ht="21" customHeight="1">
      <c r="A690" s="267" t="s">
        <v>2122</v>
      </c>
      <c r="B690" s="45" t="s">
        <v>14</v>
      </c>
      <c r="C690" s="46" t="s">
        <v>299</v>
      </c>
      <c r="D690" s="47" t="s">
        <v>292</v>
      </c>
      <c r="E690" s="48">
        <v>45560</v>
      </c>
      <c r="F690" s="49">
        <f t="shared" si="32"/>
        <v>0</v>
      </c>
      <c r="G690" s="77">
        <f>SUMIF(积分汇总!$B:$B,C689,积分汇总!$E:$E)</f>
        <v>0</v>
      </c>
      <c r="H690" s="77">
        <f>SUMIF(记录巡查问题条数汇总!$B:$B,C689,记录巡查问题条数汇总!$E:$E)</f>
        <v>0</v>
      </c>
      <c r="I690" s="77"/>
      <c r="J690" s="77">
        <f>SUMIF(安全质量事故!$B:$B,C689,安全质量事故!$G:$G)</f>
        <v>0</v>
      </c>
      <c r="K690" s="72">
        <f>COUNTIF(L690:AP690,标准数据!$A$2)*标准数据!$B$2+COUNTIF(L690:AP690,标准数据!$A$3)*标准数据!$B$3+COUNTIF(L690:AP690,标准数据!$A$4)*标准数据!$B$4</f>
        <v>0</v>
      </c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189"/>
      <c r="AQ690" s="55"/>
      <c r="AR690" s="41"/>
      <c r="AS690" s="41"/>
      <c r="AT690" s="41"/>
    </row>
    <row r="691" spans="1:46" ht="21" customHeight="1">
      <c r="A691" s="267" t="s">
        <v>2122</v>
      </c>
      <c r="B691" s="45" t="s">
        <v>14</v>
      </c>
      <c r="C691" s="46" t="s">
        <v>640</v>
      </c>
      <c r="D691" s="47" t="s">
        <v>604</v>
      </c>
      <c r="E691" s="48">
        <v>45910</v>
      </c>
      <c r="F691" s="49">
        <f t="shared" si="32"/>
        <v>0</v>
      </c>
      <c r="G691" s="77">
        <f>SUMIF(积分汇总!$B:$B,C690,积分汇总!$E:$E)</f>
        <v>0</v>
      </c>
      <c r="H691" s="77">
        <f>SUMIF(记录巡查问题条数汇总!$B:$B,C690,记录巡查问题条数汇总!$E:$E)</f>
        <v>0</v>
      </c>
      <c r="I691" s="77"/>
      <c r="J691" s="77">
        <f>SUMIF(安全质量事故!$B:$B,C690,安全质量事故!$G:$G)</f>
        <v>0</v>
      </c>
      <c r="K691" s="72">
        <f>COUNTIF(L691:AP691,标准数据!$A$2)*标准数据!$B$2+COUNTIF(L691:AP691,标准数据!$A$3)*标准数据!$B$3+COUNTIF(L691:AP691,标准数据!$A$4)*标准数据!$B$4</f>
        <v>0</v>
      </c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189"/>
      <c r="AQ691" s="55"/>
      <c r="AR691" s="198" t="s">
        <v>1099</v>
      </c>
      <c r="AS691" s="41"/>
      <c r="AT691" s="41"/>
    </row>
    <row r="692" spans="1:46" ht="21" customHeight="1">
      <c r="A692" s="267" t="s">
        <v>2122</v>
      </c>
      <c r="B692" s="45" t="s">
        <v>14</v>
      </c>
      <c r="C692" s="46" t="s">
        <v>912</v>
      </c>
      <c r="D692" s="47" t="s">
        <v>897</v>
      </c>
      <c r="E692" s="48">
        <v>46013</v>
      </c>
      <c r="F692" s="49">
        <f t="shared" si="32"/>
        <v>0</v>
      </c>
      <c r="G692" s="77">
        <f>SUMIF(积分汇总!$B:$B,C691,积分汇总!$E:$E)</f>
        <v>0</v>
      </c>
      <c r="H692" s="77">
        <f>SUMIF(记录巡查问题条数汇总!$B:$B,C691,记录巡查问题条数汇总!$E:$E)</f>
        <v>0</v>
      </c>
      <c r="I692" s="77"/>
      <c r="J692" s="77">
        <f>SUMIF(安全质量事故!$B:$B,C691,安全质量事故!$G:$G)</f>
        <v>0</v>
      </c>
      <c r="K692" s="72">
        <f>COUNTIF(L692:AP692,标准数据!$A$2)*标准数据!$B$2+COUNTIF(L692:AP692,标准数据!$A$3)*标准数据!$B$3+COUNTIF(L692:AP692,标准数据!$A$4)*标准数据!$B$4</f>
        <v>0</v>
      </c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189"/>
      <c r="AQ692" s="55"/>
      <c r="AS692" s="41"/>
      <c r="AT692" s="41"/>
    </row>
    <row r="693" spans="1:46" ht="21" customHeight="1">
      <c r="A693" s="267" t="s">
        <v>2122</v>
      </c>
      <c r="B693" s="45" t="s">
        <v>14</v>
      </c>
      <c r="C693" s="46" t="s">
        <v>1904</v>
      </c>
      <c r="D693" s="47" t="s">
        <v>1905</v>
      </c>
      <c r="E693" s="48">
        <v>46215</v>
      </c>
      <c r="F693" s="49">
        <f t="shared" si="32"/>
        <v>0</v>
      </c>
      <c r="G693" s="77">
        <f>SUMIF(积分汇总!$B:$B,#REF!,积分汇总!$E:$E)</f>
        <v>0</v>
      </c>
      <c r="H693" s="77">
        <f>SUMIF(记录巡查问题条数汇总!$B:$B,#REF!,记录巡查问题条数汇总!$E:$E)</f>
        <v>0</v>
      </c>
      <c r="I693" s="77"/>
      <c r="J693" s="77">
        <f>SUMIF(安全质量事故!$B:$B,#REF!,安全质量事故!$G:$G)</f>
        <v>0</v>
      </c>
      <c r="K693" s="72">
        <f>COUNTIF(L693:AP693,标准数据!$A$2)*标准数据!$B$2+COUNTIF(L693:AP693,标准数据!$A$3)*标准数据!$B$3+COUNTIF(L693:AP693,标准数据!$A$4)*标准数据!$B$4</f>
        <v>0</v>
      </c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189"/>
      <c r="AQ693" s="55"/>
      <c r="AS693" s="41"/>
      <c r="AT693" s="41"/>
    </row>
    <row r="694" spans="1:46" ht="21" customHeight="1">
      <c r="A694" s="267" t="s">
        <v>2122</v>
      </c>
      <c r="B694" s="45" t="s">
        <v>14</v>
      </c>
      <c r="C694" s="46" t="s">
        <v>1906</v>
      </c>
      <c r="D694" s="47" t="s">
        <v>1907</v>
      </c>
      <c r="E694" s="48">
        <v>46215</v>
      </c>
      <c r="F694" s="49">
        <f t="shared" si="32"/>
        <v>0</v>
      </c>
      <c r="G694" s="77">
        <f>SUMIF(积分汇总!$B:$B,C693,积分汇总!$E:$E)</f>
        <v>0</v>
      </c>
      <c r="H694" s="77">
        <f>SUMIF(记录巡查问题条数汇总!$B:$B,C693,记录巡查问题条数汇总!$E:$E)</f>
        <v>0</v>
      </c>
      <c r="I694" s="77"/>
      <c r="J694" s="77">
        <f>SUMIF(安全质量事故!$B:$B,C693,安全质量事故!$G:$G)</f>
        <v>0</v>
      </c>
      <c r="K694" s="72">
        <f>COUNTIF(L694:AP694,标准数据!$A$2)*标准数据!$B$2+COUNTIF(L694:AP694,标准数据!$A$3)*标准数据!$B$3+COUNTIF(L694:AP694,标准数据!$A$4)*标准数据!$B$4</f>
        <v>0</v>
      </c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189"/>
      <c r="AQ694" s="55"/>
      <c r="AS694" s="41"/>
      <c r="AT694" s="41"/>
    </row>
    <row r="695" spans="1:46" ht="21" customHeight="1">
      <c r="A695" s="267" t="s">
        <v>2122</v>
      </c>
      <c r="B695" s="45" t="s">
        <v>14</v>
      </c>
      <c r="C695" s="46" t="s">
        <v>1594</v>
      </c>
      <c r="D695" s="47" t="s">
        <v>1595</v>
      </c>
      <c r="E695" s="48">
        <v>46208</v>
      </c>
      <c r="F695" s="49">
        <f t="shared" si="32"/>
        <v>0</v>
      </c>
      <c r="G695" s="77">
        <f>SUMIF(积分汇总!$B:$B,#REF!,积分汇总!$E:$E)</f>
        <v>0</v>
      </c>
      <c r="H695" s="77">
        <f>SUMIF(记录巡查问题条数汇总!$B:$B,#REF!,记录巡查问题条数汇总!$E:$E)</f>
        <v>0</v>
      </c>
      <c r="I695" s="77"/>
      <c r="J695" s="77">
        <f>SUMIF(安全质量事故!$B:$B,#REF!,安全质量事故!$G:$G)</f>
        <v>0</v>
      </c>
      <c r="K695" s="72">
        <f>COUNTIF(L695:AP695,标准数据!$A$2)*标准数据!$B$2+COUNTIF(L695:AP695,标准数据!$A$3)*标准数据!$B$3+COUNTIF(L695:AP695,标准数据!$A$4)*标准数据!$B$4</f>
        <v>0</v>
      </c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192"/>
      <c r="AQ695" s="90"/>
    </row>
    <row r="696" spans="1:46" ht="21" customHeight="1">
      <c r="A696" s="267" t="s">
        <v>2122</v>
      </c>
      <c r="B696" s="45" t="s">
        <v>14</v>
      </c>
      <c r="C696" s="46" t="s">
        <v>2082</v>
      </c>
      <c r="D696" s="47" t="s">
        <v>2083</v>
      </c>
      <c r="E696" s="48">
        <v>46225</v>
      </c>
      <c r="F696" s="49">
        <f t="shared" si="32"/>
        <v>0</v>
      </c>
      <c r="G696" s="77">
        <f>SUMIF(积分汇总!$B:$B,C695,积分汇总!$E:$E)</f>
        <v>0</v>
      </c>
      <c r="H696" s="77">
        <f>SUMIF(记录巡查问题条数汇总!$B:$B,C695,记录巡查问题条数汇总!$E:$E)</f>
        <v>0</v>
      </c>
      <c r="I696" s="77"/>
      <c r="J696" s="77">
        <f>SUMIF(安全质量事故!$B:$B,C695,安全质量事故!$G:$G)</f>
        <v>0</v>
      </c>
      <c r="K696" s="72">
        <f>COUNTIF(L696:AP696,标准数据!$A$2)*标准数据!$B$2+COUNTIF(L696:AP696,标准数据!$A$3)*标准数据!$B$3+COUNTIF(L696:AP696,标准数据!$A$4)*标准数据!$B$4</f>
        <v>0</v>
      </c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192"/>
      <c r="AQ696" s="90"/>
      <c r="AR696" s="41"/>
      <c r="AS696" s="41"/>
      <c r="AT696" s="41"/>
    </row>
    <row r="697" spans="1:46" ht="21" customHeight="1">
      <c r="A697" s="267" t="s">
        <v>2104</v>
      </c>
      <c r="B697" s="45" t="s">
        <v>14</v>
      </c>
      <c r="C697" s="46" t="s">
        <v>265</v>
      </c>
      <c r="D697" s="52" t="s">
        <v>261</v>
      </c>
      <c r="E697" s="48">
        <v>45525</v>
      </c>
      <c r="F697" s="49">
        <f t="shared" si="32"/>
        <v>0</v>
      </c>
      <c r="G697" s="77">
        <f>SUMIF(积分汇总!$B:$B,C696,积分汇总!$E:$E)</f>
        <v>0</v>
      </c>
      <c r="H697" s="77">
        <f>SUMIF(记录巡查问题条数汇总!$B:$B,C696,记录巡查问题条数汇总!$E:$E)</f>
        <v>0</v>
      </c>
      <c r="I697" s="77"/>
      <c r="J697" s="77">
        <f>SUMIF(安全质量事故!$B:$B,C696,安全质量事故!$G:$G)</f>
        <v>0</v>
      </c>
      <c r="K697" s="72">
        <f>COUNTIF(L697:AP697,标准数据!$A$2)*标准数据!$B$2+COUNTIF(L697:AP697,标准数据!$A$3)*标准数据!$B$3+COUNTIF(L697:AP697,标准数据!$A$4)*标准数据!$B$4</f>
        <v>0</v>
      </c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192"/>
      <c r="AQ697" s="90"/>
      <c r="AR697" s="41"/>
      <c r="AS697" s="41"/>
      <c r="AT697" s="41"/>
    </row>
    <row r="698" spans="1:46" ht="21" customHeight="1">
      <c r="A698" s="267" t="s">
        <v>2104</v>
      </c>
      <c r="B698" s="45" t="s">
        <v>14</v>
      </c>
      <c r="C698" s="46" t="s">
        <v>1228</v>
      </c>
      <c r="D698" s="52" t="s">
        <v>1229</v>
      </c>
      <c r="E698" s="46">
        <v>46125</v>
      </c>
      <c r="F698" s="49">
        <f t="shared" si="32"/>
        <v>0</v>
      </c>
      <c r="G698" s="77">
        <f>SUMIF(积分汇总!$B:$B,C697,积分汇总!$E:$E)</f>
        <v>0</v>
      </c>
      <c r="H698" s="77">
        <f>SUMIF(记录巡查问题条数汇总!$B:$B,C697,记录巡查问题条数汇总!$E:$E)</f>
        <v>0</v>
      </c>
      <c r="I698" s="77"/>
      <c r="J698" s="77">
        <f>SUMIF(安全质量事故!$B:$B,C697,安全质量事故!$G:$G)</f>
        <v>0</v>
      </c>
      <c r="K698" s="72">
        <f>COUNTIF(L698:AP698,标准数据!$A$2)*标准数据!$B$2+COUNTIF(L698:AP698,标准数据!$A$3)*标准数据!$B$3+COUNTIF(L698:AP698,标准数据!$A$4)*标准数据!$B$4</f>
        <v>0</v>
      </c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192"/>
      <c r="AQ698" s="90"/>
      <c r="AR698" s="41"/>
      <c r="AS698" s="41"/>
      <c r="AT698" s="41"/>
    </row>
    <row r="699" spans="1:46" ht="21" customHeight="1">
      <c r="A699" s="267" t="s">
        <v>2104</v>
      </c>
      <c r="B699" s="45" t="s">
        <v>14</v>
      </c>
      <c r="C699" s="46" t="s">
        <v>158</v>
      </c>
      <c r="D699" s="47" t="s">
        <v>80</v>
      </c>
      <c r="E699" s="48">
        <v>44809</v>
      </c>
      <c r="F699" s="49">
        <f t="shared" si="32"/>
        <v>0</v>
      </c>
      <c r="G699" s="77">
        <f>SUMIF(积分汇总!$B:$B,C698,积分汇总!$E:$E)</f>
        <v>0</v>
      </c>
      <c r="H699" s="77">
        <f>SUMIF(记录巡查问题条数汇总!$B:$B,C698,记录巡查问题条数汇总!$E:$E)</f>
        <v>0</v>
      </c>
      <c r="I699" s="77"/>
      <c r="J699" s="77">
        <f>SUMIF(安全质量事故!$B:$B,C698,安全质量事故!$G:$G)</f>
        <v>0</v>
      </c>
      <c r="K699" s="72">
        <f>COUNTIF(L699:AP699,标准数据!$A$2)*标准数据!$B$2+COUNTIF(L699:AP699,标准数据!$A$3)*标准数据!$B$3+COUNTIF(L699:AP699,标准数据!$A$4)*标准数据!$B$4</f>
        <v>0</v>
      </c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192"/>
      <c r="AQ699" s="90"/>
      <c r="AR699" s="41"/>
      <c r="AS699" s="41"/>
      <c r="AT699" s="41"/>
    </row>
    <row r="700" spans="1:46" ht="21" customHeight="1">
      <c r="A700" s="267" t="s">
        <v>2104</v>
      </c>
      <c r="B700" s="45" t="s">
        <v>13</v>
      </c>
      <c r="C700" s="46" t="s">
        <v>664</v>
      </c>
      <c r="D700" s="47" t="s">
        <v>659</v>
      </c>
      <c r="E700" s="48">
        <v>45943</v>
      </c>
      <c r="F700" s="49">
        <f t="shared" si="32"/>
        <v>0</v>
      </c>
      <c r="G700" s="77">
        <f>SUMIF(积分汇总!$B:$B,C699,积分汇总!$E:$E)</f>
        <v>0</v>
      </c>
      <c r="H700" s="77">
        <f>SUMIF(记录巡查问题条数汇总!$B:$B,C699,记录巡查问题条数汇总!$E:$E)</f>
        <v>0</v>
      </c>
      <c r="I700" s="77"/>
      <c r="J700" s="77">
        <f>SUMIF(安全质量事故!$B:$B,C699,安全质量事故!$G:$G)</f>
        <v>0</v>
      </c>
      <c r="K700" s="72">
        <f>COUNTIF(L700:AP700,标准数据!$A$2)*标准数据!$B$2+COUNTIF(L700:AP700,标准数据!$A$3)*标准数据!$B$3+COUNTIF(L700:AP700,标准数据!$A$4)*标准数据!$B$4</f>
        <v>0</v>
      </c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192"/>
      <c r="AQ700" s="90"/>
    </row>
    <row r="701" spans="1:46" ht="21" customHeight="1">
      <c r="A701" s="267" t="s">
        <v>2104</v>
      </c>
      <c r="B701" s="45" t="s">
        <v>13</v>
      </c>
      <c r="C701" s="46" t="s">
        <v>859</v>
      </c>
      <c r="D701" s="47" t="s">
        <v>807</v>
      </c>
      <c r="E701" s="48">
        <v>45992</v>
      </c>
      <c r="F701" s="49">
        <f t="shared" si="32"/>
        <v>0</v>
      </c>
      <c r="G701" s="77">
        <f>SUMIF(积分汇总!$B:$B,C700,积分汇总!$E:$E)</f>
        <v>0</v>
      </c>
      <c r="H701" s="77">
        <f>SUMIF(记录巡查问题条数汇总!$B:$B,C700,记录巡查问题条数汇总!$E:$E)</f>
        <v>0</v>
      </c>
      <c r="I701" s="77"/>
      <c r="J701" s="77">
        <f>SUMIF(安全质量事故!$B:$B,C700,安全质量事故!$G:$G)</f>
        <v>0</v>
      </c>
      <c r="K701" s="72">
        <f>COUNTIF(L701:AP701,标准数据!$A$2)*标准数据!$B$2+COUNTIF(L701:AP701,标准数据!$A$3)*标准数据!$B$3+COUNTIF(L701:AP701,标准数据!$A$4)*标准数据!$B$4</f>
        <v>0</v>
      </c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192"/>
      <c r="AQ701" s="90"/>
    </row>
    <row r="702" spans="1:46" ht="21" customHeight="1">
      <c r="A702" s="267" t="s">
        <v>2104</v>
      </c>
      <c r="B702" s="45" t="s">
        <v>13</v>
      </c>
      <c r="C702" s="46" t="s">
        <v>931</v>
      </c>
      <c r="D702" s="47" t="s">
        <v>890</v>
      </c>
      <c r="E702" s="48">
        <v>43907</v>
      </c>
      <c r="F702" s="49">
        <f t="shared" si="32"/>
        <v>0</v>
      </c>
      <c r="G702" s="77">
        <f>SUMIF(积分汇总!$B:$B,C701,积分汇总!$E:$E)</f>
        <v>0</v>
      </c>
      <c r="H702" s="77">
        <f>SUMIF(记录巡查问题条数汇总!$B:$B,C701,记录巡查问题条数汇总!$E:$E)</f>
        <v>0</v>
      </c>
      <c r="I702" s="77"/>
      <c r="J702" s="77">
        <f>SUMIF(安全质量事故!$B:$B,C701,安全质量事故!$G:$G)</f>
        <v>0</v>
      </c>
      <c r="K702" s="72">
        <f>COUNTIF(L702:AP702,标准数据!$A$2)*标准数据!$B$2+COUNTIF(L702:AP702,标准数据!$A$3)*标准数据!$B$3+COUNTIF(L702:AP702,标准数据!$A$4)*标准数据!$B$4</f>
        <v>0</v>
      </c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192"/>
      <c r="AQ702" s="90"/>
    </row>
    <row r="703" spans="1:46" ht="21" customHeight="1">
      <c r="A703" s="267" t="s">
        <v>2104</v>
      </c>
      <c r="B703" s="45" t="s">
        <v>81</v>
      </c>
      <c r="C703" s="46" t="s">
        <v>1264</v>
      </c>
      <c r="D703" s="52" t="s">
        <v>1265</v>
      </c>
      <c r="E703" s="46">
        <v>46127</v>
      </c>
      <c r="F703" s="49">
        <f t="shared" si="32"/>
        <v>0</v>
      </c>
      <c r="G703" s="77">
        <f>SUMIF(积分汇总!$B:$B,C701,积分汇总!$E:$E)</f>
        <v>0</v>
      </c>
      <c r="H703" s="77">
        <f>SUMIF(记录巡查问题条数汇总!$B:$B,C701,记录巡查问题条数汇总!$E:$E)</f>
        <v>0</v>
      </c>
      <c r="I703" s="77"/>
      <c r="J703" s="77">
        <f>SUMIF(安全质量事故!$B:$B,C701,安全质量事故!$G:$G)</f>
        <v>0</v>
      </c>
      <c r="K703" s="72">
        <f>COUNTIF(L703:AP703,标准数据!$A$2)*标准数据!$B$2+COUNTIF(L703:AP703,标准数据!$A$3)*标准数据!$B$3+COUNTIF(L703:AP703,标准数据!$A$4)*标准数据!$B$4</f>
        <v>0</v>
      </c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192"/>
      <c r="AQ703" s="90"/>
      <c r="AR703" s="41"/>
      <c r="AS703" s="41"/>
      <c r="AT703" s="41"/>
    </row>
    <row r="704" spans="1:46" ht="21" customHeight="1">
      <c r="A704" s="267" t="s">
        <v>2104</v>
      </c>
      <c r="B704" s="45" t="s">
        <v>14</v>
      </c>
      <c r="C704" s="46" t="s">
        <v>164</v>
      </c>
      <c r="D704" s="47" t="s">
        <v>73</v>
      </c>
      <c r="E704" s="48">
        <v>44774</v>
      </c>
      <c r="F704" s="49">
        <f t="shared" si="32"/>
        <v>0</v>
      </c>
      <c r="G704" s="77">
        <f>SUMIF(积分汇总!$B:$B,C703,积分汇总!$E:$E)</f>
        <v>0</v>
      </c>
      <c r="H704" s="77">
        <f>SUMIF(记录巡查问题条数汇总!$B:$B,C703,记录巡查问题条数汇总!$E:$E)</f>
        <v>0</v>
      </c>
      <c r="I704" s="77"/>
      <c r="J704" s="77">
        <f>SUMIF(安全质量事故!$B:$B,C703,安全质量事故!$G:$G)</f>
        <v>0</v>
      </c>
      <c r="K704" s="72">
        <f>COUNTIF(L704:AP704,标准数据!$A$2)*标准数据!$B$2+COUNTIF(L704:AP704,标准数据!$A$3)*标准数据!$B$3+COUNTIF(L704:AP704,标准数据!$A$4)*标准数据!$B$4</f>
        <v>0</v>
      </c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192"/>
      <c r="AQ704" s="90"/>
      <c r="AR704" s="41"/>
      <c r="AS704" s="41"/>
      <c r="AT704" s="41"/>
    </row>
    <row r="705" spans="1:46" ht="21" customHeight="1">
      <c r="A705" s="267" t="s">
        <v>2104</v>
      </c>
      <c r="B705" s="45" t="s">
        <v>14</v>
      </c>
      <c r="C705" s="46" t="s">
        <v>298</v>
      </c>
      <c r="D705" s="47" t="s">
        <v>291</v>
      </c>
      <c r="E705" s="48">
        <v>45588</v>
      </c>
      <c r="F705" s="49">
        <f t="shared" si="32"/>
        <v>0</v>
      </c>
      <c r="G705" s="77">
        <f>SUMIF(积分汇总!$B:$B,#REF!,积分汇总!$E:$E)</f>
        <v>0</v>
      </c>
      <c r="H705" s="77">
        <f>SUMIF(记录巡查问题条数汇总!$B:$B,#REF!,记录巡查问题条数汇总!$E:$E)</f>
        <v>0</v>
      </c>
      <c r="I705" s="77"/>
      <c r="J705" s="77">
        <f>SUMIF(安全质量事故!$B:$B,#REF!,安全质量事故!$G:$G)</f>
        <v>0</v>
      </c>
      <c r="K705" s="72">
        <f>COUNTIF(L705:AP705,标准数据!$A$2)*标准数据!$B$2+COUNTIF(L705:AP705,标准数据!$A$3)*标准数据!$B$3+COUNTIF(L705:AP705,标准数据!$A$4)*标准数据!$B$4</f>
        <v>0</v>
      </c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189"/>
      <c r="AQ705" s="55"/>
    </row>
    <row r="706" spans="1:46" ht="21" customHeight="1">
      <c r="A706" s="267" t="s">
        <v>2104</v>
      </c>
      <c r="B706" s="45" t="s">
        <v>14</v>
      </c>
      <c r="C706" s="46" t="s">
        <v>349</v>
      </c>
      <c r="D706" s="47" t="s">
        <v>340</v>
      </c>
      <c r="E706" s="48">
        <v>45644</v>
      </c>
      <c r="F706" s="49">
        <f t="shared" si="32"/>
        <v>0</v>
      </c>
      <c r="G706" s="77">
        <f>SUMIF(积分汇总!$B:$B,#REF!,积分汇总!$E:$E)</f>
        <v>0</v>
      </c>
      <c r="H706" s="77">
        <f>SUMIF(记录巡查问题条数汇总!$B:$B,#REF!,记录巡查问题条数汇总!$E:$E)</f>
        <v>0</v>
      </c>
      <c r="I706" s="77"/>
      <c r="J706" s="77">
        <f>SUMIF(安全质量事故!$B:$B,#REF!,安全质量事故!$G:$G)</f>
        <v>0</v>
      </c>
      <c r="K706" s="72">
        <f>COUNTIF(L706:AP706,标准数据!$A$2)*标准数据!$B$2+COUNTIF(L706:AP706,标准数据!$A$3)*标准数据!$B$3+COUNTIF(L706:AP706,标准数据!$A$4)*标准数据!$B$4</f>
        <v>0</v>
      </c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192"/>
      <c r="AQ706" s="90"/>
      <c r="AR706" s="41"/>
      <c r="AS706" s="41"/>
      <c r="AT706" s="41"/>
    </row>
    <row r="707" spans="1:46" ht="21" customHeight="1">
      <c r="A707" s="267" t="s">
        <v>2104</v>
      </c>
      <c r="B707" s="45" t="s">
        <v>14</v>
      </c>
      <c r="C707" s="46" t="s">
        <v>357</v>
      </c>
      <c r="D707" s="47" t="s">
        <v>354</v>
      </c>
      <c r="E707" s="48">
        <v>45651</v>
      </c>
      <c r="F707" s="49">
        <f t="shared" si="32"/>
        <v>0</v>
      </c>
      <c r="G707" s="77">
        <f>SUMIF(积分汇总!$B:$B,C706,积分汇总!$E:$E)</f>
        <v>0</v>
      </c>
      <c r="H707" s="77">
        <f>SUMIF(记录巡查问题条数汇总!$B:$B,C706,记录巡查问题条数汇总!$E:$E)</f>
        <v>0</v>
      </c>
      <c r="I707" s="77"/>
      <c r="J707" s="77">
        <f>SUMIF(安全质量事故!$B:$B,C706,安全质量事故!$G:$G)</f>
        <v>0</v>
      </c>
      <c r="K707" s="72">
        <f>COUNTIF(L707:AP707,标准数据!$A$2)*标准数据!$B$2+COUNTIF(L707:AP707,标准数据!$A$3)*标准数据!$B$3+COUNTIF(L707:AP707,标准数据!$A$4)*标准数据!$B$4</f>
        <v>0</v>
      </c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192"/>
      <c r="AQ707" s="90"/>
      <c r="AR707" s="41"/>
      <c r="AS707" s="41"/>
      <c r="AT707" s="41"/>
    </row>
    <row r="708" spans="1:46" ht="21" customHeight="1">
      <c r="A708" s="267" t="s">
        <v>2104</v>
      </c>
      <c r="B708" s="45" t="s">
        <v>14</v>
      </c>
      <c r="C708" s="46" t="s">
        <v>226</v>
      </c>
      <c r="D708" s="52" t="s">
        <v>227</v>
      </c>
      <c r="E708" s="48">
        <v>45483</v>
      </c>
      <c r="F708" s="49">
        <f t="shared" si="32"/>
        <v>0</v>
      </c>
      <c r="G708" s="77">
        <f>SUMIF(积分汇总!$B:$B,C707,积分汇总!$E:$E)</f>
        <v>0</v>
      </c>
      <c r="H708" s="77">
        <f>SUMIF(记录巡查问题条数汇总!$B:$B,C707,记录巡查问题条数汇总!$E:$E)</f>
        <v>0</v>
      </c>
      <c r="I708" s="77"/>
      <c r="J708" s="77">
        <f>SUMIF(安全质量事故!$B:$B,C707,安全质量事故!$G:$G)</f>
        <v>0</v>
      </c>
      <c r="K708" s="72">
        <f>COUNTIF(L708:AP708,标准数据!$A$2)*标准数据!$B$2+COUNTIF(L708:AP708,标准数据!$A$3)*标准数据!$B$3+COUNTIF(L708:AP708,标准数据!$A$4)*标准数据!$B$4</f>
        <v>0</v>
      </c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192"/>
      <c r="AQ708" s="90"/>
      <c r="AR708" s="41"/>
      <c r="AS708" s="41"/>
      <c r="AT708" s="41"/>
    </row>
    <row r="709" spans="1:46" ht="21" customHeight="1">
      <c r="A709" s="267" t="s">
        <v>2104</v>
      </c>
      <c r="B709" s="45" t="s">
        <v>14</v>
      </c>
      <c r="C709" s="46" t="s">
        <v>251</v>
      </c>
      <c r="D709" s="52" t="s">
        <v>255</v>
      </c>
      <c r="E709" s="48">
        <v>44617</v>
      </c>
      <c r="F709" s="49">
        <f t="shared" ref="F709:F760" si="33">(K709+G709+H709+I709-J709)</f>
        <v>0</v>
      </c>
      <c r="G709" s="77">
        <f>SUMIF(积分汇总!$B:$B,C708,积分汇总!$E:$E)</f>
        <v>0</v>
      </c>
      <c r="H709" s="77">
        <f>SUMIF(记录巡查问题条数汇总!$B:$B,C708,记录巡查问题条数汇总!$E:$E)</f>
        <v>0</v>
      </c>
      <c r="I709" s="77"/>
      <c r="J709" s="77">
        <f>SUMIF(安全质量事故!$B:$B,C708,安全质量事故!$G:$G)</f>
        <v>0</v>
      </c>
      <c r="K709" s="72">
        <f>COUNTIF(L709:AP709,标准数据!$A$2)*标准数据!$B$2+COUNTIF(L709:AP709,标准数据!$A$3)*标准数据!$B$3+COUNTIF(L709:AP709,标准数据!$A$4)*标准数据!$B$4</f>
        <v>0</v>
      </c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192"/>
      <c r="AQ709" s="90"/>
      <c r="AR709" s="41"/>
      <c r="AS709" s="41"/>
      <c r="AT709" s="41"/>
    </row>
    <row r="710" spans="1:46" ht="21" customHeight="1">
      <c r="A710" s="267" t="s">
        <v>2104</v>
      </c>
      <c r="B710" s="45" t="s">
        <v>14</v>
      </c>
      <c r="C710" s="46" t="s">
        <v>554</v>
      </c>
      <c r="D710" s="52" t="s">
        <v>529</v>
      </c>
      <c r="E710" s="48">
        <v>45875</v>
      </c>
      <c r="F710" s="49">
        <f t="shared" si="33"/>
        <v>0</v>
      </c>
      <c r="G710" s="77">
        <f>SUMIF(积分汇总!$B:$B,#REF!,积分汇总!$E:$E)</f>
        <v>0</v>
      </c>
      <c r="H710" s="77">
        <f>SUMIF(记录巡查问题条数汇总!$B:$B,#REF!,记录巡查问题条数汇总!$E:$E)</f>
        <v>0</v>
      </c>
      <c r="I710" s="77"/>
      <c r="J710" s="77">
        <f>SUMIF(安全质量事故!$B:$B,#REF!,安全质量事故!$G:$G)</f>
        <v>0</v>
      </c>
      <c r="K710" s="72">
        <f>COUNTIF(L710:AP710,标准数据!$A$2)*标准数据!$B$2+COUNTIF(L710:AP710,标准数据!$A$3)*标准数据!$B$3+COUNTIF(L710:AP710,标准数据!$A$4)*标准数据!$B$4</f>
        <v>0</v>
      </c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189"/>
      <c r="AQ710" s="55"/>
    </row>
    <row r="711" spans="1:46" ht="21" customHeight="1">
      <c r="A711" s="267" t="s">
        <v>2104</v>
      </c>
      <c r="B711" s="45" t="s">
        <v>14</v>
      </c>
      <c r="C711" s="46" t="s">
        <v>489</v>
      </c>
      <c r="D711" s="47" t="s">
        <v>458</v>
      </c>
      <c r="E711" s="48">
        <v>45847</v>
      </c>
      <c r="F711" s="49">
        <f t="shared" si="33"/>
        <v>0</v>
      </c>
      <c r="G711" s="77">
        <f>SUMIF(积分汇总!$B:$B,C710,积分汇总!$E:$E)</f>
        <v>0</v>
      </c>
      <c r="H711" s="77">
        <f>SUMIF(记录巡查问题条数汇总!$B:$B,C710,记录巡查问题条数汇总!$E:$E)</f>
        <v>0</v>
      </c>
      <c r="I711" s="77"/>
      <c r="J711" s="77">
        <f>SUMIF(安全质量事故!$B:$B,C710,安全质量事故!$G:$G)</f>
        <v>0</v>
      </c>
      <c r="K711" s="72">
        <f>COUNTIF(L711:AP711,标准数据!$A$2)*标准数据!$B$2+COUNTIF(L711:AP711,标准数据!$A$3)*标准数据!$B$3+COUNTIF(L711:AP711,标准数据!$A$4)*标准数据!$B$4</f>
        <v>0</v>
      </c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189"/>
      <c r="AQ711" s="55"/>
    </row>
    <row r="712" spans="1:46" ht="21" customHeight="1">
      <c r="A712" s="267" t="s">
        <v>2104</v>
      </c>
      <c r="B712" s="45" t="s">
        <v>14</v>
      </c>
      <c r="C712" s="46" t="s">
        <v>625</v>
      </c>
      <c r="D712" s="47" t="s">
        <v>590</v>
      </c>
      <c r="E712" s="48">
        <v>45910</v>
      </c>
      <c r="F712" s="49">
        <f t="shared" si="33"/>
        <v>0</v>
      </c>
      <c r="G712" s="77">
        <f>SUMIF(积分汇总!$B:$B,C711,积分汇总!$E:$E)</f>
        <v>0</v>
      </c>
      <c r="H712" s="77">
        <f>SUMIF(记录巡查问题条数汇总!$B:$B,C711,记录巡查问题条数汇总!$E:$E)</f>
        <v>0</v>
      </c>
      <c r="I712" s="77"/>
      <c r="J712" s="77">
        <f>SUMIF(安全质量事故!$B:$B,C711,安全质量事故!$G:$G)</f>
        <v>0</v>
      </c>
      <c r="K712" s="72">
        <f>COUNTIF(L712:AP712,标准数据!$A$2)*标准数据!$B$2+COUNTIF(L712:AP712,标准数据!$A$3)*标准数据!$B$3+COUNTIF(L712:AP712,标准数据!$A$4)*标准数据!$B$4</f>
        <v>0</v>
      </c>
      <c r="L712" s="90"/>
      <c r="M712" s="90"/>
      <c r="N712" s="90"/>
      <c r="O712" s="90"/>
      <c r="P712" s="90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189"/>
      <c r="AQ712" s="55"/>
    </row>
    <row r="713" spans="1:46" ht="21" customHeight="1">
      <c r="A713" s="267" t="s">
        <v>2104</v>
      </c>
      <c r="B713" s="45" t="s">
        <v>14</v>
      </c>
      <c r="C713" s="46" t="s">
        <v>556</v>
      </c>
      <c r="D713" s="47" t="s">
        <v>531</v>
      </c>
      <c r="E713" s="48">
        <v>45882</v>
      </c>
      <c r="F713" s="49">
        <f t="shared" si="33"/>
        <v>0</v>
      </c>
      <c r="G713" s="77">
        <f>SUMIF(积分汇总!$B:$B,C712,积分汇总!$E:$E)</f>
        <v>0</v>
      </c>
      <c r="H713" s="77">
        <f>SUMIF(记录巡查问题条数汇总!$B:$B,C712,记录巡查问题条数汇总!$E:$E)</f>
        <v>0</v>
      </c>
      <c r="I713" s="77"/>
      <c r="J713" s="77">
        <f>SUMIF(安全质量事故!$B:$B,C712,安全质量事故!$G:$G)</f>
        <v>0</v>
      </c>
      <c r="K713" s="72">
        <f>COUNTIF(L713:AP713,标准数据!$A$2)*标准数据!$B$2+COUNTIF(L713:AP713,标准数据!$A$3)*标准数据!$B$3+COUNTIF(L713:AP713,标准数据!$A$4)*标准数据!$B$4</f>
        <v>0</v>
      </c>
      <c r="L713" s="90"/>
      <c r="M713" s="90"/>
      <c r="N713" s="90"/>
      <c r="O713" s="90"/>
      <c r="P713" s="90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189"/>
      <c r="AQ713" s="55"/>
    </row>
    <row r="714" spans="1:46" ht="21" customHeight="1">
      <c r="A714" s="267" t="s">
        <v>2104</v>
      </c>
      <c r="B714" s="45" t="s">
        <v>14</v>
      </c>
      <c r="C714" s="46" t="s">
        <v>741</v>
      </c>
      <c r="D714" s="47" t="s">
        <v>710</v>
      </c>
      <c r="E714" s="48">
        <v>45980</v>
      </c>
      <c r="F714" s="49">
        <f t="shared" si="33"/>
        <v>0</v>
      </c>
      <c r="G714" s="77">
        <f>SUMIF(积分汇总!$B:$B,C713,积分汇总!$E:$E)</f>
        <v>0</v>
      </c>
      <c r="H714" s="77">
        <f>SUMIF(记录巡查问题条数汇总!$B:$B,C713,记录巡查问题条数汇总!$E:$E)</f>
        <v>0</v>
      </c>
      <c r="I714" s="77"/>
      <c r="J714" s="77">
        <f>SUMIF(安全质量事故!$B:$B,C713,安全质量事故!$G:$G)</f>
        <v>0</v>
      </c>
      <c r="K714" s="72">
        <f>COUNTIF(L714:AP714,标准数据!$A$2)*标准数据!$B$2+COUNTIF(L714:AP714,标准数据!$A$3)*标准数据!$B$3+COUNTIF(L714:AP714,标准数据!$A$4)*标准数据!$B$4</f>
        <v>0</v>
      </c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192"/>
      <c r="AQ714" s="90"/>
    </row>
    <row r="715" spans="1:46" ht="21" customHeight="1">
      <c r="A715" s="267" t="s">
        <v>2104</v>
      </c>
      <c r="B715" s="45" t="s">
        <v>14</v>
      </c>
      <c r="C715" s="46" t="s">
        <v>861</v>
      </c>
      <c r="D715" s="47" t="s">
        <v>808</v>
      </c>
      <c r="E715" s="48">
        <v>46008</v>
      </c>
      <c r="F715" s="49">
        <f t="shared" si="33"/>
        <v>0</v>
      </c>
      <c r="G715" s="77">
        <f>SUMIF(积分汇总!$B:$B,C714,积分汇总!$E:$E)</f>
        <v>0</v>
      </c>
      <c r="H715" s="77">
        <f>SUMIF(记录巡查问题条数汇总!$B:$B,C714,记录巡查问题条数汇总!$E:$E)</f>
        <v>0</v>
      </c>
      <c r="I715" s="77"/>
      <c r="J715" s="77">
        <f>SUMIF(安全质量事故!$B:$B,C714,安全质量事故!$G:$G)</f>
        <v>0</v>
      </c>
      <c r="K715" s="72">
        <f>COUNTIF(L715:AP715,标准数据!$A$2)*标准数据!$B$2+COUNTIF(L715:AP715,标准数据!$A$3)*标准数据!$B$3+COUNTIF(L715:AP715,标准数据!$A$4)*标准数据!$B$4</f>
        <v>0</v>
      </c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192"/>
      <c r="AQ715" s="90"/>
      <c r="AR715" s="41"/>
      <c r="AS715" s="41"/>
      <c r="AT715" s="41"/>
    </row>
    <row r="716" spans="1:46" ht="21" customHeight="1">
      <c r="A716" s="267" t="s">
        <v>2104</v>
      </c>
      <c r="B716" s="45" t="s">
        <v>14</v>
      </c>
      <c r="C716" s="46" t="s">
        <v>923</v>
      </c>
      <c r="D716" s="47" t="s">
        <v>891</v>
      </c>
      <c r="E716" s="48">
        <v>46015</v>
      </c>
      <c r="F716" s="49">
        <f t="shared" si="33"/>
        <v>0</v>
      </c>
      <c r="G716" s="77">
        <f>SUMIF(积分汇总!$B:$B,C715,积分汇总!$E:$E)</f>
        <v>0</v>
      </c>
      <c r="H716" s="77">
        <f>SUMIF(记录巡查问题条数汇总!$B:$B,C715,记录巡查问题条数汇总!$E:$E)</f>
        <v>0</v>
      </c>
      <c r="I716" s="77"/>
      <c r="J716" s="77">
        <f>SUMIF(安全质量事故!$B:$B,C715,安全质量事故!$G:$G)</f>
        <v>0</v>
      </c>
      <c r="K716" s="72">
        <f>COUNTIF(L716:AP716,标准数据!$A$2)*标准数据!$B$2+COUNTIF(L716:AP716,标准数据!$A$3)*标准数据!$B$3+COUNTIF(L716:AP716,标准数据!$A$4)*标准数据!$B$4</f>
        <v>0</v>
      </c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189"/>
      <c r="AQ716" s="55"/>
    </row>
    <row r="717" spans="1:46" ht="21" customHeight="1">
      <c r="A717" s="267" t="s">
        <v>2104</v>
      </c>
      <c r="B717" s="45" t="s">
        <v>14</v>
      </c>
      <c r="C717" s="46" t="s">
        <v>829</v>
      </c>
      <c r="D717" s="47" t="s">
        <v>787</v>
      </c>
      <c r="E717" s="48">
        <v>45994</v>
      </c>
      <c r="F717" s="49">
        <f t="shared" si="33"/>
        <v>0</v>
      </c>
      <c r="G717" s="77">
        <f>SUMIF(积分汇总!$B:$B,#REF!,积分汇总!$E:$E)</f>
        <v>0</v>
      </c>
      <c r="H717" s="77">
        <f>SUMIF(记录巡查问题条数汇总!$B:$B,#REF!,记录巡查问题条数汇总!$E:$E)</f>
        <v>0</v>
      </c>
      <c r="I717" s="77"/>
      <c r="J717" s="77">
        <f>SUMIF(安全质量事故!$B:$B,#REF!,安全质量事故!$G:$G)</f>
        <v>0</v>
      </c>
      <c r="K717" s="72">
        <f>COUNTIF(L717:AP717,标准数据!$A$2)*标准数据!$B$2+COUNTIF(L717:AP717,标准数据!$A$3)*标准数据!$B$3+COUNTIF(L717:AP717,标准数据!$A$4)*标准数据!$B$4</f>
        <v>0</v>
      </c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189"/>
      <c r="AQ717" s="55"/>
      <c r="AR717" s="41"/>
      <c r="AS717" s="41"/>
      <c r="AT717" s="41"/>
    </row>
    <row r="718" spans="1:46" ht="21" customHeight="1">
      <c r="A718" s="267" t="s">
        <v>2104</v>
      </c>
      <c r="B718" s="45" t="s">
        <v>14</v>
      </c>
      <c r="C718" s="46" t="s">
        <v>1248</v>
      </c>
      <c r="D718" s="47" t="s">
        <v>1249</v>
      </c>
      <c r="E718" s="48">
        <v>46120</v>
      </c>
      <c r="F718" s="49">
        <f t="shared" si="33"/>
        <v>0</v>
      </c>
      <c r="G718" s="77">
        <f>SUMIF(积分汇总!$B:$B,C717,积分汇总!$E:$E)</f>
        <v>0</v>
      </c>
      <c r="H718" s="77">
        <f>SUMIF(记录巡查问题条数汇总!$B:$B,C717,记录巡查问题条数汇总!$E:$E)</f>
        <v>0</v>
      </c>
      <c r="I718" s="77"/>
      <c r="J718" s="77">
        <f>SUMIF(安全质量事故!$B:$B,C717,安全质量事故!$G:$G)</f>
        <v>0</v>
      </c>
      <c r="K718" s="72">
        <f>COUNTIF(L718:AP718,标准数据!$A$2)*标准数据!$B$2+COUNTIF(L718:AP718,标准数据!$A$3)*标准数据!$B$3+COUNTIF(L718:AP718,标准数据!$A$4)*标准数据!$B$4</f>
        <v>0</v>
      </c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189"/>
      <c r="AQ718" s="55"/>
      <c r="AR718" s="41"/>
      <c r="AS718" s="41"/>
      <c r="AT718" s="41"/>
    </row>
    <row r="719" spans="1:46" ht="21" customHeight="1">
      <c r="A719" s="267" t="s">
        <v>2104</v>
      </c>
      <c r="B719" s="45" t="s">
        <v>14</v>
      </c>
      <c r="C719" s="46" t="s">
        <v>1250</v>
      </c>
      <c r="D719" s="52" t="s">
        <v>1251</v>
      </c>
      <c r="E719" s="46">
        <v>46125</v>
      </c>
      <c r="F719" s="49">
        <f t="shared" si="33"/>
        <v>0</v>
      </c>
      <c r="G719" s="77">
        <f>SUMIF(积分汇总!$B:$B,C718,积分汇总!$E:$E)</f>
        <v>0</v>
      </c>
      <c r="H719" s="77">
        <f>SUMIF(记录巡查问题条数汇总!$B:$B,C718,记录巡查问题条数汇总!$E:$E)</f>
        <v>0</v>
      </c>
      <c r="I719" s="77"/>
      <c r="J719" s="77">
        <f>SUMIF(安全质量事故!$B:$B,C718,安全质量事故!$G:$G)</f>
        <v>0</v>
      </c>
      <c r="K719" s="72">
        <f>COUNTIF(L719:AP719,标准数据!$A$2)*标准数据!$B$2+COUNTIF(L719:AP719,标准数据!$A$3)*标准数据!$B$3+COUNTIF(L719:AP719,标准数据!$A$4)*标准数据!$B$4</f>
        <v>0</v>
      </c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189"/>
      <c r="AQ719" s="55"/>
      <c r="AR719" s="41"/>
      <c r="AS719" s="41"/>
      <c r="AT719" s="41"/>
    </row>
    <row r="720" spans="1:46" ht="21" customHeight="1">
      <c r="A720" s="267" t="s">
        <v>2104</v>
      </c>
      <c r="B720" s="45" t="s">
        <v>14</v>
      </c>
      <c r="C720" s="46" t="s">
        <v>1252</v>
      </c>
      <c r="D720" s="52" t="s">
        <v>1253</v>
      </c>
      <c r="E720" s="48">
        <v>46127</v>
      </c>
      <c r="F720" s="49">
        <f t="shared" si="33"/>
        <v>0</v>
      </c>
      <c r="G720" s="77">
        <f>SUMIF(积分汇总!$B:$B,C719,积分汇总!$E:$E)</f>
        <v>0</v>
      </c>
      <c r="H720" s="77">
        <f>SUMIF(记录巡查问题条数汇总!$B:$B,C719,记录巡查问题条数汇总!$E:$E)</f>
        <v>0</v>
      </c>
      <c r="I720" s="77"/>
      <c r="J720" s="77">
        <f>SUMIF(安全质量事故!$B:$B,C719,安全质量事故!$G:$G)</f>
        <v>0</v>
      </c>
      <c r="K720" s="72">
        <f>COUNTIF(L720:AP720,标准数据!$A$2)*标准数据!$B$2+COUNTIF(L720:AP720,标准数据!$A$3)*标准数据!$B$3+COUNTIF(L720:AP720,标准数据!$A$4)*标准数据!$B$4</f>
        <v>0</v>
      </c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192"/>
      <c r="AQ720" s="90"/>
    </row>
    <row r="721" spans="1:46" ht="21" customHeight="1">
      <c r="A721" s="267" t="s">
        <v>2104</v>
      </c>
      <c r="B721" s="45" t="s">
        <v>14</v>
      </c>
      <c r="C721" s="46" t="s">
        <v>1254</v>
      </c>
      <c r="D721" s="47" t="s">
        <v>1255</v>
      </c>
      <c r="E721" s="48">
        <v>46113</v>
      </c>
      <c r="F721" s="49">
        <f t="shared" si="33"/>
        <v>0</v>
      </c>
      <c r="G721" s="77">
        <f>SUMIF(积分汇总!$B:$B,C720,积分汇总!$E:$E)</f>
        <v>0</v>
      </c>
      <c r="H721" s="77">
        <f>SUMIF(记录巡查问题条数汇总!$B:$B,C720,记录巡查问题条数汇总!$E:$E)</f>
        <v>0</v>
      </c>
      <c r="I721" s="77"/>
      <c r="J721" s="77">
        <f>SUMIF(安全质量事故!$B:$B,C720,安全质量事故!$G:$G)</f>
        <v>0</v>
      </c>
      <c r="K721" s="72">
        <f>COUNTIF(L721:AP721,标准数据!$A$2)*标准数据!$B$2+COUNTIF(L721:AP721,标准数据!$A$3)*标准数据!$B$3+COUNTIF(L721:AP721,标准数据!$A$4)*标准数据!$B$4</f>
        <v>0</v>
      </c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192"/>
      <c r="AQ721" s="90"/>
      <c r="AR721" s="41"/>
      <c r="AS721" s="41"/>
      <c r="AT721" s="41"/>
    </row>
    <row r="722" spans="1:46" ht="21" customHeight="1">
      <c r="A722" s="267" t="s">
        <v>2104</v>
      </c>
      <c r="B722" s="45" t="s">
        <v>14</v>
      </c>
      <c r="C722" s="46" t="s">
        <v>1256</v>
      </c>
      <c r="D722" s="47" t="s">
        <v>1257</v>
      </c>
      <c r="E722" s="48">
        <v>46120</v>
      </c>
      <c r="F722" s="49">
        <f t="shared" si="33"/>
        <v>0</v>
      </c>
      <c r="G722" s="77">
        <f>SUMIF(积分汇总!$B:$B,C721,积分汇总!$E:$E)</f>
        <v>0</v>
      </c>
      <c r="H722" s="77">
        <f>SUMIF(记录巡查问题条数汇总!$B:$B,C721,记录巡查问题条数汇总!$E:$E)</f>
        <v>0</v>
      </c>
      <c r="I722" s="77"/>
      <c r="J722" s="77">
        <f>SUMIF(安全质量事故!$B:$B,C721,安全质量事故!$G:$G)</f>
        <v>0</v>
      </c>
      <c r="K722" s="72">
        <f>COUNTIF(L722:AP722,标准数据!$A$2)*标准数据!$B$2+COUNTIF(L722:AP722,标准数据!$A$3)*标准数据!$B$3+COUNTIF(L722:AP722,标准数据!$A$4)*标准数据!$B$4</f>
        <v>0</v>
      </c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189"/>
      <c r="AQ722" s="55"/>
    </row>
    <row r="723" spans="1:46" ht="21" customHeight="1">
      <c r="A723" s="267" t="s">
        <v>2104</v>
      </c>
      <c r="B723" s="45" t="s">
        <v>14</v>
      </c>
      <c r="C723" s="46" t="s">
        <v>1258</v>
      </c>
      <c r="D723" s="47" t="s">
        <v>1259</v>
      </c>
      <c r="E723" s="48">
        <v>46127</v>
      </c>
      <c r="F723" s="49">
        <f t="shared" si="33"/>
        <v>0</v>
      </c>
      <c r="G723" s="77">
        <f>SUMIF(积分汇总!$B:$B,C722,积分汇总!$E:$E)</f>
        <v>0</v>
      </c>
      <c r="H723" s="77">
        <f>SUMIF(记录巡查问题条数汇总!$B:$B,C722,记录巡查问题条数汇总!$E:$E)</f>
        <v>0</v>
      </c>
      <c r="I723" s="77"/>
      <c r="J723" s="77">
        <f>SUMIF(安全质量事故!$B:$B,C722,安全质量事故!$G:$G)</f>
        <v>0</v>
      </c>
      <c r="K723" s="72">
        <f>COUNTIF(L723:AP723,标准数据!$A$2)*标准数据!$B$2+COUNTIF(L723:AP723,标准数据!$A$3)*标准数据!$B$3+COUNTIF(L723:AP723,标准数据!$A$4)*标准数据!$B$4</f>
        <v>0</v>
      </c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189"/>
      <c r="AQ723" s="55"/>
    </row>
    <row r="724" spans="1:46" ht="21" customHeight="1">
      <c r="A724" s="267" t="s">
        <v>2104</v>
      </c>
      <c r="B724" s="45" t="s">
        <v>87</v>
      </c>
      <c r="C724" s="46" t="s">
        <v>1260</v>
      </c>
      <c r="D724" s="52" t="s">
        <v>1261</v>
      </c>
      <c r="E724" s="46">
        <v>46127</v>
      </c>
      <c r="F724" s="49">
        <f t="shared" si="33"/>
        <v>0</v>
      </c>
      <c r="G724" s="77">
        <f>SUMIF(积分汇总!$B:$B,C723,积分汇总!$E:$E)</f>
        <v>0</v>
      </c>
      <c r="H724" s="77">
        <f>SUMIF(记录巡查问题条数汇总!$B:$B,C723,记录巡查问题条数汇总!$E:$E)</f>
        <v>0</v>
      </c>
      <c r="I724" s="77"/>
      <c r="J724" s="77">
        <f>SUMIF(安全质量事故!$B:$B,C723,安全质量事故!$G:$G)</f>
        <v>0</v>
      </c>
      <c r="K724" s="72">
        <f>COUNTIF(L724:AP724,标准数据!$A$2)*标准数据!$B$2+COUNTIF(L724:AP724,标准数据!$A$3)*标准数据!$B$3+COUNTIF(L724:AP724,标准数据!$A$4)*标准数据!$B$4</f>
        <v>0</v>
      </c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189"/>
      <c r="AQ724" s="55"/>
      <c r="AR724" s="41"/>
      <c r="AS724" s="41"/>
      <c r="AT724" s="41"/>
    </row>
    <row r="725" spans="1:46" ht="21" customHeight="1">
      <c r="A725" s="267" t="s">
        <v>2104</v>
      </c>
      <c r="B725" s="45" t="s">
        <v>87</v>
      </c>
      <c r="C725" s="46" t="s">
        <v>1262</v>
      </c>
      <c r="D725" s="52" t="s">
        <v>1263</v>
      </c>
      <c r="E725" s="46">
        <v>46127</v>
      </c>
      <c r="F725" s="49">
        <f t="shared" si="33"/>
        <v>0</v>
      </c>
      <c r="G725" s="77">
        <f>SUMIF(积分汇总!$B:$B,C724,积分汇总!$E:$E)</f>
        <v>0</v>
      </c>
      <c r="H725" s="77">
        <f>SUMIF(记录巡查问题条数汇总!$B:$B,C724,记录巡查问题条数汇总!$E:$E)</f>
        <v>0</v>
      </c>
      <c r="I725" s="77"/>
      <c r="J725" s="77">
        <f>SUMIF(安全质量事故!$B:$B,C724,安全质量事故!$G:$G)</f>
        <v>0</v>
      </c>
      <c r="K725" s="72">
        <f>COUNTIF(L725:AP725,标准数据!$A$2)*标准数据!$B$2+COUNTIF(L725:AP725,标准数据!$A$3)*标准数据!$B$3+COUNTIF(L725:AP725,标准数据!$A$4)*标准数据!$B$4</f>
        <v>0</v>
      </c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189"/>
      <c r="AQ725" s="55"/>
      <c r="AR725" s="41"/>
      <c r="AS725" s="41"/>
      <c r="AT725" s="41"/>
    </row>
    <row r="726" spans="1:46" ht="21" customHeight="1">
      <c r="A726" s="267" t="s">
        <v>2104</v>
      </c>
      <c r="B726" s="45" t="s">
        <v>87</v>
      </c>
      <c r="C726" s="46" t="s">
        <v>840</v>
      </c>
      <c r="D726" s="52" t="s">
        <v>801</v>
      </c>
      <c r="E726" s="46">
        <v>45889</v>
      </c>
      <c r="F726" s="49">
        <f t="shared" si="33"/>
        <v>0</v>
      </c>
      <c r="G726" s="77">
        <f>SUMIF(积分汇总!$B:$B,C725,积分汇总!$E:$E)</f>
        <v>0</v>
      </c>
      <c r="H726" s="77">
        <f>SUMIF(记录巡查问题条数汇总!$B:$B,C725,记录巡查问题条数汇总!$E:$E)</f>
        <v>0</v>
      </c>
      <c r="I726" s="77"/>
      <c r="J726" s="77">
        <f>SUMIF(安全质量事故!$B:$B,C725,安全质量事故!$G:$G)</f>
        <v>0</v>
      </c>
      <c r="K726" s="72">
        <f>COUNTIF(L726:AP726,标准数据!$A$2)*标准数据!$B$2+COUNTIF(L726:AP726,标准数据!$A$3)*标准数据!$B$3+COUNTIF(L726:AP726,标准数据!$A$4)*标准数据!$B$4</f>
        <v>0</v>
      </c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189"/>
      <c r="AQ726" s="55"/>
      <c r="AR726" s="41"/>
      <c r="AS726" s="41"/>
      <c r="AT726" s="41"/>
    </row>
    <row r="727" spans="1:46" ht="21" customHeight="1">
      <c r="A727" s="267" t="s">
        <v>2104</v>
      </c>
      <c r="B727" s="45" t="s">
        <v>14</v>
      </c>
      <c r="C727" s="46" t="s">
        <v>841</v>
      </c>
      <c r="D727" s="52" t="s">
        <v>802</v>
      </c>
      <c r="E727" s="48">
        <v>45987</v>
      </c>
      <c r="F727" s="49">
        <f t="shared" si="33"/>
        <v>0</v>
      </c>
      <c r="G727" s="77">
        <f>SUMIF(积分汇总!$B:$B,C726,积分汇总!$E:$E)</f>
        <v>0</v>
      </c>
      <c r="H727" s="77">
        <f>SUMIF(记录巡查问题条数汇总!$B:$B,C726,记录巡查问题条数汇总!$E:$E)</f>
        <v>0</v>
      </c>
      <c r="I727" s="77"/>
      <c r="J727" s="77">
        <f>SUMIF(安全质量事故!$B:$B,C726,安全质量事故!$G:$G)</f>
        <v>0</v>
      </c>
      <c r="K727" s="72">
        <f>COUNTIF(L727:AP727,标准数据!$A$2)*标准数据!$B$2+COUNTIF(L727:AP727,标准数据!$A$3)*标准数据!$B$3+COUNTIF(L727:AP727,标准数据!$A$4)*标准数据!$B$4</f>
        <v>0</v>
      </c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192"/>
      <c r="AQ727" s="90"/>
    </row>
    <row r="728" spans="1:46" ht="21" customHeight="1">
      <c r="A728" s="267" t="s">
        <v>2104</v>
      </c>
      <c r="B728" s="45" t="s">
        <v>14</v>
      </c>
      <c r="C728" s="46" t="s">
        <v>1404</v>
      </c>
      <c r="D728" s="47" t="s">
        <v>1405</v>
      </c>
      <c r="E728" s="48">
        <v>46153</v>
      </c>
      <c r="F728" s="49">
        <f t="shared" si="33"/>
        <v>0</v>
      </c>
      <c r="G728" s="77">
        <f>SUMIF(积分汇总!$B:$B,C727,积分汇总!$E:$E)</f>
        <v>0</v>
      </c>
      <c r="H728" s="77">
        <f>SUMIF(记录巡查问题条数汇总!$B:$B,C727,记录巡查问题条数汇总!$E:$E)</f>
        <v>0</v>
      </c>
      <c r="I728" s="77"/>
      <c r="J728" s="77">
        <f>SUMIF(安全质量事故!$B:$B,C727,安全质量事故!$G:$G)</f>
        <v>0</v>
      </c>
      <c r="K728" s="72">
        <f>COUNTIF(L728:AP728,标准数据!$A$2)*标准数据!$B$2+COUNTIF(L728:AP728,标准数据!$A$3)*标准数据!$B$3+COUNTIF(L728:AP728,标准数据!$A$4)*标准数据!$B$4</f>
        <v>0</v>
      </c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189"/>
      <c r="AQ728" s="55"/>
    </row>
    <row r="729" spans="1:46" ht="21" customHeight="1">
      <c r="A729" s="267" t="s">
        <v>2104</v>
      </c>
      <c r="B729" s="45" t="s">
        <v>87</v>
      </c>
      <c r="C729" s="46" t="s">
        <v>1406</v>
      </c>
      <c r="D729" s="52" t="s">
        <v>1407</v>
      </c>
      <c r="E729" s="46">
        <v>46155</v>
      </c>
      <c r="F729" s="49">
        <f t="shared" si="33"/>
        <v>0</v>
      </c>
      <c r="G729" s="77">
        <f>SUMIF(积分汇总!$B:$B,C728,积分汇总!$E:$E)</f>
        <v>0</v>
      </c>
      <c r="H729" s="77">
        <f>SUMIF(记录巡查问题条数汇总!$B:$B,C728,记录巡查问题条数汇总!$E:$E)</f>
        <v>0</v>
      </c>
      <c r="I729" s="77"/>
      <c r="J729" s="77">
        <f>SUMIF(安全质量事故!$B:$B,C728,安全质量事故!$G:$G)</f>
        <v>0</v>
      </c>
      <c r="K729" s="72">
        <f>COUNTIF(L729:AP729,标准数据!$A$2)*标准数据!$B$2+COUNTIF(L729:AP729,标准数据!$A$3)*标准数据!$B$3+COUNTIF(L729:AP729,标准数据!$A$4)*标准数据!$B$4</f>
        <v>0</v>
      </c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189"/>
      <c r="AQ729" s="55"/>
      <c r="AR729" s="41"/>
      <c r="AS729" s="41"/>
      <c r="AT729" s="41"/>
    </row>
    <row r="730" spans="1:46" ht="21" customHeight="1">
      <c r="A730" s="267" t="s">
        <v>2104</v>
      </c>
      <c r="B730" s="45" t="s">
        <v>87</v>
      </c>
      <c r="C730" s="46" t="s">
        <v>1408</v>
      </c>
      <c r="D730" s="52" t="s">
        <v>1409</v>
      </c>
      <c r="E730" s="46">
        <v>46134</v>
      </c>
      <c r="F730" s="49">
        <f t="shared" si="33"/>
        <v>0</v>
      </c>
      <c r="G730" s="77">
        <f>SUMIF(积分汇总!$B:$B,C729,积分汇总!$E:$E)</f>
        <v>0</v>
      </c>
      <c r="H730" s="77">
        <f>SUMIF(记录巡查问题条数汇总!$B:$B,C729,记录巡查问题条数汇总!$E:$E)</f>
        <v>0</v>
      </c>
      <c r="I730" s="77"/>
      <c r="J730" s="77">
        <f>SUMIF(安全质量事故!$B:$B,C729,安全质量事故!$G:$G)</f>
        <v>0</v>
      </c>
      <c r="K730" s="72">
        <f>COUNTIF(L730:AP730,标准数据!$A$2)*标准数据!$B$2+COUNTIF(L730:AP730,标准数据!$A$3)*标准数据!$B$3+COUNTIF(L730:AP730,标准数据!$A$4)*标准数据!$B$4</f>
        <v>0</v>
      </c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189"/>
      <c r="AQ730" s="55"/>
      <c r="AR730" s="41"/>
      <c r="AS730" s="41"/>
      <c r="AT730" s="41"/>
    </row>
    <row r="731" spans="1:46" ht="21" customHeight="1">
      <c r="A731" s="267" t="s">
        <v>2104</v>
      </c>
      <c r="B731" s="45" t="s">
        <v>14</v>
      </c>
      <c r="C731" s="46" t="s">
        <v>1410</v>
      </c>
      <c r="D731" s="47" t="s">
        <v>1411</v>
      </c>
      <c r="E731" s="48">
        <v>46153</v>
      </c>
      <c r="F731" s="49">
        <f t="shared" si="33"/>
        <v>0</v>
      </c>
      <c r="G731" s="77">
        <f>SUMIF(积分汇总!$B:$B,C730,积分汇总!$E:$E)</f>
        <v>0</v>
      </c>
      <c r="H731" s="77">
        <f>SUMIF(记录巡查问题条数汇总!$B:$B,C730,记录巡查问题条数汇总!$E:$E)</f>
        <v>0</v>
      </c>
      <c r="I731" s="77"/>
      <c r="J731" s="77">
        <f>SUMIF(安全质量事故!$B:$B,C730,安全质量事故!$G:$G)</f>
        <v>0</v>
      </c>
      <c r="K731" s="72">
        <f>COUNTIF(L731:AP731,标准数据!$A$2)*标准数据!$B$2+COUNTIF(L731:AP731,标准数据!$A$3)*标准数据!$B$3+COUNTIF(L731:AP731,标准数据!$A$4)*标准数据!$B$4</f>
        <v>0</v>
      </c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189"/>
      <c r="AQ731" s="55"/>
    </row>
    <row r="732" spans="1:46" ht="21" customHeight="1">
      <c r="A732" s="267" t="s">
        <v>2104</v>
      </c>
      <c r="B732" s="45" t="s">
        <v>87</v>
      </c>
      <c r="C732" s="46" t="s">
        <v>1412</v>
      </c>
      <c r="D732" s="52" t="s">
        <v>1413</v>
      </c>
      <c r="E732" s="46">
        <v>46153</v>
      </c>
      <c r="F732" s="49">
        <f t="shared" si="33"/>
        <v>0</v>
      </c>
      <c r="G732" s="77">
        <f>SUMIF(积分汇总!$B:$B,C731,积分汇总!$E:$E)</f>
        <v>0</v>
      </c>
      <c r="H732" s="77">
        <f>SUMIF(记录巡查问题条数汇总!$B:$B,C731,记录巡查问题条数汇总!$E:$E)</f>
        <v>0</v>
      </c>
      <c r="I732" s="77"/>
      <c r="J732" s="77">
        <f>SUMIF(安全质量事故!$B:$B,C731,安全质量事故!$G:$G)</f>
        <v>0</v>
      </c>
      <c r="K732" s="72">
        <f>COUNTIF(L732:AP732,标准数据!$A$2)*标准数据!$B$2+COUNTIF(L732:AP732,标准数据!$A$3)*标准数据!$B$3+COUNTIF(L732:AP732,标准数据!$A$4)*标准数据!$B$4</f>
        <v>0</v>
      </c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189"/>
      <c r="AQ732" s="55"/>
      <c r="AR732" s="41"/>
      <c r="AS732" s="41"/>
      <c r="AT732" s="41"/>
    </row>
    <row r="733" spans="1:46" ht="21" customHeight="1">
      <c r="A733" s="267" t="s">
        <v>2104</v>
      </c>
      <c r="B733" s="45" t="s">
        <v>87</v>
      </c>
      <c r="C733" s="46" t="s">
        <v>1414</v>
      </c>
      <c r="D733" s="52" t="s">
        <v>1415</v>
      </c>
      <c r="E733" s="46">
        <v>46155</v>
      </c>
      <c r="F733" s="49">
        <f t="shared" si="33"/>
        <v>0</v>
      </c>
      <c r="G733" s="77">
        <f>SUMIF(积分汇总!$B:$B,C732,积分汇总!$E:$E)</f>
        <v>0</v>
      </c>
      <c r="H733" s="77">
        <f>SUMIF(记录巡查问题条数汇总!$B:$B,C732,记录巡查问题条数汇总!$E:$E)</f>
        <v>0</v>
      </c>
      <c r="I733" s="77"/>
      <c r="J733" s="77">
        <f>SUMIF(安全质量事故!$B:$B,C732,安全质量事故!$G:$G)</f>
        <v>0</v>
      </c>
      <c r="K733" s="72">
        <f>COUNTIF(L733:AP733,标准数据!$A$2)*标准数据!$B$2+COUNTIF(L733:AP733,标准数据!$A$3)*标准数据!$B$3+COUNTIF(L733:AP733,标准数据!$A$4)*标准数据!$B$4</f>
        <v>0</v>
      </c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189"/>
      <c r="AQ733" s="55"/>
      <c r="AR733" s="41"/>
      <c r="AS733" s="41"/>
      <c r="AT733" s="41"/>
    </row>
    <row r="734" spans="1:46" ht="21" customHeight="1">
      <c r="A734" s="267" t="s">
        <v>2104</v>
      </c>
      <c r="B734" s="45" t="s">
        <v>87</v>
      </c>
      <c r="C734" s="46" t="s">
        <v>1388</v>
      </c>
      <c r="D734" s="52" t="s">
        <v>1389</v>
      </c>
      <c r="E734" s="46">
        <v>46139</v>
      </c>
      <c r="F734" s="49">
        <f t="shared" si="33"/>
        <v>0</v>
      </c>
      <c r="G734" s="77">
        <f>SUMIF(积分汇总!$B:$B,C733,积分汇总!$E:$E)</f>
        <v>0</v>
      </c>
      <c r="H734" s="77">
        <f>SUMIF(记录巡查问题条数汇总!$B:$B,C733,记录巡查问题条数汇总!$E:$E)</f>
        <v>0</v>
      </c>
      <c r="I734" s="77"/>
      <c r="J734" s="77">
        <f>SUMIF(安全质量事故!$B:$B,C733,安全质量事故!$G:$G)</f>
        <v>0</v>
      </c>
      <c r="K734" s="72">
        <f>COUNTIF(L734:AP734,标准数据!$A$2)*标准数据!$B$2+COUNTIF(L734:AP734,标准数据!$A$3)*标准数据!$B$3+COUNTIF(L734:AP734,标准数据!$A$4)*标准数据!$B$4</f>
        <v>0</v>
      </c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188"/>
      <c r="AQ734" s="90"/>
    </row>
    <row r="735" spans="1:46" ht="21" customHeight="1">
      <c r="A735" s="267" t="s">
        <v>2104</v>
      </c>
      <c r="B735" s="45" t="s">
        <v>87</v>
      </c>
      <c r="C735" s="46" t="s">
        <v>1390</v>
      </c>
      <c r="D735" s="52" t="s">
        <v>1391</v>
      </c>
      <c r="E735" s="46">
        <v>46139</v>
      </c>
      <c r="F735" s="49">
        <f t="shared" si="33"/>
        <v>0</v>
      </c>
      <c r="G735" s="77">
        <f>SUMIF(积分汇总!$B:$B,C734,积分汇总!$E:$E)</f>
        <v>0</v>
      </c>
      <c r="H735" s="77">
        <f>SUMIF(记录巡查问题条数汇总!$B:$B,C734,记录巡查问题条数汇总!$E:$E)</f>
        <v>0</v>
      </c>
      <c r="I735" s="77"/>
      <c r="J735" s="77">
        <f>SUMIF(安全质量事故!$B:$B,C734,安全质量事故!$G:$G)</f>
        <v>0</v>
      </c>
      <c r="K735" s="72">
        <f>COUNTIF(L735:AP735,标准数据!$A$2)*标准数据!$B$2+COUNTIF(L735:AP735,标准数据!$A$3)*标准数据!$B$3+COUNTIF(L735:AP735,标准数据!$A$4)*标准数据!$B$4</f>
        <v>0</v>
      </c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189"/>
      <c r="AQ735" s="55"/>
    </row>
    <row r="736" spans="1:46" ht="21" customHeight="1">
      <c r="A736" s="267" t="s">
        <v>2104</v>
      </c>
      <c r="B736" s="45" t="s">
        <v>14</v>
      </c>
      <c r="C736" s="46" t="s">
        <v>1392</v>
      </c>
      <c r="D736" s="52" t="s">
        <v>1393</v>
      </c>
      <c r="E736" s="46">
        <v>46139</v>
      </c>
      <c r="F736" s="49">
        <f t="shared" si="33"/>
        <v>0</v>
      </c>
      <c r="G736" s="77">
        <f>SUMIF(积分汇总!$B:$B,C735,积分汇总!$E:$E)</f>
        <v>0</v>
      </c>
      <c r="H736" s="77">
        <f>SUMIF(记录巡查问题条数汇总!$B:$B,C735,记录巡查问题条数汇总!$E:$E)</f>
        <v>0</v>
      </c>
      <c r="I736" s="77"/>
      <c r="J736" s="77">
        <f>SUMIF(安全质量事故!$B:$B,C735,安全质量事故!$G:$G)</f>
        <v>0</v>
      </c>
      <c r="K736" s="72">
        <f>COUNTIF(L736:AP736,标准数据!$A$2)*标准数据!$B$2+COUNTIF(L736:AP736,标准数据!$A$3)*标准数据!$B$3+COUNTIF(L736:AP736,标准数据!$A$4)*标准数据!$B$4</f>
        <v>0</v>
      </c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189"/>
      <c r="AQ736" s="55"/>
      <c r="AR736" s="41"/>
      <c r="AS736" s="41"/>
      <c r="AT736" s="41"/>
    </row>
    <row r="737" spans="1:48" ht="21.75" customHeight="1">
      <c r="A737" s="267" t="s">
        <v>2104</v>
      </c>
      <c r="B737" s="45" t="s">
        <v>14</v>
      </c>
      <c r="C737" s="46" t="s">
        <v>1394</v>
      </c>
      <c r="D737" s="47" t="s">
        <v>1395</v>
      </c>
      <c r="E737" s="48">
        <v>46139</v>
      </c>
      <c r="F737" s="49">
        <f t="shared" si="33"/>
        <v>0</v>
      </c>
      <c r="G737" s="77">
        <f>SUMIF(积分汇总!$B:$B,C735,积分汇总!$E:$E)</f>
        <v>0</v>
      </c>
      <c r="H737" s="77">
        <f>SUMIF(记录巡查问题条数汇总!$B:$B,C735,记录巡查问题条数汇总!$E:$E)</f>
        <v>0</v>
      </c>
      <c r="I737" s="77"/>
      <c r="J737" s="77">
        <f>SUMIF(安全质量事故!$B:$B,C735,安全质量事故!$G:$G)</f>
        <v>0</v>
      </c>
      <c r="K737" s="72">
        <f>COUNTIF(L737:AP737,标准数据!$A$2)*标准数据!$B$2+COUNTIF(L737:AP737,标准数据!$A$3)*标准数据!$B$3+COUNTIF(L737:AP737,标准数据!$A$4)*标准数据!$B$4</f>
        <v>0</v>
      </c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189"/>
      <c r="AQ737" s="55"/>
    </row>
    <row r="738" spans="1:48" ht="21" customHeight="1">
      <c r="A738" s="267" t="s">
        <v>2104</v>
      </c>
      <c r="B738" s="45" t="s">
        <v>87</v>
      </c>
      <c r="C738" s="46" t="s">
        <v>1396</v>
      </c>
      <c r="D738" s="52" t="s">
        <v>1397</v>
      </c>
      <c r="E738" s="46">
        <v>46139</v>
      </c>
      <c r="F738" s="49">
        <f t="shared" si="33"/>
        <v>0</v>
      </c>
      <c r="G738" s="77">
        <f>SUMIF(积分汇总!$B:$B,C734,积分汇总!$E:$E)</f>
        <v>0</v>
      </c>
      <c r="H738" s="77">
        <f>SUMIF(记录巡查问题条数汇总!$B:$B,C734,记录巡查问题条数汇总!$E:$E)</f>
        <v>0</v>
      </c>
      <c r="I738" s="77"/>
      <c r="J738" s="77">
        <f>SUMIF(安全质量事故!$B:$B,C734,安全质量事故!$G:$G)</f>
        <v>0</v>
      </c>
      <c r="K738" s="72">
        <f>COUNTIF(L738:AP738,标准数据!$A$2)*标准数据!$B$2+COUNTIF(L738:AP738,标准数据!$A$3)*标准数据!$B$3+COUNTIF(L738:AP738,标准数据!$A$4)*标准数据!$B$4</f>
        <v>0</v>
      </c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189"/>
      <c r="AQ738" s="55"/>
    </row>
    <row r="739" spans="1:48" ht="21" customHeight="1">
      <c r="A739" s="267" t="s">
        <v>2104</v>
      </c>
      <c r="B739" s="45" t="s">
        <v>87</v>
      </c>
      <c r="C739" s="46" t="s">
        <v>831</v>
      </c>
      <c r="D739" s="52" t="s">
        <v>1398</v>
      </c>
      <c r="E739" s="46">
        <v>46139</v>
      </c>
      <c r="F739" s="49">
        <f t="shared" si="33"/>
        <v>0</v>
      </c>
      <c r="G739" s="77">
        <f>SUMIF(积分汇总!$B:$B,C733,积分汇总!$E:$E)</f>
        <v>0</v>
      </c>
      <c r="H739" s="77">
        <f>SUMIF(记录巡查问题条数汇总!$B:$B,C733,记录巡查问题条数汇总!$E:$E)</f>
        <v>0</v>
      </c>
      <c r="I739" s="77"/>
      <c r="J739" s="77">
        <f>SUMIF(安全质量事故!$B:$B,C733,安全质量事故!$G:$G)</f>
        <v>0</v>
      </c>
      <c r="K739" s="72">
        <f>COUNTIF(L739:AP739,标准数据!$A$2)*标准数据!$B$2+COUNTIF(L739:AP739,标准数据!$A$3)*标准数据!$B$3+COUNTIF(L739:AP739,标准数据!$A$4)*标准数据!$B$4</f>
        <v>0</v>
      </c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189"/>
      <c r="AQ739" s="55"/>
      <c r="AR739" s="41"/>
      <c r="AS739" s="41"/>
      <c r="AT739" s="41"/>
    </row>
    <row r="740" spans="1:48" ht="21" customHeight="1">
      <c r="A740" s="267" t="s">
        <v>2104</v>
      </c>
      <c r="B740" s="45" t="s">
        <v>14</v>
      </c>
      <c r="C740" s="46" t="s">
        <v>1399</v>
      </c>
      <c r="D740" s="52" t="s">
        <v>1400</v>
      </c>
      <c r="E740" s="46">
        <v>46139</v>
      </c>
      <c r="F740" s="49">
        <f t="shared" si="33"/>
        <v>0</v>
      </c>
      <c r="G740" s="77">
        <f>SUMIF(积分汇总!$B:$B,C739,积分汇总!$E:$E)</f>
        <v>0</v>
      </c>
      <c r="H740" s="77">
        <f>SUMIF(记录巡查问题条数汇总!$B:$B,C739,记录巡查问题条数汇总!$E:$E)</f>
        <v>0</v>
      </c>
      <c r="I740" s="77"/>
      <c r="J740" s="77">
        <f>SUMIF(安全质量事故!$B:$B,C739,安全质量事故!$G:$G)</f>
        <v>0</v>
      </c>
      <c r="K740" s="72">
        <f>COUNTIF(L740:AP740,标准数据!$A$2)*标准数据!$B$2+COUNTIF(L740:AP740,标准数据!$A$3)*标准数据!$B$3+COUNTIF(L740:AP740,标准数据!$A$4)*标准数据!$B$4</f>
        <v>0</v>
      </c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189"/>
      <c r="AQ740" s="55"/>
      <c r="AR740" s="41"/>
      <c r="AS740" s="41"/>
      <c r="AT740" s="41"/>
    </row>
    <row r="741" spans="1:48" ht="21" customHeight="1">
      <c r="A741" s="267" t="s">
        <v>2104</v>
      </c>
      <c r="B741" s="45" t="s">
        <v>14</v>
      </c>
      <c r="C741" s="47" t="s">
        <v>1323</v>
      </c>
      <c r="D741" s="52" t="s">
        <v>1324</v>
      </c>
      <c r="E741" s="46">
        <v>46134</v>
      </c>
      <c r="F741" s="49">
        <f t="shared" si="33"/>
        <v>0</v>
      </c>
      <c r="G741" s="77">
        <f>SUMIF(积分汇总!$B:$B,C740,积分汇总!$E:$E)</f>
        <v>0</v>
      </c>
      <c r="H741" s="77">
        <f>SUMIF(记录巡查问题条数汇总!$B:$B,C740,记录巡查问题条数汇总!$E:$E)</f>
        <v>0</v>
      </c>
      <c r="I741" s="77"/>
      <c r="J741" s="77">
        <f>SUMIF(安全质量事故!$B:$B,C740,安全质量事故!$G:$G)</f>
        <v>0</v>
      </c>
      <c r="K741" s="72">
        <f>COUNTIF(L741:AP741,标准数据!$A$2)*标准数据!$B$2+COUNTIF(L741:AP741,标准数据!$A$3)*标准数据!$B$3+COUNTIF(L741:AP741,标准数据!$A$4)*标准数据!$B$4</f>
        <v>0</v>
      </c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188"/>
      <c r="AQ741" s="90"/>
    </row>
    <row r="742" spans="1:48" ht="21" customHeight="1">
      <c r="A742" s="267" t="s">
        <v>2104</v>
      </c>
      <c r="B742" s="45" t="s">
        <v>14</v>
      </c>
      <c r="C742" s="47" t="s">
        <v>1325</v>
      </c>
      <c r="D742" s="52" t="s">
        <v>1326</v>
      </c>
      <c r="E742" s="46">
        <v>46134</v>
      </c>
      <c r="F742" s="49">
        <f t="shared" si="33"/>
        <v>0</v>
      </c>
      <c r="G742" s="77">
        <f>SUMIF(积分汇总!$B:$B,C741,积分汇总!$E:$E)</f>
        <v>0</v>
      </c>
      <c r="H742" s="77">
        <f>SUMIF(记录巡查问题条数汇总!$B:$B,C741,记录巡查问题条数汇总!$E:$E)</f>
        <v>0</v>
      </c>
      <c r="I742" s="77"/>
      <c r="J742" s="77">
        <f>SUMIF(安全质量事故!$B:$B,C741,安全质量事故!$G:$G)</f>
        <v>0</v>
      </c>
      <c r="K742" s="72">
        <f>COUNTIF(L742:AP742,标准数据!$A$2)*标准数据!$B$2+COUNTIF(L742:AP742,标准数据!$A$3)*标准数据!$B$3+COUNTIF(L742:AP742,标准数据!$A$4)*标准数据!$B$4</f>
        <v>0</v>
      </c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189"/>
      <c r="AQ742" s="55"/>
    </row>
    <row r="743" spans="1:48" ht="21" customHeight="1">
      <c r="A743" s="267" t="s">
        <v>2104</v>
      </c>
      <c r="B743" s="45" t="s">
        <v>14</v>
      </c>
      <c r="C743" s="46" t="s">
        <v>492</v>
      </c>
      <c r="D743" s="47" t="s">
        <v>456</v>
      </c>
      <c r="E743" s="48">
        <v>45847</v>
      </c>
      <c r="F743" s="49">
        <f t="shared" si="33"/>
        <v>0</v>
      </c>
      <c r="G743" s="77">
        <f>SUMIF(积分汇总!$B:$B,C742,积分汇总!$E:$E)</f>
        <v>0</v>
      </c>
      <c r="H743" s="77">
        <f>SUMIF(记录巡查问题条数汇总!$B:$B,C742,记录巡查问题条数汇总!$E:$E)</f>
        <v>0</v>
      </c>
      <c r="I743" s="77"/>
      <c r="J743" s="77">
        <f>SUMIF(安全质量事故!$B:$B,C742,安全质量事故!$G:$G)</f>
        <v>0</v>
      </c>
      <c r="K743" s="72">
        <f>COUNTIF(L743:AP743,标准数据!$A$2)*标准数据!$B$2+COUNTIF(L743:AP743,标准数据!$A$3)*标准数据!$B$3+COUNTIF(L743:AP743,标准数据!$A$4)*标准数据!$B$4</f>
        <v>0</v>
      </c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189"/>
      <c r="AQ743" s="55"/>
      <c r="AR743" s="41"/>
      <c r="AS743" s="41"/>
      <c r="AT743" s="41"/>
    </row>
    <row r="744" spans="1:48" ht="21" customHeight="1">
      <c r="A744" s="267" t="s">
        <v>2104</v>
      </c>
      <c r="B744" s="45" t="s">
        <v>14</v>
      </c>
      <c r="C744" s="46" t="s">
        <v>857</v>
      </c>
      <c r="D744" s="52" t="s">
        <v>805</v>
      </c>
      <c r="E744" s="48">
        <v>45994</v>
      </c>
      <c r="F744" s="49">
        <f t="shared" si="33"/>
        <v>0</v>
      </c>
      <c r="G744" s="77">
        <f>SUMIF(积分汇总!$B:$B,C743,积分汇总!$E:$E)</f>
        <v>0</v>
      </c>
      <c r="H744" s="77">
        <f>SUMIF(记录巡查问题条数汇总!$B:$B,C743,记录巡查问题条数汇总!$E:$E)</f>
        <v>0</v>
      </c>
      <c r="I744" s="77"/>
      <c r="J744" s="77">
        <f>SUMIF(安全质量事故!$B:$B,C743,安全质量事故!$G:$G)</f>
        <v>0</v>
      </c>
      <c r="K744" s="72">
        <f>COUNTIF(L744:AP744,标准数据!$A$2)*标准数据!$B$2+COUNTIF(L744:AP744,标准数据!$A$3)*标准数据!$B$3+COUNTIF(L744:AP744,标准数据!$A$4)*标准数据!$B$4</f>
        <v>0</v>
      </c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189"/>
      <c r="AQ744" s="55"/>
      <c r="AR744" s="41"/>
      <c r="AS744" s="41"/>
      <c r="AT744" s="41"/>
    </row>
    <row r="745" spans="1:48" ht="21" customHeight="1">
      <c r="A745" s="267" t="s">
        <v>2104</v>
      </c>
      <c r="B745" s="45" t="s">
        <v>14</v>
      </c>
      <c r="C745" s="46" t="s">
        <v>858</v>
      </c>
      <c r="D745" s="52" t="s">
        <v>806</v>
      </c>
      <c r="E745" s="48">
        <v>45994</v>
      </c>
      <c r="F745" s="49">
        <f t="shared" si="33"/>
        <v>0</v>
      </c>
      <c r="G745" s="77">
        <f>SUMIF(积分汇总!$B:$B,C744,积分汇总!$E:$E)</f>
        <v>0</v>
      </c>
      <c r="H745" s="77">
        <f>SUMIF(记录巡查问题条数汇总!$B:$B,C744,记录巡查问题条数汇总!$E:$E)</f>
        <v>0</v>
      </c>
      <c r="I745" s="77"/>
      <c r="J745" s="77">
        <f>SUMIF(安全质量事故!$B:$B,C744,安全质量事故!$G:$G)</f>
        <v>0</v>
      </c>
      <c r="K745" s="72">
        <f>COUNTIF(L745:AP745,标准数据!$A$2)*标准数据!$B$2+COUNTIF(L745:AP745,标准数据!$A$3)*标准数据!$B$3+COUNTIF(L745:AP745,标准数据!$A$4)*标准数据!$B$4</f>
        <v>0</v>
      </c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188"/>
      <c r="AQ745" s="90"/>
    </row>
    <row r="746" spans="1:48" ht="21" customHeight="1">
      <c r="A746" s="267" t="s">
        <v>2104</v>
      </c>
      <c r="B746" s="45" t="s">
        <v>14</v>
      </c>
      <c r="C746" s="46" t="s">
        <v>1339</v>
      </c>
      <c r="D746" s="52" t="s">
        <v>1340</v>
      </c>
      <c r="E746" s="48">
        <v>46134</v>
      </c>
      <c r="F746" s="49">
        <f t="shared" si="33"/>
        <v>0</v>
      </c>
      <c r="G746" s="77">
        <f>SUMIF(积分汇总!$B:$B,C745,积分汇总!$E:$E)</f>
        <v>0</v>
      </c>
      <c r="H746" s="77">
        <f>SUMIF(记录巡查问题条数汇总!$B:$B,C745,记录巡查问题条数汇总!$E:$E)</f>
        <v>0</v>
      </c>
      <c r="I746" s="77"/>
      <c r="J746" s="77">
        <f>SUMIF(安全质量事故!$B:$B,C745,安全质量事故!$G:$G)</f>
        <v>0</v>
      </c>
      <c r="K746" s="72">
        <f>COUNTIF(L746:AP746,标准数据!$A$2)*标准数据!$B$2+COUNTIF(L746:AP746,标准数据!$A$3)*标准数据!$B$3+COUNTIF(L746:AP746,标准数据!$A$4)*标准数据!$B$4</f>
        <v>0</v>
      </c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189"/>
      <c r="AQ746" s="55"/>
    </row>
    <row r="747" spans="1:48" ht="21" customHeight="1">
      <c r="A747" s="267" t="s">
        <v>2104</v>
      </c>
      <c r="B747" s="45" t="s">
        <v>14</v>
      </c>
      <c r="C747" s="46" t="s">
        <v>2084</v>
      </c>
      <c r="D747" s="47" t="s">
        <v>2085</v>
      </c>
      <c r="E747" s="48">
        <v>46225</v>
      </c>
      <c r="F747" s="49">
        <f t="shared" si="33"/>
        <v>0</v>
      </c>
      <c r="G747" s="77">
        <f>SUMIF(积分汇总!$B:$B,C746,积分汇总!$E:$E)</f>
        <v>0</v>
      </c>
      <c r="H747" s="77">
        <f>SUMIF(记录巡查问题条数汇总!$B:$B,C746,记录巡查问题条数汇总!$E:$E)</f>
        <v>0</v>
      </c>
      <c r="I747" s="77"/>
      <c r="J747" s="77">
        <f>SUMIF(安全质量事故!$B:$B,C746,安全质量事故!$G:$G)</f>
        <v>0</v>
      </c>
      <c r="K747" s="72">
        <f>COUNTIF(L747:AP747,标准数据!$A$2)*标准数据!$B$2+COUNTIF(L747:AP747,标准数据!$A$3)*标准数据!$B$3+COUNTIF(L747:AP747,标准数据!$A$4)*标准数据!$B$4</f>
        <v>0</v>
      </c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189"/>
      <c r="AQ747" s="55"/>
    </row>
    <row r="748" spans="1:48" ht="21" customHeight="1">
      <c r="A748" s="267" t="s">
        <v>2104</v>
      </c>
      <c r="B748" s="45" t="s">
        <v>129</v>
      </c>
      <c r="C748" s="46" t="s">
        <v>483</v>
      </c>
      <c r="D748" s="47" t="s">
        <v>449</v>
      </c>
      <c r="E748" s="48">
        <v>45840</v>
      </c>
      <c r="F748" s="49">
        <f t="shared" si="33"/>
        <v>0</v>
      </c>
      <c r="G748" s="77">
        <f>SUMIF(积分汇总!$B:$B,C747,积分汇总!$E:$E)</f>
        <v>0</v>
      </c>
      <c r="H748" s="77">
        <f>SUMIF(记录巡查问题条数汇总!$B:$B,C747,记录巡查问题条数汇总!$E:$E)</f>
        <v>0</v>
      </c>
      <c r="I748" s="77"/>
      <c r="J748" s="77">
        <f>SUMIF(安全质量事故!$B:$B,C747,安全质量事故!$G:$G)</f>
        <v>0</v>
      </c>
      <c r="K748" s="72">
        <f>COUNTIF(L748:AP748,标准数据!$A$2)*标准数据!$B$2+COUNTIF(L748:AP748,标准数据!$A$3)*标准数据!$B$3+COUNTIF(L748:AP748,标准数据!$A$4)*标准数据!$B$4</f>
        <v>0</v>
      </c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189"/>
      <c r="AQ748" s="55"/>
    </row>
    <row r="749" spans="1:48" ht="21" customHeight="1">
      <c r="A749" s="267" t="s">
        <v>2104</v>
      </c>
      <c r="B749" s="45" t="s">
        <v>129</v>
      </c>
      <c r="C749" s="46" t="s">
        <v>738</v>
      </c>
      <c r="D749" s="47" t="s">
        <v>702</v>
      </c>
      <c r="E749" s="48">
        <v>45966</v>
      </c>
      <c r="F749" s="49">
        <f t="shared" si="33"/>
        <v>0</v>
      </c>
      <c r="G749" s="77">
        <f>SUMIF(积分汇总!$B:$B,C748,积分汇总!$E:$E)</f>
        <v>0</v>
      </c>
      <c r="H749" s="77">
        <f>SUMIF(记录巡查问题条数汇总!$B:$B,C748,记录巡查问题条数汇总!$E:$E)</f>
        <v>0</v>
      </c>
      <c r="I749" s="77"/>
      <c r="J749" s="77">
        <f>SUMIF(安全质量事故!$B:$B,C748,安全质量事故!$G:$G)</f>
        <v>0</v>
      </c>
      <c r="K749" s="72">
        <f>COUNTIF(L749:AP749,标准数据!$A$2)*标准数据!$B$2+COUNTIF(L749:AP749,标准数据!$A$3)*标准数据!$B$3+COUNTIF(L749:AP749,标准数据!$A$4)*标准数据!$B$4</f>
        <v>0</v>
      </c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189"/>
      <c r="AQ749" s="55"/>
    </row>
    <row r="750" spans="1:48" s="51" customFormat="1" ht="21" customHeight="1">
      <c r="A750" s="267" t="s">
        <v>2104</v>
      </c>
      <c r="B750" s="45" t="s">
        <v>129</v>
      </c>
      <c r="C750" s="46" t="s">
        <v>281</v>
      </c>
      <c r="D750" s="47" t="s">
        <v>269</v>
      </c>
      <c r="E750" s="48">
        <v>45537</v>
      </c>
      <c r="F750" s="49">
        <f t="shared" si="33"/>
        <v>0</v>
      </c>
      <c r="G750" s="77">
        <f>SUMIF(积分汇总!$B:$B,#REF!,积分汇总!$E:$E)</f>
        <v>0</v>
      </c>
      <c r="H750" s="77">
        <f>SUMIF(记录巡查问题条数汇总!$B:$B,#REF!,记录巡查问题条数汇总!$E:$E)</f>
        <v>0</v>
      </c>
      <c r="I750" s="77"/>
      <c r="J750" s="77">
        <f>SUMIF(安全质量事故!$B:$B,#REF!,安全质量事故!$G:$G)</f>
        <v>0</v>
      </c>
      <c r="K750" s="72">
        <f>COUNTIF(L750:AP750,标准数据!$A$2)*标准数据!$B$2+COUNTIF(L750:AP750,标准数据!$A$3)*标准数据!$B$3+COUNTIF(L750:AP750,标准数据!$A$4)*标准数据!$B$4</f>
        <v>0</v>
      </c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192"/>
      <c r="AQ750" s="90"/>
      <c r="AU750" s="76"/>
      <c r="AV750" s="41"/>
    </row>
    <row r="751" spans="1:48" ht="21" customHeight="1">
      <c r="A751" s="267" t="s">
        <v>2104</v>
      </c>
      <c r="B751" s="45" t="s">
        <v>146</v>
      </c>
      <c r="C751" s="46" t="s">
        <v>935</v>
      </c>
      <c r="D751" s="47" t="s">
        <v>895</v>
      </c>
      <c r="E751" s="48">
        <v>45889</v>
      </c>
      <c r="F751" s="49">
        <f t="shared" si="33"/>
        <v>0</v>
      </c>
      <c r="G751" s="77">
        <f>SUMIF(积分汇总!$B:$B,C750,积分汇总!$E:$E)</f>
        <v>0</v>
      </c>
      <c r="H751" s="77">
        <f>SUMIF(记录巡查问题条数汇总!$B:$B,C750,记录巡查问题条数汇总!$E:$E)</f>
        <v>0</v>
      </c>
      <c r="I751" s="77"/>
      <c r="J751" s="77">
        <f>SUMIF(安全质量事故!$B:$B,C750,安全质量事故!$G:$G)</f>
        <v>0</v>
      </c>
      <c r="K751" s="72">
        <f>COUNTIF(L751:AP751,标准数据!$A$2)*标准数据!$B$2+COUNTIF(L751:AP751,标准数据!$A$3)*标准数据!$B$3+COUNTIF(L751:AP751,标准数据!$A$4)*标准数据!$B$4</f>
        <v>0</v>
      </c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89"/>
      <c r="AN751" s="89"/>
      <c r="AO751" s="89"/>
      <c r="AP751" s="188"/>
      <c r="AQ751" s="90"/>
    </row>
    <row r="752" spans="1:48" ht="21" customHeight="1">
      <c r="A752" s="267" t="s">
        <v>2104</v>
      </c>
      <c r="B752" s="45" t="s">
        <v>146</v>
      </c>
      <c r="C752" s="46" t="s">
        <v>1426</v>
      </c>
      <c r="D752" s="47" t="s">
        <v>1427</v>
      </c>
      <c r="E752" s="48">
        <v>46176</v>
      </c>
      <c r="F752" s="49">
        <f t="shared" si="33"/>
        <v>0</v>
      </c>
      <c r="G752" s="77">
        <f>SUMIF(积分汇总!$B:$B,C751,积分汇总!$E:$E)</f>
        <v>0</v>
      </c>
      <c r="H752" s="77">
        <f>SUMIF(记录巡查问题条数汇总!$B:$B,C751,记录巡查问题条数汇总!$E:$E)</f>
        <v>0</v>
      </c>
      <c r="I752" s="77"/>
      <c r="J752" s="77">
        <f>SUMIF(安全质量事故!$B:$B,C751,安全质量事故!$G:$G)</f>
        <v>0</v>
      </c>
      <c r="K752" s="72">
        <f>COUNTIF(L752:AP752,标准数据!$A$2)*标准数据!$B$2+COUNTIF(L752:AP752,标准数据!$A$3)*标准数据!$B$3+COUNTIF(L752:AP752,标准数据!$A$4)*标准数据!$B$4</f>
        <v>0</v>
      </c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192"/>
      <c r="AQ752" s="90"/>
    </row>
    <row r="753" spans="1:48" ht="21" customHeight="1">
      <c r="A753" s="267" t="s">
        <v>2104</v>
      </c>
      <c r="B753" s="45" t="s">
        <v>146</v>
      </c>
      <c r="C753" s="46" t="s">
        <v>1914</v>
      </c>
      <c r="D753" s="47" t="s">
        <v>1915</v>
      </c>
      <c r="E753" s="48">
        <v>46204</v>
      </c>
      <c r="F753" s="49">
        <f t="shared" si="33"/>
        <v>0</v>
      </c>
      <c r="G753" s="77">
        <f>SUMIF(积分汇总!$B:$B,C752,积分汇总!$E:$E)</f>
        <v>0</v>
      </c>
      <c r="H753" s="77">
        <f>SUMIF(记录巡查问题条数汇总!$B:$B,C752,记录巡查问题条数汇总!$E:$E)</f>
        <v>0</v>
      </c>
      <c r="I753" s="77"/>
      <c r="J753" s="77">
        <f>SUMIF(安全质量事故!$B:$B,C752,安全质量事故!$G:$G)</f>
        <v>0</v>
      </c>
      <c r="K753" s="72">
        <f>COUNTIF(L753:AP753,标准数据!$A$2)*标准数据!$B$2+COUNTIF(L753:AP753,标准数据!$A$3)*标准数据!$B$3+COUNTIF(L753:AP753,标准数据!$A$4)*标准数据!$B$4</f>
        <v>0</v>
      </c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192"/>
      <c r="AQ753" s="90"/>
    </row>
    <row r="754" spans="1:48" ht="21" customHeight="1">
      <c r="A754" s="267" t="s">
        <v>2104</v>
      </c>
      <c r="B754" s="45" t="s">
        <v>146</v>
      </c>
      <c r="C754" s="46" t="s">
        <v>1916</v>
      </c>
      <c r="D754" s="47" t="s">
        <v>1917</v>
      </c>
      <c r="E754" s="48">
        <v>46204</v>
      </c>
      <c r="F754" s="49">
        <f t="shared" si="33"/>
        <v>0</v>
      </c>
      <c r="G754" s="77">
        <f>SUMIF(积分汇总!$B:$B,#REF!,积分汇总!$E:$E)</f>
        <v>0</v>
      </c>
      <c r="H754" s="77">
        <f>SUMIF(记录巡查问题条数汇总!$B:$B,#REF!,记录巡查问题条数汇总!$E:$E)</f>
        <v>0</v>
      </c>
      <c r="I754" s="77"/>
      <c r="J754" s="77">
        <f>SUMIF(安全质量事故!$B:$B,#REF!,安全质量事故!$G:$G)</f>
        <v>0</v>
      </c>
      <c r="K754" s="72">
        <f>COUNTIF(L754:AP754,标准数据!$A$2)*标准数据!$B$2+COUNTIF(L754:AP754,标准数据!$A$3)*标准数据!$B$3+COUNTIF(L754:AP754,标准数据!$A$4)*标准数据!$B$4</f>
        <v>0</v>
      </c>
      <c r="L754" s="90"/>
      <c r="M754" s="90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189"/>
      <c r="AQ754" s="55"/>
    </row>
    <row r="755" spans="1:48" ht="21" customHeight="1">
      <c r="A755" s="267" t="s">
        <v>2120</v>
      </c>
      <c r="B755" s="45" t="s">
        <v>81</v>
      </c>
      <c r="C755" s="46" t="s">
        <v>753</v>
      </c>
      <c r="D755" s="47" t="s">
        <v>712</v>
      </c>
      <c r="E755" s="48">
        <v>45980</v>
      </c>
      <c r="F755" s="49">
        <f t="shared" si="33"/>
        <v>0</v>
      </c>
      <c r="G755" s="77">
        <f>SUMIF(积分汇总!$B:$B,#REF!,积分汇总!$E:$E)</f>
        <v>0</v>
      </c>
      <c r="H755" s="77">
        <f>SUMIF(记录巡查问题条数汇总!$B:$B,#REF!,记录巡查问题条数汇总!$E:$E)</f>
        <v>0</v>
      </c>
      <c r="I755" s="77"/>
      <c r="J755" s="77">
        <f>SUMIF(安全质量事故!$B:$B,#REF!,安全质量事故!$G:$G)</f>
        <v>0</v>
      </c>
      <c r="K755" s="72">
        <f>COUNTIF(L755:AP755,标准数据!$A$2)*标准数据!$B$2+COUNTIF(L755:AP755,标准数据!$A$3)*标准数据!$B$3+COUNTIF(L755:AP755,标准数据!$A$4)*标准数据!$B$4</f>
        <v>0</v>
      </c>
      <c r="L755" s="90"/>
      <c r="M755" s="90"/>
      <c r="N755" s="90"/>
      <c r="O755" s="90"/>
      <c r="P755" s="90"/>
      <c r="Q755" s="90"/>
      <c r="R755" s="90"/>
      <c r="S755" s="90"/>
      <c r="T755" s="90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189"/>
      <c r="AQ755" s="55"/>
    </row>
    <row r="756" spans="1:48" ht="21" customHeight="1">
      <c r="A756" s="267" t="s">
        <v>2120</v>
      </c>
      <c r="B756" s="45" t="s">
        <v>81</v>
      </c>
      <c r="C756" s="46" t="s">
        <v>760</v>
      </c>
      <c r="D756" s="47" t="s">
        <v>761</v>
      </c>
      <c r="E756" s="48">
        <v>42914</v>
      </c>
      <c r="F756" s="49">
        <f t="shared" si="33"/>
        <v>0</v>
      </c>
      <c r="G756" s="77">
        <f>SUMIF(积分汇总!$B:$B,#REF!,积分汇总!$E:$E)</f>
        <v>0</v>
      </c>
      <c r="H756" s="77">
        <f>SUMIF(记录巡查问题条数汇总!$B:$B,#REF!,记录巡查问题条数汇总!$E:$E)</f>
        <v>0</v>
      </c>
      <c r="I756" s="77"/>
      <c r="J756" s="77">
        <f>SUMIF(安全质量事故!$B:$B,#REF!,安全质量事故!$G:$G)</f>
        <v>0</v>
      </c>
      <c r="K756" s="72">
        <f>COUNTIF(L756:AP756,标准数据!$A$2)*标准数据!$B$2+COUNTIF(L756:AP756,标准数据!$A$3)*标准数据!$B$3+COUNTIF(L756:AP756,标准数据!$A$4)*标准数据!$B$4</f>
        <v>0</v>
      </c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189"/>
      <c r="AQ756" s="55"/>
    </row>
    <row r="757" spans="1:48" s="51" customFormat="1" ht="21" customHeight="1">
      <c r="A757" s="267" t="s">
        <v>2120</v>
      </c>
      <c r="B757" s="45" t="s">
        <v>13</v>
      </c>
      <c r="C757" s="46" t="s">
        <v>932</v>
      </c>
      <c r="D757" s="47" t="s">
        <v>899</v>
      </c>
      <c r="E757" s="48">
        <v>46015</v>
      </c>
      <c r="F757" s="49">
        <f t="shared" si="33"/>
        <v>0</v>
      </c>
      <c r="G757" s="77">
        <f>SUMIF(积分汇总!$B:$B,C756,积分汇总!$E:$E)</f>
        <v>0</v>
      </c>
      <c r="H757" s="77">
        <f>SUMIF(记录巡查问题条数汇总!$B:$B,C756,记录巡查问题条数汇总!$E:$E)</f>
        <v>0</v>
      </c>
      <c r="I757" s="77"/>
      <c r="J757" s="77">
        <f>SUMIF(安全质量事故!$B:$B,C756,安全质量事故!$G:$G)</f>
        <v>0</v>
      </c>
      <c r="K757" s="72">
        <f>COUNTIF(L757:AP757,标准数据!$A$2)*标准数据!$B$2+COUNTIF(L757:AP757,标准数据!$A$3)*标准数据!$B$3+COUNTIF(L757:AP757,标准数据!$A$4)*标准数据!$B$4</f>
        <v>0</v>
      </c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56"/>
      <c r="X757" s="56"/>
      <c r="Y757" s="56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192"/>
      <c r="AQ757" s="90"/>
      <c r="AU757" s="76"/>
      <c r="AV757" s="41"/>
    </row>
    <row r="758" spans="1:48" ht="20.25" customHeight="1">
      <c r="A758" s="267" t="s">
        <v>2120</v>
      </c>
      <c r="B758" s="45" t="s">
        <v>81</v>
      </c>
      <c r="C758" s="46" t="s">
        <v>1266</v>
      </c>
      <c r="D758" s="52" t="s">
        <v>1267</v>
      </c>
      <c r="E758" s="46">
        <v>44755</v>
      </c>
      <c r="F758" s="49">
        <f t="shared" si="33"/>
        <v>0</v>
      </c>
      <c r="G758" s="77">
        <f>SUMIF(积分汇总!$B:$B,C757,积分汇总!$E:$E)</f>
        <v>0</v>
      </c>
      <c r="H758" s="77">
        <f>SUMIF(记录巡查问题条数汇总!$B:$B,C757,记录巡查问题条数汇总!$E:$E)</f>
        <v>0</v>
      </c>
      <c r="I758" s="77"/>
      <c r="J758" s="77">
        <f>SUMIF(安全质量事故!$B:$B,C757,安全质量事故!$G:$G)</f>
        <v>0</v>
      </c>
      <c r="K758" s="72">
        <f>COUNTIF(L758:AP758,标准数据!$A$2)*标准数据!$B$2+COUNTIF(L758:AP758,标准数据!$A$3)*标准数据!$B$3+COUNTIF(L758:AP758,标准数据!$A$4)*标准数据!$B$4</f>
        <v>0</v>
      </c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188"/>
      <c r="AQ758" s="90"/>
    </row>
    <row r="759" spans="1:48" ht="21" customHeight="1">
      <c r="A759" s="267" t="s">
        <v>2120</v>
      </c>
      <c r="B759" s="45" t="s">
        <v>81</v>
      </c>
      <c r="C759" s="46" t="s">
        <v>1116</v>
      </c>
      <c r="D759" s="52" t="s">
        <v>1418</v>
      </c>
      <c r="E759" s="46">
        <v>46134</v>
      </c>
      <c r="F759" s="49">
        <f t="shared" si="33"/>
        <v>0</v>
      </c>
      <c r="G759" s="77">
        <f>SUMIF(积分汇总!$B:$B,C758,积分汇总!$E:$E)</f>
        <v>0</v>
      </c>
      <c r="H759" s="77">
        <f>SUMIF(记录巡查问题条数汇总!$B:$B,C758,记录巡查问题条数汇总!$E:$E)</f>
        <v>0</v>
      </c>
      <c r="I759" s="77"/>
      <c r="J759" s="77">
        <f>SUMIF(安全质量事故!$B:$B,C758,安全质量事故!$G:$G)</f>
        <v>0</v>
      </c>
      <c r="K759" s="72">
        <f>COUNTIF(L759:AP759,标准数据!$A$2)*标准数据!$B$2+COUNTIF(L759:AP759,标准数据!$A$3)*标准数据!$B$3+COUNTIF(L759:AP759,标准数据!$A$4)*标准数据!$B$4</f>
        <v>0</v>
      </c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188"/>
      <c r="AQ759" s="90"/>
    </row>
    <row r="760" spans="1:48" ht="21" customHeight="1">
      <c r="A760" s="267" t="s">
        <v>2120</v>
      </c>
      <c r="B760" s="45" t="s">
        <v>81</v>
      </c>
      <c r="C760" s="46" t="s">
        <v>1544</v>
      </c>
      <c r="D760" s="52" t="s">
        <v>1545</v>
      </c>
      <c r="E760" s="46">
        <v>46169</v>
      </c>
      <c r="F760" s="49">
        <f t="shared" si="33"/>
        <v>0</v>
      </c>
      <c r="G760" s="77">
        <f>SUMIF(积分汇总!$B:$B,C758,积分汇总!$E:$E)</f>
        <v>0</v>
      </c>
      <c r="H760" s="77">
        <f>SUMIF(记录巡查问题条数汇总!$B:$B,C758,记录巡查问题条数汇总!$E:$E)</f>
        <v>0</v>
      </c>
      <c r="I760" s="77"/>
      <c r="J760" s="77">
        <f>SUMIF(安全质量事故!$B:$B,C758,安全质量事故!$G:$G)</f>
        <v>0</v>
      </c>
      <c r="K760" s="72">
        <f>COUNTIF(L760:AP760,标准数据!$A$2)*标准数据!$B$2+COUNTIF(L760:AP760,标准数据!$A$3)*标准数据!$B$3+COUNTIF(L760:AP760,标准数据!$A$4)*标准数据!$B$4</f>
        <v>0</v>
      </c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188"/>
      <c r="AQ760" s="90"/>
    </row>
    <row r="761" spans="1:48" ht="21" customHeight="1">
      <c r="A761" s="267" t="s">
        <v>2120</v>
      </c>
      <c r="B761" s="45" t="s">
        <v>13</v>
      </c>
      <c r="C761" s="46" t="s">
        <v>2076</v>
      </c>
      <c r="D761" s="52" t="s">
        <v>2077</v>
      </c>
      <c r="E761" s="46">
        <v>46225</v>
      </c>
      <c r="F761" s="49">
        <f t="shared" ref="F761" si="34">(K761+G761+H761+I761-J761)</f>
        <v>0</v>
      </c>
      <c r="G761" s="77">
        <f>SUMIF(积分汇总!$B:$B,C760,积分汇总!$E:$E)</f>
        <v>0</v>
      </c>
      <c r="H761" s="77">
        <f>SUMIF(记录巡查问题条数汇总!$B:$B,C760,记录巡查问题条数汇总!$E:$E)</f>
        <v>0</v>
      </c>
      <c r="I761" s="77"/>
      <c r="J761" s="77">
        <f>SUMIF(安全质量事故!$B:$B,C760,安全质量事故!$G:$G)</f>
        <v>0</v>
      </c>
      <c r="K761" s="72">
        <f>COUNTIF(L761:AP761,标准数据!$A$2)*标准数据!$B$2+COUNTIF(L761:AP761,标准数据!$A$3)*标准数据!$B$3+COUNTIF(L761:AP761,标准数据!$A$4)*标准数据!$B$4</f>
        <v>0</v>
      </c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56"/>
      <c r="AC761" s="90"/>
      <c r="AD761" s="90"/>
      <c r="AE761" s="90"/>
      <c r="AF761" s="90"/>
      <c r="AG761" s="90"/>
      <c r="AH761" s="56"/>
      <c r="AI761" s="90"/>
      <c r="AJ761" s="90"/>
      <c r="AK761" s="90"/>
      <c r="AL761" s="90"/>
      <c r="AM761" s="56"/>
      <c r="AN761" s="90"/>
      <c r="AO761" s="90"/>
      <c r="AP761" s="189"/>
      <c r="AQ761" s="55"/>
      <c r="AS761" s="41"/>
      <c r="AT761" s="41"/>
    </row>
    <row r="762" spans="1:48" ht="21" customHeight="1">
      <c r="A762" s="227" t="s">
        <v>2114</v>
      </c>
      <c r="B762" s="45" t="s">
        <v>14</v>
      </c>
      <c r="C762" s="46" t="s">
        <v>1654</v>
      </c>
      <c r="D762" s="47" t="s">
        <v>1655</v>
      </c>
      <c r="E762" s="48">
        <v>46215</v>
      </c>
      <c r="F762" s="49">
        <f t="shared" ref="F762:F776" si="35">(K762+G762+H762+I762-J762)</f>
        <v>0</v>
      </c>
      <c r="G762" s="77">
        <f>SUMIF(积分汇总!$B:$B,C761,积分汇总!$E:$E)</f>
        <v>0</v>
      </c>
      <c r="H762" s="77">
        <f>SUMIF(记录巡查问题条数汇总!$B:$B,C761,记录巡查问题条数汇总!$E:$E)</f>
        <v>0</v>
      </c>
      <c r="I762" s="77"/>
      <c r="J762" s="77">
        <f>SUMIF(安全质量事故!$B:$B,C761,安全质量事故!$G:$G)</f>
        <v>0</v>
      </c>
      <c r="K762" s="72">
        <f>COUNTIF(L762:AP762,标准数据!$A$2)*标准数据!$B$2+COUNTIF(L762:AP762,标准数据!$A$3)*标准数据!$B$3+COUNTIF(L762:AP762,标准数据!$A$4)*标准数据!$B$4</f>
        <v>0</v>
      </c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56"/>
      <c r="AC762" s="90"/>
      <c r="AD762" s="90"/>
      <c r="AE762" s="90"/>
      <c r="AF762" s="90"/>
      <c r="AG762" s="90"/>
      <c r="AH762" s="56"/>
      <c r="AI762" s="90"/>
      <c r="AJ762" s="90"/>
      <c r="AK762" s="90"/>
      <c r="AL762" s="90"/>
      <c r="AM762" s="56"/>
      <c r="AN762" s="90"/>
      <c r="AO762" s="90"/>
      <c r="AP762" s="189"/>
      <c r="AQ762" s="55"/>
      <c r="AR762" s="281" t="s">
        <v>1040</v>
      </c>
      <c r="AS762" s="282"/>
      <c r="AT762" s="282"/>
    </row>
    <row r="763" spans="1:48" ht="21" customHeight="1">
      <c r="A763" s="227" t="s">
        <v>2114</v>
      </c>
      <c r="B763" s="45" t="s">
        <v>14</v>
      </c>
      <c r="C763" s="47" t="s">
        <v>1367</v>
      </c>
      <c r="D763" s="52" t="s">
        <v>1368</v>
      </c>
      <c r="E763" s="46">
        <v>46155</v>
      </c>
      <c r="F763" s="49">
        <f t="shared" si="35"/>
        <v>0</v>
      </c>
      <c r="G763" s="77">
        <f>SUMIF(积分汇总!$B:$B,C762,积分汇总!$E:$E)</f>
        <v>0</v>
      </c>
      <c r="H763" s="77">
        <f>SUMIF(记录巡查问题条数汇总!$B:$B,C762,记录巡查问题条数汇总!$E:$E)</f>
        <v>0</v>
      </c>
      <c r="I763" s="77"/>
      <c r="J763" s="77">
        <f>SUMIF(安全质量事故!$B:$B,C762,安全质量事故!$G:$G)</f>
        <v>0</v>
      </c>
      <c r="K763" s="72">
        <f>COUNTIF(L763:AP763,标准数据!$A$2)*标准数据!$B$2+COUNTIF(L763:AP763,标准数据!$A$3)*标准数据!$B$3+COUNTIF(L763:AP763,标准数据!$A$4)*标准数据!$B$4</f>
        <v>0</v>
      </c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56"/>
      <c r="AC763" s="90"/>
      <c r="AD763" s="90"/>
      <c r="AE763" s="90"/>
      <c r="AF763" s="90"/>
      <c r="AG763" s="90"/>
      <c r="AH763" s="56"/>
      <c r="AI763" s="90"/>
      <c r="AJ763" s="90"/>
      <c r="AK763" s="90"/>
      <c r="AL763" s="90"/>
      <c r="AM763" s="56"/>
      <c r="AN763" s="90"/>
      <c r="AO763" s="90"/>
      <c r="AP763" s="189"/>
      <c r="AQ763" s="55"/>
      <c r="AR763" s="59" t="s">
        <v>1031</v>
      </c>
      <c r="AS763" s="57" t="s">
        <v>1041</v>
      </c>
      <c r="AT763" s="57" t="s">
        <v>1028</v>
      </c>
    </row>
    <row r="764" spans="1:48" ht="21" customHeight="1">
      <c r="A764" s="227" t="s">
        <v>2114</v>
      </c>
      <c r="B764" s="45" t="s">
        <v>14</v>
      </c>
      <c r="C764" s="46" t="s">
        <v>1458</v>
      </c>
      <c r="D764" s="47" t="s">
        <v>1459</v>
      </c>
      <c r="E764" s="48">
        <v>46169</v>
      </c>
      <c r="F764" s="49">
        <f t="shared" si="35"/>
        <v>0</v>
      </c>
      <c r="G764" s="77">
        <f>SUMIF(积分汇总!$B:$B,C763,积分汇总!$E:$E)</f>
        <v>0</v>
      </c>
      <c r="H764" s="77">
        <f>SUMIF(记录巡查问题条数汇总!$B:$B,C763,记录巡查问题条数汇总!$E:$E)</f>
        <v>0</v>
      </c>
      <c r="I764" s="77"/>
      <c r="J764" s="77">
        <f>SUMIF(安全质量事故!$B:$B,C763,安全质量事故!$G:$G)</f>
        <v>0</v>
      </c>
      <c r="K764" s="72">
        <f>COUNTIF(L764:AP764,标准数据!$A$2)*标准数据!$B$2+COUNTIF(L764:AP764,标准数据!$A$3)*标准数据!$B$3+COUNTIF(L764:AP764,标准数据!$A$4)*标准数据!$B$4</f>
        <v>0</v>
      </c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192"/>
      <c r="AQ764" s="90"/>
      <c r="AR764" s="64">
        <f>COUNTIF(L762:AP781,"a")</f>
        <v>0</v>
      </c>
      <c r="AS764" s="64">
        <f>COUNTIF(L762:AN781,"b")</f>
        <v>0</v>
      </c>
      <c r="AT764" s="64">
        <f>COUNTIF(L762:AP781,"c")</f>
        <v>0</v>
      </c>
    </row>
    <row r="765" spans="1:48" ht="20.25" customHeight="1">
      <c r="A765" s="227" t="s">
        <v>2114</v>
      </c>
      <c r="B765" s="45" t="s">
        <v>14</v>
      </c>
      <c r="C765" s="46" t="s">
        <v>2023</v>
      </c>
      <c r="D765" s="47" t="s">
        <v>2024</v>
      </c>
      <c r="E765" s="48">
        <v>46246</v>
      </c>
      <c r="F765" s="49">
        <f t="shared" si="35"/>
        <v>0</v>
      </c>
      <c r="G765" s="77">
        <f>SUMIF(积分汇总!$B:$B,C764,积分汇总!$E:$E)</f>
        <v>0</v>
      </c>
      <c r="H765" s="77">
        <f>SUMIF(记录巡查问题条数汇总!$B:$B,C764,记录巡查问题条数汇总!$E:$E)</f>
        <v>0</v>
      </c>
      <c r="I765" s="77"/>
      <c r="J765" s="77">
        <f>SUMIF(安全质量事故!$B:$B,C764,安全质量事故!$G:$G)</f>
        <v>0</v>
      </c>
      <c r="K765" s="72">
        <f>COUNTIF(L765:AP765,标准数据!$A$2)*标准数据!$B$2+COUNTIF(L765:AP765,标准数据!$A$3)*标准数据!$B$3+COUNTIF(L765:AP765,标准数据!$A$4)*标准数据!$B$4</f>
        <v>0</v>
      </c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188"/>
      <c r="AQ765" s="90"/>
      <c r="AR765" s="50" t="e">
        <f>AR764/($AR$764+$AS$764+$AT$764)</f>
        <v>#DIV/0!</v>
      </c>
      <c r="AS765" s="50" t="e">
        <f>AS764/($AR$764+$AS$764+$AT$764)</f>
        <v>#DIV/0!</v>
      </c>
      <c r="AT765" s="50" t="e">
        <f>AT764/($AR$764+$AS$764+$AT$764)</f>
        <v>#DIV/0!</v>
      </c>
    </row>
    <row r="766" spans="1:48" ht="20.25" customHeight="1">
      <c r="A766" s="227" t="s">
        <v>2114</v>
      </c>
      <c r="B766" s="45" t="s">
        <v>14</v>
      </c>
      <c r="C766" s="46" t="s">
        <v>1577</v>
      </c>
      <c r="D766" s="52" t="s">
        <v>1578</v>
      </c>
      <c r="E766" s="46">
        <v>46204</v>
      </c>
      <c r="F766" s="49">
        <f t="shared" si="35"/>
        <v>0</v>
      </c>
      <c r="G766" s="77">
        <f>SUMIF(积分汇总!$B:$B,C765,积分汇总!$E:$E)</f>
        <v>0</v>
      </c>
      <c r="H766" s="77">
        <f>SUMIF(记录巡查问题条数汇总!$B:$B,C765,记录巡查问题条数汇总!$E:$E)</f>
        <v>0</v>
      </c>
      <c r="I766" s="77"/>
      <c r="J766" s="77">
        <f>SUMIF(安全质量事故!$B:$B,C765,安全质量事故!$G:$G)</f>
        <v>0</v>
      </c>
      <c r="K766" s="72">
        <f>COUNTIF(L766:AP766,标准数据!$A$2)*标准数据!$B$2+COUNTIF(L766:AP766,标准数据!$A$3)*标准数据!$B$3+COUNTIF(L766:AP766,标准数据!$A$4)*标准数据!$B$4</f>
        <v>0</v>
      </c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188"/>
      <c r="AQ766" s="90"/>
    </row>
    <row r="767" spans="1:48" ht="20.25" customHeight="1">
      <c r="A767" s="227" t="s">
        <v>2114</v>
      </c>
      <c r="B767" s="45" t="s">
        <v>14</v>
      </c>
      <c r="C767" s="46" t="s">
        <v>1770</v>
      </c>
      <c r="D767" s="47" t="s">
        <v>1771</v>
      </c>
      <c r="E767" s="48">
        <v>46215</v>
      </c>
      <c r="F767" s="49">
        <f t="shared" si="35"/>
        <v>0</v>
      </c>
      <c r="G767" s="77">
        <f>SUMIF(积分汇总!$B:$B,C766,积分汇总!$E:$E)</f>
        <v>0</v>
      </c>
      <c r="H767" s="77">
        <f>SUMIF(记录巡查问题条数汇总!$B:$B,C766,记录巡查问题条数汇总!$E:$E)</f>
        <v>0</v>
      </c>
      <c r="I767" s="77"/>
      <c r="J767" s="77">
        <f>SUMIF(安全质量事故!$B:$B,C766,安全质量事故!$G:$G)</f>
        <v>0</v>
      </c>
      <c r="K767" s="72">
        <f>COUNTIF(L767:AP767,标准数据!$A$2)*标准数据!$B$2+COUNTIF(L767:AP767,标准数据!$A$3)*标准数据!$B$3+COUNTIF(L767:AP767,标准数据!$A$4)*标准数据!$B$4</f>
        <v>0</v>
      </c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188"/>
      <c r="AQ767" s="90"/>
    </row>
    <row r="768" spans="1:48" ht="20.25" customHeight="1">
      <c r="A768" s="227" t="s">
        <v>2114</v>
      </c>
      <c r="B768" s="45" t="s">
        <v>14</v>
      </c>
      <c r="C768" s="46" t="s">
        <v>1349</v>
      </c>
      <c r="D768" s="47" t="s">
        <v>1350</v>
      </c>
      <c r="E768" s="48">
        <v>46139</v>
      </c>
      <c r="F768" s="49">
        <f t="shared" si="35"/>
        <v>0</v>
      </c>
      <c r="G768" s="77">
        <f>SUMIF(积分汇总!$B:$B,C767,积分汇总!$E:$E)</f>
        <v>0</v>
      </c>
      <c r="H768" s="77">
        <f>SUMIF(记录巡查问题条数汇总!$B:$B,C767,记录巡查问题条数汇总!$E:$E)</f>
        <v>0</v>
      </c>
      <c r="I768" s="77"/>
      <c r="J768" s="77">
        <f>SUMIF(安全质量事故!$B:$B,C767,安全质量事故!$G:$G)</f>
        <v>0</v>
      </c>
      <c r="K768" s="72">
        <f>COUNTIF(L768:AP768,标准数据!$A$2)*标准数据!$B$2+COUNTIF(L768:AP768,标准数据!$A$3)*标准数据!$B$3+COUNTIF(L768:AP768,标准数据!$A$4)*标准数据!$B$4</f>
        <v>0</v>
      </c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188"/>
      <c r="AQ768" s="90"/>
    </row>
    <row r="769" spans="1:46" ht="21" customHeight="1">
      <c r="A769" s="227" t="s">
        <v>2114</v>
      </c>
      <c r="B769" s="45" t="s">
        <v>14</v>
      </c>
      <c r="C769" s="46" t="s">
        <v>1582</v>
      </c>
      <c r="D769" s="47" t="s">
        <v>1583</v>
      </c>
      <c r="E769" s="48">
        <v>46197</v>
      </c>
      <c r="F769" s="49">
        <f t="shared" si="35"/>
        <v>0</v>
      </c>
      <c r="G769" s="77">
        <f>SUMIF(积分汇总!$B:$B,C768,积分汇总!$E:$E)</f>
        <v>0</v>
      </c>
      <c r="H769" s="77">
        <f>SUMIF(记录巡查问题条数汇总!$B:$B,C768,记录巡查问题条数汇总!$E:$E)</f>
        <v>0</v>
      </c>
      <c r="I769" s="77"/>
      <c r="J769" s="77">
        <f>SUMIF(安全质量事故!$B:$B,C768,安全质量事故!$G:$G)</f>
        <v>0</v>
      </c>
      <c r="K769" s="72">
        <f>COUNTIF(L769:AP769,标准数据!$A$2)*标准数据!$B$2+COUNTIF(L769:AP769,标准数据!$A$3)*标准数据!$B$3+COUNTIF(L769:AP769,标准数据!$A$4)*标准数据!$B$4</f>
        <v>0</v>
      </c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189"/>
      <c r="AQ769" s="55"/>
      <c r="AR769" s="41"/>
      <c r="AS769" s="41"/>
      <c r="AT769" s="41"/>
    </row>
    <row r="770" spans="1:46" ht="21" customHeight="1">
      <c r="A770" s="227" t="s">
        <v>2114</v>
      </c>
      <c r="B770" s="45" t="s">
        <v>14</v>
      </c>
      <c r="C770" s="46" t="s">
        <v>1611</v>
      </c>
      <c r="D770" s="47" t="s">
        <v>1612</v>
      </c>
      <c r="E770" s="48">
        <v>46215</v>
      </c>
      <c r="F770" s="49">
        <f t="shared" si="35"/>
        <v>0</v>
      </c>
      <c r="G770" s="77">
        <f>SUMIF(积分汇总!$B:$B,C769,积分汇总!$E:$E)</f>
        <v>0</v>
      </c>
      <c r="H770" s="77">
        <f>SUMIF(记录巡查问题条数汇总!$B:$B,C769,记录巡查问题条数汇总!$E:$E)</f>
        <v>0</v>
      </c>
      <c r="I770" s="77"/>
      <c r="J770" s="77">
        <f>SUMIF(安全质量事故!$B:$B,C769,安全质量事故!$G:$G)</f>
        <v>0</v>
      </c>
      <c r="K770" s="72">
        <f>COUNTIF(L770:AP770,标准数据!$A$2)*标准数据!$B$2+COUNTIF(L770:AP770,标准数据!$A$3)*标准数据!$B$3+COUNTIF(L770:AP770,标准数据!$A$4)*标准数据!$B$4</f>
        <v>0</v>
      </c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189"/>
      <c r="AQ770" s="55"/>
    </row>
    <row r="771" spans="1:46" ht="21" customHeight="1">
      <c r="A771" s="227" t="s">
        <v>2114</v>
      </c>
      <c r="B771" s="45" t="s">
        <v>14</v>
      </c>
      <c r="C771" s="46" t="s">
        <v>1850</v>
      </c>
      <c r="D771" s="47" t="s">
        <v>1851</v>
      </c>
      <c r="E771" s="48">
        <v>46215</v>
      </c>
      <c r="F771" s="49">
        <f t="shared" si="35"/>
        <v>0</v>
      </c>
      <c r="G771" s="77">
        <f>SUMIF(积分汇总!$B:$B,C770,积分汇总!$E:$E)</f>
        <v>0</v>
      </c>
      <c r="H771" s="77">
        <f>SUMIF(记录巡查问题条数汇总!$B:$B,C770,记录巡查问题条数汇总!$E:$E)</f>
        <v>0</v>
      </c>
      <c r="I771" s="77"/>
      <c r="J771" s="77">
        <f>SUMIF(安全质量事故!$B:$B,C770,安全质量事故!$G:$G)</f>
        <v>0</v>
      </c>
      <c r="K771" s="72">
        <f>COUNTIF(L771:AP771,标准数据!$A$2)*标准数据!$B$2+COUNTIF(L771:AP771,标准数据!$A$3)*标准数据!$B$3+COUNTIF(L771:AP771,标准数据!$A$4)*标准数据!$B$4</f>
        <v>0</v>
      </c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189"/>
      <c r="AQ771" s="55"/>
      <c r="AR771" s="41"/>
      <c r="AS771" s="41"/>
      <c r="AT771" s="41"/>
    </row>
    <row r="772" spans="1:46" ht="21" customHeight="1">
      <c r="A772" s="227" t="s">
        <v>2114</v>
      </c>
      <c r="B772" s="45" t="s">
        <v>14</v>
      </c>
      <c r="C772" s="46" t="s">
        <v>1866</v>
      </c>
      <c r="D772" s="47" t="s">
        <v>1867</v>
      </c>
      <c r="E772" s="48">
        <v>46215</v>
      </c>
      <c r="F772" s="49">
        <f t="shared" si="35"/>
        <v>0</v>
      </c>
      <c r="G772" s="77">
        <f>SUMIF(积分汇总!$B:$B,C771,积分汇总!$E:$E)</f>
        <v>0</v>
      </c>
      <c r="H772" s="77">
        <f>SUMIF(记录巡查问题条数汇总!$B:$B,C771,记录巡查问题条数汇总!$E:$E)</f>
        <v>0</v>
      </c>
      <c r="I772" s="77"/>
      <c r="J772" s="77">
        <f>SUMIF(安全质量事故!$B:$B,C771,安全质量事故!$G:$G)</f>
        <v>0</v>
      </c>
      <c r="K772" s="72">
        <f>COUNTIF(L772:AP772,标准数据!$A$2)*标准数据!$B$2+COUNTIF(L772:AP772,标准数据!$A$3)*标准数据!$B$3+COUNTIF(L772:AP772,标准数据!$A$4)*标准数据!$B$4</f>
        <v>0</v>
      </c>
      <c r="L772" s="90"/>
      <c r="M772" s="90"/>
      <c r="N772" s="90"/>
      <c r="O772" s="90"/>
      <c r="P772" s="90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189"/>
      <c r="AQ772" s="55"/>
    </row>
    <row r="773" spans="1:46" ht="21" customHeight="1">
      <c r="A773" s="227" t="s">
        <v>2114</v>
      </c>
      <c r="B773" s="45" t="s">
        <v>14</v>
      </c>
      <c r="C773" s="46" t="s">
        <v>1868</v>
      </c>
      <c r="D773" s="47" t="s">
        <v>1869</v>
      </c>
      <c r="E773" s="48">
        <v>46215</v>
      </c>
      <c r="F773" s="49">
        <f t="shared" si="35"/>
        <v>0</v>
      </c>
      <c r="G773" s="77">
        <f>SUMIF(积分汇总!$B:$B,C772,积分汇总!$E:$E)</f>
        <v>0</v>
      </c>
      <c r="H773" s="77">
        <f>SUMIF(记录巡查问题条数汇总!$B:$B,C772,记录巡查问题条数汇总!$E:$E)</f>
        <v>0</v>
      </c>
      <c r="I773" s="77"/>
      <c r="J773" s="77">
        <f>SUMIF(安全质量事故!$B:$B,C772,安全质量事故!$G:$G)</f>
        <v>0</v>
      </c>
      <c r="K773" s="72">
        <f>COUNTIF(L773:AP773,标准数据!$A$2)*标准数据!$B$2+COUNTIF(L773:AP773,标准数据!$A$3)*标准数据!$B$3+COUNTIF(L773:AP773,标准数据!$A$4)*标准数据!$B$4</f>
        <v>0</v>
      </c>
      <c r="L773" s="90"/>
      <c r="M773" s="90"/>
      <c r="N773" s="90"/>
      <c r="O773" s="90"/>
      <c r="P773" s="90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189"/>
      <c r="AQ773" s="55"/>
    </row>
    <row r="774" spans="1:46" ht="21" customHeight="1">
      <c r="A774" s="227" t="s">
        <v>2114</v>
      </c>
      <c r="B774" s="45" t="s">
        <v>14</v>
      </c>
      <c r="C774" s="46" t="s">
        <v>621</v>
      </c>
      <c r="D774" s="52" t="s">
        <v>599</v>
      </c>
      <c r="E774" s="48">
        <v>45896</v>
      </c>
      <c r="F774" s="49">
        <f t="shared" si="35"/>
        <v>0</v>
      </c>
      <c r="G774" s="77">
        <f>SUMIF(积分汇总!$B:$B,C773,积分汇总!$E:$E)</f>
        <v>0</v>
      </c>
      <c r="H774" s="77">
        <f>SUMIF(记录巡查问题条数汇总!$B:$B,C773,记录巡查问题条数汇总!$E:$E)</f>
        <v>0</v>
      </c>
      <c r="I774" s="77"/>
      <c r="J774" s="77">
        <f>SUMIF(安全质量事故!$B:$B,C773,安全质量事故!$G:$G)</f>
        <v>0</v>
      </c>
      <c r="K774" s="72">
        <f>COUNTIF(L774:AP774,标准数据!$A$2)*标准数据!$B$2+COUNTIF(L774:AP774,标准数据!$A$3)*标准数据!$B$3+COUNTIF(L774:AP774,标准数据!$A$4)*标准数据!$B$4</f>
        <v>0</v>
      </c>
      <c r="L774" s="90"/>
      <c r="M774" s="90"/>
      <c r="N774" s="90"/>
      <c r="O774" s="90"/>
      <c r="P774" s="90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189"/>
      <c r="AQ774" s="55"/>
    </row>
    <row r="775" spans="1:46" ht="21" customHeight="1">
      <c r="A775" s="227" t="s">
        <v>2114</v>
      </c>
      <c r="B775" s="45" t="s">
        <v>14</v>
      </c>
      <c r="C775" s="46" t="s">
        <v>369</v>
      </c>
      <c r="D775" s="52" t="s">
        <v>362</v>
      </c>
      <c r="E775" s="48">
        <v>45700</v>
      </c>
      <c r="F775" s="49">
        <f t="shared" si="35"/>
        <v>0</v>
      </c>
      <c r="G775" s="77">
        <f>SUMIF(积分汇总!$B:$B,C774,积分汇总!$E:$E)</f>
        <v>0</v>
      </c>
      <c r="H775" s="77">
        <f>SUMIF(记录巡查问题条数汇总!$B:$B,C774,记录巡查问题条数汇总!$E:$E)</f>
        <v>0</v>
      </c>
      <c r="I775" s="77"/>
      <c r="J775" s="77">
        <f>SUMIF(安全质量事故!$B:$B,C774,安全质量事故!$G:$G)</f>
        <v>0</v>
      </c>
      <c r="K775" s="72">
        <f>COUNTIF(L775:AP775,标准数据!$A$2)*标准数据!$B$2+COUNTIF(L775:AP775,标准数据!$A$3)*标准数据!$B$3+COUNTIF(L775:AP775,标准数据!$A$4)*标准数据!$B$4</f>
        <v>0</v>
      </c>
      <c r="L775" s="90"/>
      <c r="M775" s="90"/>
      <c r="N775" s="90"/>
      <c r="O775" s="90"/>
      <c r="P775" s="90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189"/>
      <c r="AQ775" s="55"/>
    </row>
    <row r="776" spans="1:46" ht="21" customHeight="1">
      <c r="A776" s="227" t="s">
        <v>2114</v>
      </c>
      <c r="B776" s="45" t="s">
        <v>14</v>
      </c>
      <c r="C776" s="46" t="s">
        <v>638</v>
      </c>
      <c r="D776" s="47" t="s">
        <v>602</v>
      </c>
      <c r="E776" s="48">
        <v>45908</v>
      </c>
      <c r="F776" s="49">
        <f t="shared" si="35"/>
        <v>0</v>
      </c>
      <c r="G776" s="77">
        <f>SUMIF(积分汇总!$B:$B,C775,积分汇总!$E:$E)</f>
        <v>0</v>
      </c>
      <c r="H776" s="77">
        <f>SUMIF(记录巡查问题条数汇总!$B:$B,C775,记录巡查问题条数汇总!$E:$E)</f>
        <v>0</v>
      </c>
      <c r="I776" s="77"/>
      <c r="J776" s="77">
        <f>SUMIF(安全质量事故!$B:$B,C775,安全质量事故!$G:$G)</f>
        <v>0</v>
      </c>
      <c r="K776" s="72">
        <f>COUNTIF(L776:AP776,标准数据!$A$2)*标准数据!$B$2+COUNTIF(L776:AP776,标准数据!$A$3)*标准数据!$B$3+COUNTIF(L776:AP776,标准数据!$A$4)*标准数据!$B$4</f>
        <v>0</v>
      </c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192"/>
      <c r="AQ776" s="90"/>
    </row>
    <row r="777" spans="1:46" ht="21" customHeight="1">
      <c r="A777" s="227" t="s">
        <v>2114</v>
      </c>
      <c r="B777" s="45" t="s">
        <v>14</v>
      </c>
      <c r="C777" s="46" t="s">
        <v>1416</v>
      </c>
      <c r="D777" s="52" t="s">
        <v>1417</v>
      </c>
      <c r="E777" s="48">
        <v>46139</v>
      </c>
      <c r="F777" s="49">
        <f t="shared" ref="F777:F832" si="36">(K777+G777+H777+I777-J777)</f>
        <v>0</v>
      </c>
      <c r="G777" s="77">
        <f>SUMIF(积分汇总!$B:$B,C776,积分汇总!$E:$E)</f>
        <v>0</v>
      </c>
      <c r="H777" s="77">
        <f>SUMIF(记录巡查问题条数汇总!$B:$B,C776,记录巡查问题条数汇总!$E:$E)</f>
        <v>0</v>
      </c>
      <c r="I777" s="77"/>
      <c r="J777" s="77">
        <f>SUMIF(安全质量事故!$B:$B,C776,安全质量事故!$G:$G)</f>
        <v>0</v>
      </c>
      <c r="K777" s="72">
        <f>COUNTIF(L777:AP777,标准数据!$A$2)*标准数据!$B$2+COUNTIF(L777:AP777,标准数据!$A$3)*标准数据!$B$3+COUNTIF(L777:AP777,标准数据!$A$4)*标准数据!$B$4</f>
        <v>0</v>
      </c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192"/>
      <c r="AQ777" s="90"/>
    </row>
    <row r="778" spans="1:46" ht="21" customHeight="1">
      <c r="A778" s="227" t="s">
        <v>2114</v>
      </c>
      <c r="B778" s="45" t="s">
        <v>14</v>
      </c>
      <c r="C778" s="46" t="s">
        <v>1143</v>
      </c>
      <c r="D778" s="47" t="s">
        <v>1144</v>
      </c>
      <c r="E778" s="48">
        <v>46127</v>
      </c>
      <c r="F778" s="49">
        <f t="shared" si="36"/>
        <v>0</v>
      </c>
      <c r="G778" s="77">
        <f>SUMIF(积分汇总!$B:$B,C777,积分汇总!$E:$E)</f>
        <v>0</v>
      </c>
      <c r="H778" s="77">
        <f>SUMIF(记录巡查问题条数汇总!$B:$B,C777,记录巡查问题条数汇总!$E:$E)</f>
        <v>0</v>
      </c>
      <c r="I778" s="77"/>
      <c r="J778" s="77">
        <f>SUMIF(安全质量事故!$B:$B,C777,安全质量事故!$G:$G)</f>
        <v>0</v>
      </c>
      <c r="K778" s="72">
        <f>COUNTIF(L778:AP778,标准数据!$A$2)*标准数据!$B$2+COUNTIF(L778:AP778,标准数据!$A$3)*标准数据!$B$3+COUNTIF(L778:AP778,标准数据!$A$4)*标准数据!$B$4</f>
        <v>0</v>
      </c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192"/>
      <c r="AQ778" s="90"/>
    </row>
    <row r="779" spans="1:46" ht="21" customHeight="1">
      <c r="A779" s="227" t="s">
        <v>2114</v>
      </c>
      <c r="B779" s="45" t="s">
        <v>129</v>
      </c>
      <c r="C779" s="46" t="s">
        <v>1441</v>
      </c>
      <c r="D779" s="47" t="s">
        <v>1442</v>
      </c>
      <c r="E779" s="48">
        <v>46174</v>
      </c>
      <c r="F779" s="49">
        <f t="shared" si="36"/>
        <v>0</v>
      </c>
      <c r="G779" s="77">
        <f>SUMIF(积分汇总!$B:$B,C778,积分汇总!$E:$E)</f>
        <v>0</v>
      </c>
      <c r="H779" s="77">
        <f>SUMIF(记录巡查问题条数汇总!$B:$B,C778,记录巡查问题条数汇总!$E:$E)</f>
        <v>0</v>
      </c>
      <c r="I779" s="77"/>
      <c r="J779" s="77">
        <f>SUMIF(安全质量事故!$B:$B,C778,安全质量事故!$G:$G)</f>
        <v>0</v>
      </c>
      <c r="K779" s="72">
        <f>COUNTIF(L779:AP779,标准数据!$A$2)*标准数据!$B$2+COUNTIF(L779:AP779,标准数据!$A$3)*标准数据!$B$3+COUNTIF(L779:AP779,标准数据!$A$4)*标准数据!$B$4</f>
        <v>0</v>
      </c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192"/>
      <c r="AQ779" s="90"/>
    </row>
    <row r="780" spans="1:46" ht="21" customHeight="1">
      <c r="A780" s="227" t="s">
        <v>2114</v>
      </c>
      <c r="B780" s="45" t="s">
        <v>146</v>
      </c>
      <c r="C780" s="46" t="s">
        <v>933</v>
      </c>
      <c r="D780" s="52" t="s">
        <v>888</v>
      </c>
      <c r="E780" s="48">
        <v>45882</v>
      </c>
      <c r="F780" s="49">
        <f t="shared" ref="F780" si="37">(K780+G780+H780+I780-J780)</f>
        <v>0</v>
      </c>
      <c r="G780" s="77">
        <f>SUMIF(积分汇总!$B:$B,C777,积分汇总!$E:$E)</f>
        <v>0</v>
      </c>
      <c r="H780" s="77">
        <f>SUMIF(记录巡查问题条数汇总!$B:$B,C777,记录巡查问题条数汇总!$E:$E)</f>
        <v>0</v>
      </c>
      <c r="I780" s="77"/>
      <c r="J780" s="77">
        <f>SUMIF(安全质量事故!$B:$B,C777,安全质量事故!$G:$G)</f>
        <v>0</v>
      </c>
      <c r="K780" s="72">
        <f>COUNTIF(L780:AP780,标准数据!$A$2)*标准数据!$B$2+COUNTIF(L780:AP780,标准数据!$A$3)*标准数据!$B$3+COUNTIF(L780:AP780,标准数据!$A$4)*标准数据!$B$4</f>
        <v>0</v>
      </c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189"/>
      <c r="AQ780" s="55"/>
    </row>
    <row r="781" spans="1:46" ht="21" customHeight="1">
      <c r="A781" s="227" t="s">
        <v>2114</v>
      </c>
      <c r="B781" s="45" t="s">
        <v>146</v>
      </c>
      <c r="C781" s="46" t="s">
        <v>934</v>
      </c>
      <c r="D781" s="52" t="s">
        <v>889</v>
      </c>
      <c r="E781" s="48">
        <v>45924</v>
      </c>
      <c r="F781" s="49">
        <f t="shared" si="36"/>
        <v>0</v>
      </c>
      <c r="G781" s="77">
        <f>SUMIF(积分汇总!$B:$B,C779,积分汇总!$E:$E)</f>
        <v>0</v>
      </c>
      <c r="H781" s="77">
        <f>SUMIF(记录巡查问题条数汇总!$B:$B,C779,记录巡查问题条数汇总!$E:$E)</f>
        <v>0</v>
      </c>
      <c r="I781" s="77"/>
      <c r="J781" s="77">
        <f>SUMIF(安全质量事故!$B:$B,C779,安全质量事故!$G:$G)</f>
        <v>0</v>
      </c>
      <c r="K781" s="72">
        <f>COUNTIF(L781:AP781,标准数据!$A$2)*标准数据!$B$2+COUNTIF(L781:AP781,标准数据!$A$3)*标准数据!$B$3+COUNTIF(L781:AP781,标准数据!$A$4)*标准数据!$B$4</f>
        <v>0</v>
      </c>
      <c r="L781" s="56"/>
      <c r="M781" s="56"/>
      <c r="N781" s="56"/>
      <c r="O781" s="56"/>
      <c r="P781" s="56"/>
      <c r="Q781" s="56"/>
      <c r="R781" s="56"/>
      <c r="S781" s="55"/>
      <c r="T781" s="55"/>
      <c r="U781" s="55"/>
      <c r="V781" s="55"/>
      <c r="W781" s="55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189"/>
      <c r="AQ781" s="55"/>
      <c r="AR781" s="41"/>
      <c r="AS781" s="41"/>
      <c r="AT781" s="41"/>
    </row>
    <row r="782" spans="1:46" ht="21" customHeight="1">
      <c r="A782" s="267" t="s">
        <v>2124</v>
      </c>
      <c r="B782" s="45" t="s">
        <v>2073</v>
      </c>
      <c r="C782" s="46" t="s">
        <v>491</v>
      </c>
      <c r="D782" s="52" t="s">
        <v>460</v>
      </c>
      <c r="E782" s="46">
        <v>45833</v>
      </c>
      <c r="F782" s="49">
        <f t="shared" si="36"/>
        <v>0</v>
      </c>
      <c r="G782" s="77">
        <f>SUMIF(积分汇总!$B:$B,#REF!,积分汇总!$E:$E)</f>
        <v>0</v>
      </c>
      <c r="H782" s="77">
        <f>SUMIF(记录巡查问题条数汇总!$B:$B,#REF!,记录巡查问题条数汇总!$E:$E)</f>
        <v>0</v>
      </c>
      <c r="I782" s="77"/>
      <c r="J782" s="77">
        <f>SUMIF(安全质量事故!$B:$B,#REF!,安全质量事故!$G:$G)</f>
        <v>0</v>
      </c>
      <c r="K782" s="72">
        <f>COUNTIF(L782:AP782,标准数据!$A$2)*标准数据!$B$2+COUNTIF(L782:AP782,标准数据!$A$3)*标准数据!$B$3+COUNTIF(L782:AP782,标准数据!$A$4)*标准数据!$B$4</f>
        <v>0</v>
      </c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192"/>
      <c r="AQ782" s="90"/>
      <c r="AR782" s="281" t="s">
        <v>1043</v>
      </c>
      <c r="AS782" s="282"/>
      <c r="AT782" s="282"/>
    </row>
    <row r="783" spans="1:46" ht="21" customHeight="1">
      <c r="A783" s="267" t="s">
        <v>2124</v>
      </c>
      <c r="B783" s="45" t="s">
        <v>87</v>
      </c>
      <c r="C783" s="46" t="s">
        <v>866</v>
      </c>
      <c r="D783" s="47" t="s">
        <v>774</v>
      </c>
      <c r="E783" s="48">
        <v>44454</v>
      </c>
      <c r="F783" s="49">
        <f t="shared" si="36"/>
        <v>0</v>
      </c>
      <c r="G783" s="77">
        <f>SUMIF(积分汇总!$B:$B,C782,积分汇总!$E:$E)</f>
        <v>0</v>
      </c>
      <c r="H783" s="77">
        <f>SUMIF(记录巡查问题条数汇总!$B:$B,C782,记录巡查问题条数汇总!$E:$E)</f>
        <v>0</v>
      </c>
      <c r="I783" s="77"/>
      <c r="J783" s="77">
        <f>SUMIF(安全质量事故!$B:$B,C782,安全质量事故!$G:$G)</f>
        <v>0</v>
      </c>
      <c r="K783" s="72">
        <f>COUNTIF(L783:AP783,标准数据!$A$2)*标准数据!$B$2+COUNTIF(L783:AP783,标准数据!$A$3)*标准数据!$B$3+COUNTIF(L783:AP783,标准数据!$A$4)*标准数据!$B$4</f>
        <v>0</v>
      </c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189"/>
      <c r="AQ783" s="55"/>
      <c r="AR783" s="59" t="s">
        <v>1031</v>
      </c>
      <c r="AS783" s="57" t="s">
        <v>1041</v>
      </c>
      <c r="AT783" s="57" t="s">
        <v>1028</v>
      </c>
    </row>
    <row r="784" spans="1:46" ht="21" customHeight="1">
      <c r="A784" s="267" t="s">
        <v>2124</v>
      </c>
      <c r="B784" s="45" t="s">
        <v>87</v>
      </c>
      <c r="C784" s="46" t="s">
        <v>1246</v>
      </c>
      <c r="D784" s="52" t="s">
        <v>1247</v>
      </c>
      <c r="E784" s="46">
        <v>46120</v>
      </c>
      <c r="F784" s="49">
        <f t="shared" si="36"/>
        <v>0</v>
      </c>
      <c r="G784" s="77">
        <f>SUMIF(积分汇总!$B:$B,C783,积分汇总!$E:$E)</f>
        <v>0</v>
      </c>
      <c r="H784" s="77">
        <f>SUMIF(记录巡查问题条数汇总!$B:$B,C783,记录巡查问题条数汇总!$E:$E)</f>
        <v>0</v>
      </c>
      <c r="I784" s="77"/>
      <c r="J784" s="77">
        <f>SUMIF(安全质量事故!$B:$B,C783,安全质量事故!$G:$G)</f>
        <v>0</v>
      </c>
      <c r="K784" s="72">
        <f>COUNTIF(L784:AP784,标准数据!$A$2)*标准数据!$B$2+COUNTIF(L784:AP784,标准数据!$A$3)*标准数据!$B$3+COUNTIF(L784:AP784,标准数据!$A$4)*标准数据!$B$4</f>
        <v>0</v>
      </c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192"/>
      <c r="AQ784" s="90"/>
      <c r="AR784" s="65">
        <f>COUNTIF(L782:AP794,"a")</f>
        <v>0</v>
      </c>
      <c r="AS784" s="65">
        <f>COUNTIF(L782:AP794,"b")</f>
        <v>0</v>
      </c>
      <c r="AT784" s="65">
        <f>COUNTIF(L782:AP794,"c")</f>
        <v>0</v>
      </c>
    </row>
    <row r="785" spans="1:46" ht="21" customHeight="1">
      <c r="A785" s="267" t="s">
        <v>2124</v>
      </c>
      <c r="B785" s="45" t="s">
        <v>87</v>
      </c>
      <c r="C785" s="46" t="s">
        <v>1552</v>
      </c>
      <c r="D785" s="52" t="s">
        <v>1553</v>
      </c>
      <c r="E785" s="46">
        <v>46169</v>
      </c>
      <c r="F785" s="49">
        <f t="shared" si="36"/>
        <v>0</v>
      </c>
      <c r="G785" s="77">
        <f>SUMIF(积分汇总!$B:$B,C784,积分汇总!$E:$E)</f>
        <v>0</v>
      </c>
      <c r="H785" s="77">
        <f>SUMIF(记录巡查问题条数汇总!$B:$B,C784,记录巡查问题条数汇总!$E:$E)</f>
        <v>0</v>
      </c>
      <c r="I785" s="77"/>
      <c r="J785" s="77">
        <f>SUMIF(安全质量事故!$B:$B,C784,安全质量事故!$G:$G)</f>
        <v>0</v>
      </c>
      <c r="K785" s="72">
        <f>COUNTIF(L785:AP785,标准数据!$A$2)*标准数据!$B$2+COUNTIF(L785:AP785,标准数据!$A$3)*标准数据!$B$3+COUNTIF(L785:AP785,标准数据!$A$4)*标准数据!$B$4</f>
        <v>0</v>
      </c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192"/>
      <c r="AQ785" s="90"/>
      <c r="AR785" s="50" t="e">
        <f>AR784/($AR$784+$AS$784+$AT$784)</f>
        <v>#DIV/0!</v>
      </c>
      <c r="AS785" s="60" t="e">
        <f>AS784/($AR$784+$AS$784+$AT$784)</f>
        <v>#DIV/0!</v>
      </c>
      <c r="AT785" s="60" t="e">
        <f>AT784/($AR$784+$AS$784+$AT$784)</f>
        <v>#DIV/0!</v>
      </c>
    </row>
    <row r="786" spans="1:46" ht="21" customHeight="1">
      <c r="A786" s="267" t="s">
        <v>2124</v>
      </c>
      <c r="B786" s="45" t="s">
        <v>129</v>
      </c>
      <c r="C786" s="46" t="s">
        <v>567</v>
      </c>
      <c r="D786" s="52" t="s">
        <v>534</v>
      </c>
      <c r="E786" s="46">
        <v>45868</v>
      </c>
      <c r="F786" s="49">
        <f t="shared" si="36"/>
        <v>0</v>
      </c>
      <c r="G786" s="77">
        <f>SUMIF(积分汇总!$B:$B,C785,积分汇总!$E:$E)</f>
        <v>0</v>
      </c>
      <c r="H786" s="77">
        <f>SUMIF(记录巡查问题条数汇总!$B:$B,C785,记录巡查问题条数汇总!$E:$E)</f>
        <v>0</v>
      </c>
      <c r="I786" s="77"/>
      <c r="J786" s="77">
        <f>SUMIF(安全质量事故!$B:$B,C785,安全质量事故!$G:$G)</f>
        <v>0</v>
      </c>
      <c r="K786" s="72">
        <f>COUNTIF(L786:AP786,标准数据!$A$2)*标准数据!$B$2+COUNTIF(L786:AP786,标准数据!$A$3)*标准数据!$B$3+COUNTIF(L786:AP786,标准数据!$A$4)*标准数据!$B$4</f>
        <v>0</v>
      </c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192"/>
      <c r="AQ786" s="90"/>
      <c r="AR786" s="41"/>
      <c r="AS786" s="41"/>
      <c r="AT786" s="41"/>
    </row>
    <row r="787" spans="1:46" ht="21" customHeight="1">
      <c r="A787" s="267" t="s">
        <v>2124</v>
      </c>
      <c r="B787" s="61" t="s">
        <v>146</v>
      </c>
      <c r="C787" s="46" t="s">
        <v>107</v>
      </c>
      <c r="D787" s="52" t="s">
        <v>103</v>
      </c>
      <c r="E787" s="46">
        <v>45063</v>
      </c>
      <c r="F787" s="49">
        <f t="shared" si="36"/>
        <v>0</v>
      </c>
      <c r="G787" s="77">
        <f>SUMIF(积分汇总!$B:$B,C786,积分汇总!$E:$E)</f>
        <v>0</v>
      </c>
      <c r="H787" s="77">
        <f>SUMIF(记录巡查问题条数汇总!$B:$B,C786,记录巡查问题条数汇总!$E:$E)</f>
        <v>0</v>
      </c>
      <c r="I787" s="77"/>
      <c r="J787" s="77">
        <f>SUMIF(安全质量事故!$B:$B,C786,安全质量事故!$G:$G)</f>
        <v>0</v>
      </c>
      <c r="K787" s="72">
        <f>COUNTIF(L787:AP787,标准数据!$A$2)*标准数据!$B$2+COUNTIF(L787:AP787,标准数据!$A$3)*标准数据!$B$3+COUNTIF(L787:AP787,标准数据!$A$4)*标准数据!$B$4</f>
        <v>0</v>
      </c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192"/>
      <c r="AQ787" s="90"/>
      <c r="AR787" s="41"/>
      <c r="AS787" s="41"/>
      <c r="AT787" s="41"/>
    </row>
    <row r="788" spans="1:46" ht="21" customHeight="1">
      <c r="A788" s="267" t="s">
        <v>2124</v>
      </c>
      <c r="B788" s="61" t="s">
        <v>146</v>
      </c>
      <c r="C788" s="46" t="s">
        <v>108</v>
      </c>
      <c r="D788" s="52" t="s">
        <v>104</v>
      </c>
      <c r="E788" s="46">
        <v>45063</v>
      </c>
      <c r="F788" s="49">
        <f t="shared" si="36"/>
        <v>0</v>
      </c>
      <c r="G788" s="77">
        <f>SUMIF(积分汇总!$B:$B,C787,积分汇总!$E:$E)</f>
        <v>0</v>
      </c>
      <c r="H788" s="77">
        <f>SUMIF(记录巡查问题条数汇总!$B:$B,C787,记录巡查问题条数汇总!$E:$E)</f>
        <v>0</v>
      </c>
      <c r="I788" s="77"/>
      <c r="J788" s="77">
        <f>SUMIF(安全质量事故!$B:$B,C787,安全质量事故!$G:$G)</f>
        <v>0</v>
      </c>
      <c r="K788" s="72">
        <f>COUNTIF(L788:AP788,标准数据!$A$2)*标准数据!$B$2+COUNTIF(L788:AP788,标准数据!$A$3)*标准数据!$B$3+COUNTIF(L788:AP788,标准数据!$A$4)*标准数据!$B$4</f>
        <v>0</v>
      </c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192"/>
      <c r="AQ788" s="90"/>
      <c r="AR788" s="41"/>
      <c r="AS788" s="41"/>
      <c r="AT788" s="41"/>
    </row>
    <row r="789" spans="1:46" ht="21" customHeight="1">
      <c r="A789" s="267" t="s">
        <v>2124</v>
      </c>
      <c r="B789" s="61" t="s">
        <v>146</v>
      </c>
      <c r="C789" s="46" t="s">
        <v>399</v>
      </c>
      <c r="D789" s="52" t="s">
        <v>391</v>
      </c>
      <c r="E789" s="46">
        <v>45756</v>
      </c>
      <c r="F789" s="49">
        <f t="shared" si="36"/>
        <v>0</v>
      </c>
      <c r="G789" s="77">
        <f>SUMIF(积分汇总!$B:$B,C788,积分汇总!$E:$E)</f>
        <v>0</v>
      </c>
      <c r="H789" s="77">
        <f>SUMIF(记录巡查问题条数汇总!$B:$B,C788,记录巡查问题条数汇总!$E:$E)</f>
        <v>0</v>
      </c>
      <c r="I789" s="77"/>
      <c r="J789" s="77">
        <f>SUMIF(安全质量事故!$B:$B,C788,安全质量事故!$G:$G)</f>
        <v>0</v>
      </c>
      <c r="K789" s="72">
        <f>COUNTIF(L789:AP789,标准数据!$A$2)*标准数据!$B$2+COUNTIF(L789:AP789,标准数据!$A$3)*标准数据!$B$3+COUNTIF(L789:AP789,标准数据!$A$4)*标准数据!$B$4</f>
        <v>0</v>
      </c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192"/>
      <c r="AQ789" s="90"/>
      <c r="AR789" s="41"/>
      <c r="AS789" s="41"/>
      <c r="AT789" s="41"/>
    </row>
    <row r="790" spans="1:46" ht="21" customHeight="1">
      <c r="A790" s="267" t="s">
        <v>2124</v>
      </c>
      <c r="B790" s="61" t="s">
        <v>146</v>
      </c>
      <c r="C790" s="46" t="s">
        <v>252</v>
      </c>
      <c r="D790" s="52" t="s">
        <v>244</v>
      </c>
      <c r="E790" s="48">
        <v>43770</v>
      </c>
      <c r="F790" s="49">
        <f t="shared" si="36"/>
        <v>0</v>
      </c>
      <c r="G790" s="77">
        <f>SUMIF(积分汇总!$B:$B,C789,积分汇总!$E:$E)</f>
        <v>0</v>
      </c>
      <c r="H790" s="77">
        <f>SUMIF(记录巡查问题条数汇总!$B:$B,C789,记录巡查问题条数汇总!$E:$E)</f>
        <v>0</v>
      </c>
      <c r="I790" s="77"/>
      <c r="J790" s="77">
        <f>SUMIF(安全质量事故!$B:$B,C789,安全质量事故!$G:$G)</f>
        <v>0</v>
      </c>
      <c r="K790" s="72">
        <f>COUNTIF(L790:AP790,标准数据!$A$2)*标准数据!$B$2+COUNTIF(L790:AP790,标准数据!$A$3)*标准数据!$B$3+COUNTIF(L790:AP790,标准数据!$A$4)*标准数据!$B$4</f>
        <v>0</v>
      </c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192"/>
      <c r="AQ790" s="90"/>
    </row>
    <row r="791" spans="1:46" ht="21" customHeight="1">
      <c r="A791" s="267" t="s">
        <v>2124</v>
      </c>
      <c r="B791" s="61" t="s">
        <v>146</v>
      </c>
      <c r="C791" s="46" t="s">
        <v>855</v>
      </c>
      <c r="D791" s="52" t="s">
        <v>814</v>
      </c>
      <c r="E791" s="46">
        <v>44363</v>
      </c>
      <c r="F791" s="49">
        <f t="shared" si="36"/>
        <v>0</v>
      </c>
      <c r="G791" s="77">
        <f>SUMIF(积分汇总!$B:$B,C790,积分汇总!$E:$E)</f>
        <v>0</v>
      </c>
      <c r="H791" s="77">
        <f>SUMIF(记录巡查问题条数汇总!$B:$B,C790,记录巡查问题条数汇总!$E:$E)</f>
        <v>0</v>
      </c>
      <c r="I791" s="77"/>
      <c r="J791" s="77">
        <f>SUMIF(安全质量事故!$B:$B,C790,安全质量事故!$G:$G)</f>
        <v>0</v>
      </c>
      <c r="K791" s="72">
        <f>COUNTIF(L791:AP791,标准数据!$A$2)*标准数据!$B$2+COUNTIF(L791:AP791,标准数据!$A$3)*标准数据!$B$3+COUNTIF(L791:AP791,标准数据!$A$4)*标准数据!$B$4</f>
        <v>0</v>
      </c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192"/>
      <c r="AQ791" s="90"/>
      <c r="AR791" s="41"/>
      <c r="AS791" s="41"/>
      <c r="AT791" s="41"/>
    </row>
    <row r="792" spans="1:46" ht="21" customHeight="1">
      <c r="A792" s="267" t="s">
        <v>2124</v>
      </c>
      <c r="B792" s="61" t="s">
        <v>146</v>
      </c>
      <c r="C792" s="46" t="s">
        <v>856</v>
      </c>
      <c r="D792" s="52" t="s">
        <v>815</v>
      </c>
      <c r="E792" s="46">
        <v>45994</v>
      </c>
      <c r="F792" s="49">
        <f t="shared" si="36"/>
        <v>0</v>
      </c>
      <c r="G792" s="77">
        <f>SUMIF(积分汇总!$B:$B,C791,积分汇总!$E:$E)</f>
        <v>0</v>
      </c>
      <c r="H792" s="77">
        <f>SUMIF(记录巡查问题条数汇总!$B:$B,C791,记录巡查问题条数汇总!$E:$E)</f>
        <v>0</v>
      </c>
      <c r="I792" s="77"/>
      <c r="J792" s="77">
        <f>SUMIF(安全质量事故!$B:$B,C791,安全质量事故!$G:$G)</f>
        <v>0</v>
      </c>
      <c r="K792" s="72">
        <f>COUNTIF(L792:AP792,标准数据!$A$2)*标准数据!$B$2+COUNTIF(L792:AP792,标准数据!$A$3)*标准数据!$B$3+COUNTIF(L792:AP792,标准数据!$A$4)*标准数据!$B$4</f>
        <v>0</v>
      </c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192"/>
      <c r="AQ792" s="90"/>
      <c r="AR792" s="41"/>
      <c r="AS792" s="41"/>
      <c r="AT792" s="41"/>
    </row>
    <row r="793" spans="1:46" ht="21" customHeight="1">
      <c r="A793" s="267" t="s">
        <v>2124</v>
      </c>
      <c r="B793" s="61" t="s">
        <v>146</v>
      </c>
      <c r="C793" s="46" t="s">
        <v>940</v>
      </c>
      <c r="D793" s="52" t="s">
        <v>902</v>
      </c>
      <c r="E793" s="48">
        <v>46029</v>
      </c>
      <c r="F793" s="49">
        <f t="shared" si="36"/>
        <v>0</v>
      </c>
      <c r="G793" s="77">
        <f>SUMIF(积分汇总!$B:$B,C792,积分汇总!$E:$E)</f>
        <v>0</v>
      </c>
      <c r="H793" s="77">
        <f>SUMIF(记录巡查问题条数汇总!$B:$B,C792,记录巡查问题条数汇总!$E:$E)</f>
        <v>0</v>
      </c>
      <c r="I793" s="77"/>
      <c r="J793" s="77">
        <f>SUMIF(安全质量事故!$B:$B,C792,安全质量事故!$G:$G)</f>
        <v>0</v>
      </c>
      <c r="K793" s="72">
        <f>COUNTIF(L793:AP793,标准数据!$A$2)*标准数据!$B$2+COUNTIF(L793:AP793,标准数据!$A$3)*标准数据!$B$3+COUNTIF(L793:AP793,标准数据!$A$4)*标准数据!$B$4</f>
        <v>0</v>
      </c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192"/>
      <c r="AQ793" s="90"/>
    </row>
    <row r="794" spans="1:46" ht="21" customHeight="1">
      <c r="A794" s="267" t="s">
        <v>2124</v>
      </c>
      <c r="B794" s="61" t="s">
        <v>146</v>
      </c>
      <c r="C794" s="46" t="s">
        <v>1554</v>
      </c>
      <c r="D794" s="52" t="s">
        <v>1555</v>
      </c>
      <c r="E794" s="48">
        <v>46169</v>
      </c>
      <c r="F794" s="49">
        <f t="shared" si="36"/>
        <v>0</v>
      </c>
      <c r="G794" s="77">
        <f>SUMIF(积分汇总!$B:$B,C793,积分汇总!$E:$E)</f>
        <v>0</v>
      </c>
      <c r="H794" s="77">
        <f>SUMIF(记录巡查问题条数汇总!$B:$B,C793,记录巡查问题条数汇总!$E:$E)</f>
        <v>0</v>
      </c>
      <c r="I794" s="77"/>
      <c r="J794" s="77">
        <f>SUMIF(安全质量事故!$B:$B,C793,安全质量事故!$G:$G)</f>
        <v>0</v>
      </c>
      <c r="K794" s="72">
        <f>COUNTIF(L794:AP794,标准数据!$A$2)*标准数据!$B$2+COUNTIF(L794:AP794,标准数据!$A$3)*标准数据!$B$3+COUNTIF(L794:AP794,标准数据!$A$4)*标准数据!$B$4</f>
        <v>0</v>
      </c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192"/>
      <c r="AQ794" s="90"/>
    </row>
    <row r="795" spans="1:46" ht="21" customHeight="1">
      <c r="A795" s="227" t="s">
        <v>2125</v>
      </c>
      <c r="B795" s="45" t="s">
        <v>87</v>
      </c>
      <c r="C795" s="46" t="s">
        <v>165</v>
      </c>
      <c r="D795" s="52" t="s">
        <v>89</v>
      </c>
      <c r="E795" s="46">
        <v>44755</v>
      </c>
      <c r="F795" s="49">
        <f t="shared" si="36"/>
        <v>0</v>
      </c>
      <c r="G795" s="77">
        <f>SUMIF(积分汇总!$B:$B,C794,积分汇总!$E:$E)</f>
        <v>0</v>
      </c>
      <c r="H795" s="77">
        <f>SUMIF(记录巡查问题条数汇总!$B:$B,C794,记录巡查问题条数汇总!$E:$E)</f>
        <v>0</v>
      </c>
      <c r="I795" s="77"/>
      <c r="J795" s="77">
        <f>SUMIF(安全质量事故!$B:$B,C794,安全质量事故!$G:$G)</f>
        <v>0</v>
      </c>
      <c r="K795" s="72">
        <f>COUNTIF(L795:AP795,标准数据!$A$2)*标准数据!$B$2+COUNTIF(L795:AP795,标准数据!$A$3)*标准数据!$B$3+COUNTIF(L795:AP795,标准数据!$A$4)*标准数据!$B$4</f>
        <v>0</v>
      </c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192"/>
      <c r="AQ795" s="90"/>
      <c r="AR795" s="281" t="s">
        <v>1044</v>
      </c>
      <c r="AS795" s="282"/>
      <c r="AT795" s="282"/>
    </row>
    <row r="796" spans="1:46" ht="21" customHeight="1">
      <c r="A796" s="227" t="s">
        <v>2125</v>
      </c>
      <c r="B796" s="45" t="s">
        <v>87</v>
      </c>
      <c r="C796" s="46" t="s">
        <v>496</v>
      </c>
      <c r="D796" s="52" t="s">
        <v>461</v>
      </c>
      <c r="E796" s="46">
        <v>45488</v>
      </c>
      <c r="F796" s="49">
        <f t="shared" si="36"/>
        <v>0</v>
      </c>
      <c r="G796" s="77">
        <f>SUMIF(积分汇总!$B:$B,C795,积分汇总!$E:$E)</f>
        <v>0</v>
      </c>
      <c r="H796" s="77">
        <f>SUMIF(记录巡查问题条数汇总!$B:$B,C795,记录巡查问题条数汇总!$E:$E)</f>
        <v>0</v>
      </c>
      <c r="I796" s="77"/>
      <c r="J796" s="77">
        <f>SUMIF(安全质量事故!$B:$B,C795,安全质量事故!$G:$G)</f>
        <v>0</v>
      </c>
      <c r="K796" s="72">
        <f>COUNTIF(L796:AP796,标准数据!$A$2)*标准数据!$B$2+COUNTIF(L796:AP796,标准数据!$A$3)*标准数据!$B$3+COUNTIF(L796:AP796,标准数据!$A$4)*标准数据!$B$4</f>
        <v>0</v>
      </c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192"/>
      <c r="AQ796" s="90"/>
      <c r="AR796" s="59" t="s">
        <v>1031</v>
      </c>
      <c r="AS796" s="57" t="s">
        <v>1041</v>
      </c>
      <c r="AT796" s="57" t="s">
        <v>1028</v>
      </c>
    </row>
    <row r="797" spans="1:46" ht="21" customHeight="1">
      <c r="A797" s="227" t="s">
        <v>2125</v>
      </c>
      <c r="B797" s="45" t="s">
        <v>87</v>
      </c>
      <c r="C797" s="46" t="s">
        <v>497</v>
      </c>
      <c r="D797" s="52" t="s">
        <v>463</v>
      </c>
      <c r="E797" s="46">
        <v>45216</v>
      </c>
      <c r="F797" s="49">
        <f t="shared" si="36"/>
        <v>0</v>
      </c>
      <c r="G797" s="77">
        <f>SUMIF(积分汇总!$B:$B,C796,积分汇总!$E:$E)</f>
        <v>0</v>
      </c>
      <c r="H797" s="77">
        <f>SUMIF(记录巡查问题条数汇总!$B:$B,C796,记录巡查问题条数汇总!$E:$E)</f>
        <v>0</v>
      </c>
      <c r="I797" s="77"/>
      <c r="J797" s="77">
        <f>SUMIF(安全质量事故!$B:$B,C796,安全质量事故!$G:$G)</f>
        <v>0</v>
      </c>
      <c r="K797" s="72">
        <f>COUNTIF(L797:AP797,标准数据!$A$2)*标准数据!$B$2+COUNTIF(L797:AP797,标准数据!$A$3)*标准数据!$B$3+COUNTIF(L797:AP797,标准数据!$A$4)*标准数据!$B$4</f>
        <v>0</v>
      </c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192"/>
      <c r="AQ797" s="90"/>
      <c r="AR797" s="64">
        <f>COUNTIF(L795:AP810,"a")</f>
        <v>0</v>
      </c>
      <c r="AS797" s="64">
        <f>COUNTIF(L795:AP810,"b")</f>
        <v>0</v>
      </c>
      <c r="AT797" s="64">
        <f>COUNTIF(L795:AP810,"c")</f>
        <v>0</v>
      </c>
    </row>
    <row r="798" spans="1:46" ht="21" customHeight="1">
      <c r="A798" s="227" t="s">
        <v>2125</v>
      </c>
      <c r="B798" s="45" t="s">
        <v>87</v>
      </c>
      <c r="C798" s="46" t="s">
        <v>498</v>
      </c>
      <c r="D798" s="52" t="s">
        <v>464</v>
      </c>
      <c r="E798" s="46">
        <v>45042</v>
      </c>
      <c r="F798" s="49">
        <f t="shared" si="36"/>
        <v>0</v>
      </c>
      <c r="G798" s="77">
        <f>SUMIF(积分汇总!$B:$B,C797,积分汇总!$E:$E)</f>
        <v>0</v>
      </c>
      <c r="H798" s="77">
        <f>SUMIF(记录巡查问题条数汇总!$B:$B,C797,记录巡查问题条数汇总!$E:$E)</f>
        <v>0</v>
      </c>
      <c r="I798" s="77"/>
      <c r="J798" s="77">
        <f>SUMIF(安全质量事故!$B:$B,C797,安全质量事故!$G:$G)</f>
        <v>0</v>
      </c>
      <c r="K798" s="72">
        <f>COUNTIF(L798:AP798,标准数据!$A$2)*标准数据!$B$2+COUNTIF(L798:AP798,标准数据!$A$3)*标准数据!$B$3+COUNTIF(L798:AP798,标准数据!$A$4)*标准数据!$B$4</f>
        <v>0</v>
      </c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192"/>
      <c r="AQ798" s="90"/>
      <c r="AR798" s="50" t="e">
        <f>AR797/($AR$797+$AS$797+$AT$797)</f>
        <v>#DIV/0!</v>
      </c>
      <c r="AS798" s="60" t="e">
        <f>AS797/($AR$797+$AS$797+$AT$797)</f>
        <v>#DIV/0!</v>
      </c>
      <c r="AT798" s="60" t="e">
        <f>AT797/($AR$797+$AS$797+$AT$797)</f>
        <v>#DIV/0!</v>
      </c>
    </row>
    <row r="799" spans="1:46" ht="21" customHeight="1">
      <c r="A799" s="227" t="s">
        <v>2125</v>
      </c>
      <c r="B799" s="45" t="s">
        <v>87</v>
      </c>
      <c r="C799" s="46" t="s">
        <v>622</v>
      </c>
      <c r="D799" s="52" t="s">
        <v>608</v>
      </c>
      <c r="E799" s="46">
        <v>45896</v>
      </c>
      <c r="F799" s="49">
        <f t="shared" si="36"/>
        <v>0</v>
      </c>
      <c r="G799" s="77">
        <f>SUMIF(积分汇总!$B:$B,C798,积分汇总!$E:$E)</f>
        <v>0</v>
      </c>
      <c r="H799" s="77">
        <f>SUMIF(记录巡查问题条数汇总!$B:$B,C798,记录巡查问题条数汇总!$E:$E)</f>
        <v>0</v>
      </c>
      <c r="I799" s="77"/>
      <c r="J799" s="77">
        <f>SUMIF(安全质量事故!$B:$B,C798,安全质量事故!$G:$G)</f>
        <v>0</v>
      </c>
      <c r="K799" s="72">
        <f>COUNTIF(L799:AP799,标准数据!$A$2)*标准数据!$B$2+COUNTIF(L799:AP799,标准数据!$A$3)*标准数据!$B$3+COUNTIF(L799:AP799,标准数据!$A$4)*标准数据!$B$4</f>
        <v>0</v>
      </c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192"/>
      <c r="AQ799" s="90"/>
      <c r="AR799" s="41"/>
      <c r="AS799" s="41"/>
      <c r="AT799" s="41"/>
    </row>
    <row r="800" spans="1:46" ht="21" customHeight="1">
      <c r="A800" s="227" t="s">
        <v>2125</v>
      </c>
      <c r="B800" s="45" t="s">
        <v>87</v>
      </c>
      <c r="C800" s="46" t="s">
        <v>2093</v>
      </c>
      <c r="D800" s="52" t="s">
        <v>865</v>
      </c>
      <c r="E800" s="46">
        <v>45999</v>
      </c>
      <c r="F800" s="49">
        <f t="shared" si="36"/>
        <v>0</v>
      </c>
      <c r="G800" s="77">
        <f>SUMIF(积分汇总!$B:$B,C799,积分汇总!$E:$E)</f>
        <v>0</v>
      </c>
      <c r="H800" s="77">
        <f>SUMIF(记录巡查问题条数汇总!$B:$B,C799,记录巡查问题条数汇总!$E:$E)</f>
        <v>0</v>
      </c>
      <c r="I800" s="77"/>
      <c r="J800" s="77">
        <f>SUMIF(安全质量事故!$B:$B,C799,安全质量事故!$G:$G)</f>
        <v>0</v>
      </c>
      <c r="K800" s="72">
        <f>COUNTIF(L800:AP800,标准数据!$A$2)*标准数据!$B$2+COUNTIF(L800:AP800,标准数据!$A$3)*标准数据!$B$3+COUNTIF(L800:AP800,标准数据!$A$4)*标准数据!$B$4</f>
        <v>0</v>
      </c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192"/>
      <c r="AQ800" s="90"/>
      <c r="AR800" s="41"/>
      <c r="AS800" s="41"/>
      <c r="AT800" s="41"/>
    </row>
    <row r="801" spans="1:46" ht="21" customHeight="1">
      <c r="A801" s="227" t="s">
        <v>2125</v>
      </c>
      <c r="B801" s="45" t="s">
        <v>14</v>
      </c>
      <c r="C801" s="46" t="s">
        <v>924</v>
      </c>
      <c r="D801" s="47" t="s">
        <v>903</v>
      </c>
      <c r="E801" s="48">
        <v>46036</v>
      </c>
      <c r="F801" s="49">
        <f t="shared" si="36"/>
        <v>0</v>
      </c>
      <c r="G801" s="77">
        <f>SUMIF(积分汇总!$B:$B,C800,积分汇总!$E:$E)</f>
        <v>0</v>
      </c>
      <c r="H801" s="77">
        <f>SUMIF(记录巡查问题条数汇总!$B:$B,C800,记录巡查问题条数汇总!$E:$E)</f>
        <v>0</v>
      </c>
      <c r="I801" s="77"/>
      <c r="J801" s="77">
        <f>SUMIF(安全质量事故!$B:$B,C800,安全质量事故!$G:$G)</f>
        <v>0</v>
      </c>
      <c r="K801" s="72">
        <f>COUNTIF(L801:AP801,标准数据!$A$2)*标准数据!$B$2+COUNTIF(L801:AP801,标准数据!$A$3)*标准数据!$B$3+COUNTIF(L801:AP801,标准数据!$A$4)*标准数据!$B$4</f>
        <v>0</v>
      </c>
      <c r="L801" s="90"/>
      <c r="M801" s="90"/>
      <c r="N801" s="90"/>
      <c r="O801" s="90"/>
      <c r="P801" s="90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189"/>
      <c r="AQ801" s="55"/>
    </row>
    <row r="802" spans="1:46" ht="21" customHeight="1">
      <c r="A802" s="227" t="s">
        <v>2125</v>
      </c>
      <c r="B802" s="45" t="s">
        <v>14</v>
      </c>
      <c r="C802" s="46" t="s">
        <v>2086</v>
      </c>
      <c r="D802" s="47" t="s">
        <v>2087</v>
      </c>
      <c r="E802" s="48">
        <v>46225</v>
      </c>
      <c r="F802" s="49">
        <f t="shared" si="36"/>
        <v>0</v>
      </c>
      <c r="G802" s="77">
        <f>SUMIF(积分汇总!$B:$B,C801,积分汇总!$E:$E)</f>
        <v>0</v>
      </c>
      <c r="H802" s="77">
        <f>SUMIF(记录巡查问题条数汇总!$B:$B,C801,记录巡查问题条数汇总!$E:$E)</f>
        <v>0</v>
      </c>
      <c r="I802" s="77"/>
      <c r="J802" s="77">
        <f>SUMIF(安全质量事故!$B:$B,C801,安全质量事故!$G:$G)</f>
        <v>0</v>
      </c>
      <c r="K802" s="72">
        <f>COUNTIF(L802:AP802,标准数据!$A$2)*标准数据!$B$2+COUNTIF(L802:AP802,标准数据!$A$3)*标准数据!$B$3+COUNTIF(L802:AP802,标准数据!$A$4)*标准数据!$B$4</f>
        <v>0</v>
      </c>
      <c r="L802" s="90"/>
      <c r="M802" s="90"/>
      <c r="N802" s="90"/>
      <c r="O802" s="90"/>
      <c r="P802" s="90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189"/>
      <c r="AQ802" s="55"/>
    </row>
    <row r="803" spans="1:46" ht="21" customHeight="1">
      <c r="A803" s="227" t="s">
        <v>2125</v>
      </c>
      <c r="B803" s="45" t="s">
        <v>14</v>
      </c>
      <c r="C803" s="46" t="s">
        <v>2088</v>
      </c>
      <c r="D803" s="47" t="s">
        <v>2089</v>
      </c>
      <c r="E803" s="48">
        <v>46225</v>
      </c>
      <c r="F803" s="49">
        <f t="shared" si="36"/>
        <v>0</v>
      </c>
      <c r="G803" s="77">
        <f>SUMIF(积分汇总!$B:$B,C802,积分汇总!$E:$E)</f>
        <v>0</v>
      </c>
      <c r="H803" s="77">
        <f>SUMIF(记录巡查问题条数汇总!$B:$B,C802,记录巡查问题条数汇总!$E:$E)</f>
        <v>0</v>
      </c>
      <c r="I803" s="77"/>
      <c r="J803" s="77">
        <f>SUMIF(安全质量事故!$B:$B,C802,安全质量事故!$G:$G)</f>
        <v>0</v>
      </c>
      <c r="K803" s="72">
        <f>COUNTIF(L803:AP803,标准数据!$A$2)*标准数据!$B$2+COUNTIF(L803:AP803,标准数据!$A$3)*标准数据!$B$3+COUNTIF(L803:AP803,标准数据!$A$4)*标准数据!$B$4</f>
        <v>0</v>
      </c>
      <c r="L803" s="90"/>
      <c r="M803" s="90"/>
      <c r="N803" s="90"/>
      <c r="O803" s="90"/>
      <c r="P803" s="90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189"/>
      <c r="AQ803" s="55"/>
    </row>
    <row r="804" spans="1:46" ht="21" customHeight="1">
      <c r="A804" s="227" t="s">
        <v>2125</v>
      </c>
      <c r="B804" s="45" t="s">
        <v>14</v>
      </c>
      <c r="C804" s="46" t="s">
        <v>2090</v>
      </c>
      <c r="D804" s="47" t="s">
        <v>2091</v>
      </c>
      <c r="E804" s="48">
        <v>46225</v>
      </c>
      <c r="F804" s="49">
        <f t="shared" si="36"/>
        <v>0</v>
      </c>
      <c r="G804" s="77">
        <f>SUMIF(积分汇总!$B:$B,C803,积分汇总!$E:$E)</f>
        <v>0</v>
      </c>
      <c r="H804" s="77">
        <f>SUMIF(记录巡查问题条数汇总!$B:$B,C803,记录巡查问题条数汇总!$E:$E)</f>
        <v>0</v>
      </c>
      <c r="I804" s="77"/>
      <c r="J804" s="77">
        <f>SUMIF(安全质量事故!$B:$B,C803,安全质量事故!$G:$G)</f>
        <v>0</v>
      </c>
      <c r="K804" s="72">
        <f>COUNTIF(L804:AP804,标准数据!$A$2)*标准数据!$B$2+COUNTIF(L804:AP804,标准数据!$A$3)*标准数据!$B$3+COUNTIF(L804:AP804,标准数据!$A$4)*标准数据!$B$4</f>
        <v>0</v>
      </c>
      <c r="L804" s="90"/>
      <c r="M804" s="90"/>
      <c r="N804" s="90"/>
      <c r="O804" s="90"/>
      <c r="P804" s="90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189"/>
      <c r="AQ804" s="55"/>
    </row>
    <row r="805" spans="1:46" ht="21" customHeight="1">
      <c r="A805" s="227" t="s">
        <v>2125</v>
      </c>
      <c r="B805" s="61" t="s">
        <v>13</v>
      </c>
      <c r="C805" s="46" t="s">
        <v>1012</v>
      </c>
      <c r="D805" s="52" t="s">
        <v>1013</v>
      </c>
      <c r="E805" s="46">
        <v>45457</v>
      </c>
      <c r="F805" s="49">
        <f t="shared" si="36"/>
        <v>0</v>
      </c>
      <c r="G805" s="77">
        <f>SUMIF(积分汇总!$B:$B,C804,积分汇总!$E:$E)</f>
        <v>0</v>
      </c>
      <c r="H805" s="77">
        <f>SUMIF(记录巡查问题条数汇总!$B:$B,C804,记录巡查问题条数汇总!$E:$E)</f>
        <v>0</v>
      </c>
      <c r="I805" s="77"/>
      <c r="J805" s="77">
        <f>SUMIF(安全质量事故!$B:$B,C804,安全质量事故!$G:$G)</f>
        <v>0</v>
      </c>
      <c r="K805" s="72">
        <f>COUNTIF(L805:AP805,标准数据!$A$2)*标准数据!$B$2+COUNTIF(L805:AP805,标准数据!$A$3)*标准数据!$B$3+COUNTIF(L805:AP805,标准数据!$A$4)*标准数据!$B$4</f>
        <v>0</v>
      </c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192"/>
      <c r="AQ805" s="90"/>
    </row>
    <row r="806" spans="1:46" ht="21" customHeight="1">
      <c r="A806" s="227" t="s">
        <v>2125</v>
      </c>
      <c r="B806" s="61" t="s">
        <v>146</v>
      </c>
      <c r="C806" s="46" t="s">
        <v>166</v>
      </c>
      <c r="D806" s="52" t="s">
        <v>90</v>
      </c>
      <c r="E806" s="46">
        <v>44790</v>
      </c>
      <c r="F806" s="49">
        <f t="shared" si="36"/>
        <v>0</v>
      </c>
      <c r="G806" s="77">
        <f>SUMIF(积分汇总!$B:$B,C805,积分汇总!$E:$E)</f>
        <v>0</v>
      </c>
      <c r="H806" s="77">
        <f>SUMIF(记录巡查问题条数汇总!$B:$B,C805,记录巡查问题条数汇总!$E:$E)</f>
        <v>0</v>
      </c>
      <c r="I806" s="77"/>
      <c r="J806" s="77">
        <f>SUMIF(安全质量事故!$B:$B,C805,安全质量事故!$G:$G)</f>
        <v>0</v>
      </c>
      <c r="K806" s="72">
        <f>COUNTIF(L806:AP806,标准数据!$A$2)*标准数据!$B$2+COUNTIF(L806:AP806,标准数据!$A$3)*标准数据!$B$3+COUNTIF(L806:AP806,标准数据!$A$4)*标准数据!$B$4</f>
        <v>0</v>
      </c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192"/>
      <c r="AQ806" s="90"/>
      <c r="AR806" s="41"/>
      <c r="AS806" s="41"/>
      <c r="AT806" s="41"/>
    </row>
    <row r="807" spans="1:46" ht="21" customHeight="1">
      <c r="A807" s="227" t="s">
        <v>2125</v>
      </c>
      <c r="B807" s="61" t="s">
        <v>146</v>
      </c>
      <c r="C807" s="46" t="s">
        <v>151</v>
      </c>
      <c r="D807" s="52" t="s">
        <v>91</v>
      </c>
      <c r="E807" s="46">
        <v>44790</v>
      </c>
      <c r="F807" s="49">
        <f t="shared" si="36"/>
        <v>0</v>
      </c>
      <c r="G807" s="77">
        <f>SUMIF(积分汇总!$B:$B,C806,积分汇总!$E:$E)</f>
        <v>0</v>
      </c>
      <c r="H807" s="77">
        <f>SUMIF(记录巡查问题条数汇总!$B:$B,C806,记录巡查问题条数汇总!$E:$E)</f>
        <v>0</v>
      </c>
      <c r="I807" s="77"/>
      <c r="J807" s="77">
        <f>SUMIF(安全质量事故!$B:$B,C806,安全质量事故!$G:$G)</f>
        <v>0</v>
      </c>
      <c r="K807" s="72">
        <f>COUNTIF(L807:AP807,标准数据!$A$2)*标准数据!$B$2+COUNTIF(L807:AP807,标准数据!$A$3)*标准数据!$B$3+COUNTIF(L807:AP807,标准数据!$A$4)*标准数据!$B$4</f>
        <v>0</v>
      </c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192"/>
      <c r="AQ807" s="90"/>
      <c r="AR807" s="41"/>
      <c r="AS807" s="41"/>
      <c r="AT807" s="41"/>
    </row>
    <row r="808" spans="1:46" ht="21" customHeight="1">
      <c r="A808" s="227" t="s">
        <v>2125</v>
      </c>
      <c r="B808" s="61" t="s">
        <v>146</v>
      </c>
      <c r="C808" s="46" t="s">
        <v>167</v>
      </c>
      <c r="D808" s="52" t="s">
        <v>92</v>
      </c>
      <c r="E808" s="46">
        <v>44790</v>
      </c>
      <c r="F808" s="49">
        <f t="shared" si="36"/>
        <v>0</v>
      </c>
      <c r="G808" s="77">
        <f>SUMIF(积分汇总!$B:$B,C807,积分汇总!$E:$E)</f>
        <v>0</v>
      </c>
      <c r="H808" s="77">
        <f>SUMIF(记录巡查问题条数汇总!$B:$B,C807,记录巡查问题条数汇总!$E:$E)</f>
        <v>0</v>
      </c>
      <c r="I808" s="77"/>
      <c r="J808" s="77">
        <f>SUMIF(安全质量事故!$B:$B,C807,安全质量事故!$G:$G)</f>
        <v>0</v>
      </c>
      <c r="K808" s="72">
        <f>COUNTIF(L808:AP808,标准数据!$A$2)*标准数据!$B$2+COUNTIF(L808:AP808,标准数据!$A$3)*标准数据!$B$3+COUNTIF(L808:AP808,标准数据!$A$4)*标准数据!$B$4</f>
        <v>0</v>
      </c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192"/>
      <c r="AQ808" s="90"/>
      <c r="AR808" s="41"/>
      <c r="AS808" s="41"/>
      <c r="AT808" s="41"/>
    </row>
    <row r="809" spans="1:46" ht="21" customHeight="1">
      <c r="A809" s="227" t="s">
        <v>2125</v>
      </c>
      <c r="B809" s="61" t="s">
        <v>146</v>
      </c>
      <c r="C809" s="46" t="s">
        <v>266</v>
      </c>
      <c r="D809" s="52" t="s">
        <v>267</v>
      </c>
      <c r="E809" s="46">
        <v>45063</v>
      </c>
      <c r="F809" s="49">
        <f t="shared" si="36"/>
        <v>0</v>
      </c>
      <c r="G809" s="77">
        <f>SUMIF(积分汇总!$B:$B,C808,积分汇总!$E:$E)</f>
        <v>0</v>
      </c>
      <c r="H809" s="77">
        <f>SUMIF(记录巡查问题条数汇总!$B:$B,C808,记录巡查问题条数汇总!$E:$E)</f>
        <v>0</v>
      </c>
      <c r="I809" s="77"/>
      <c r="J809" s="77">
        <f>SUMIF(安全质量事故!$B:$B,C808,安全质量事故!$G:$G)</f>
        <v>0</v>
      </c>
      <c r="K809" s="72">
        <f>COUNTIF(L809:AP809,标准数据!$A$2)*标准数据!$B$2+COUNTIF(L809:AP809,标准数据!$A$3)*标准数据!$B$3+COUNTIF(L809:AP809,标准数据!$A$4)*标准数据!$B$4</f>
        <v>0</v>
      </c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192"/>
      <c r="AQ809" s="90"/>
    </row>
    <row r="810" spans="1:46" ht="21" customHeight="1">
      <c r="A810" s="227" t="s">
        <v>2125</v>
      </c>
      <c r="B810" s="61" t="s">
        <v>146</v>
      </c>
      <c r="C810" s="46" t="s">
        <v>109</v>
      </c>
      <c r="D810" s="52" t="s">
        <v>102</v>
      </c>
      <c r="E810" s="46">
        <v>44770</v>
      </c>
      <c r="F810" s="49">
        <f t="shared" si="36"/>
        <v>0</v>
      </c>
      <c r="G810" s="77">
        <f>SUMIF(积分汇总!$B:$B,C809,积分汇总!$E:$E)</f>
        <v>0</v>
      </c>
      <c r="H810" s="77">
        <f>SUMIF(记录巡查问题条数汇总!$B:$B,C809,记录巡查问题条数汇总!$E:$E)</f>
        <v>0</v>
      </c>
      <c r="I810" s="77"/>
      <c r="J810" s="77">
        <f>SUMIF(安全质量事故!$B:$B,C809,安全质量事故!$G:$G)</f>
        <v>0</v>
      </c>
      <c r="K810" s="72">
        <f>COUNTIF(L810:AP810,标准数据!$A$2)*标准数据!$B$2+COUNTIF(L810:AP810,标准数据!$A$3)*标准数据!$B$3+COUNTIF(L810:AP810,标准数据!$A$4)*标准数据!$B$4</f>
        <v>0</v>
      </c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192"/>
      <c r="AQ810" s="90"/>
    </row>
    <row r="811" spans="1:46" ht="21" customHeight="1">
      <c r="A811" s="267" t="s">
        <v>2129</v>
      </c>
      <c r="B811" s="61" t="s">
        <v>146</v>
      </c>
      <c r="C811" s="46" t="s">
        <v>2092</v>
      </c>
      <c r="D811" s="52" t="s">
        <v>901</v>
      </c>
      <c r="E811" s="46">
        <v>46029</v>
      </c>
      <c r="F811" s="49">
        <f t="shared" si="36"/>
        <v>0</v>
      </c>
      <c r="G811" s="77">
        <f>SUMIF(积分汇总!$B:$B,C810,积分汇总!$E:$E)</f>
        <v>0</v>
      </c>
      <c r="H811" s="77">
        <f>SUMIF(记录巡查问题条数汇总!$B:$B,C810,记录巡查问题条数汇总!$E:$E)</f>
        <v>0</v>
      </c>
      <c r="I811" s="77"/>
      <c r="J811" s="77">
        <f>SUMIF(安全质量事故!$B:$B,C810,安全质量事故!$G:$G)</f>
        <v>0</v>
      </c>
      <c r="K811" s="72">
        <f>COUNTIF(L811:AP811,标准数据!$A$2)*标准数据!$B$2+COUNTIF(L811:AP811,标准数据!$A$3)*标准数据!$B$3+COUNTIF(L811:AP811,标准数据!$A$4)*标准数据!$B$4</f>
        <v>0</v>
      </c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192"/>
      <c r="AQ811" s="90"/>
      <c r="AR811" s="280" t="s">
        <v>1046</v>
      </c>
      <c r="AS811" s="280"/>
      <c r="AT811" s="281"/>
    </row>
    <row r="812" spans="1:46" ht="21" customHeight="1">
      <c r="A812" s="267" t="s">
        <v>2127</v>
      </c>
      <c r="B812" s="61" t="s">
        <v>131</v>
      </c>
      <c r="C812" s="46" t="s">
        <v>169</v>
      </c>
      <c r="D812" s="52" t="s">
        <v>27</v>
      </c>
      <c r="E812" s="46">
        <v>44013</v>
      </c>
      <c r="F812" s="49">
        <f t="shared" si="36"/>
        <v>0</v>
      </c>
      <c r="G812" s="77">
        <f>SUMIF(积分汇总!$B:$B,C811,积分汇总!$E:$E)</f>
        <v>0</v>
      </c>
      <c r="H812" s="77">
        <f>SUMIF(记录巡查问题条数汇总!$B:$B,C811,记录巡查问题条数汇总!$E:$E)</f>
        <v>0</v>
      </c>
      <c r="I812" s="77"/>
      <c r="J812" s="77">
        <f>SUMIF(安全质量事故!$B:$B,C811,安全质量事故!$G:$G)</f>
        <v>0</v>
      </c>
      <c r="K812" s="72">
        <f>COUNTIF(L812:AP812,标准数据!$A$2)*标准数据!$B$2+COUNTIF(L812:AP812,标准数据!$A$3)*标准数据!$B$3+COUNTIF(L812:AP812,标准数据!$A$4)*标准数据!$B$4</f>
        <v>0</v>
      </c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192"/>
      <c r="AQ812" s="90"/>
      <c r="AR812" s="59" t="s">
        <v>1031</v>
      </c>
      <c r="AS812" s="57" t="s">
        <v>1041</v>
      </c>
      <c r="AT812" s="57" t="s">
        <v>1028</v>
      </c>
    </row>
    <row r="813" spans="1:46" ht="21.75" customHeight="1">
      <c r="A813" s="267" t="s">
        <v>2127</v>
      </c>
      <c r="B813" s="47" t="s">
        <v>1881</v>
      </c>
      <c r="C813" s="46" t="s">
        <v>170</v>
      </c>
      <c r="D813" s="52" t="s">
        <v>26</v>
      </c>
      <c r="E813" s="46">
        <v>43935</v>
      </c>
      <c r="F813" s="49">
        <f t="shared" si="36"/>
        <v>0</v>
      </c>
      <c r="G813" s="77">
        <f>SUMIF(积分汇总!$B:$B,C812,积分汇总!$E:$E)</f>
        <v>0</v>
      </c>
      <c r="H813" s="77">
        <f>SUMIF(记录巡查问题条数汇总!$B:$B,C812,记录巡查问题条数汇总!$E:$E)</f>
        <v>0</v>
      </c>
      <c r="I813" s="77"/>
      <c r="J813" s="77">
        <f>SUMIF(安全质量事故!$B:$B,C812,安全质量事故!$G:$G)</f>
        <v>0</v>
      </c>
      <c r="K813" s="72">
        <f>COUNTIF(L813:AP813,标准数据!$A$2)*标准数据!$B$2+COUNTIF(L813:AP813,标准数据!$A$3)*标准数据!$B$3+COUNTIF(L813:AP813,标准数据!$A$4)*标准数据!$B$4</f>
        <v>0</v>
      </c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192"/>
      <c r="AQ813" s="90"/>
      <c r="AR813" s="64">
        <f>COUNTIF(L811:AP832,"a")</f>
        <v>0</v>
      </c>
      <c r="AS813" s="64">
        <f>COUNTIF(L811:AP832,"b")</f>
        <v>0</v>
      </c>
      <c r="AT813" s="64">
        <f>COUNTIF(L811:AP832,"c")</f>
        <v>0</v>
      </c>
    </row>
    <row r="814" spans="1:46" ht="21" customHeight="1">
      <c r="A814" s="267" t="s">
        <v>2127</v>
      </c>
      <c r="B814" s="47" t="s">
        <v>1881</v>
      </c>
      <c r="C814" s="46" t="s">
        <v>174</v>
      </c>
      <c r="D814" s="52" t="s">
        <v>172</v>
      </c>
      <c r="E814" s="48">
        <v>45033</v>
      </c>
      <c r="F814" s="49">
        <f t="shared" si="36"/>
        <v>0</v>
      </c>
      <c r="G814" s="77">
        <f>SUMIF(积分汇总!$B:$B,C813,积分汇总!$E:$E)</f>
        <v>0</v>
      </c>
      <c r="H814" s="77">
        <f>SUMIF(记录巡查问题条数汇总!$B:$B,C813,记录巡查问题条数汇总!$E:$E)</f>
        <v>0</v>
      </c>
      <c r="I814" s="77"/>
      <c r="J814" s="77">
        <f>SUMIF(安全质量事故!$B:$B,C813,安全质量事故!$G:$G)</f>
        <v>0</v>
      </c>
      <c r="K814" s="72">
        <f>COUNTIF(L814:AP814,标准数据!$A$2)*标准数据!$B$2+COUNTIF(L814:AP814,标准数据!$A$3)*标准数据!$B$3+COUNTIF(L814:AP814,标准数据!$A$4)*标准数据!$B$4</f>
        <v>0</v>
      </c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192"/>
      <c r="AQ814" s="90"/>
      <c r="AR814" s="50" t="e">
        <f>AR813/($AR$813+$AS$813+$AT$813)</f>
        <v>#DIV/0!</v>
      </c>
      <c r="AS814" s="60" t="e">
        <f>AS813/($AR$813+$AS$813+$AT$813)</f>
        <v>#DIV/0!</v>
      </c>
      <c r="AT814" s="60" t="e">
        <f>AT813/($AR$813+$AS$813+$AT$813)</f>
        <v>#DIV/0!</v>
      </c>
    </row>
    <row r="815" spans="1:46" ht="21" customHeight="1">
      <c r="A815" s="267" t="s">
        <v>2127</v>
      </c>
      <c r="B815" s="61" t="s">
        <v>146</v>
      </c>
      <c r="C815" s="46" t="s">
        <v>755</v>
      </c>
      <c r="D815" s="52" t="s">
        <v>713</v>
      </c>
      <c r="E815" s="46">
        <v>45964</v>
      </c>
      <c r="F815" s="49">
        <f t="shared" si="36"/>
        <v>0</v>
      </c>
      <c r="G815" s="77">
        <f>SUMIF(积分汇总!$B:$B,C814,积分汇总!$E:$E)</f>
        <v>0</v>
      </c>
      <c r="H815" s="77">
        <f>SUMIF(记录巡查问题条数汇总!$B:$B,C814,记录巡查问题条数汇总!$E:$E)</f>
        <v>0</v>
      </c>
      <c r="I815" s="77"/>
      <c r="J815" s="77">
        <f>SUMIF(安全质量事故!$B:$B,C814,安全质量事故!$G:$G)</f>
        <v>0</v>
      </c>
      <c r="K815" s="72">
        <f>COUNTIF(L815:AP815,标准数据!$A$2)*标准数据!$B$2+COUNTIF(L815:AP815,标准数据!$A$3)*标准数据!$B$3+COUNTIF(L815:AP815,标准数据!$A$4)*标准数据!$B$4</f>
        <v>0</v>
      </c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192"/>
      <c r="AQ815" s="90"/>
      <c r="AR815" s="41"/>
      <c r="AS815" s="41"/>
      <c r="AT815" s="41"/>
    </row>
    <row r="816" spans="1:46" ht="21" customHeight="1">
      <c r="A816" s="267" t="s">
        <v>2127</v>
      </c>
      <c r="B816" s="47" t="s">
        <v>1881</v>
      </c>
      <c r="C816" s="46" t="s">
        <v>756</v>
      </c>
      <c r="D816" s="52" t="s">
        <v>714</v>
      </c>
      <c r="E816" s="48">
        <v>45966</v>
      </c>
      <c r="F816" s="49">
        <f t="shared" si="36"/>
        <v>0</v>
      </c>
      <c r="G816" s="77">
        <f>SUMIF(积分汇总!$B:$B,C815,积分汇总!$E:$E)</f>
        <v>0</v>
      </c>
      <c r="H816" s="77">
        <f>SUMIF(记录巡查问题条数汇总!$B:$B,C815,记录巡查问题条数汇总!$E:$E)</f>
        <v>0</v>
      </c>
      <c r="I816" s="77"/>
      <c r="J816" s="77">
        <f>SUMIF(安全质量事故!$B:$B,C815,安全质量事故!$G:$G)</f>
        <v>0</v>
      </c>
      <c r="K816" s="72">
        <f>COUNTIF(L816:AP816,标准数据!$A$2)*标准数据!$B$2+COUNTIF(L816:AP816,标准数据!$A$3)*标准数据!$B$3+COUNTIF(L816:AP816,标准数据!$A$4)*标准数据!$B$4</f>
        <v>0</v>
      </c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192"/>
      <c r="AQ816" s="90"/>
    </row>
    <row r="817" spans="1:46" ht="21" customHeight="1">
      <c r="A817" s="267" t="s">
        <v>2128</v>
      </c>
      <c r="B817" s="47" t="s">
        <v>1881</v>
      </c>
      <c r="C817" s="46" t="s">
        <v>758</v>
      </c>
      <c r="D817" s="52" t="s">
        <v>716</v>
      </c>
      <c r="E817" s="46">
        <v>45966</v>
      </c>
      <c r="F817" s="49">
        <f t="shared" si="36"/>
        <v>0</v>
      </c>
      <c r="G817" s="77">
        <f>SUMIF(积分汇总!$B:$B,C816,积分汇总!$E:$E)</f>
        <v>0</v>
      </c>
      <c r="H817" s="77">
        <f>SUMIF(记录巡查问题条数汇总!$B:$B,C816,记录巡查问题条数汇总!$E:$E)</f>
        <v>0</v>
      </c>
      <c r="I817" s="77"/>
      <c r="J817" s="77">
        <f>SUMIF(安全质量事故!$B:$B,C816,安全质量事故!$G:$G)</f>
        <v>0</v>
      </c>
      <c r="K817" s="72">
        <f>COUNTIF(L817:AP817,标准数据!$A$2)*标准数据!$B$2+COUNTIF(L817:AP817,标准数据!$A$3)*标准数据!$B$3+COUNTIF(L817:AP817,标准数据!$A$4)*标准数据!$B$4</f>
        <v>0</v>
      </c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192"/>
      <c r="AQ817" s="90"/>
    </row>
    <row r="818" spans="1:46" ht="21" customHeight="1">
      <c r="A818" s="267" t="s">
        <v>2128</v>
      </c>
      <c r="B818" s="47" t="s">
        <v>1881</v>
      </c>
      <c r="C818" s="46" t="s">
        <v>759</v>
      </c>
      <c r="D818" s="52" t="s">
        <v>717</v>
      </c>
      <c r="E818" s="46">
        <v>45971</v>
      </c>
      <c r="F818" s="49">
        <f t="shared" si="36"/>
        <v>0</v>
      </c>
      <c r="G818" s="77">
        <f>SUMIF(积分汇总!$B:$B,C817,积分汇总!$E:$E)</f>
        <v>0</v>
      </c>
      <c r="H818" s="77">
        <f>SUMIF(记录巡查问题条数汇总!$B:$B,C817,记录巡查问题条数汇总!$E:$E)</f>
        <v>0</v>
      </c>
      <c r="I818" s="77"/>
      <c r="J818" s="77">
        <f>SUMIF(安全质量事故!$B:$B,C817,安全质量事故!$G:$G)</f>
        <v>0</v>
      </c>
      <c r="K818" s="72">
        <f>COUNTIF(L818:AP818,标准数据!$A$2)*标准数据!$B$2+COUNTIF(L818:AP818,标准数据!$A$3)*标准数据!$B$3+COUNTIF(L818:AP818,标准数据!$A$4)*标准数据!$B$4</f>
        <v>0</v>
      </c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192"/>
      <c r="AQ818" s="90"/>
    </row>
    <row r="819" spans="1:46" ht="21" customHeight="1">
      <c r="A819" s="267" t="s">
        <v>2128</v>
      </c>
      <c r="B819" s="47" t="s">
        <v>1881</v>
      </c>
      <c r="C819" s="46" t="s">
        <v>854</v>
      </c>
      <c r="D819" s="52" t="s">
        <v>813</v>
      </c>
      <c r="E819" s="46">
        <v>44433</v>
      </c>
      <c r="F819" s="49">
        <f t="shared" si="36"/>
        <v>0</v>
      </c>
      <c r="G819" s="77">
        <f>SUMIF(积分汇总!$B:$B,C818,积分汇总!$E:$E)</f>
        <v>0</v>
      </c>
      <c r="H819" s="77">
        <f>SUMIF(记录巡查问题条数汇总!$B:$B,C818,记录巡查问题条数汇总!$E:$E)</f>
        <v>0</v>
      </c>
      <c r="I819" s="77"/>
      <c r="J819" s="77">
        <f>SUMIF(安全质量事故!$B:$B,C818,安全质量事故!$G:$G)</f>
        <v>0</v>
      </c>
      <c r="K819" s="72">
        <f>COUNTIF(L819:AP819,标准数据!$A$2)*标准数据!$B$2+COUNTIF(L819:AP819,标准数据!$A$3)*标准数据!$B$3+COUNTIF(L819:AP819,标准数据!$A$4)*标准数据!$B$4</f>
        <v>0</v>
      </c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192"/>
      <c r="AQ819" s="90"/>
      <c r="AR819" s="41"/>
      <c r="AS819" s="41"/>
      <c r="AT819" s="41"/>
    </row>
    <row r="820" spans="1:46" ht="21" customHeight="1">
      <c r="A820" s="267" t="s">
        <v>2128</v>
      </c>
      <c r="B820" s="47" t="s">
        <v>1881</v>
      </c>
      <c r="C820" s="86" t="s">
        <v>1550</v>
      </c>
      <c r="D820" s="86" t="s">
        <v>1551</v>
      </c>
      <c r="E820" s="85">
        <v>46181</v>
      </c>
      <c r="F820" s="49">
        <f t="shared" si="36"/>
        <v>0</v>
      </c>
      <c r="G820" s="77">
        <f>SUMIF(积分汇总!$B:$B,C819,积分汇总!$E:$E)</f>
        <v>0</v>
      </c>
      <c r="H820" s="77">
        <f>SUMIF(记录巡查问题条数汇总!$B:$B,C819,记录巡查问题条数汇总!$E:$E)</f>
        <v>0</v>
      </c>
      <c r="I820" s="77"/>
      <c r="J820" s="77">
        <f>SUMIF(安全质量事故!$B:$B,C819,安全质量事故!$G:$G)</f>
        <v>0</v>
      </c>
      <c r="K820" s="72">
        <f>COUNTIF(L820:AP820,标准数据!$A$2)*标准数据!$B$2+COUNTIF(L820:AP820,标准数据!$A$3)*标准数据!$B$3+COUNTIF(L820:AP820,标准数据!$A$4)*标准数据!$B$4</f>
        <v>0</v>
      </c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192"/>
      <c r="AQ820" s="90"/>
    </row>
    <row r="821" spans="1:46" ht="21" customHeight="1">
      <c r="A821" s="267" t="s">
        <v>2128</v>
      </c>
      <c r="B821" s="47" t="s">
        <v>1881</v>
      </c>
      <c r="C821" s="27" t="s">
        <v>1726</v>
      </c>
      <c r="D821" s="86" t="s">
        <v>1727</v>
      </c>
      <c r="E821" s="85">
        <v>46204</v>
      </c>
      <c r="F821" s="49">
        <f t="shared" si="36"/>
        <v>0</v>
      </c>
      <c r="G821" s="77">
        <f>SUMIF(积分汇总!$B:$B,C820,积分汇总!$E:$E)</f>
        <v>0</v>
      </c>
      <c r="H821" s="77">
        <f>SUMIF(记录巡查问题条数汇总!$B:$B,C820,记录巡查问题条数汇总!$E:$E)</f>
        <v>0</v>
      </c>
      <c r="I821" s="77"/>
      <c r="J821" s="77">
        <f>SUMIF(安全质量事故!$B:$B,C820,安全质量事故!$G:$G)</f>
        <v>0</v>
      </c>
      <c r="K821" s="72">
        <f>COUNTIF(L821:AP821,标准数据!$A$2)*标准数据!$B$2+COUNTIF(L821:AP821,标准数据!$A$3)*标准数据!$B$3+COUNTIF(L821:AP821,标准数据!$A$4)*标准数据!$B$4</f>
        <v>0</v>
      </c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192"/>
      <c r="AQ821" s="90"/>
    </row>
    <row r="822" spans="1:46" ht="21" customHeight="1">
      <c r="A822" s="267" t="s">
        <v>2130</v>
      </c>
      <c r="B822" s="61" t="s">
        <v>146</v>
      </c>
      <c r="C822" s="86" t="s">
        <v>1382</v>
      </c>
      <c r="D822" s="86" t="s">
        <v>1383</v>
      </c>
      <c r="E822" s="85">
        <v>46139</v>
      </c>
      <c r="F822" s="49">
        <f t="shared" si="36"/>
        <v>0</v>
      </c>
      <c r="G822" s="77">
        <f>SUMIF(积分汇总!$B:$B,C821,积分汇总!$E:$E)</f>
        <v>0</v>
      </c>
      <c r="H822" s="77">
        <f>SUMIF(记录巡查问题条数汇总!$B:$B,C821,记录巡查问题条数汇总!$E:$E)</f>
        <v>0</v>
      </c>
      <c r="I822" s="77"/>
      <c r="J822" s="77">
        <f>SUMIF(安全质量事故!$B:$B,C821,安全质量事故!$G:$G)</f>
        <v>0</v>
      </c>
      <c r="K822" s="72">
        <f>COUNTIF(L822:AP822,标准数据!$A$2)*标准数据!$B$2+COUNTIF(L822:AP822,标准数据!$A$3)*标准数据!$B$3+COUNTIF(L822:AP822,标准数据!$A$4)*标准数据!$B$4</f>
        <v>0</v>
      </c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192"/>
      <c r="AQ822" s="90"/>
    </row>
    <row r="823" spans="1:46" ht="21" customHeight="1">
      <c r="A823" s="267" t="s">
        <v>2130</v>
      </c>
      <c r="B823" s="61" t="s">
        <v>146</v>
      </c>
      <c r="C823" s="86" t="s">
        <v>1384</v>
      </c>
      <c r="D823" s="86" t="s">
        <v>1385</v>
      </c>
      <c r="E823" s="85">
        <v>46139</v>
      </c>
      <c r="F823" s="49">
        <f t="shared" si="36"/>
        <v>0</v>
      </c>
      <c r="G823" s="77">
        <f>SUMIF(积分汇总!$B:$B,C822,积分汇总!$E:$E)</f>
        <v>0</v>
      </c>
      <c r="H823" s="77">
        <f>SUMIF(记录巡查问题条数汇总!$B:$B,C822,记录巡查问题条数汇总!$E:$E)</f>
        <v>0</v>
      </c>
      <c r="I823" s="77"/>
      <c r="J823" s="77">
        <f>SUMIF(安全质量事故!$B:$B,C822,安全质量事故!$G:$G)</f>
        <v>0</v>
      </c>
      <c r="K823" s="72">
        <f>COUNTIF(L823:AP823,标准数据!$A$2)*标准数据!$B$2+COUNTIF(L823:AP823,标准数据!$A$3)*标准数据!$B$3+COUNTIF(L823:AP823,标准数据!$A$4)*标准数据!$B$4</f>
        <v>0</v>
      </c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192"/>
      <c r="AQ823" s="90"/>
    </row>
    <row r="824" spans="1:46" ht="21" customHeight="1">
      <c r="A824" s="267" t="s">
        <v>2130</v>
      </c>
      <c r="B824" s="61" t="s">
        <v>146</v>
      </c>
      <c r="C824" s="27" t="s">
        <v>1561</v>
      </c>
      <c r="D824" s="86" t="s">
        <v>1562</v>
      </c>
      <c r="E824" s="85">
        <v>46155</v>
      </c>
      <c r="F824" s="49">
        <f t="shared" si="36"/>
        <v>0</v>
      </c>
      <c r="G824" s="77">
        <f>SUMIF(积分汇总!$B:$B,C823,积分汇总!$E:$E)</f>
        <v>0</v>
      </c>
      <c r="H824" s="77">
        <f>SUMIF(记录巡查问题条数汇总!$B:$B,C823,记录巡查问题条数汇总!$E:$E)</f>
        <v>0</v>
      </c>
      <c r="I824" s="77"/>
      <c r="J824" s="77">
        <f>SUMIF(安全质量事故!$B:$B,C823,安全质量事故!$G:$G)</f>
        <v>0</v>
      </c>
      <c r="K824" s="72">
        <f>COUNTIF(L824:AP824,标准数据!$A$2)*标准数据!$B$2+COUNTIF(L824:AP824,标准数据!$A$3)*标准数据!$B$3+COUNTIF(L824:AP824,标准数据!$A$4)*标准数据!$B$4</f>
        <v>0</v>
      </c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192"/>
      <c r="AQ824" s="90"/>
    </row>
    <row r="825" spans="1:46" ht="21" customHeight="1">
      <c r="A825" s="267" t="s">
        <v>2130</v>
      </c>
      <c r="B825" s="61" t="s">
        <v>146</v>
      </c>
      <c r="C825" s="27" t="s">
        <v>1877</v>
      </c>
      <c r="D825" s="86" t="s">
        <v>1878</v>
      </c>
      <c r="E825" s="85">
        <v>46197</v>
      </c>
      <c r="F825" s="49">
        <f t="shared" si="36"/>
        <v>0</v>
      </c>
      <c r="G825" s="77">
        <f>SUMIF(积分汇总!$B:$B,C824,积分汇总!$E:$E)</f>
        <v>0</v>
      </c>
      <c r="H825" s="77">
        <f>SUMIF(记录巡查问题条数汇总!$B:$B,C824,记录巡查问题条数汇总!$E:$E)</f>
        <v>0</v>
      </c>
      <c r="I825" s="77"/>
      <c r="J825" s="77">
        <f>SUMIF(安全质量事故!$B:$B,C824,安全质量事故!$G:$G)</f>
        <v>0</v>
      </c>
      <c r="K825" s="72">
        <f>COUNTIF(L825:AP825,标准数据!$A$2)*标准数据!$B$2+COUNTIF(L825:AP825,标准数据!$A$3)*标准数据!$B$3+COUNTIF(L825:AP825,标准数据!$A$4)*标准数据!$B$4</f>
        <v>0</v>
      </c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192"/>
      <c r="AQ825" s="90"/>
    </row>
    <row r="826" spans="1:46" ht="21" customHeight="1">
      <c r="A826" s="267" t="s">
        <v>2130</v>
      </c>
      <c r="B826" s="47" t="s">
        <v>1881</v>
      </c>
      <c r="C826" s="86" t="s">
        <v>1879</v>
      </c>
      <c r="D826" s="86" t="s">
        <v>1880</v>
      </c>
      <c r="E826" s="85">
        <v>46204</v>
      </c>
      <c r="F826" s="49">
        <f t="shared" si="36"/>
        <v>0</v>
      </c>
      <c r="G826" s="77">
        <f>SUMIF(积分汇总!$B:$B,C825,积分汇总!$E:$E)</f>
        <v>0</v>
      </c>
      <c r="H826" s="77">
        <f>SUMIF(记录巡查问题条数汇总!$B:$B,C825,记录巡查问题条数汇总!$E:$E)</f>
        <v>0</v>
      </c>
      <c r="I826" s="77"/>
      <c r="J826" s="77">
        <f>SUMIF(安全质量事故!$B:$B,C825,安全质量事故!$G:$G)</f>
        <v>0</v>
      </c>
      <c r="K826" s="72">
        <f>COUNTIF(L826:AP826,标准数据!$A$2)*标准数据!$B$2+COUNTIF(L826:AP826,标准数据!$A$3)*标准数据!$B$3+COUNTIF(L826:AP826,标准数据!$A$4)*标准数据!$B$4</f>
        <v>0</v>
      </c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192"/>
      <c r="AQ826" s="90"/>
    </row>
    <row r="827" spans="1:46" ht="21" customHeight="1">
      <c r="A827" s="267" t="s">
        <v>2126</v>
      </c>
      <c r="B827" s="45" t="s">
        <v>154</v>
      </c>
      <c r="C827" s="46" t="s">
        <v>168</v>
      </c>
      <c r="D827" s="52" t="s">
        <v>25</v>
      </c>
      <c r="E827" s="46">
        <v>41487</v>
      </c>
      <c r="F827" s="49">
        <f t="shared" si="36"/>
        <v>0</v>
      </c>
      <c r="G827" s="77">
        <f>SUMIF(积分汇总!$B:$B,C826,积分汇总!$E:$E)</f>
        <v>0</v>
      </c>
      <c r="H827" s="77">
        <f>SUMIF(记录巡查问题条数汇总!$B:$B,C826,记录巡查问题条数汇总!$E:$E)</f>
        <v>0</v>
      </c>
      <c r="I827" s="77"/>
      <c r="J827" s="77">
        <f>SUMIF(安全质量事故!$B:$B,C826,安全质量事故!$G:$G)</f>
        <v>0</v>
      </c>
      <c r="K827" s="72">
        <f>COUNTIF(L827:AP827,标准数据!$A$2)*标准数据!$B$2+COUNTIF(L827:AP827,标准数据!$A$3)*标准数据!$B$3+COUNTIF(L827:AP827,标准数据!$A$4)*标准数据!$B$4</f>
        <v>0</v>
      </c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192"/>
      <c r="AQ827" s="90"/>
    </row>
    <row r="828" spans="1:46" ht="21" customHeight="1">
      <c r="A828" s="267" t="s">
        <v>2126</v>
      </c>
      <c r="B828" s="47" t="s">
        <v>1922</v>
      </c>
      <c r="C828" s="46" t="s">
        <v>152</v>
      </c>
      <c r="D828" s="52" t="s">
        <v>24</v>
      </c>
      <c r="E828" s="46">
        <v>42949</v>
      </c>
      <c r="F828" s="49">
        <f t="shared" si="36"/>
        <v>0</v>
      </c>
      <c r="G828" s="77">
        <f>SUMIF(积分汇总!$B:$B,C827,积分汇总!$E:$E)</f>
        <v>0</v>
      </c>
      <c r="H828" s="77">
        <f>SUMIF(记录巡查问题条数汇总!$B:$B,C827,记录巡查问题条数汇总!$E:$E)</f>
        <v>0</v>
      </c>
      <c r="I828" s="77"/>
      <c r="J828" s="77">
        <f>SUMIF(安全质量事故!$B:$B,C827,安全质量事故!$G:$G)</f>
        <v>0</v>
      </c>
      <c r="K828" s="72">
        <f>COUNTIF(L828:AP828,标准数据!$A$2)*标准数据!$B$2+COUNTIF(L828:AP828,标准数据!$A$3)*标准数据!$B$3+COUNTIF(L828:AP828,标准数据!$A$4)*标准数据!$B$4</f>
        <v>0</v>
      </c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192"/>
      <c r="AQ828" s="90"/>
    </row>
    <row r="829" spans="1:46" ht="21" customHeight="1">
      <c r="A829" s="267" t="s">
        <v>2126</v>
      </c>
      <c r="B829" s="61" t="s">
        <v>146</v>
      </c>
      <c r="C829" s="46" t="s">
        <v>173</v>
      </c>
      <c r="D829" s="52" t="s">
        <v>171</v>
      </c>
      <c r="E829" s="48">
        <v>43271</v>
      </c>
      <c r="F829" s="49">
        <f t="shared" si="36"/>
        <v>0</v>
      </c>
      <c r="G829" s="77">
        <f>SUMIF(积分汇总!$B:$B,C828,积分汇总!$E:$E)</f>
        <v>0</v>
      </c>
      <c r="H829" s="77">
        <f>SUMIF(记录巡查问题条数汇总!$B:$B,C828,记录巡查问题条数汇总!$E:$E)</f>
        <v>0</v>
      </c>
      <c r="I829" s="77"/>
      <c r="J829" s="77">
        <f>SUMIF(安全质量事故!$B:$B,C828,安全质量事故!$G:$G)</f>
        <v>0</v>
      </c>
      <c r="K829" s="72">
        <f>COUNTIF(L829:AP829,标准数据!$A$2)*标准数据!$B$2+COUNTIF(L829:AP829,标准数据!$A$3)*标准数据!$B$3+COUNTIF(L829:AP829,标准数据!$A$4)*标准数据!$B$4</f>
        <v>0</v>
      </c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192"/>
      <c r="AQ829" s="90"/>
    </row>
    <row r="830" spans="1:46" ht="21" customHeight="1">
      <c r="A830" s="267" t="s">
        <v>2126</v>
      </c>
      <c r="B830" s="47" t="s">
        <v>1881</v>
      </c>
      <c r="C830" s="46" t="s">
        <v>348</v>
      </c>
      <c r="D830" s="52" t="s">
        <v>342</v>
      </c>
      <c r="E830" s="46">
        <v>45642</v>
      </c>
      <c r="F830" s="49">
        <f t="shared" si="36"/>
        <v>0</v>
      </c>
      <c r="G830" s="77">
        <f>SUMIF(积分汇总!$B:$B,C829,积分汇总!$E:$E)</f>
        <v>0</v>
      </c>
      <c r="H830" s="77">
        <f>SUMIF(记录巡查问题条数汇总!$B:$B,C829,记录巡查问题条数汇总!$E:$E)</f>
        <v>0</v>
      </c>
      <c r="I830" s="77"/>
      <c r="J830" s="77">
        <f>SUMIF(安全质量事故!$B:$B,C829,安全质量事故!$G:$G)</f>
        <v>0</v>
      </c>
      <c r="K830" s="72">
        <f>COUNTIF(L830:AP830,标准数据!$A$2)*标准数据!$B$2+COUNTIF(L830:AP830,标准数据!$A$3)*标准数据!$B$3+COUNTIF(L830:AP830,标准数据!$A$4)*标准数据!$B$4</f>
        <v>0</v>
      </c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192"/>
      <c r="AQ830" s="90"/>
    </row>
    <row r="831" spans="1:46" ht="21" customHeight="1">
      <c r="A831" s="267" t="s">
        <v>2126</v>
      </c>
      <c r="B831" s="61" t="s">
        <v>146</v>
      </c>
      <c r="C831" s="46" t="s">
        <v>490</v>
      </c>
      <c r="D831" s="52" t="s">
        <v>459</v>
      </c>
      <c r="E831" s="46">
        <v>45847</v>
      </c>
      <c r="F831" s="49">
        <f t="shared" si="36"/>
        <v>0</v>
      </c>
      <c r="G831" s="77">
        <f>SUMIF(积分汇总!$B:$B,C830,积分汇总!$E:$E)</f>
        <v>0</v>
      </c>
      <c r="H831" s="77">
        <f>SUMIF(记录巡查问题条数汇总!$B:$B,C830,记录巡查问题条数汇总!$E:$E)</f>
        <v>0</v>
      </c>
      <c r="I831" s="77"/>
      <c r="J831" s="77">
        <f>SUMIF(安全质量事故!$B:$B,C830,安全质量事故!$G:$G)</f>
        <v>0</v>
      </c>
      <c r="K831" s="72">
        <f>COUNTIF(L831:AP831,标准数据!$A$2)*标准数据!$B$2+COUNTIF(L831:AP831,标准数据!$A$3)*标准数据!$B$3+COUNTIF(L831:AP831,标准数据!$A$4)*标准数据!$B$4</f>
        <v>0</v>
      </c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192"/>
      <c r="AQ831" s="90"/>
    </row>
    <row r="832" spans="1:46" ht="21" customHeight="1">
      <c r="A832" s="267" t="s">
        <v>2126</v>
      </c>
      <c r="B832" s="61" t="s">
        <v>146</v>
      </c>
      <c r="C832" s="46" t="s">
        <v>757</v>
      </c>
      <c r="D832" s="52" t="s">
        <v>715</v>
      </c>
      <c r="E832" s="46">
        <v>45959</v>
      </c>
      <c r="F832" s="49">
        <f t="shared" si="36"/>
        <v>0</v>
      </c>
      <c r="G832" s="77">
        <f>SUMIF(积分汇总!$B:$B,C831,积分汇总!$E:$E)</f>
        <v>0</v>
      </c>
      <c r="H832" s="77">
        <f>SUMIF(记录巡查问题条数汇总!$B:$B,C831,记录巡查问题条数汇总!$E:$E)</f>
        <v>0</v>
      </c>
      <c r="I832" s="77"/>
      <c r="J832" s="77">
        <f>SUMIF(安全质量事故!$B:$B,C831,安全质量事故!$G:$G)</f>
        <v>0</v>
      </c>
      <c r="K832" s="72">
        <f>COUNTIF(L832:AP832,标准数据!$A$2)*标准数据!$B$2+COUNTIF(L832:AP832,标准数据!$A$3)*标准数据!$B$3+COUNTIF(L832:AP832,标准数据!$A$4)*标准数据!$B$4</f>
        <v>0</v>
      </c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192"/>
      <c r="AQ832" s="90"/>
    </row>
    <row r="833" spans="4:7" ht="21" customHeight="1">
      <c r="D833" s="87"/>
      <c r="E833" s="62"/>
      <c r="F833" s="94">
        <f>SUM(F100:J832)</f>
        <v>0</v>
      </c>
      <c r="G833" s="95">
        <f>SUM(G114:G832)</f>
        <v>0</v>
      </c>
    </row>
  </sheetData>
  <sheetProtection formatCells="0" insertHyperlinks="0" autoFilter="0"/>
  <autoFilter ref="A2:AV833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3" showButton="0"/>
    <filterColumn colId="44" showButton="0"/>
  </autoFilter>
  <mergeCells count="24">
    <mergeCell ref="A2:A3"/>
    <mergeCell ref="E2:E3"/>
    <mergeCell ref="F2:F3"/>
    <mergeCell ref="G2:G3"/>
    <mergeCell ref="H2:H3"/>
    <mergeCell ref="B2:B3"/>
    <mergeCell ref="C2:C3"/>
    <mergeCell ref="D2:D3"/>
    <mergeCell ref="I2:I3"/>
    <mergeCell ref="AR100:AT100"/>
    <mergeCell ref="K2:K3"/>
    <mergeCell ref="L2:AP2"/>
    <mergeCell ref="J2:J3"/>
    <mergeCell ref="AR811:AT811"/>
    <mergeCell ref="AR782:AT782"/>
    <mergeCell ref="AR795:AT795"/>
    <mergeCell ref="AR460:AT460"/>
    <mergeCell ref="AR4:AT4"/>
    <mergeCell ref="AR201:AT201"/>
    <mergeCell ref="AR273:AT273"/>
    <mergeCell ref="AR665:AT665"/>
    <mergeCell ref="AR381:AT381"/>
    <mergeCell ref="AR762:AT762"/>
    <mergeCell ref="AR185:AT185"/>
  </mergeCells>
  <phoneticPr fontId="9" type="noConversion"/>
  <conditionalFormatting sqref="L3:AQ3">
    <cfRule type="expression" dxfId="4578" priority="20532" stopIfTrue="1">
      <formula>OR(WEEKDAY(L3)=1,WEEKDAY(L3)=7)</formula>
    </cfRule>
  </conditionalFormatting>
  <conditionalFormatting sqref="D833">
    <cfRule type="duplicateValues" dxfId="4577" priority="3974"/>
  </conditionalFormatting>
  <conditionalFormatting sqref="D833">
    <cfRule type="duplicateValues" dxfId="4576" priority="3973"/>
  </conditionalFormatting>
  <conditionalFormatting sqref="D833">
    <cfRule type="duplicateValues" dxfId="4575" priority="3975"/>
    <cfRule type="duplicateValues" dxfId="4574" priority="3976"/>
  </conditionalFormatting>
  <conditionalFormatting sqref="D833">
    <cfRule type="duplicateValues" dxfId="4573" priority="3977"/>
  </conditionalFormatting>
  <conditionalFormatting sqref="C833:C1048576 C2:C3">
    <cfRule type="duplicateValues" dxfId="4572" priority="3477"/>
  </conditionalFormatting>
  <conditionalFormatting sqref="D833:D1048576 D2:D3">
    <cfRule type="duplicateValues" dxfId="4571" priority="32829"/>
  </conditionalFormatting>
  <conditionalFormatting sqref="D833:D1048576">
    <cfRule type="duplicateValues" dxfId="4570" priority="32834"/>
  </conditionalFormatting>
  <conditionalFormatting sqref="D833:D1048576 D2:D3">
    <cfRule type="duplicateValues" dxfId="4569" priority="32925"/>
    <cfRule type="duplicateValues" dxfId="4568" priority="32926"/>
  </conditionalFormatting>
  <conditionalFormatting sqref="D132">
    <cfRule type="duplicateValues" dxfId="4567" priority="1908"/>
  </conditionalFormatting>
  <conditionalFormatting sqref="D149">
    <cfRule type="duplicateValues" dxfId="4566" priority="1907"/>
  </conditionalFormatting>
  <conditionalFormatting sqref="D168">
    <cfRule type="duplicateValues" dxfId="4565" priority="1906"/>
  </conditionalFormatting>
  <conditionalFormatting sqref="D169">
    <cfRule type="duplicateValues" dxfId="4564" priority="1905"/>
  </conditionalFormatting>
  <conditionalFormatting sqref="D118">
    <cfRule type="duplicateValues" dxfId="4563" priority="1901"/>
    <cfRule type="duplicateValues" dxfId="4562" priority="1902"/>
  </conditionalFormatting>
  <conditionalFormatting sqref="D118">
    <cfRule type="duplicateValues" dxfId="4561" priority="1903"/>
  </conditionalFormatting>
  <conditionalFormatting sqref="D118">
    <cfRule type="duplicateValues" dxfId="4560" priority="1904"/>
  </conditionalFormatting>
  <conditionalFormatting sqref="D127">
    <cfRule type="duplicateValues" dxfId="4559" priority="1897"/>
    <cfRule type="duplicateValues" dxfId="4558" priority="1898"/>
  </conditionalFormatting>
  <conditionalFormatting sqref="D127">
    <cfRule type="duplicateValues" dxfId="4557" priority="1899"/>
  </conditionalFormatting>
  <conditionalFormatting sqref="D127">
    <cfRule type="duplicateValues" dxfId="4556" priority="1900"/>
  </conditionalFormatting>
  <conditionalFormatting sqref="D131">
    <cfRule type="duplicateValues" dxfId="4555" priority="1893"/>
    <cfRule type="duplicateValues" dxfId="4554" priority="1894"/>
  </conditionalFormatting>
  <conditionalFormatting sqref="D131">
    <cfRule type="duplicateValues" dxfId="4553" priority="1895"/>
  </conditionalFormatting>
  <conditionalFormatting sqref="D131">
    <cfRule type="duplicateValues" dxfId="4552" priority="1896"/>
  </conditionalFormatting>
  <conditionalFormatting sqref="D128">
    <cfRule type="duplicateValues" dxfId="4551" priority="1909"/>
    <cfRule type="duplicateValues" dxfId="4550" priority="1910"/>
  </conditionalFormatting>
  <conditionalFormatting sqref="D128">
    <cfRule type="duplicateValues" dxfId="4549" priority="1911"/>
  </conditionalFormatting>
  <conditionalFormatting sqref="D170">
    <cfRule type="duplicateValues" dxfId="4548" priority="1889"/>
  </conditionalFormatting>
  <conditionalFormatting sqref="D170">
    <cfRule type="duplicateValues" dxfId="4547" priority="1888"/>
  </conditionalFormatting>
  <conditionalFormatting sqref="D170">
    <cfRule type="duplicateValues" dxfId="4546" priority="1890"/>
    <cfRule type="duplicateValues" dxfId="4545" priority="1891"/>
  </conditionalFormatting>
  <conditionalFormatting sqref="D170">
    <cfRule type="duplicateValues" dxfId="4544" priority="1892"/>
  </conditionalFormatting>
  <conditionalFormatting sqref="D118">
    <cfRule type="duplicateValues" dxfId="4543" priority="1912"/>
    <cfRule type="duplicateValues" dxfId="4542" priority="1913"/>
  </conditionalFormatting>
  <conditionalFormatting sqref="D118">
    <cfRule type="duplicateValues" dxfId="4541" priority="1914"/>
  </conditionalFormatting>
  <conditionalFormatting sqref="D130">
    <cfRule type="duplicateValues" dxfId="4540" priority="1915"/>
  </conditionalFormatting>
  <conditionalFormatting sqref="D171">
    <cfRule type="duplicateValues" dxfId="4539" priority="1884"/>
  </conditionalFormatting>
  <conditionalFormatting sqref="D171">
    <cfRule type="duplicateValues" dxfId="4538" priority="1883"/>
  </conditionalFormatting>
  <conditionalFormatting sqref="D171">
    <cfRule type="duplicateValues" dxfId="4537" priority="1885"/>
    <cfRule type="duplicateValues" dxfId="4536" priority="1886"/>
  </conditionalFormatting>
  <conditionalFormatting sqref="D171">
    <cfRule type="duplicateValues" dxfId="4535" priority="1887"/>
  </conditionalFormatting>
  <conditionalFormatting sqref="D125">
    <cfRule type="duplicateValues" dxfId="4534" priority="1875"/>
    <cfRule type="duplicateValues" dxfId="4533" priority="1876"/>
  </conditionalFormatting>
  <conditionalFormatting sqref="D125">
    <cfRule type="duplicateValues" dxfId="4532" priority="1877"/>
  </conditionalFormatting>
  <conditionalFormatting sqref="D126">
    <cfRule type="duplicateValues" dxfId="4531" priority="1878"/>
  </conditionalFormatting>
  <conditionalFormatting sqref="D126">
    <cfRule type="duplicateValues" dxfId="4530" priority="1879"/>
    <cfRule type="duplicateValues" dxfId="4529" priority="1880"/>
  </conditionalFormatting>
  <conditionalFormatting sqref="D126">
    <cfRule type="duplicateValues" dxfId="4528" priority="1881"/>
  </conditionalFormatting>
  <conditionalFormatting sqref="D127">
    <cfRule type="duplicateValues" dxfId="4527" priority="1882"/>
  </conditionalFormatting>
  <conditionalFormatting sqref="D153">
    <cfRule type="duplicateValues" dxfId="4526" priority="1870"/>
  </conditionalFormatting>
  <conditionalFormatting sqref="D153">
    <cfRule type="duplicateValues" dxfId="4525" priority="1871"/>
  </conditionalFormatting>
  <conditionalFormatting sqref="D153">
    <cfRule type="duplicateValues" dxfId="4524" priority="1872"/>
    <cfRule type="duplicateValues" dxfId="4523" priority="1873"/>
  </conditionalFormatting>
  <conditionalFormatting sqref="D153">
    <cfRule type="duplicateValues" dxfId="4522" priority="1874"/>
  </conditionalFormatting>
  <conditionalFormatting sqref="D133">
    <cfRule type="duplicateValues" dxfId="4521" priority="1864"/>
  </conditionalFormatting>
  <conditionalFormatting sqref="D133">
    <cfRule type="duplicateValues" dxfId="4520" priority="1865"/>
  </conditionalFormatting>
  <conditionalFormatting sqref="D133">
    <cfRule type="duplicateValues" dxfId="4519" priority="1866"/>
  </conditionalFormatting>
  <conditionalFormatting sqref="D133">
    <cfRule type="duplicateValues" dxfId="4518" priority="1867"/>
    <cfRule type="duplicateValues" dxfId="4517" priority="1868"/>
  </conditionalFormatting>
  <conditionalFormatting sqref="D133">
    <cfRule type="duplicateValues" dxfId="4516" priority="1869"/>
  </conditionalFormatting>
  <conditionalFormatting sqref="C125:C150 C153:C155 C110:C118 C157:C179 C181:C182 C100:C108 C184">
    <cfRule type="duplicateValues" dxfId="4515" priority="1863"/>
  </conditionalFormatting>
  <conditionalFormatting sqref="D134:D150 D125:D132 D153:D155 D110:D118 D157:D179 D181:D182 D100:D108 D184">
    <cfRule type="duplicateValues" dxfId="4514" priority="1916"/>
  </conditionalFormatting>
  <conditionalFormatting sqref="D149:D150 D127:D132 D154:D155 D173:D179 D134:D146 D157:D169 D110:D118 D181:D182 D100:D108 D184">
    <cfRule type="duplicateValues" dxfId="4513" priority="1917"/>
  </conditionalFormatting>
  <conditionalFormatting sqref="D134:D146 D129 D150 D154:D155 D173:D179 D157:D167 D110:D114 D181:D182 D184 D100:D108">
    <cfRule type="duplicateValues" dxfId="4512" priority="1918"/>
  </conditionalFormatting>
  <conditionalFormatting sqref="D129:D130 D132 D149:D150 D154:D155 D173:D179 D134:D146 D157:D169 D110:D117 D181:D182 D100:D108 D184">
    <cfRule type="duplicateValues" dxfId="4511" priority="1919"/>
    <cfRule type="duplicateValues" dxfId="4510" priority="1920"/>
  </conditionalFormatting>
  <conditionalFormatting sqref="D129:D130 D132 D149:D150 D154:D155 D173:D179 D134:D146 D157:D169 D110:D117 D181:D182 D100:D108 D184">
    <cfRule type="duplicateValues" dxfId="4509" priority="1921"/>
  </conditionalFormatting>
  <conditionalFormatting sqref="D116:D117">
    <cfRule type="duplicateValues" dxfId="4508" priority="1922"/>
  </conditionalFormatting>
  <conditionalFormatting sqref="D115">
    <cfRule type="duplicateValues" dxfId="4507" priority="1923"/>
  </conditionalFormatting>
  <conditionalFormatting sqref="D125:D126">
    <cfRule type="duplicateValues" dxfId="4506" priority="1924"/>
  </conditionalFormatting>
  <conditionalFormatting sqref="D122">
    <cfRule type="duplicateValues" dxfId="4505" priority="1848"/>
    <cfRule type="duplicateValues" dxfId="4504" priority="1849"/>
  </conditionalFormatting>
  <conditionalFormatting sqref="D122">
    <cfRule type="duplicateValues" dxfId="4503" priority="1850"/>
  </conditionalFormatting>
  <conditionalFormatting sqref="D122">
    <cfRule type="duplicateValues" dxfId="4502" priority="1851"/>
  </conditionalFormatting>
  <conditionalFormatting sqref="D122">
    <cfRule type="duplicateValues" dxfId="4501" priority="1852"/>
    <cfRule type="duplicateValues" dxfId="4500" priority="1853"/>
  </conditionalFormatting>
  <conditionalFormatting sqref="D122">
    <cfRule type="duplicateValues" dxfId="4499" priority="1854"/>
  </conditionalFormatting>
  <conditionalFormatting sqref="D124">
    <cfRule type="duplicateValues" dxfId="4498" priority="1855"/>
  </conditionalFormatting>
  <conditionalFormatting sqref="D119">
    <cfRule type="duplicateValues" dxfId="4497" priority="1840"/>
    <cfRule type="duplicateValues" dxfId="4496" priority="1841"/>
  </conditionalFormatting>
  <conditionalFormatting sqref="D119">
    <cfRule type="duplicateValues" dxfId="4495" priority="1842"/>
  </conditionalFormatting>
  <conditionalFormatting sqref="D120">
    <cfRule type="duplicateValues" dxfId="4494" priority="1843"/>
  </conditionalFormatting>
  <conditionalFormatting sqref="D120:D121">
    <cfRule type="duplicateValues" dxfId="4493" priority="1844"/>
    <cfRule type="duplicateValues" dxfId="4492" priority="1845"/>
  </conditionalFormatting>
  <conditionalFormatting sqref="D120:D121">
    <cfRule type="duplicateValues" dxfId="4491" priority="1846"/>
  </conditionalFormatting>
  <conditionalFormatting sqref="D121">
    <cfRule type="duplicateValues" dxfId="4490" priority="1847"/>
  </conditionalFormatting>
  <conditionalFormatting sqref="C119:C124">
    <cfRule type="duplicateValues" dxfId="4489" priority="1839"/>
  </conditionalFormatting>
  <conditionalFormatting sqref="D119:D124">
    <cfRule type="duplicateValues" dxfId="4488" priority="1856"/>
  </conditionalFormatting>
  <conditionalFormatting sqref="D122:D124">
    <cfRule type="duplicateValues" dxfId="4487" priority="1857"/>
  </conditionalFormatting>
  <conditionalFormatting sqref="D123">
    <cfRule type="duplicateValues" dxfId="4486" priority="1858"/>
  </conditionalFormatting>
  <conditionalFormatting sqref="D123:D124">
    <cfRule type="duplicateValues" dxfId="4485" priority="1859"/>
    <cfRule type="duplicateValues" dxfId="4484" priority="1860"/>
  </conditionalFormatting>
  <conditionalFormatting sqref="D123:D124">
    <cfRule type="duplicateValues" dxfId="4483" priority="1861"/>
  </conditionalFormatting>
  <conditionalFormatting sqref="D119:D121">
    <cfRule type="duplicateValues" dxfId="4482" priority="1862"/>
  </conditionalFormatting>
  <conditionalFormatting sqref="D119:D124">
    <cfRule type="duplicateValues" dxfId="4481" priority="1838"/>
  </conditionalFormatting>
  <conditionalFormatting sqref="D151">
    <cfRule type="duplicateValues" dxfId="4480" priority="1833"/>
  </conditionalFormatting>
  <conditionalFormatting sqref="D151">
    <cfRule type="duplicateValues" dxfId="4479" priority="1834"/>
  </conditionalFormatting>
  <conditionalFormatting sqref="D151">
    <cfRule type="duplicateValues" dxfId="4478" priority="1835"/>
    <cfRule type="duplicateValues" dxfId="4477" priority="1836"/>
  </conditionalFormatting>
  <conditionalFormatting sqref="D151">
    <cfRule type="duplicateValues" dxfId="4476" priority="1837"/>
  </conditionalFormatting>
  <conditionalFormatting sqref="C156">
    <cfRule type="duplicateValues" dxfId="4475" priority="1826"/>
  </conditionalFormatting>
  <conditionalFormatting sqref="D156">
    <cfRule type="duplicateValues" dxfId="4474" priority="1827"/>
  </conditionalFormatting>
  <conditionalFormatting sqref="D156">
    <cfRule type="duplicateValues" dxfId="4473" priority="1828"/>
  </conditionalFormatting>
  <conditionalFormatting sqref="D156">
    <cfRule type="duplicateValues" dxfId="4472" priority="1829"/>
  </conditionalFormatting>
  <conditionalFormatting sqref="D156">
    <cfRule type="duplicateValues" dxfId="4471" priority="1830"/>
    <cfRule type="duplicateValues" dxfId="4470" priority="1831"/>
  </conditionalFormatting>
  <conditionalFormatting sqref="D156">
    <cfRule type="duplicateValues" dxfId="4469" priority="1832"/>
  </conditionalFormatting>
  <conditionalFormatting sqref="D156">
    <cfRule type="duplicateValues" dxfId="4468" priority="1825"/>
  </conditionalFormatting>
  <conditionalFormatting sqref="C151:C152">
    <cfRule type="duplicateValues" dxfId="4467" priority="1925"/>
  </conditionalFormatting>
  <conditionalFormatting sqref="D151:D152">
    <cfRule type="duplicateValues" dxfId="4466" priority="1926"/>
  </conditionalFormatting>
  <conditionalFormatting sqref="D152">
    <cfRule type="duplicateValues" dxfId="4465" priority="1927"/>
  </conditionalFormatting>
  <conditionalFormatting sqref="D152">
    <cfRule type="duplicateValues" dxfId="4464" priority="1928"/>
    <cfRule type="duplicateValues" dxfId="4463" priority="1929"/>
  </conditionalFormatting>
  <conditionalFormatting sqref="D125:D150 D153:D155 D110:D118 D157:D179 D181:D182 D100:D108 D184">
    <cfRule type="duplicateValues" dxfId="4462" priority="1930"/>
  </conditionalFormatting>
  <conditionalFormatting sqref="D110:D179 D181:D182 D100:D108 D184">
    <cfRule type="duplicateValues" dxfId="4461" priority="1824"/>
  </conditionalFormatting>
  <conditionalFormatting sqref="D110:D179">
    <cfRule type="duplicateValues" dxfId="4460" priority="1823"/>
  </conditionalFormatting>
  <conditionalFormatting sqref="D109">
    <cfRule type="duplicateValues" dxfId="4459" priority="1816"/>
  </conditionalFormatting>
  <conditionalFormatting sqref="D109">
    <cfRule type="duplicateValues" dxfId="4458" priority="1817"/>
  </conditionalFormatting>
  <conditionalFormatting sqref="D109">
    <cfRule type="duplicateValues" dxfId="4457" priority="1818"/>
    <cfRule type="duplicateValues" dxfId="4456" priority="1819"/>
  </conditionalFormatting>
  <conditionalFormatting sqref="D109">
    <cfRule type="duplicateValues" dxfId="4455" priority="1820"/>
  </conditionalFormatting>
  <conditionalFormatting sqref="C109">
    <cfRule type="duplicateValues" dxfId="4454" priority="1815"/>
  </conditionalFormatting>
  <conditionalFormatting sqref="D109">
    <cfRule type="duplicateValues" dxfId="4453" priority="1821"/>
  </conditionalFormatting>
  <conditionalFormatting sqref="D109">
    <cfRule type="duplicateValues" dxfId="4452" priority="1822"/>
  </conditionalFormatting>
  <conditionalFormatting sqref="D109">
    <cfRule type="duplicateValues" dxfId="4451" priority="1814"/>
  </conditionalFormatting>
  <conditionalFormatting sqref="D109">
    <cfRule type="duplicateValues" dxfId="4450" priority="1813"/>
  </conditionalFormatting>
  <conditionalFormatting sqref="C180">
    <cfRule type="duplicateValues" dxfId="4449" priority="1805"/>
  </conditionalFormatting>
  <conditionalFormatting sqref="D180">
    <cfRule type="duplicateValues" dxfId="4448" priority="1806"/>
  </conditionalFormatting>
  <conditionalFormatting sqref="D180">
    <cfRule type="duplicateValues" dxfId="4447" priority="1807"/>
  </conditionalFormatting>
  <conditionalFormatting sqref="D180">
    <cfRule type="duplicateValues" dxfId="4446" priority="1808"/>
  </conditionalFormatting>
  <conditionalFormatting sqref="D180">
    <cfRule type="duplicateValues" dxfId="4445" priority="1809"/>
    <cfRule type="duplicateValues" dxfId="4444" priority="1810"/>
  </conditionalFormatting>
  <conditionalFormatting sqref="D180">
    <cfRule type="duplicateValues" dxfId="4443" priority="1811"/>
  </conditionalFormatting>
  <conditionalFormatting sqref="D180">
    <cfRule type="duplicateValues" dxfId="4442" priority="1812"/>
  </conditionalFormatting>
  <conditionalFormatting sqref="D180">
    <cfRule type="duplicateValues" dxfId="4441" priority="1804"/>
  </conditionalFormatting>
  <conditionalFormatting sqref="D180">
    <cfRule type="duplicateValues" dxfId="4440" priority="1803"/>
  </conditionalFormatting>
  <conditionalFormatting sqref="C183">
    <cfRule type="duplicateValues" dxfId="4439" priority="1795"/>
  </conditionalFormatting>
  <conditionalFormatting sqref="D183">
    <cfRule type="duplicateValues" dxfId="4438" priority="1796"/>
  </conditionalFormatting>
  <conditionalFormatting sqref="D183">
    <cfRule type="duplicateValues" dxfId="4437" priority="1797"/>
  </conditionalFormatting>
  <conditionalFormatting sqref="D183">
    <cfRule type="duplicateValues" dxfId="4436" priority="1798"/>
  </conditionalFormatting>
  <conditionalFormatting sqref="D183">
    <cfRule type="duplicateValues" dxfId="4435" priority="1799"/>
    <cfRule type="duplicateValues" dxfId="4434" priority="1800"/>
  </conditionalFormatting>
  <conditionalFormatting sqref="D183">
    <cfRule type="duplicateValues" dxfId="4433" priority="1801"/>
  </conditionalFormatting>
  <conditionalFormatting sqref="D183">
    <cfRule type="duplicateValues" dxfId="4432" priority="1802"/>
  </conditionalFormatting>
  <conditionalFormatting sqref="D183">
    <cfRule type="duplicateValues" dxfId="4431" priority="1794"/>
  </conditionalFormatting>
  <conditionalFormatting sqref="D183">
    <cfRule type="duplicateValues" dxfId="4430" priority="1793"/>
  </conditionalFormatting>
  <conditionalFormatting sqref="D147:D148">
    <cfRule type="duplicateValues" dxfId="4429" priority="1931"/>
  </conditionalFormatting>
  <conditionalFormatting sqref="D147:D148">
    <cfRule type="duplicateValues" dxfId="4428" priority="1932"/>
    <cfRule type="duplicateValues" dxfId="4427" priority="1933"/>
  </conditionalFormatting>
  <conditionalFormatting sqref="D84">
    <cfRule type="duplicateValues" dxfId="4426" priority="1764"/>
  </conditionalFormatting>
  <conditionalFormatting sqref="D84">
    <cfRule type="duplicateValues" dxfId="4425" priority="1763"/>
  </conditionalFormatting>
  <conditionalFormatting sqref="D8">
    <cfRule type="duplicateValues" dxfId="4424" priority="1762"/>
  </conditionalFormatting>
  <conditionalFormatting sqref="D63:D66">
    <cfRule type="duplicateValues" dxfId="4423" priority="1765"/>
  </conditionalFormatting>
  <conditionalFormatting sqref="D63:D66">
    <cfRule type="duplicateValues" dxfId="4422" priority="1766"/>
    <cfRule type="duplicateValues" dxfId="4421" priority="1767"/>
  </conditionalFormatting>
  <conditionalFormatting sqref="D63:D66">
    <cfRule type="duplicateValues" dxfId="4420" priority="1768"/>
  </conditionalFormatting>
  <conditionalFormatting sqref="D80">
    <cfRule type="duplicateValues" dxfId="4419" priority="1757"/>
  </conditionalFormatting>
  <conditionalFormatting sqref="D81">
    <cfRule type="duplicateValues" dxfId="4418" priority="1756"/>
  </conditionalFormatting>
  <conditionalFormatting sqref="D75:D81">
    <cfRule type="duplicateValues" dxfId="4417" priority="1755"/>
  </conditionalFormatting>
  <conditionalFormatting sqref="D75:D81">
    <cfRule type="duplicateValues" dxfId="4416" priority="1758"/>
    <cfRule type="duplicateValues" dxfId="4415" priority="1759"/>
  </conditionalFormatting>
  <conditionalFormatting sqref="D75:D81">
    <cfRule type="duplicateValues" dxfId="4414" priority="1760"/>
  </conditionalFormatting>
  <conditionalFormatting sqref="D75:D79">
    <cfRule type="duplicateValues" dxfId="4413" priority="1761"/>
  </conditionalFormatting>
  <conditionalFormatting sqref="C63:C72 C4:C8 C74:C81 C84">
    <cfRule type="duplicateValues" dxfId="4412" priority="1754"/>
  </conditionalFormatting>
  <conditionalFormatting sqref="D63:D72 D4:D8 D74:D81 D84">
    <cfRule type="duplicateValues" dxfId="4411" priority="1769"/>
  </conditionalFormatting>
  <conditionalFormatting sqref="D74 D67:D68 D84">
    <cfRule type="duplicateValues" dxfId="4410" priority="1770"/>
  </conditionalFormatting>
  <conditionalFormatting sqref="D74 D67:D68 D84">
    <cfRule type="duplicateValues" dxfId="4409" priority="1772"/>
    <cfRule type="duplicateValues" dxfId="4408" priority="1773"/>
  </conditionalFormatting>
  <conditionalFormatting sqref="D74">
    <cfRule type="duplicateValues" dxfId="4407" priority="1774"/>
  </conditionalFormatting>
  <conditionalFormatting sqref="D35">
    <cfRule type="duplicateValues" dxfId="4406" priority="1742"/>
  </conditionalFormatting>
  <conditionalFormatting sqref="D39">
    <cfRule type="duplicateValues" dxfId="4405" priority="1741"/>
  </conditionalFormatting>
  <conditionalFormatting sqref="D9">
    <cfRule type="duplicateValues" dxfId="4404" priority="1740"/>
  </conditionalFormatting>
  <conditionalFormatting sqref="D10:D13">
    <cfRule type="duplicateValues" dxfId="4403" priority="1743"/>
  </conditionalFormatting>
  <conditionalFormatting sqref="D10:D13">
    <cfRule type="duplicateValues" dxfId="4402" priority="1744"/>
    <cfRule type="duplicateValues" dxfId="4401" priority="1745"/>
  </conditionalFormatting>
  <conditionalFormatting sqref="D10:D13">
    <cfRule type="duplicateValues" dxfId="4400" priority="1746"/>
  </conditionalFormatting>
  <conditionalFormatting sqref="D9">
    <cfRule type="duplicateValues" dxfId="4399" priority="1747"/>
  </conditionalFormatting>
  <conditionalFormatting sqref="D27">
    <cfRule type="duplicateValues" dxfId="4398" priority="1735"/>
  </conditionalFormatting>
  <conditionalFormatting sqref="D28">
    <cfRule type="duplicateValues" dxfId="4397" priority="1734"/>
  </conditionalFormatting>
  <conditionalFormatting sqref="D22:D28">
    <cfRule type="duplicateValues" dxfId="4396" priority="1733"/>
  </conditionalFormatting>
  <conditionalFormatting sqref="D22:D28">
    <cfRule type="duplicateValues" dxfId="4395" priority="1736"/>
    <cfRule type="duplicateValues" dxfId="4394" priority="1737"/>
  </conditionalFormatting>
  <conditionalFormatting sqref="D22:D28">
    <cfRule type="duplicateValues" dxfId="4393" priority="1738"/>
  </conditionalFormatting>
  <conditionalFormatting sqref="D22:D26">
    <cfRule type="duplicateValues" dxfId="4392" priority="1739"/>
  </conditionalFormatting>
  <conditionalFormatting sqref="D38">
    <cfRule type="duplicateValues" dxfId="4391" priority="1729"/>
  </conditionalFormatting>
  <conditionalFormatting sqref="D38">
    <cfRule type="duplicateValues" dxfId="4390" priority="1728"/>
  </conditionalFormatting>
  <conditionalFormatting sqref="D38">
    <cfRule type="duplicateValues" dxfId="4389" priority="1730"/>
    <cfRule type="duplicateValues" dxfId="4388" priority="1731"/>
  </conditionalFormatting>
  <conditionalFormatting sqref="D38">
    <cfRule type="duplicateValues" dxfId="4387" priority="1732"/>
  </conditionalFormatting>
  <conditionalFormatting sqref="D29:D31">
    <cfRule type="duplicateValues" dxfId="4386" priority="1723"/>
  </conditionalFormatting>
  <conditionalFormatting sqref="D29:D31">
    <cfRule type="duplicateValues" dxfId="4385" priority="1724"/>
  </conditionalFormatting>
  <conditionalFormatting sqref="D29:D31">
    <cfRule type="duplicateValues" dxfId="4384" priority="1725"/>
    <cfRule type="duplicateValues" dxfId="4383" priority="1726"/>
  </conditionalFormatting>
  <conditionalFormatting sqref="D29:D31">
    <cfRule type="duplicateValues" dxfId="4382" priority="1727"/>
  </conditionalFormatting>
  <conditionalFormatting sqref="D32">
    <cfRule type="duplicateValues" dxfId="4381" priority="1719"/>
  </conditionalFormatting>
  <conditionalFormatting sqref="D32">
    <cfRule type="duplicateValues" dxfId="4380" priority="1718"/>
  </conditionalFormatting>
  <conditionalFormatting sqref="D32">
    <cfRule type="duplicateValues" dxfId="4379" priority="1720"/>
    <cfRule type="duplicateValues" dxfId="4378" priority="1721"/>
  </conditionalFormatting>
  <conditionalFormatting sqref="D32">
    <cfRule type="duplicateValues" dxfId="4377" priority="1722"/>
  </conditionalFormatting>
  <conditionalFormatting sqref="D39 D20:D21 D14 D33:D35">
    <cfRule type="duplicateValues" dxfId="4376" priority="1748"/>
  </conditionalFormatting>
  <conditionalFormatting sqref="D39 D20:D21 D14 D33:D35">
    <cfRule type="duplicateValues" dxfId="4375" priority="1749"/>
    <cfRule type="duplicateValues" dxfId="4374" priority="1750"/>
  </conditionalFormatting>
  <conditionalFormatting sqref="D20:D21">
    <cfRule type="duplicateValues" dxfId="4373" priority="1751"/>
  </conditionalFormatting>
  <conditionalFormatting sqref="D9">
    <cfRule type="duplicateValues" dxfId="4372" priority="1752"/>
    <cfRule type="duplicateValues" dxfId="4371" priority="1753"/>
  </conditionalFormatting>
  <conditionalFormatting sqref="D73">
    <cfRule type="duplicateValues" dxfId="4370" priority="1713"/>
  </conditionalFormatting>
  <conditionalFormatting sqref="C73">
    <cfRule type="duplicateValues" dxfId="4369" priority="1712"/>
  </conditionalFormatting>
  <conditionalFormatting sqref="D73">
    <cfRule type="duplicateValues" dxfId="4368" priority="1714"/>
  </conditionalFormatting>
  <conditionalFormatting sqref="D73">
    <cfRule type="duplicateValues" dxfId="4367" priority="1715"/>
  </conditionalFormatting>
  <conditionalFormatting sqref="D73">
    <cfRule type="duplicateValues" dxfId="4366" priority="1716"/>
    <cfRule type="duplicateValues" dxfId="4365" priority="1717"/>
  </conditionalFormatting>
  <conditionalFormatting sqref="D4:D35 D38:D39 D45:D61 D63:D81 D84">
    <cfRule type="duplicateValues" dxfId="4364" priority="1775"/>
  </conditionalFormatting>
  <conditionalFormatting sqref="D86">
    <cfRule type="duplicateValues" dxfId="4363" priority="1707"/>
  </conditionalFormatting>
  <conditionalFormatting sqref="D87">
    <cfRule type="duplicateValues" dxfId="4362" priority="1706"/>
  </conditionalFormatting>
  <conditionalFormatting sqref="D86:D87">
    <cfRule type="duplicateValues" dxfId="4361" priority="1705"/>
  </conditionalFormatting>
  <conditionalFormatting sqref="D86:D87">
    <cfRule type="duplicateValues" dxfId="4360" priority="1708"/>
    <cfRule type="duplicateValues" dxfId="4359" priority="1709"/>
  </conditionalFormatting>
  <conditionalFormatting sqref="C86:C87">
    <cfRule type="duplicateValues" dxfId="4358" priority="1704"/>
  </conditionalFormatting>
  <conditionalFormatting sqref="D86:D87">
    <cfRule type="duplicateValues" dxfId="4357" priority="1710"/>
  </conditionalFormatting>
  <conditionalFormatting sqref="D86:D87">
    <cfRule type="duplicateValues" dxfId="4356" priority="1711"/>
  </conditionalFormatting>
  <conditionalFormatting sqref="D85">
    <cfRule type="duplicateValues" dxfId="4355" priority="1697"/>
  </conditionalFormatting>
  <conditionalFormatting sqref="D85">
    <cfRule type="duplicateValues" dxfId="4354" priority="1698"/>
  </conditionalFormatting>
  <conditionalFormatting sqref="D85">
    <cfRule type="duplicateValues" dxfId="4353" priority="1699"/>
    <cfRule type="duplicateValues" dxfId="4352" priority="1700"/>
  </conditionalFormatting>
  <conditionalFormatting sqref="D85">
    <cfRule type="duplicateValues" dxfId="4351" priority="1701"/>
  </conditionalFormatting>
  <conditionalFormatting sqref="C85">
    <cfRule type="duplicateValues" dxfId="4350" priority="1696"/>
  </conditionalFormatting>
  <conditionalFormatting sqref="D85">
    <cfRule type="duplicateValues" dxfId="4349" priority="1702"/>
  </conditionalFormatting>
  <conditionalFormatting sqref="D85">
    <cfRule type="duplicateValues" dxfId="4348" priority="1703"/>
  </conditionalFormatting>
  <conditionalFormatting sqref="D62">
    <cfRule type="duplicateValues" dxfId="4347" priority="1690"/>
  </conditionalFormatting>
  <conditionalFormatting sqref="D62">
    <cfRule type="duplicateValues" dxfId="4346" priority="1689"/>
  </conditionalFormatting>
  <conditionalFormatting sqref="D62">
    <cfRule type="duplicateValues" dxfId="4345" priority="1691"/>
    <cfRule type="duplicateValues" dxfId="4344" priority="1692"/>
  </conditionalFormatting>
  <conditionalFormatting sqref="D62">
    <cfRule type="duplicateValues" dxfId="4343" priority="1693"/>
  </conditionalFormatting>
  <conditionalFormatting sqref="C62">
    <cfRule type="duplicateValues" dxfId="4342" priority="1688"/>
  </conditionalFormatting>
  <conditionalFormatting sqref="D62">
    <cfRule type="duplicateValues" dxfId="4341" priority="1694"/>
  </conditionalFormatting>
  <conditionalFormatting sqref="D62">
    <cfRule type="duplicateValues" dxfId="4340" priority="1695"/>
  </conditionalFormatting>
  <conditionalFormatting sqref="D38:D39 D4:D35 D45:D81 D84:D87">
    <cfRule type="duplicateValues" dxfId="4339" priority="1687"/>
  </conditionalFormatting>
  <conditionalFormatting sqref="D37">
    <cfRule type="duplicateValues" dxfId="4338" priority="1680"/>
  </conditionalFormatting>
  <conditionalFormatting sqref="D36">
    <cfRule type="duplicateValues" dxfId="4337" priority="1676"/>
  </conditionalFormatting>
  <conditionalFormatting sqref="D36">
    <cfRule type="duplicateValues" dxfId="4336" priority="1675"/>
  </conditionalFormatting>
  <conditionalFormatting sqref="D36">
    <cfRule type="duplicateValues" dxfId="4335" priority="1677"/>
    <cfRule type="duplicateValues" dxfId="4334" priority="1678"/>
  </conditionalFormatting>
  <conditionalFormatting sqref="D36">
    <cfRule type="duplicateValues" dxfId="4333" priority="1679"/>
  </conditionalFormatting>
  <conditionalFormatting sqref="D37">
    <cfRule type="duplicateValues" dxfId="4332" priority="1681"/>
  </conditionalFormatting>
  <conditionalFormatting sqref="D37">
    <cfRule type="duplicateValues" dxfId="4331" priority="1682"/>
    <cfRule type="duplicateValues" dxfId="4330" priority="1683"/>
  </conditionalFormatting>
  <conditionalFormatting sqref="D36:D37">
    <cfRule type="duplicateValues" dxfId="4329" priority="1684"/>
  </conditionalFormatting>
  <conditionalFormatting sqref="C36:C37">
    <cfRule type="duplicateValues" dxfId="4328" priority="1685"/>
  </conditionalFormatting>
  <conditionalFormatting sqref="D36:D37">
    <cfRule type="duplicateValues" dxfId="4327" priority="1686"/>
  </conditionalFormatting>
  <conditionalFormatting sqref="D36:D37">
    <cfRule type="duplicateValues" dxfId="4326" priority="1674"/>
  </conditionalFormatting>
  <conditionalFormatting sqref="D40">
    <cfRule type="duplicateValues" dxfId="4325" priority="1667"/>
  </conditionalFormatting>
  <conditionalFormatting sqref="D40">
    <cfRule type="duplicateValues" dxfId="4324" priority="1668"/>
  </conditionalFormatting>
  <conditionalFormatting sqref="D40">
    <cfRule type="duplicateValues" dxfId="4323" priority="1669"/>
    <cfRule type="duplicateValues" dxfId="4322" priority="1670"/>
  </conditionalFormatting>
  <conditionalFormatting sqref="D40">
    <cfRule type="duplicateValues" dxfId="4321" priority="1671"/>
  </conditionalFormatting>
  <conditionalFormatting sqref="C40">
    <cfRule type="duplicateValues" dxfId="4320" priority="1672"/>
  </conditionalFormatting>
  <conditionalFormatting sqref="D40">
    <cfRule type="duplicateValues" dxfId="4319" priority="1673"/>
  </conditionalFormatting>
  <conditionalFormatting sqref="D40">
    <cfRule type="duplicateValues" dxfId="4318" priority="1666"/>
  </conditionalFormatting>
  <conditionalFormatting sqref="D45:D81 D84:D87 D4:D40">
    <cfRule type="duplicateValues" dxfId="4317" priority="1665"/>
  </conditionalFormatting>
  <conditionalFormatting sqref="C41:C43">
    <cfRule type="duplicateValues" dxfId="4316" priority="1657"/>
  </conditionalFormatting>
  <conditionalFormatting sqref="D41:D43">
    <cfRule type="duplicateValues" dxfId="4315" priority="1658"/>
  </conditionalFormatting>
  <conditionalFormatting sqref="D41:D43">
    <cfRule type="duplicateValues" dxfId="4314" priority="1659"/>
  </conditionalFormatting>
  <conditionalFormatting sqref="D41:D43">
    <cfRule type="duplicateValues" dxfId="4313" priority="1660"/>
  </conditionalFormatting>
  <conditionalFormatting sqref="D41:D43">
    <cfRule type="duplicateValues" dxfId="4312" priority="1661"/>
    <cfRule type="duplicateValues" dxfId="4311" priority="1662"/>
  </conditionalFormatting>
  <conditionalFormatting sqref="D41:D43">
    <cfRule type="duplicateValues" dxfId="4310" priority="1663"/>
  </conditionalFormatting>
  <conditionalFormatting sqref="D41:D43">
    <cfRule type="duplicateValues" dxfId="4309" priority="1664"/>
  </conditionalFormatting>
  <conditionalFormatting sqref="D41:D43">
    <cfRule type="duplicateValues" dxfId="4308" priority="1656"/>
  </conditionalFormatting>
  <conditionalFormatting sqref="D41:D43">
    <cfRule type="duplicateValues" dxfId="4307" priority="1655"/>
  </conditionalFormatting>
  <conditionalFormatting sqref="C44">
    <cfRule type="duplicateValues" dxfId="4306" priority="1647"/>
  </conditionalFormatting>
  <conditionalFormatting sqref="D44">
    <cfRule type="duplicateValues" dxfId="4305" priority="1648"/>
  </conditionalFormatting>
  <conditionalFormatting sqref="D44">
    <cfRule type="duplicateValues" dxfId="4304" priority="1649"/>
  </conditionalFormatting>
  <conditionalFormatting sqref="D44">
    <cfRule type="duplicateValues" dxfId="4303" priority="1650"/>
  </conditionalFormatting>
  <conditionalFormatting sqref="D44">
    <cfRule type="duplicateValues" dxfId="4302" priority="1651"/>
    <cfRule type="duplicateValues" dxfId="4301" priority="1652"/>
  </conditionalFormatting>
  <conditionalFormatting sqref="D44">
    <cfRule type="duplicateValues" dxfId="4300" priority="1653"/>
  </conditionalFormatting>
  <conditionalFormatting sqref="D44">
    <cfRule type="duplicateValues" dxfId="4299" priority="1654"/>
  </conditionalFormatting>
  <conditionalFormatting sqref="D44">
    <cfRule type="duplicateValues" dxfId="4298" priority="1646"/>
  </conditionalFormatting>
  <conditionalFormatting sqref="D44">
    <cfRule type="duplicateValues" dxfId="4297" priority="1645"/>
  </conditionalFormatting>
  <conditionalFormatting sqref="C95">
    <cfRule type="duplicateValues" dxfId="4296" priority="1637"/>
  </conditionalFormatting>
  <conditionalFormatting sqref="D95">
    <cfRule type="duplicateValues" dxfId="4295" priority="1638"/>
  </conditionalFormatting>
  <conditionalFormatting sqref="D95">
    <cfRule type="duplicateValues" dxfId="4294" priority="1639"/>
  </conditionalFormatting>
  <conditionalFormatting sqref="D95">
    <cfRule type="duplicateValues" dxfId="4293" priority="1640"/>
  </conditionalFormatting>
  <conditionalFormatting sqref="D95">
    <cfRule type="duplicateValues" dxfId="4292" priority="1641"/>
    <cfRule type="duplicateValues" dxfId="4291" priority="1642"/>
  </conditionalFormatting>
  <conditionalFormatting sqref="D95">
    <cfRule type="duplicateValues" dxfId="4290" priority="1643"/>
  </conditionalFormatting>
  <conditionalFormatting sqref="D95">
    <cfRule type="duplicateValues" dxfId="4289" priority="1644"/>
  </conditionalFormatting>
  <conditionalFormatting sqref="D95">
    <cfRule type="duplicateValues" dxfId="4288" priority="1636"/>
  </conditionalFormatting>
  <conditionalFormatting sqref="D95">
    <cfRule type="duplicateValues" dxfId="4287" priority="1635"/>
  </conditionalFormatting>
  <conditionalFormatting sqref="C93:C94">
    <cfRule type="duplicateValues" dxfId="4286" priority="1627"/>
  </conditionalFormatting>
  <conditionalFormatting sqref="D93:D94">
    <cfRule type="duplicateValues" dxfId="4285" priority="1628"/>
  </conditionalFormatting>
  <conditionalFormatting sqref="D93:D94">
    <cfRule type="duplicateValues" dxfId="4284" priority="1629"/>
  </conditionalFormatting>
  <conditionalFormatting sqref="D93:D94">
    <cfRule type="duplicateValues" dxfId="4283" priority="1630"/>
  </conditionalFormatting>
  <conditionalFormatting sqref="D93:D94">
    <cfRule type="duplicateValues" dxfId="4282" priority="1631"/>
    <cfRule type="duplicateValues" dxfId="4281" priority="1632"/>
  </conditionalFormatting>
  <conditionalFormatting sqref="D93:D94">
    <cfRule type="duplicateValues" dxfId="4280" priority="1633"/>
  </conditionalFormatting>
  <conditionalFormatting sqref="D93:D94">
    <cfRule type="duplicateValues" dxfId="4279" priority="1634"/>
  </conditionalFormatting>
  <conditionalFormatting sqref="D93:D94">
    <cfRule type="duplicateValues" dxfId="4278" priority="1626"/>
  </conditionalFormatting>
  <conditionalFormatting sqref="D93:D94">
    <cfRule type="duplicateValues" dxfId="4277" priority="1625"/>
  </conditionalFormatting>
  <conditionalFormatting sqref="D20:D21 D14 D33:D34">
    <cfRule type="duplicateValues" dxfId="4276" priority="1776"/>
  </conditionalFormatting>
  <conditionalFormatting sqref="D83">
    <cfRule type="duplicateValues" dxfId="4275" priority="1608"/>
  </conditionalFormatting>
  <conditionalFormatting sqref="C83">
    <cfRule type="duplicateValues" dxfId="4274" priority="1607"/>
  </conditionalFormatting>
  <conditionalFormatting sqref="D83">
    <cfRule type="duplicateValues" dxfId="4273" priority="1609"/>
  </conditionalFormatting>
  <conditionalFormatting sqref="D83">
    <cfRule type="duplicateValues" dxfId="4272" priority="1610"/>
  </conditionalFormatting>
  <conditionalFormatting sqref="D83">
    <cfRule type="duplicateValues" dxfId="4271" priority="1611"/>
    <cfRule type="duplicateValues" dxfId="4270" priority="1612"/>
  </conditionalFormatting>
  <conditionalFormatting sqref="D83">
    <cfRule type="duplicateValues" dxfId="4269" priority="1613"/>
  </conditionalFormatting>
  <conditionalFormatting sqref="D83">
    <cfRule type="duplicateValues" dxfId="4268" priority="1614"/>
  </conditionalFormatting>
  <conditionalFormatting sqref="D83">
    <cfRule type="duplicateValues" dxfId="4267" priority="1606"/>
  </conditionalFormatting>
  <conditionalFormatting sqref="D83">
    <cfRule type="duplicateValues" dxfId="4266" priority="1605"/>
  </conditionalFormatting>
  <conditionalFormatting sqref="C82">
    <cfRule type="duplicateValues" dxfId="4265" priority="1597"/>
  </conditionalFormatting>
  <conditionalFormatting sqref="D82">
    <cfRule type="duplicateValues" dxfId="4264" priority="1598"/>
  </conditionalFormatting>
  <conditionalFormatting sqref="D82">
    <cfRule type="duplicateValues" dxfId="4263" priority="1599"/>
  </conditionalFormatting>
  <conditionalFormatting sqref="D82">
    <cfRule type="duplicateValues" dxfId="4262" priority="1600"/>
    <cfRule type="duplicateValues" dxfId="4261" priority="1601"/>
  </conditionalFormatting>
  <conditionalFormatting sqref="D82">
    <cfRule type="duplicateValues" dxfId="4260" priority="1602"/>
  </conditionalFormatting>
  <conditionalFormatting sqref="D82">
    <cfRule type="duplicateValues" dxfId="4259" priority="1603"/>
  </conditionalFormatting>
  <conditionalFormatting sqref="D82">
    <cfRule type="duplicateValues" dxfId="4258" priority="1596"/>
  </conditionalFormatting>
  <conditionalFormatting sqref="D82">
    <cfRule type="duplicateValues" dxfId="4257" priority="1595"/>
  </conditionalFormatting>
  <conditionalFormatting sqref="D82">
    <cfRule type="duplicateValues" dxfId="4256" priority="1604"/>
  </conditionalFormatting>
  <conditionalFormatting sqref="D74 D67:D68">
    <cfRule type="duplicateValues" dxfId="4255" priority="1780"/>
  </conditionalFormatting>
  <conditionalFormatting sqref="D88">
    <cfRule type="duplicateValues" dxfId="4254" priority="1588"/>
  </conditionalFormatting>
  <conditionalFormatting sqref="C88">
    <cfRule type="duplicateValues" dxfId="4253" priority="1587"/>
  </conditionalFormatting>
  <conditionalFormatting sqref="D88">
    <cfRule type="duplicateValues" dxfId="4252" priority="1589"/>
  </conditionalFormatting>
  <conditionalFormatting sqref="D88">
    <cfRule type="duplicateValues" dxfId="4251" priority="1590"/>
  </conditionalFormatting>
  <conditionalFormatting sqref="D88">
    <cfRule type="duplicateValues" dxfId="4250" priority="1591"/>
    <cfRule type="duplicateValues" dxfId="4249" priority="1592"/>
  </conditionalFormatting>
  <conditionalFormatting sqref="D88">
    <cfRule type="duplicateValues" dxfId="4248" priority="1593"/>
  </conditionalFormatting>
  <conditionalFormatting sqref="D88">
    <cfRule type="duplicateValues" dxfId="4247" priority="1594"/>
  </conditionalFormatting>
  <conditionalFormatting sqref="D88">
    <cfRule type="duplicateValues" dxfId="4246" priority="1586"/>
  </conditionalFormatting>
  <conditionalFormatting sqref="D88">
    <cfRule type="duplicateValues" dxfId="4245" priority="1585"/>
  </conditionalFormatting>
  <conditionalFormatting sqref="C89">
    <cfRule type="duplicateValues" dxfId="4244" priority="1577"/>
  </conditionalFormatting>
  <conditionalFormatting sqref="D89">
    <cfRule type="duplicateValues" dxfId="4243" priority="1578"/>
  </conditionalFormatting>
  <conditionalFormatting sqref="D89">
    <cfRule type="duplicateValues" dxfId="4242" priority="1579"/>
  </conditionalFormatting>
  <conditionalFormatting sqref="D89">
    <cfRule type="duplicateValues" dxfId="4241" priority="1580"/>
  </conditionalFormatting>
  <conditionalFormatting sqref="D89">
    <cfRule type="duplicateValues" dxfId="4240" priority="1581"/>
    <cfRule type="duplicateValues" dxfId="4239" priority="1582"/>
  </conditionalFormatting>
  <conditionalFormatting sqref="D89">
    <cfRule type="duplicateValues" dxfId="4238" priority="1583"/>
  </conditionalFormatting>
  <conditionalFormatting sqref="D89">
    <cfRule type="duplicateValues" dxfId="4237" priority="1584"/>
  </conditionalFormatting>
  <conditionalFormatting sqref="D89">
    <cfRule type="duplicateValues" dxfId="4236" priority="1576"/>
  </conditionalFormatting>
  <conditionalFormatting sqref="D89">
    <cfRule type="duplicateValues" dxfId="4235" priority="1575"/>
  </conditionalFormatting>
  <conditionalFormatting sqref="D90">
    <cfRule type="duplicateValues" dxfId="4234" priority="1568"/>
  </conditionalFormatting>
  <conditionalFormatting sqref="C90">
    <cfRule type="duplicateValues" dxfId="4233" priority="1567"/>
  </conditionalFormatting>
  <conditionalFormatting sqref="D90">
    <cfRule type="duplicateValues" dxfId="4232" priority="1569"/>
  </conditionalFormatting>
  <conditionalFormatting sqref="D90">
    <cfRule type="duplicateValues" dxfId="4231" priority="1570"/>
  </conditionalFormatting>
  <conditionalFormatting sqref="D90">
    <cfRule type="duplicateValues" dxfId="4230" priority="1571"/>
    <cfRule type="duplicateValues" dxfId="4229" priority="1572"/>
  </conditionalFormatting>
  <conditionalFormatting sqref="D90">
    <cfRule type="duplicateValues" dxfId="4228" priority="1573"/>
  </conditionalFormatting>
  <conditionalFormatting sqref="D90">
    <cfRule type="duplicateValues" dxfId="4227" priority="1574"/>
  </conditionalFormatting>
  <conditionalFormatting sqref="D90">
    <cfRule type="duplicateValues" dxfId="4226" priority="1566"/>
  </conditionalFormatting>
  <conditionalFormatting sqref="D90">
    <cfRule type="duplicateValues" dxfId="4225" priority="1565"/>
  </conditionalFormatting>
  <conditionalFormatting sqref="C92">
    <cfRule type="duplicateValues" dxfId="4224" priority="1557"/>
  </conditionalFormatting>
  <conditionalFormatting sqref="D92">
    <cfRule type="duplicateValues" dxfId="4223" priority="1558"/>
  </conditionalFormatting>
  <conditionalFormatting sqref="D92">
    <cfRule type="duplicateValues" dxfId="4222" priority="1559"/>
  </conditionalFormatting>
  <conditionalFormatting sqref="D92">
    <cfRule type="duplicateValues" dxfId="4221" priority="1560"/>
  </conditionalFormatting>
  <conditionalFormatting sqref="D92">
    <cfRule type="duplicateValues" dxfId="4220" priority="1561"/>
    <cfRule type="duplicateValues" dxfId="4219" priority="1562"/>
  </conditionalFormatting>
  <conditionalFormatting sqref="D92">
    <cfRule type="duplicateValues" dxfId="4218" priority="1563"/>
  </conditionalFormatting>
  <conditionalFormatting sqref="D92">
    <cfRule type="duplicateValues" dxfId="4217" priority="1564"/>
  </conditionalFormatting>
  <conditionalFormatting sqref="D92">
    <cfRule type="duplicateValues" dxfId="4216" priority="1556"/>
  </conditionalFormatting>
  <conditionalFormatting sqref="D92">
    <cfRule type="duplicateValues" dxfId="4215" priority="1555"/>
  </conditionalFormatting>
  <conditionalFormatting sqref="D91">
    <cfRule type="duplicateValues" dxfId="4214" priority="1549"/>
  </conditionalFormatting>
  <conditionalFormatting sqref="D91">
    <cfRule type="duplicateValues" dxfId="4213" priority="1548"/>
  </conditionalFormatting>
  <conditionalFormatting sqref="D91">
    <cfRule type="duplicateValues" dxfId="4212" priority="1550"/>
    <cfRule type="duplicateValues" dxfId="4211" priority="1551"/>
  </conditionalFormatting>
  <conditionalFormatting sqref="D91">
    <cfRule type="duplicateValues" dxfId="4210" priority="1552"/>
  </conditionalFormatting>
  <conditionalFormatting sqref="C91">
    <cfRule type="duplicateValues" dxfId="4209" priority="1547"/>
  </conditionalFormatting>
  <conditionalFormatting sqref="D91">
    <cfRule type="duplicateValues" dxfId="4208" priority="1553"/>
  </conditionalFormatting>
  <conditionalFormatting sqref="D91">
    <cfRule type="duplicateValues" dxfId="4207" priority="1554"/>
  </conditionalFormatting>
  <conditionalFormatting sqref="D91">
    <cfRule type="duplicateValues" dxfId="4206" priority="1546"/>
  </conditionalFormatting>
  <conditionalFormatting sqref="D91">
    <cfRule type="duplicateValues" dxfId="4205" priority="1545"/>
  </conditionalFormatting>
  <conditionalFormatting sqref="D69:D72">
    <cfRule type="duplicateValues" dxfId="4204" priority="1781"/>
  </conditionalFormatting>
  <conditionalFormatting sqref="D69:D72">
    <cfRule type="duplicateValues" dxfId="4203" priority="1782"/>
    <cfRule type="duplicateValues" dxfId="4202" priority="1783"/>
  </conditionalFormatting>
  <conditionalFormatting sqref="C38:C39 C9:C35 C45:C61">
    <cfRule type="duplicateValues" dxfId="4201" priority="1784"/>
  </conditionalFormatting>
  <conditionalFormatting sqref="D38:D39 D9:D35 D45:D61">
    <cfRule type="duplicateValues" dxfId="4200" priority="1785"/>
  </conditionalFormatting>
  <conditionalFormatting sqref="D15:D19">
    <cfRule type="duplicateValues" dxfId="4199" priority="1786"/>
  </conditionalFormatting>
  <conditionalFormatting sqref="D15:D19">
    <cfRule type="duplicateValues" dxfId="4198" priority="1787"/>
    <cfRule type="duplicateValues" dxfId="4197" priority="1788"/>
  </conditionalFormatting>
  <conditionalFormatting sqref="D4:D7">
    <cfRule type="duplicateValues" dxfId="4196" priority="1789"/>
  </conditionalFormatting>
  <conditionalFormatting sqref="D4:D8">
    <cfRule type="duplicateValues" dxfId="4195" priority="1790"/>
  </conditionalFormatting>
  <conditionalFormatting sqref="D4:D8">
    <cfRule type="duplicateValues" dxfId="4194" priority="1791"/>
    <cfRule type="duplicateValues" dxfId="4193" priority="1792"/>
  </conditionalFormatting>
  <conditionalFormatting sqref="C97">
    <cfRule type="duplicateValues" dxfId="4192" priority="1539"/>
  </conditionalFormatting>
  <conditionalFormatting sqref="D97">
    <cfRule type="duplicateValues" dxfId="4191" priority="1540"/>
  </conditionalFormatting>
  <conditionalFormatting sqref="D97">
    <cfRule type="duplicateValues" dxfId="4190" priority="1541"/>
  </conditionalFormatting>
  <conditionalFormatting sqref="D97">
    <cfRule type="duplicateValues" dxfId="4189" priority="1538"/>
  </conditionalFormatting>
  <conditionalFormatting sqref="D97">
    <cfRule type="duplicateValues" dxfId="4188" priority="1537"/>
  </conditionalFormatting>
  <conditionalFormatting sqref="C96">
    <cfRule type="duplicateValues" dxfId="4187" priority="1529"/>
  </conditionalFormatting>
  <conditionalFormatting sqref="D96">
    <cfRule type="duplicateValues" dxfId="4186" priority="1530"/>
  </conditionalFormatting>
  <conditionalFormatting sqref="D96">
    <cfRule type="duplicateValues" dxfId="4185" priority="1531"/>
  </conditionalFormatting>
  <conditionalFormatting sqref="D96">
    <cfRule type="duplicateValues" dxfId="4184" priority="1532"/>
  </conditionalFormatting>
  <conditionalFormatting sqref="D96">
    <cfRule type="duplicateValues" dxfId="4183" priority="1533"/>
    <cfRule type="duplicateValues" dxfId="4182" priority="1534"/>
  </conditionalFormatting>
  <conditionalFormatting sqref="D96">
    <cfRule type="duplicateValues" dxfId="4181" priority="1535"/>
  </conditionalFormatting>
  <conditionalFormatting sqref="D96">
    <cfRule type="duplicateValues" dxfId="4180" priority="1536"/>
  </conditionalFormatting>
  <conditionalFormatting sqref="D96">
    <cfRule type="duplicateValues" dxfId="4179" priority="1528"/>
  </conditionalFormatting>
  <conditionalFormatting sqref="D96">
    <cfRule type="duplicateValues" dxfId="4178" priority="1527"/>
  </conditionalFormatting>
  <conditionalFormatting sqref="D97">
    <cfRule type="duplicateValues" dxfId="4177" priority="1542"/>
  </conditionalFormatting>
  <conditionalFormatting sqref="D97">
    <cfRule type="duplicateValues" dxfId="4176" priority="1543"/>
    <cfRule type="duplicateValues" dxfId="4175" priority="1544"/>
  </conditionalFormatting>
  <conditionalFormatting sqref="C98:C99">
    <cfRule type="duplicateValues" dxfId="4174" priority="1520"/>
  </conditionalFormatting>
  <conditionalFormatting sqref="D98:D99">
    <cfRule type="duplicateValues" dxfId="4173" priority="1521"/>
  </conditionalFormatting>
  <conditionalFormatting sqref="D98:D99">
    <cfRule type="duplicateValues" dxfId="4172" priority="1522"/>
  </conditionalFormatting>
  <conditionalFormatting sqref="D98:D99">
    <cfRule type="duplicateValues" dxfId="4171" priority="1523"/>
  </conditionalFormatting>
  <conditionalFormatting sqref="D98:D99">
    <cfRule type="duplicateValues" dxfId="4170" priority="1524"/>
    <cfRule type="duplicateValues" dxfId="4169" priority="1525"/>
  </conditionalFormatting>
  <conditionalFormatting sqref="D98:D99">
    <cfRule type="duplicateValues" dxfId="4168" priority="1526"/>
  </conditionalFormatting>
  <conditionalFormatting sqref="D98:D99">
    <cfRule type="duplicateValues" dxfId="4167" priority="1519"/>
  </conditionalFormatting>
  <conditionalFormatting sqref="D98:D99">
    <cfRule type="duplicateValues" dxfId="4166" priority="1518"/>
  </conditionalFormatting>
  <conditionalFormatting sqref="D185:D186">
    <cfRule type="duplicateValues" dxfId="4165" priority="1504"/>
    <cfRule type="duplicateValues" dxfId="4164" priority="1505"/>
  </conditionalFormatting>
  <conditionalFormatting sqref="D185:D186">
    <cfRule type="duplicateValues" dxfId="4163" priority="1506"/>
  </conditionalFormatting>
  <conditionalFormatting sqref="D185:D186">
    <cfRule type="duplicateValues" dxfId="4162" priority="1507"/>
  </conditionalFormatting>
  <conditionalFormatting sqref="D188">
    <cfRule type="duplicateValues" dxfId="4161" priority="1502"/>
  </conditionalFormatting>
  <conditionalFormatting sqref="D188">
    <cfRule type="duplicateValues" dxfId="4160" priority="1500"/>
    <cfRule type="duplicateValues" dxfId="4159" priority="1501"/>
  </conditionalFormatting>
  <conditionalFormatting sqref="D188">
    <cfRule type="duplicateValues" dxfId="4158" priority="1503"/>
  </conditionalFormatting>
  <conditionalFormatting sqref="D187">
    <cfRule type="duplicateValues" dxfId="4157" priority="1508"/>
  </conditionalFormatting>
  <conditionalFormatting sqref="D187">
    <cfRule type="duplicateValues" dxfId="4156" priority="1509"/>
    <cfRule type="duplicateValues" dxfId="4155" priority="1510"/>
  </conditionalFormatting>
  <conditionalFormatting sqref="C185:C200">
    <cfRule type="duplicateValues" dxfId="4154" priority="1499"/>
  </conditionalFormatting>
  <conditionalFormatting sqref="D185:D200">
    <cfRule type="duplicateValues" dxfId="4153" priority="1511"/>
  </conditionalFormatting>
  <conditionalFormatting sqref="D185:D200">
    <cfRule type="duplicateValues" dxfId="4152" priority="1512"/>
  </conditionalFormatting>
  <conditionalFormatting sqref="D189:D200">
    <cfRule type="duplicateValues" dxfId="4151" priority="1513"/>
    <cfRule type="duplicateValues" dxfId="4150" priority="1514"/>
  </conditionalFormatting>
  <conditionalFormatting sqref="D189:D200">
    <cfRule type="duplicateValues" dxfId="4149" priority="1515"/>
  </conditionalFormatting>
  <conditionalFormatting sqref="D185:D200">
    <cfRule type="duplicateValues" dxfId="4148" priority="1516"/>
  </conditionalFormatting>
  <conditionalFormatting sqref="D185:D200">
    <cfRule type="duplicateValues" dxfId="4147" priority="1498"/>
  </conditionalFormatting>
  <conditionalFormatting sqref="D185:D200">
    <cfRule type="duplicateValues" dxfId="4146" priority="1497"/>
  </conditionalFormatting>
  <conditionalFormatting sqref="D189:D200">
    <cfRule type="duplicateValues" dxfId="4145" priority="1517"/>
  </conditionalFormatting>
  <conditionalFormatting sqref="D369">
    <cfRule type="duplicateValues" dxfId="4144" priority="954"/>
  </conditionalFormatting>
  <conditionalFormatting sqref="D369">
    <cfRule type="duplicateValues" dxfId="4143" priority="950"/>
  </conditionalFormatting>
  <conditionalFormatting sqref="D371">
    <cfRule type="duplicateValues" dxfId="4142" priority="1157"/>
  </conditionalFormatting>
  <conditionalFormatting sqref="D370">
    <cfRule type="duplicateValues" dxfId="4141" priority="1158"/>
  </conditionalFormatting>
  <conditionalFormatting sqref="D348">
    <cfRule type="duplicateValues" dxfId="4140" priority="1155"/>
  </conditionalFormatting>
  <conditionalFormatting sqref="D346">
    <cfRule type="duplicateValues" dxfId="4139" priority="1156"/>
  </conditionalFormatting>
  <conditionalFormatting sqref="D347">
    <cfRule type="duplicateValues" dxfId="4138" priority="1154"/>
  </conditionalFormatting>
  <conditionalFormatting sqref="D292">
    <cfRule type="duplicateValues" dxfId="4137" priority="1151"/>
  </conditionalFormatting>
  <conditionalFormatting sqref="D292">
    <cfRule type="duplicateValues" dxfId="4136" priority="1152"/>
    <cfRule type="duplicateValues" dxfId="4135" priority="1153"/>
  </conditionalFormatting>
  <conditionalFormatting sqref="D310:D313">
    <cfRule type="duplicateValues" dxfId="4134" priority="1150"/>
  </conditionalFormatting>
  <conditionalFormatting sqref="D317">
    <cfRule type="duplicateValues" dxfId="4133" priority="1148"/>
  </conditionalFormatting>
  <conditionalFormatting sqref="D317">
    <cfRule type="duplicateValues" dxfId="4132" priority="1146"/>
    <cfRule type="duplicateValues" dxfId="4131" priority="1147"/>
  </conditionalFormatting>
  <conditionalFormatting sqref="D317">
    <cfRule type="duplicateValues" dxfId="4130" priority="1149"/>
  </conditionalFormatting>
  <conditionalFormatting sqref="D317">
    <cfRule type="duplicateValues" dxfId="4129" priority="1145"/>
  </conditionalFormatting>
  <conditionalFormatting sqref="D341 D323:D325 D338">
    <cfRule type="duplicateValues" dxfId="4128" priority="1140"/>
  </conditionalFormatting>
  <conditionalFormatting sqref="D338 D323:D325">
    <cfRule type="duplicateValues" dxfId="4127" priority="1141"/>
  </conditionalFormatting>
  <conditionalFormatting sqref="D341 D323:D325 D338">
    <cfRule type="duplicateValues" dxfId="4126" priority="1142"/>
    <cfRule type="duplicateValues" dxfId="4125" priority="1143"/>
  </conditionalFormatting>
  <conditionalFormatting sqref="D323:D325">
    <cfRule type="duplicateValues" dxfId="4124" priority="1144"/>
  </conditionalFormatting>
  <conditionalFormatting sqref="D342">
    <cfRule type="duplicateValues" dxfId="4123" priority="1138"/>
  </conditionalFormatting>
  <conditionalFormatting sqref="D342">
    <cfRule type="duplicateValues" dxfId="4122" priority="1136"/>
    <cfRule type="duplicateValues" dxfId="4121" priority="1137"/>
  </conditionalFormatting>
  <conditionalFormatting sqref="D342">
    <cfRule type="duplicateValues" dxfId="4120" priority="1139"/>
  </conditionalFormatting>
  <conditionalFormatting sqref="D342">
    <cfRule type="duplicateValues" dxfId="4119" priority="1135"/>
  </conditionalFormatting>
  <conditionalFormatting sqref="D356:D360">
    <cfRule type="duplicateValues" dxfId="4118" priority="1159"/>
  </conditionalFormatting>
  <conditionalFormatting sqref="D318:D320">
    <cfRule type="duplicateValues" dxfId="4117" priority="1130"/>
  </conditionalFormatting>
  <conditionalFormatting sqref="D318:D320">
    <cfRule type="duplicateValues" dxfId="4116" priority="1131"/>
  </conditionalFormatting>
  <conditionalFormatting sqref="D318:D320">
    <cfRule type="duplicateValues" dxfId="4115" priority="1132"/>
    <cfRule type="duplicateValues" dxfId="4114" priority="1133"/>
  </conditionalFormatting>
  <conditionalFormatting sqref="D318:D320">
    <cfRule type="duplicateValues" dxfId="4113" priority="1134"/>
  </conditionalFormatting>
  <conditionalFormatting sqref="D310:D316">
    <cfRule type="duplicateValues" dxfId="4112" priority="1160"/>
  </conditionalFormatting>
  <conditionalFormatting sqref="D314:D316">
    <cfRule type="duplicateValues" dxfId="4111" priority="1161"/>
  </conditionalFormatting>
  <conditionalFormatting sqref="D310:D316">
    <cfRule type="duplicateValues" dxfId="4110" priority="1162"/>
    <cfRule type="duplicateValues" dxfId="4109" priority="1163"/>
  </conditionalFormatting>
  <conditionalFormatting sqref="D343">
    <cfRule type="duplicateValues" dxfId="4108" priority="1125"/>
  </conditionalFormatting>
  <conditionalFormatting sqref="D343">
    <cfRule type="duplicateValues" dxfId="4107" priority="1126"/>
  </conditionalFormatting>
  <conditionalFormatting sqref="D343">
    <cfRule type="duplicateValues" dxfId="4106" priority="1127"/>
    <cfRule type="duplicateValues" dxfId="4105" priority="1128"/>
  </conditionalFormatting>
  <conditionalFormatting sqref="D343">
    <cfRule type="duplicateValues" dxfId="4104" priority="1129"/>
  </conditionalFormatting>
  <conditionalFormatting sqref="C291:C294 C305:C325 C341:C343 C338 C346:C360 C365:C368 C273:C275 C370:C376">
    <cfRule type="duplicateValues" dxfId="4103" priority="1124"/>
  </conditionalFormatting>
  <conditionalFormatting sqref="D291:D294 D305:D325 D341:D343 D338 D346:D360 D365:D368 D273:D275 D370:D376">
    <cfRule type="duplicateValues" dxfId="4102" priority="1164"/>
  </conditionalFormatting>
  <conditionalFormatting sqref="D293:D294 D367 D321:D322 D273:D275 D346:D360 D291 D305:D309 D365 D370:D376">
    <cfRule type="duplicateValues" dxfId="4101" priority="1165"/>
  </conditionalFormatting>
  <conditionalFormatting sqref="D365 D273:D275 D293:D294 D367 D291 D305:D309 D374:D376">
    <cfRule type="duplicateValues" dxfId="4100" priority="1166"/>
  </conditionalFormatting>
  <conditionalFormatting sqref="D293:D294 D367 D321:D322 D273:D275 D346:D360 D291 D305:D309 D365 D370:D376">
    <cfRule type="duplicateValues" dxfId="4099" priority="1167"/>
    <cfRule type="duplicateValues" dxfId="4098" priority="1168"/>
  </conditionalFormatting>
  <conditionalFormatting sqref="D293:D294">
    <cfRule type="duplicateValues" dxfId="4097" priority="1169"/>
  </conditionalFormatting>
  <conditionalFormatting sqref="D366">
    <cfRule type="duplicateValues" dxfId="4096" priority="1170"/>
  </conditionalFormatting>
  <conditionalFormatting sqref="D366">
    <cfRule type="duplicateValues" dxfId="4095" priority="1171"/>
    <cfRule type="duplicateValues" dxfId="4094" priority="1172"/>
  </conditionalFormatting>
  <conditionalFormatting sqref="D321:D322">
    <cfRule type="duplicateValues" dxfId="4093" priority="1173"/>
  </conditionalFormatting>
  <conditionalFormatting sqref="D284 D276">
    <cfRule type="duplicateValues" dxfId="4092" priority="1120"/>
  </conditionalFormatting>
  <conditionalFormatting sqref="D284 D276">
    <cfRule type="duplicateValues" dxfId="4091" priority="1121"/>
    <cfRule type="duplicateValues" dxfId="4090" priority="1122"/>
  </conditionalFormatting>
  <conditionalFormatting sqref="D288">
    <cfRule type="duplicateValues" dxfId="4089" priority="1123"/>
  </conditionalFormatting>
  <conditionalFormatting sqref="D289">
    <cfRule type="duplicateValues" dxfId="4088" priority="1113"/>
  </conditionalFormatting>
  <conditionalFormatting sqref="D289">
    <cfRule type="duplicateValues" dxfId="4087" priority="1114"/>
    <cfRule type="duplicateValues" dxfId="4086" priority="1115"/>
  </conditionalFormatting>
  <conditionalFormatting sqref="D289">
    <cfRule type="duplicateValues" dxfId="4085" priority="1116"/>
  </conditionalFormatting>
  <conditionalFormatting sqref="D289">
    <cfRule type="duplicateValues" dxfId="4084" priority="1117"/>
  </conditionalFormatting>
  <conditionalFormatting sqref="C289">
    <cfRule type="duplicateValues" dxfId="4083" priority="1118"/>
  </conditionalFormatting>
  <conditionalFormatting sqref="D289">
    <cfRule type="duplicateValues" dxfId="4082" priority="1119"/>
  </conditionalFormatting>
  <conditionalFormatting sqref="D279:D280">
    <cfRule type="duplicateValues" dxfId="4081" priority="1109"/>
  </conditionalFormatting>
  <conditionalFormatting sqref="D279:D280">
    <cfRule type="duplicateValues" dxfId="4080" priority="1108"/>
  </conditionalFormatting>
  <conditionalFormatting sqref="D279:D280">
    <cfRule type="duplicateValues" dxfId="4079" priority="1110"/>
    <cfRule type="duplicateValues" dxfId="4078" priority="1111"/>
  </conditionalFormatting>
  <conditionalFormatting sqref="D279:D280">
    <cfRule type="duplicateValues" dxfId="4077" priority="1112"/>
  </conditionalFormatting>
  <conditionalFormatting sqref="C304">
    <cfRule type="duplicateValues" dxfId="4076" priority="1104"/>
  </conditionalFormatting>
  <conditionalFormatting sqref="D304">
    <cfRule type="duplicateValues" dxfId="4075" priority="1105"/>
  </conditionalFormatting>
  <conditionalFormatting sqref="D304">
    <cfRule type="duplicateValues" dxfId="4074" priority="1106"/>
    <cfRule type="duplicateValues" dxfId="4073" priority="1107"/>
  </conditionalFormatting>
  <conditionalFormatting sqref="C302:C303">
    <cfRule type="duplicateValues" dxfId="4072" priority="1097"/>
  </conditionalFormatting>
  <conditionalFormatting sqref="D302:D303">
    <cfRule type="duplicateValues" dxfId="4071" priority="1098"/>
  </conditionalFormatting>
  <conditionalFormatting sqref="D302:D303">
    <cfRule type="duplicateValues" dxfId="4070" priority="1099"/>
  </conditionalFormatting>
  <conditionalFormatting sqref="D302:D303">
    <cfRule type="duplicateValues" dxfId="4069" priority="1100"/>
  </conditionalFormatting>
  <conditionalFormatting sqref="D302:D303">
    <cfRule type="duplicateValues" dxfId="4068" priority="1101"/>
    <cfRule type="duplicateValues" dxfId="4067" priority="1102"/>
  </conditionalFormatting>
  <conditionalFormatting sqref="D302:D303">
    <cfRule type="duplicateValues" dxfId="4066" priority="1103"/>
  </conditionalFormatting>
  <conditionalFormatting sqref="D339">
    <cfRule type="duplicateValues" dxfId="4065" priority="1092"/>
  </conditionalFormatting>
  <conditionalFormatting sqref="D339">
    <cfRule type="duplicateValues" dxfId="4064" priority="1093"/>
  </conditionalFormatting>
  <conditionalFormatting sqref="D339">
    <cfRule type="duplicateValues" dxfId="4063" priority="1094"/>
    <cfRule type="duplicateValues" dxfId="4062" priority="1095"/>
  </conditionalFormatting>
  <conditionalFormatting sqref="D339">
    <cfRule type="duplicateValues" dxfId="4061" priority="1096"/>
  </conditionalFormatting>
  <conditionalFormatting sqref="D340">
    <cfRule type="duplicateValues" dxfId="4060" priority="1087"/>
  </conditionalFormatting>
  <conditionalFormatting sqref="D340">
    <cfRule type="duplicateValues" dxfId="4059" priority="1088"/>
  </conditionalFormatting>
  <conditionalFormatting sqref="D340">
    <cfRule type="duplicateValues" dxfId="4058" priority="1089"/>
    <cfRule type="duplicateValues" dxfId="4057" priority="1090"/>
  </conditionalFormatting>
  <conditionalFormatting sqref="D340">
    <cfRule type="duplicateValues" dxfId="4056" priority="1091"/>
  </conditionalFormatting>
  <conditionalFormatting sqref="D341">
    <cfRule type="duplicateValues" dxfId="4055" priority="1082"/>
  </conditionalFormatting>
  <conditionalFormatting sqref="D341">
    <cfRule type="duplicateValues" dxfId="4054" priority="1083"/>
  </conditionalFormatting>
  <conditionalFormatting sqref="D341">
    <cfRule type="duplicateValues" dxfId="4053" priority="1084"/>
    <cfRule type="duplicateValues" dxfId="4052" priority="1085"/>
  </conditionalFormatting>
  <conditionalFormatting sqref="D341">
    <cfRule type="duplicateValues" dxfId="4051" priority="1086"/>
  </conditionalFormatting>
  <conditionalFormatting sqref="D363 D361">
    <cfRule type="duplicateValues" dxfId="4050" priority="1074"/>
  </conditionalFormatting>
  <conditionalFormatting sqref="D361 D363">
    <cfRule type="duplicateValues" dxfId="4049" priority="1075"/>
  </conditionalFormatting>
  <conditionalFormatting sqref="D363 D361">
    <cfRule type="duplicateValues" dxfId="4048" priority="1076"/>
    <cfRule type="duplicateValues" dxfId="4047" priority="1077"/>
  </conditionalFormatting>
  <conditionalFormatting sqref="D363">
    <cfRule type="duplicateValues" dxfId="4046" priority="1078"/>
  </conditionalFormatting>
  <conditionalFormatting sqref="D362">
    <cfRule type="duplicateValues" dxfId="4045" priority="1079"/>
  </conditionalFormatting>
  <conditionalFormatting sqref="D362">
    <cfRule type="duplicateValues" dxfId="4044" priority="1080"/>
    <cfRule type="duplicateValues" dxfId="4043" priority="1081"/>
  </conditionalFormatting>
  <conditionalFormatting sqref="D368">
    <cfRule type="duplicateValues" dxfId="4042" priority="1174"/>
  </conditionalFormatting>
  <conditionalFormatting sqref="D368">
    <cfRule type="duplicateValues" dxfId="4041" priority="1175"/>
    <cfRule type="duplicateValues" dxfId="4040" priority="1176"/>
  </conditionalFormatting>
  <conditionalFormatting sqref="D326">
    <cfRule type="duplicateValues" dxfId="4039" priority="1072"/>
  </conditionalFormatting>
  <conditionalFormatting sqref="D326">
    <cfRule type="duplicateValues" dxfId="4038" priority="1073"/>
  </conditionalFormatting>
  <conditionalFormatting sqref="D330">
    <cfRule type="duplicateValues" dxfId="4037" priority="1070"/>
  </conditionalFormatting>
  <conditionalFormatting sqref="D330">
    <cfRule type="duplicateValues" dxfId="4036" priority="1068"/>
    <cfRule type="duplicateValues" dxfId="4035" priority="1069"/>
  </conditionalFormatting>
  <conditionalFormatting sqref="D330">
    <cfRule type="duplicateValues" dxfId="4034" priority="1071"/>
  </conditionalFormatting>
  <conditionalFormatting sqref="D330">
    <cfRule type="duplicateValues" dxfId="4033" priority="1067"/>
  </conditionalFormatting>
  <conditionalFormatting sqref="D330">
    <cfRule type="duplicateValues" dxfId="4032" priority="1062"/>
  </conditionalFormatting>
  <conditionalFormatting sqref="D330">
    <cfRule type="duplicateValues" dxfId="4031" priority="1063"/>
  </conditionalFormatting>
  <conditionalFormatting sqref="D330">
    <cfRule type="duplicateValues" dxfId="4030" priority="1064"/>
    <cfRule type="duplicateValues" dxfId="4029" priority="1065"/>
  </conditionalFormatting>
  <conditionalFormatting sqref="D330">
    <cfRule type="duplicateValues" dxfId="4028" priority="1066"/>
  </conditionalFormatting>
  <conditionalFormatting sqref="D336">
    <cfRule type="duplicateValues" dxfId="4027" priority="1057"/>
  </conditionalFormatting>
  <conditionalFormatting sqref="D336">
    <cfRule type="duplicateValues" dxfId="4026" priority="1058"/>
  </conditionalFormatting>
  <conditionalFormatting sqref="D336">
    <cfRule type="duplicateValues" dxfId="4025" priority="1059"/>
    <cfRule type="duplicateValues" dxfId="4024" priority="1060"/>
  </conditionalFormatting>
  <conditionalFormatting sqref="D336">
    <cfRule type="duplicateValues" dxfId="4023" priority="1061"/>
  </conditionalFormatting>
  <conditionalFormatting sqref="D326">
    <cfRule type="duplicateValues" dxfId="4022" priority="1051"/>
  </conditionalFormatting>
  <conditionalFormatting sqref="D326">
    <cfRule type="duplicateValues" dxfId="4021" priority="1052"/>
  </conditionalFormatting>
  <conditionalFormatting sqref="D326">
    <cfRule type="duplicateValues" dxfId="4020" priority="1053"/>
    <cfRule type="duplicateValues" dxfId="4019" priority="1054"/>
  </conditionalFormatting>
  <conditionalFormatting sqref="D326">
    <cfRule type="duplicateValues" dxfId="4018" priority="1055"/>
  </conditionalFormatting>
  <conditionalFormatting sqref="D326">
    <cfRule type="duplicateValues" dxfId="4017" priority="1049"/>
  </conditionalFormatting>
  <conditionalFormatting sqref="D326">
    <cfRule type="duplicateValues" dxfId="4016" priority="1047"/>
    <cfRule type="duplicateValues" dxfId="4015" priority="1048"/>
  </conditionalFormatting>
  <conditionalFormatting sqref="D326">
    <cfRule type="duplicateValues" dxfId="4014" priority="1050"/>
  </conditionalFormatting>
  <conditionalFormatting sqref="D326">
    <cfRule type="duplicateValues" dxfId="4013" priority="1046"/>
  </conditionalFormatting>
  <conditionalFormatting sqref="D327">
    <cfRule type="duplicateValues" dxfId="4012" priority="1041"/>
  </conditionalFormatting>
  <conditionalFormatting sqref="D327">
    <cfRule type="duplicateValues" dxfId="4011" priority="1042"/>
  </conditionalFormatting>
  <conditionalFormatting sqref="D327">
    <cfRule type="duplicateValues" dxfId="4010" priority="1043"/>
    <cfRule type="duplicateValues" dxfId="4009" priority="1044"/>
  </conditionalFormatting>
  <conditionalFormatting sqref="D327">
    <cfRule type="duplicateValues" dxfId="4008" priority="1045"/>
  </conditionalFormatting>
  <conditionalFormatting sqref="D328">
    <cfRule type="duplicateValues" dxfId="4007" priority="1036"/>
  </conditionalFormatting>
  <conditionalFormatting sqref="D328">
    <cfRule type="duplicateValues" dxfId="4006" priority="1037"/>
  </conditionalFormatting>
  <conditionalFormatting sqref="D328">
    <cfRule type="duplicateValues" dxfId="4005" priority="1038"/>
    <cfRule type="duplicateValues" dxfId="4004" priority="1039"/>
  </conditionalFormatting>
  <conditionalFormatting sqref="D328">
    <cfRule type="duplicateValues" dxfId="4003" priority="1040"/>
  </conditionalFormatting>
  <conditionalFormatting sqref="C326:C328">
    <cfRule type="duplicateValues" dxfId="4002" priority="1035"/>
  </conditionalFormatting>
  <conditionalFormatting sqref="D326:D328">
    <cfRule type="duplicateValues" dxfId="4001" priority="1056"/>
  </conditionalFormatting>
  <conditionalFormatting sqref="D277">
    <cfRule type="duplicateValues" dxfId="4000" priority="1032"/>
  </conditionalFormatting>
  <conditionalFormatting sqref="D277">
    <cfRule type="duplicateValues" dxfId="3999" priority="1033"/>
    <cfRule type="duplicateValues" dxfId="3998" priority="1034"/>
  </conditionalFormatting>
  <conditionalFormatting sqref="C279:C280">
    <cfRule type="duplicateValues" dxfId="3997" priority="1177"/>
  </conditionalFormatting>
  <conditionalFormatting sqref="D279:D280">
    <cfRule type="duplicateValues" dxfId="3996" priority="1178"/>
  </conditionalFormatting>
  <conditionalFormatting sqref="D330 D302:D328 D338:D343 D346:D368 D273:D294 D370:D376 D336">
    <cfRule type="duplicateValues" dxfId="3995" priority="1179"/>
  </conditionalFormatting>
  <conditionalFormatting sqref="D276:D278 D281:D288">
    <cfRule type="duplicateValues" dxfId="3994" priority="1180"/>
  </conditionalFormatting>
  <conditionalFormatting sqref="D277:D278 D281:D288">
    <cfRule type="duplicateValues" dxfId="3993" priority="1181"/>
  </conditionalFormatting>
  <conditionalFormatting sqref="D276:D278 D281:D288">
    <cfRule type="duplicateValues" dxfId="3992" priority="1182"/>
    <cfRule type="duplicateValues" dxfId="3991" priority="1183"/>
  </conditionalFormatting>
  <conditionalFormatting sqref="C276:C278 C281:C288">
    <cfRule type="duplicateValues" dxfId="3990" priority="1184"/>
  </conditionalFormatting>
  <conditionalFormatting sqref="C339:C340">
    <cfRule type="duplicateValues" dxfId="3989" priority="1185"/>
  </conditionalFormatting>
  <conditionalFormatting sqref="D339:D340">
    <cfRule type="duplicateValues" dxfId="3988" priority="1186"/>
  </conditionalFormatting>
  <conditionalFormatting sqref="D329">
    <cfRule type="duplicateValues" dxfId="3987" priority="1028"/>
  </conditionalFormatting>
  <conditionalFormatting sqref="D329">
    <cfRule type="duplicateValues" dxfId="3986" priority="1026"/>
    <cfRule type="duplicateValues" dxfId="3985" priority="1027"/>
  </conditionalFormatting>
  <conditionalFormatting sqref="D329">
    <cfRule type="duplicateValues" dxfId="3984" priority="1029"/>
  </conditionalFormatting>
  <conditionalFormatting sqref="D329">
    <cfRule type="duplicateValues" dxfId="3983" priority="1025"/>
  </conditionalFormatting>
  <conditionalFormatting sqref="C329">
    <cfRule type="duplicateValues" dxfId="3982" priority="1024"/>
  </conditionalFormatting>
  <conditionalFormatting sqref="D329">
    <cfRule type="duplicateValues" dxfId="3981" priority="1030"/>
  </conditionalFormatting>
  <conditionalFormatting sqref="D329">
    <cfRule type="duplicateValues" dxfId="3980" priority="1031"/>
  </conditionalFormatting>
  <conditionalFormatting sqref="D344">
    <cfRule type="duplicateValues" dxfId="3979" priority="1020"/>
  </conditionalFormatting>
  <conditionalFormatting sqref="D344">
    <cfRule type="duplicateValues" dxfId="3978" priority="1018"/>
    <cfRule type="duplicateValues" dxfId="3977" priority="1019"/>
  </conditionalFormatting>
  <conditionalFormatting sqref="D344">
    <cfRule type="duplicateValues" dxfId="3976" priority="1021"/>
  </conditionalFormatting>
  <conditionalFormatting sqref="D344">
    <cfRule type="duplicateValues" dxfId="3975" priority="1017"/>
  </conditionalFormatting>
  <conditionalFormatting sqref="D345">
    <cfRule type="duplicateValues" dxfId="3974" priority="1012"/>
  </conditionalFormatting>
  <conditionalFormatting sqref="D345">
    <cfRule type="duplicateValues" dxfId="3973" priority="1013"/>
  </conditionalFormatting>
  <conditionalFormatting sqref="D345">
    <cfRule type="duplicateValues" dxfId="3972" priority="1014"/>
    <cfRule type="duplicateValues" dxfId="3971" priority="1015"/>
  </conditionalFormatting>
  <conditionalFormatting sqref="D345">
    <cfRule type="duplicateValues" dxfId="3970" priority="1016"/>
  </conditionalFormatting>
  <conditionalFormatting sqref="C344:C345">
    <cfRule type="duplicateValues" dxfId="3969" priority="1011"/>
  </conditionalFormatting>
  <conditionalFormatting sqref="D344:D345">
    <cfRule type="duplicateValues" dxfId="3968" priority="1022"/>
  </conditionalFormatting>
  <conditionalFormatting sqref="D344:D345">
    <cfRule type="duplicateValues" dxfId="3967" priority="1023"/>
  </conditionalFormatting>
  <conditionalFormatting sqref="D302:D330 D338:D368 D273:D294 D370:D376 D336">
    <cfRule type="duplicateValues" dxfId="3966" priority="1010"/>
  </conditionalFormatting>
  <conditionalFormatting sqref="D326">
    <cfRule type="duplicateValues" dxfId="3965" priority="1187"/>
  </conditionalFormatting>
  <conditionalFormatting sqref="D326">
    <cfRule type="duplicateValues" dxfId="3964" priority="1188"/>
    <cfRule type="duplicateValues" dxfId="3963" priority="1189"/>
  </conditionalFormatting>
  <conditionalFormatting sqref="C330 C326 C336">
    <cfRule type="duplicateValues" dxfId="3962" priority="1190"/>
  </conditionalFormatting>
  <conditionalFormatting sqref="D330 D326 D336">
    <cfRule type="duplicateValues" dxfId="3961" priority="1191"/>
  </conditionalFormatting>
  <conditionalFormatting sqref="D299">
    <cfRule type="duplicateValues" dxfId="3960" priority="1000"/>
  </conditionalFormatting>
  <conditionalFormatting sqref="D299">
    <cfRule type="duplicateValues" dxfId="3959" priority="1001"/>
    <cfRule type="duplicateValues" dxfId="3958" priority="1002"/>
  </conditionalFormatting>
  <conditionalFormatting sqref="C298:C299">
    <cfRule type="duplicateValues" dxfId="3957" priority="999"/>
  </conditionalFormatting>
  <conditionalFormatting sqref="D298:D299">
    <cfRule type="duplicateValues" dxfId="3956" priority="1003"/>
  </conditionalFormatting>
  <conditionalFormatting sqref="D298:D299">
    <cfRule type="duplicateValues" dxfId="3955" priority="1004"/>
  </conditionalFormatting>
  <conditionalFormatting sqref="D298:D299">
    <cfRule type="duplicateValues" dxfId="3954" priority="1005"/>
  </conditionalFormatting>
  <conditionalFormatting sqref="D298:D299">
    <cfRule type="duplicateValues" dxfId="3953" priority="1006"/>
    <cfRule type="duplicateValues" dxfId="3952" priority="1007"/>
  </conditionalFormatting>
  <conditionalFormatting sqref="D298:D299">
    <cfRule type="duplicateValues" dxfId="3951" priority="1008"/>
  </conditionalFormatting>
  <conditionalFormatting sqref="D300">
    <cfRule type="duplicateValues" dxfId="3950" priority="990"/>
  </conditionalFormatting>
  <conditionalFormatting sqref="D300">
    <cfRule type="duplicateValues" dxfId="3949" priority="991"/>
    <cfRule type="duplicateValues" dxfId="3948" priority="992"/>
  </conditionalFormatting>
  <conditionalFormatting sqref="C300">
    <cfRule type="duplicateValues" dxfId="3947" priority="989"/>
  </conditionalFormatting>
  <conditionalFormatting sqref="D300">
    <cfRule type="duplicateValues" dxfId="3946" priority="993"/>
  </conditionalFormatting>
  <conditionalFormatting sqref="D300">
    <cfRule type="duplicateValues" dxfId="3945" priority="994"/>
  </conditionalFormatting>
  <conditionalFormatting sqref="D300">
    <cfRule type="duplicateValues" dxfId="3944" priority="995"/>
  </conditionalFormatting>
  <conditionalFormatting sqref="D300">
    <cfRule type="duplicateValues" dxfId="3943" priority="996"/>
    <cfRule type="duplicateValues" dxfId="3942" priority="997"/>
  </conditionalFormatting>
  <conditionalFormatting sqref="D300">
    <cfRule type="duplicateValues" dxfId="3941" priority="998"/>
  </conditionalFormatting>
  <conditionalFormatting sqref="D298:D300">
    <cfRule type="duplicateValues" dxfId="3940" priority="1009"/>
  </conditionalFormatting>
  <conditionalFormatting sqref="D298:D300">
    <cfRule type="duplicateValues" dxfId="3939" priority="988"/>
  </conditionalFormatting>
  <conditionalFormatting sqref="D295">
    <cfRule type="duplicateValues" dxfId="3938" priority="987"/>
  </conditionalFormatting>
  <conditionalFormatting sqref="D295">
    <cfRule type="duplicateValues" dxfId="3937" priority="986"/>
  </conditionalFormatting>
  <conditionalFormatting sqref="D296">
    <cfRule type="duplicateValues" dxfId="3936" priority="985"/>
  </conditionalFormatting>
  <conditionalFormatting sqref="D296">
    <cfRule type="duplicateValues" dxfId="3935" priority="984"/>
  </conditionalFormatting>
  <conditionalFormatting sqref="D295:D296">
    <cfRule type="duplicateValues" dxfId="3934" priority="983"/>
  </conditionalFormatting>
  <conditionalFormatting sqref="D297">
    <cfRule type="duplicateValues" dxfId="3933" priority="982"/>
  </conditionalFormatting>
  <conditionalFormatting sqref="D297">
    <cfRule type="duplicateValues" dxfId="3932" priority="981"/>
  </conditionalFormatting>
  <conditionalFormatting sqref="D297">
    <cfRule type="duplicateValues" dxfId="3931" priority="980"/>
  </conditionalFormatting>
  <conditionalFormatting sqref="C301">
    <cfRule type="duplicateValues" dxfId="3930" priority="972"/>
  </conditionalFormatting>
  <conditionalFormatting sqref="D301">
    <cfRule type="duplicateValues" dxfId="3929" priority="973"/>
  </conditionalFormatting>
  <conditionalFormatting sqref="D301">
    <cfRule type="duplicateValues" dxfId="3928" priority="974"/>
  </conditionalFormatting>
  <conditionalFormatting sqref="D301">
    <cfRule type="duplicateValues" dxfId="3927" priority="975"/>
  </conditionalFormatting>
  <conditionalFormatting sqref="D301">
    <cfRule type="duplicateValues" dxfId="3926" priority="976"/>
    <cfRule type="duplicateValues" dxfId="3925" priority="977"/>
  </conditionalFormatting>
  <conditionalFormatting sqref="D301">
    <cfRule type="duplicateValues" dxfId="3924" priority="978"/>
  </conditionalFormatting>
  <conditionalFormatting sqref="D301">
    <cfRule type="duplicateValues" dxfId="3923" priority="979"/>
  </conditionalFormatting>
  <conditionalFormatting sqref="D301">
    <cfRule type="duplicateValues" dxfId="3922" priority="971"/>
  </conditionalFormatting>
  <conditionalFormatting sqref="D337">
    <cfRule type="duplicateValues" dxfId="3921" priority="965"/>
  </conditionalFormatting>
  <conditionalFormatting sqref="D337">
    <cfRule type="duplicateValues" dxfId="3920" priority="966"/>
  </conditionalFormatting>
  <conditionalFormatting sqref="D337">
    <cfRule type="duplicateValues" dxfId="3919" priority="967"/>
    <cfRule type="duplicateValues" dxfId="3918" priority="968"/>
  </conditionalFormatting>
  <conditionalFormatting sqref="C337">
    <cfRule type="duplicateValues" dxfId="3917" priority="964"/>
  </conditionalFormatting>
  <conditionalFormatting sqref="D337">
    <cfRule type="duplicateValues" dxfId="3916" priority="969"/>
  </conditionalFormatting>
  <conditionalFormatting sqref="D337">
    <cfRule type="duplicateValues" dxfId="3915" priority="970"/>
  </conditionalFormatting>
  <conditionalFormatting sqref="D337">
    <cfRule type="duplicateValues" dxfId="3914" priority="963"/>
  </conditionalFormatting>
  <conditionalFormatting sqref="D377">
    <cfRule type="duplicateValues" dxfId="3913" priority="961"/>
  </conditionalFormatting>
  <conditionalFormatting sqref="D377">
    <cfRule type="duplicateValues" dxfId="3912" priority="962"/>
  </conditionalFormatting>
  <conditionalFormatting sqref="D378">
    <cfRule type="duplicateValues" dxfId="3911" priority="959"/>
  </conditionalFormatting>
  <conditionalFormatting sqref="D378">
    <cfRule type="duplicateValues" dxfId="3910" priority="960"/>
  </conditionalFormatting>
  <conditionalFormatting sqref="D380 D377:D378">
    <cfRule type="duplicateValues" dxfId="3909" priority="958"/>
  </conditionalFormatting>
  <conditionalFormatting sqref="D370:D378 D336:D368 D380 D273:D330">
    <cfRule type="duplicateValues" dxfId="3908" priority="957"/>
  </conditionalFormatting>
  <conditionalFormatting sqref="D364">
    <cfRule type="duplicateValues" dxfId="3907" priority="1192"/>
  </conditionalFormatting>
  <conditionalFormatting sqref="D364">
    <cfRule type="duplicateValues" dxfId="3906" priority="1193"/>
    <cfRule type="duplicateValues" dxfId="3905" priority="1194"/>
  </conditionalFormatting>
  <conditionalFormatting sqref="C361:C364">
    <cfRule type="duplicateValues" dxfId="3904" priority="1195"/>
  </conditionalFormatting>
  <conditionalFormatting sqref="D361:D364">
    <cfRule type="duplicateValues" dxfId="3903" priority="1196"/>
  </conditionalFormatting>
  <conditionalFormatting sqref="D369">
    <cfRule type="duplicateValues" dxfId="3902" priority="951"/>
  </conditionalFormatting>
  <conditionalFormatting sqref="D369">
    <cfRule type="duplicateValues" dxfId="3901" priority="952"/>
    <cfRule type="duplicateValues" dxfId="3900" priority="953"/>
  </conditionalFormatting>
  <conditionalFormatting sqref="C369">
    <cfRule type="duplicateValues" dxfId="3899" priority="949"/>
  </conditionalFormatting>
  <conditionalFormatting sqref="D369">
    <cfRule type="duplicateValues" dxfId="3898" priority="955"/>
  </conditionalFormatting>
  <conditionalFormatting sqref="D369">
    <cfRule type="duplicateValues" dxfId="3897" priority="956"/>
  </conditionalFormatting>
  <conditionalFormatting sqref="D369">
    <cfRule type="duplicateValues" dxfId="3896" priority="948"/>
  </conditionalFormatting>
  <conditionalFormatting sqref="D369">
    <cfRule type="duplicateValues" dxfId="3895" priority="947"/>
  </conditionalFormatting>
  <conditionalFormatting sqref="C333:C334">
    <cfRule type="duplicateValues" dxfId="3894" priority="939"/>
  </conditionalFormatting>
  <conditionalFormatting sqref="D333:D334">
    <cfRule type="duplicateValues" dxfId="3893" priority="940"/>
  </conditionalFormatting>
  <conditionalFormatting sqref="D333:D334">
    <cfRule type="duplicateValues" dxfId="3892" priority="941"/>
  </conditionalFormatting>
  <conditionalFormatting sqref="D333:D334">
    <cfRule type="duplicateValues" dxfId="3891" priority="942"/>
  </conditionalFormatting>
  <conditionalFormatting sqref="D333:D334">
    <cfRule type="duplicateValues" dxfId="3890" priority="943"/>
    <cfRule type="duplicateValues" dxfId="3889" priority="944"/>
  </conditionalFormatting>
  <conditionalFormatting sqref="D333:D334">
    <cfRule type="duplicateValues" dxfId="3888" priority="945"/>
  </conditionalFormatting>
  <conditionalFormatting sqref="D333:D334">
    <cfRule type="duplicateValues" dxfId="3887" priority="946"/>
  </conditionalFormatting>
  <conditionalFormatting sqref="D333:D334">
    <cfRule type="duplicateValues" dxfId="3886" priority="938"/>
  </conditionalFormatting>
  <conditionalFormatting sqref="D333:D334">
    <cfRule type="duplicateValues" dxfId="3885" priority="937"/>
  </conditionalFormatting>
  <conditionalFormatting sqref="C332">
    <cfRule type="duplicateValues" dxfId="3884" priority="929"/>
  </conditionalFormatting>
  <conditionalFormatting sqref="D332">
    <cfRule type="duplicateValues" dxfId="3883" priority="930"/>
  </conditionalFormatting>
  <conditionalFormatting sqref="D332">
    <cfRule type="duplicateValues" dxfId="3882" priority="931"/>
  </conditionalFormatting>
  <conditionalFormatting sqref="D332">
    <cfRule type="duplicateValues" dxfId="3881" priority="932"/>
  </conditionalFormatting>
  <conditionalFormatting sqref="D332">
    <cfRule type="duplicateValues" dxfId="3880" priority="933"/>
    <cfRule type="duplicateValues" dxfId="3879" priority="934"/>
  </conditionalFormatting>
  <conditionalFormatting sqref="D332">
    <cfRule type="duplicateValues" dxfId="3878" priority="935"/>
  </conditionalFormatting>
  <conditionalFormatting sqref="D332">
    <cfRule type="duplicateValues" dxfId="3877" priority="936"/>
  </conditionalFormatting>
  <conditionalFormatting sqref="D332">
    <cfRule type="duplicateValues" dxfId="3876" priority="928"/>
  </conditionalFormatting>
  <conditionalFormatting sqref="D332">
    <cfRule type="duplicateValues" dxfId="3875" priority="927"/>
  </conditionalFormatting>
  <conditionalFormatting sqref="D331">
    <cfRule type="duplicateValues" dxfId="3874" priority="920"/>
  </conditionalFormatting>
  <conditionalFormatting sqref="D331">
    <cfRule type="duplicateValues" dxfId="3873" priority="921"/>
  </conditionalFormatting>
  <conditionalFormatting sqref="D331">
    <cfRule type="duplicateValues" dxfId="3872" priority="922"/>
    <cfRule type="duplicateValues" dxfId="3871" priority="923"/>
  </conditionalFormatting>
  <conditionalFormatting sqref="D331">
    <cfRule type="duplicateValues" dxfId="3870" priority="924"/>
  </conditionalFormatting>
  <conditionalFormatting sqref="C331">
    <cfRule type="duplicateValues" dxfId="3869" priority="919"/>
  </conditionalFormatting>
  <conditionalFormatting sqref="D331">
    <cfRule type="duplicateValues" dxfId="3868" priority="925"/>
  </conditionalFormatting>
  <conditionalFormatting sqref="D331">
    <cfRule type="duplicateValues" dxfId="3867" priority="926"/>
  </conditionalFormatting>
  <conditionalFormatting sqref="D331">
    <cfRule type="duplicateValues" dxfId="3866" priority="918"/>
  </conditionalFormatting>
  <conditionalFormatting sqref="D331">
    <cfRule type="duplicateValues" dxfId="3865" priority="917"/>
  </conditionalFormatting>
  <conditionalFormatting sqref="C335">
    <cfRule type="duplicateValues" dxfId="3864" priority="909"/>
  </conditionalFormatting>
  <conditionalFormatting sqref="D335">
    <cfRule type="duplicateValues" dxfId="3863" priority="910"/>
  </conditionalFormatting>
  <conditionalFormatting sqref="D335">
    <cfRule type="duplicateValues" dxfId="3862" priority="911"/>
  </conditionalFormatting>
  <conditionalFormatting sqref="D335">
    <cfRule type="duplicateValues" dxfId="3861" priority="912"/>
  </conditionalFormatting>
  <conditionalFormatting sqref="D335">
    <cfRule type="duplicateValues" dxfId="3860" priority="913"/>
    <cfRule type="duplicateValues" dxfId="3859" priority="914"/>
  </conditionalFormatting>
  <conditionalFormatting sqref="D335">
    <cfRule type="duplicateValues" dxfId="3858" priority="915"/>
  </conditionalFormatting>
  <conditionalFormatting sqref="D335">
    <cfRule type="duplicateValues" dxfId="3857" priority="916"/>
  </conditionalFormatting>
  <conditionalFormatting sqref="D335">
    <cfRule type="duplicateValues" dxfId="3856" priority="908"/>
  </conditionalFormatting>
  <conditionalFormatting sqref="D335">
    <cfRule type="duplicateValues" dxfId="3855" priority="907"/>
  </conditionalFormatting>
  <conditionalFormatting sqref="D379">
    <cfRule type="duplicateValues" dxfId="3854" priority="901"/>
  </conditionalFormatting>
  <conditionalFormatting sqref="D379">
    <cfRule type="duplicateValues" dxfId="3853" priority="900"/>
  </conditionalFormatting>
  <conditionalFormatting sqref="D379">
    <cfRule type="duplicateValues" dxfId="3852" priority="902"/>
    <cfRule type="duplicateValues" dxfId="3851" priority="903"/>
  </conditionalFormatting>
  <conditionalFormatting sqref="D379">
    <cfRule type="duplicateValues" dxfId="3850" priority="904"/>
  </conditionalFormatting>
  <conditionalFormatting sqref="C379">
    <cfRule type="duplicateValues" dxfId="3849" priority="899"/>
  </conditionalFormatting>
  <conditionalFormatting sqref="D379">
    <cfRule type="duplicateValues" dxfId="3848" priority="905"/>
  </conditionalFormatting>
  <conditionalFormatting sqref="D379">
    <cfRule type="duplicateValues" dxfId="3847" priority="906"/>
  </conditionalFormatting>
  <conditionalFormatting sqref="D379">
    <cfRule type="duplicateValues" dxfId="3846" priority="898"/>
  </conditionalFormatting>
  <conditionalFormatting sqref="D379">
    <cfRule type="duplicateValues" dxfId="3845" priority="897"/>
  </conditionalFormatting>
  <conditionalFormatting sqref="D270:D271">
    <cfRule type="duplicateValues" dxfId="3844" priority="886"/>
  </conditionalFormatting>
  <conditionalFormatting sqref="D272">
    <cfRule type="duplicateValues" dxfId="3843" priority="885"/>
  </conditionalFormatting>
  <conditionalFormatting sqref="D267">
    <cfRule type="duplicateValues" dxfId="3842" priority="880"/>
  </conditionalFormatting>
  <conditionalFormatting sqref="D267">
    <cfRule type="duplicateValues" dxfId="3841" priority="881"/>
  </conditionalFormatting>
  <conditionalFormatting sqref="D267">
    <cfRule type="duplicateValues" dxfId="3840" priority="882"/>
    <cfRule type="duplicateValues" dxfId="3839" priority="883"/>
  </conditionalFormatting>
  <conditionalFormatting sqref="D267">
    <cfRule type="duplicateValues" dxfId="3838" priority="884"/>
  </conditionalFormatting>
  <conditionalFormatting sqref="D242">
    <cfRule type="duplicateValues" dxfId="3837" priority="875"/>
  </conditionalFormatting>
  <conditionalFormatting sqref="D242">
    <cfRule type="duplicateValues" dxfId="3836" priority="876"/>
  </conditionalFormatting>
  <conditionalFormatting sqref="D242">
    <cfRule type="duplicateValues" dxfId="3835" priority="877"/>
    <cfRule type="duplicateValues" dxfId="3834" priority="878"/>
  </conditionalFormatting>
  <conditionalFormatting sqref="D242">
    <cfRule type="duplicateValues" dxfId="3833" priority="879"/>
  </conditionalFormatting>
  <conditionalFormatting sqref="D243">
    <cfRule type="duplicateValues" dxfId="3832" priority="870"/>
  </conditionalFormatting>
  <conditionalFormatting sqref="D243">
    <cfRule type="duplicateValues" dxfId="3831" priority="871"/>
  </conditionalFormatting>
  <conditionalFormatting sqref="D243">
    <cfRule type="duplicateValues" dxfId="3830" priority="872"/>
    <cfRule type="duplicateValues" dxfId="3829" priority="873"/>
  </conditionalFormatting>
  <conditionalFormatting sqref="D243">
    <cfRule type="duplicateValues" dxfId="3828" priority="874"/>
  </conditionalFormatting>
  <conditionalFormatting sqref="D266">
    <cfRule type="duplicateValues" dxfId="3827" priority="887"/>
  </conditionalFormatting>
  <conditionalFormatting sqref="C241:C242 C246:C272 C201:C233">
    <cfRule type="duplicateValues" dxfId="3826" priority="869"/>
  </conditionalFormatting>
  <conditionalFormatting sqref="D241:D242 D246:D272 D201:D233">
    <cfRule type="duplicateValues" dxfId="3825" priority="888"/>
  </conditionalFormatting>
  <conditionalFormatting sqref="D268:D272 D241 D246:D266 D201:D233">
    <cfRule type="duplicateValues" dxfId="3824" priority="889"/>
  </conditionalFormatting>
  <conditionalFormatting sqref="D268:D269 D246 D241 D252:D265 D201:D233">
    <cfRule type="duplicateValues" dxfId="3823" priority="890"/>
  </conditionalFormatting>
  <conditionalFormatting sqref="D268:D272 D241 D246:D266 D201:D233">
    <cfRule type="duplicateValues" dxfId="3822" priority="891"/>
    <cfRule type="duplicateValues" dxfId="3821" priority="892"/>
  </conditionalFormatting>
  <conditionalFormatting sqref="D268:D272">
    <cfRule type="duplicateValues" dxfId="3820" priority="893"/>
  </conditionalFormatting>
  <conditionalFormatting sqref="D238:D239">
    <cfRule type="duplicateValues" dxfId="3819" priority="862"/>
  </conditionalFormatting>
  <conditionalFormatting sqref="D235">
    <cfRule type="duplicateValues" dxfId="3818" priority="857"/>
  </conditionalFormatting>
  <conditionalFormatting sqref="D235">
    <cfRule type="duplicateValues" dxfId="3817" priority="858"/>
  </conditionalFormatting>
  <conditionalFormatting sqref="D235">
    <cfRule type="duplicateValues" dxfId="3816" priority="859"/>
    <cfRule type="duplicateValues" dxfId="3815" priority="860"/>
  </conditionalFormatting>
  <conditionalFormatting sqref="D235">
    <cfRule type="duplicateValues" dxfId="3814" priority="861"/>
  </conditionalFormatting>
  <conditionalFormatting sqref="D236">
    <cfRule type="duplicateValues" dxfId="3813" priority="852"/>
  </conditionalFormatting>
  <conditionalFormatting sqref="D236">
    <cfRule type="duplicateValues" dxfId="3812" priority="853"/>
  </conditionalFormatting>
  <conditionalFormatting sqref="D236">
    <cfRule type="duplicateValues" dxfId="3811" priority="854"/>
    <cfRule type="duplicateValues" dxfId="3810" priority="855"/>
  </conditionalFormatting>
  <conditionalFormatting sqref="D236">
    <cfRule type="duplicateValues" dxfId="3809" priority="856"/>
  </conditionalFormatting>
  <conditionalFormatting sqref="C234:C239">
    <cfRule type="duplicateValues" dxfId="3808" priority="851"/>
  </conditionalFormatting>
  <conditionalFormatting sqref="D234:D239">
    <cfRule type="duplicateValues" dxfId="3807" priority="863"/>
  </conditionalFormatting>
  <conditionalFormatting sqref="D237:D239 D234">
    <cfRule type="duplicateValues" dxfId="3806" priority="864"/>
  </conditionalFormatting>
  <conditionalFormatting sqref="D237 D234">
    <cfRule type="duplicateValues" dxfId="3805" priority="865"/>
  </conditionalFormatting>
  <conditionalFormatting sqref="D237:D239 D234">
    <cfRule type="duplicateValues" dxfId="3804" priority="866"/>
    <cfRule type="duplicateValues" dxfId="3803" priority="867"/>
  </conditionalFormatting>
  <conditionalFormatting sqref="D237:D239">
    <cfRule type="duplicateValues" dxfId="3802" priority="868"/>
  </conditionalFormatting>
  <conditionalFormatting sqref="D243">
    <cfRule type="duplicateValues" dxfId="3801" priority="850"/>
  </conditionalFormatting>
  <conditionalFormatting sqref="D241:D243 D246:D272 D201:D239">
    <cfRule type="duplicateValues" dxfId="3800" priority="894"/>
  </conditionalFormatting>
  <conditionalFormatting sqref="D240">
    <cfRule type="duplicateValues" dxfId="3799" priority="843"/>
  </conditionalFormatting>
  <conditionalFormatting sqref="D240">
    <cfRule type="duplicateValues" dxfId="3798" priority="844"/>
  </conditionalFormatting>
  <conditionalFormatting sqref="D240">
    <cfRule type="duplicateValues" dxfId="3797" priority="845"/>
    <cfRule type="duplicateValues" dxfId="3796" priority="846"/>
  </conditionalFormatting>
  <conditionalFormatting sqref="D240">
    <cfRule type="duplicateValues" dxfId="3795" priority="847"/>
  </conditionalFormatting>
  <conditionalFormatting sqref="C240">
    <cfRule type="duplicateValues" dxfId="3794" priority="842"/>
  </conditionalFormatting>
  <conditionalFormatting sqref="D240">
    <cfRule type="duplicateValues" dxfId="3793" priority="848"/>
  </conditionalFormatting>
  <conditionalFormatting sqref="D240">
    <cfRule type="duplicateValues" dxfId="3792" priority="849"/>
  </conditionalFormatting>
  <conditionalFormatting sqref="D246:D272 D201:D243">
    <cfRule type="duplicateValues" dxfId="3791" priority="841"/>
  </conditionalFormatting>
  <conditionalFormatting sqref="D245">
    <cfRule type="duplicateValues" dxfId="3790" priority="833"/>
  </conditionalFormatting>
  <conditionalFormatting sqref="C244:C245">
    <cfRule type="duplicateValues" dxfId="3789" priority="832"/>
  </conditionalFormatting>
  <conditionalFormatting sqref="D244:D245">
    <cfRule type="duplicateValues" dxfId="3788" priority="834"/>
  </conditionalFormatting>
  <conditionalFormatting sqref="D244:D245">
    <cfRule type="duplicateValues" dxfId="3787" priority="835"/>
  </conditionalFormatting>
  <conditionalFormatting sqref="D244">
    <cfRule type="duplicateValues" dxfId="3786" priority="836"/>
  </conditionalFormatting>
  <conditionalFormatting sqref="D244:D245">
    <cfRule type="duplicateValues" dxfId="3785" priority="837"/>
    <cfRule type="duplicateValues" dxfId="3784" priority="838"/>
  </conditionalFormatting>
  <conditionalFormatting sqref="D244:D245">
    <cfRule type="duplicateValues" dxfId="3783" priority="839"/>
  </conditionalFormatting>
  <conditionalFormatting sqref="D244:D245">
    <cfRule type="duplicateValues" dxfId="3782" priority="840"/>
  </conditionalFormatting>
  <conditionalFormatting sqref="D244:D245">
    <cfRule type="duplicateValues" dxfId="3781" priority="831"/>
  </conditionalFormatting>
  <conditionalFormatting sqref="D201:D272">
    <cfRule type="duplicateValues" dxfId="3780" priority="830"/>
  </conditionalFormatting>
  <conditionalFormatting sqref="C243">
    <cfRule type="duplicateValues" dxfId="3779" priority="895"/>
  </conditionalFormatting>
  <conditionalFormatting sqref="D247:D251">
    <cfRule type="duplicateValues" dxfId="3778" priority="896"/>
  </conditionalFormatting>
  <conditionalFormatting sqref="D619">
    <cfRule type="duplicateValues" dxfId="3777" priority="789"/>
  </conditionalFormatting>
  <conditionalFormatting sqref="D543">
    <cfRule type="duplicateValues" dxfId="3776" priority="788"/>
  </conditionalFormatting>
  <conditionalFormatting sqref="D542">
    <cfRule type="duplicateValues" dxfId="3775" priority="787"/>
  </conditionalFormatting>
  <conditionalFormatting sqref="D635">
    <cfRule type="duplicateValues" dxfId="3774" priority="784"/>
  </conditionalFormatting>
  <conditionalFormatting sqref="D634:D635">
    <cfRule type="duplicateValues" dxfId="3773" priority="782"/>
    <cfRule type="duplicateValues" dxfId="3772" priority="783"/>
  </conditionalFormatting>
  <conditionalFormatting sqref="D634">
    <cfRule type="duplicateValues" dxfId="3771" priority="785"/>
  </conditionalFormatting>
  <conditionalFormatting sqref="D634:D635">
    <cfRule type="duplicateValues" dxfId="3770" priority="786"/>
  </conditionalFormatting>
  <conditionalFormatting sqref="D612">
    <cfRule type="duplicateValues" dxfId="3769" priority="781"/>
  </conditionalFormatting>
  <conditionalFormatting sqref="D510">
    <cfRule type="duplicateValues" dxfId="3768" priority="780"/>
  </conditionalFormatting>
  <conditionalFormatting sqref="D622">
    <cfRule type="duplicateValues" dxfId="3767" priority="775"/>
  </conditionalFormatting>
  <conditionalFormatting sqref="D622">
    <cfRule type="duplicateValues" dxfId="3766" priority="776"/>
  </conditionalFormatting>
  <conditionalFormatting sqref="D622">
    <cfRule type="duplicateValues" dxfId="3765" priority="777"/>
    <cfRule type="duplicateValues" dxfId="3764" priority="778"/>
  </conditionalFormatting>
  <conditionalFormatting sqref="D622">
    <cfRule type="duplicateValues" dxfId="3763" priority="779"/>
  </conditionalFormatting>
  <conditionalFormatting sqref="D513">
    <cfRule type="duplicateValues" dxfId="3762" priority="774"/>
  </conditionalFormatting>
  <conditionalFormatting sqref="D518 D514">
    <cfRule type="duplicateValues" dxfId="3761" priority="769"/>
  </conditionalFormatting>
  <conditionalFormatting sqref="D514">
    <cfRule type="duplicateValues" dxfId="3760" priority="770"/>
  </conditionalFormatting>
  <conditionalFormatting sqref="D518 D514">
    <cfRule type="duplicateValues" dxfId="3759" priority="771"/>
    <cfRule type="duplicateValues" dxfId="3758" priority="772"/>
  </conditionalFormatting>
  <conditionalFormatting sqref="D514">
    <cfRule type="duplicateValues" dxfId="3757" priority="773"/>
  </conditionalFormatting>
  <conditionalFormatting sqref="D520">
    <cfRule type="duplicateValues" dxfId="3756" priority="767"/>
  </conditionalFormatting>
  <conditionalFormatting sqref="D520">
    <cfRule type="duplicateValues" dxfId="3755" priority="765"/>
    <cfRule type="duplicateValues" dxfId="3754" priority="766"/>
  </conditionalFormatting>
  <conditionalFormatting sqref="D520">
    <cfRule type="duplicateValues" dxfId="3753" priority="768"/>
  </conditionalFormatting>
  <conditionalFormatting sqref="D520">
    <cfRule type="duplicateValues" dxfId="3752" priority="764"/>
  </conditionalFormatting>
  <conditionalFormatting sqref="D636">
    <cfRule type="duplicateValues" dxfId="3751" priority="760"/>
  </conditionalFormatting>
  <conditionalFormatting sqref="D636">
    <cfRule type="duplicateValues" dxfId="3750" priority="759"/>
  </conditionalFormatting>
  <conditionalFormatting sqref="D636">
    <cfRule type="duplicateValues" dxfId="3749" priority="761"/>
    <cfRule type="duplicateValues" dxfId="3748" priority="762"/>
  </conditionalFormatting>
  <conditionalFormatting sqref="D636">
    <cfRule type="duplicateValues" dxfId="3747" priority="763"/>
  </conditionalFormatting>
  <conditionalFormatting sqref="D590">
    <cfRule type="duplicateValues" dxfId="3746" priority="754"/>
  </conditionalFormatting>
  <conditionalFormatting sqref="D590">
    <cfRule type="duplicateValues" dxfId="3745" priority="755"/>
  </conditionalFormatting>
  <conditionalFormatting sqref="D590">
    <cfRule type="duplicateValues" dxfId="3744" priority="756"/>
    <cfRule type="duplicateValues" dxfId="3743" priority="757"/>
  </conditionalFormatting>
  <conditionalFormatting sqref="D590">
    <cfRule type="duplicateValues" dxfId="3742" priority="758"/>
  </conditionalFormatting>
  <conditionalFormatting sqref="D618">
    <cfRule type="duplicateValues" dxfId="3741" priority="750"/>
  </conditionalFormatting>
  <conditionalFormatting sqref="D618">
    <cfRule type="duplicateValues" dxfId="3740" priority="749"/>
  </conditionalFormatting>
  <conditionalFormatting sqref="D618">
    <cfRule type="duplicateValues" dxfId="3739" priority="751"/>
    <cfRule type="duplicateValues" dxfId="3738" priority="752"/>
  </conditionalFormatting>
  <conditionalFormatting sqref="D618">
    <cfRule type="duplicateValues" dxfId="3737" priority="753"/>
  </conditionalFormatting>
  <conditionalFormatting sqref="D603">
    <cfRule type="duplicateValues" dxfId="3736" priority="744"/>
  </conditionalFormatting>
  <conditionalFormatting sqref="D602:D603">
    <cfRule type="duplicateValues" dxfId="3735" priority="743"/>
  </conditionalFormatting>
  <conditionalFormatting sqref="D602">
    <cfRule type="duplicateValues" dxfId="3734" priority="745"/>
  </conditionalFormatting>
  <conditionalFormatting sqref="D602:D603">
    <cfRule type="duplicateValues" dxfId="3733" priority="746"/>
    <cfRule type="duplicateValues" dxfId="3732" priority="747"/>
  </conditionalFormatting>
  <conditionalFormatting sqref="D602:D603">
    <cfRule type="duplicateValues" dxfId="3731" priority="748"/>
  </conditionalFormatting>
  <conditionalFormatting sqref="D604">
    <cfRule type="duplicateValues" dxfId="3730" priority="738"/>
  </conditionalFormatting>
  <conditionalFormatting sqref="D604">
    <cfRule type="duplicateValues" dxfId="3729" priority="739"/>
  </conditionalFormatting>
  <conditionalFormatting sqref="D604">
    <cfRule type="duplicateValues" dxfId="3728" priority="740"/>
    <cfRule type="duplicateValues" dxfId="3727" priority="741"/>
  </conditionalFormatting>
  <conditionalFormatting sqref="D604">
    <cfRule type="duplicateValues" dxfId="3726" priority="742"/>
  </conditionalFormatting>
  <conditionalFormatting sqref="C500:C514 C518 C631:C664 C553 C520 C460:C467 C524:C546 C587:C622">
    <cfRule type="duplicateValues" dxfId="3725" priority="737"/>
  </conditionalFormatting>
  <conditionalFormatting sqref="D500:D514 D518 D631:D664 D553 D520 D460:D467 D524:D546 D587:D622">
    <cfRule type="duplicateValues" dxfId="3724" priority="790"/>
  </conditionalFormatting>
  <conditionalFormatting sqref="D631:D635 D619:D621 D637:D664 D615:D617 D535:D546 D500:D506 D511 D553 D587:D589 D460:D467 D605:D611">
    <cfRule type="duplicateValues" dxfId="3723" priority="791"/>
  </conditionalFormatting>
  <conditionalFormatting sqref="D620:D621 D535:D541 D503:D506 D637:D664 D544:D546 D631:D633 D615:D616 D511 D553 D587:D589 D460:D461 D605:D611">
    <cfRule type="duplicateValues" dxfId="3722" priority="792"/>
  </conditionalFormatting>
  <conditionalFormatting sqref="D631:D633 D619:D621 D637:D664 D615:D617 D535:D546 D500:D506 D511 D553 D587:D589 D460:D467 D605:D611">
    <cfRule type="duplicateValues" dxfId="3721" priority="793"/>
    <cfRule type="duplicateValues" dxfId="3720" priority="794"/>
  </conditionalFormatting>
  <conditionalFormatting sqref="D631:D633 D619:D621 D637:D664 D615:D617 D535:D546 D500:D506 D511 D553 D587:D589 D460:D467 D605:D611">
    <cfRule type="duplicateValues" dxfId="3719" priority="795"/>
  </conditionalFormatting>
  <conditionalFormatting sqref="D512:D513">
    <cfRule type="duplicateValues" dxfId="3718" priority="796"/>
  </conditionalFormatting>
  <conditionalFormatting sqref="D512">
    <cfRule type="duplicateValues" dxfId="3717" priority="797"/>
  </conditionalFormatting>
  <conditionalFormatting sqref="D512:D513">
    <cfRule type="duplicateValues" dxfId="3716" priority="798"/>
    <cfRule type="duplicateValues" dxfId="3715" priority="799"/>
  </conditionalFormatting>
  <conditionalFormatting sqref="D500:D502 D462:D467">
    <cfRule type="duplicateValues" dxfId="3714" priority="800"/>
  </conditionalFormatting>
  <conditionalFormatting sqref="D496">
    <cfRule type="duplicateValues" dxfId="3713" priority="723"/>
  </conditionalFormatting>
  <conditionalFormatting sqref="D499">
    <cfRule type="duplicateValues" dxfId="3712" priority="718"/>
  </conditionalFormatting>
  <conditionalFormatting sqref="D499">
    <cfRule type="duplicateValues" dxfId="3711" priority="719"/>
  </conditionalFormatting>
  <conditionalFormatting sqref="D499">
    <cfRule type="duplicateValues" dxfId="3710" priority="720"/>
    <cfRule type="duplicateValues" dxfId="3709" priority="721"/>
  </conditionalFormatting>
  <conditionalFormatting sqref="D499">
    <cfRule type="duplicateValues" dxfId="3708" priority="722"/>
  </conditionalFormatting>
  <conditionalFormatting sqref="D483">
    <cfRule type="duplicateValues" dxfId="3707" priority="716"/>
  </conditionalFormatting>
  <conditionalFormatting sqref="D481:D483">
    <cfRule type="duplicateValues" dxfId="3706" priority="717"/>
  </conditionalFormatting>
  <conditionalFormatting sqref="D481:D482">
    <cfRule type="duplicateValues" dxfId="3705" priority="724"/>
  </conditionalFormatting>
  <conditionalFormatting sqref="D481:D483">
    <cfRule type="duplicateValues" dxfId="3704" priority="725"/>
    <cfRule type="duplicateValues" dxfId="3703" priority="726"/>
  </conditionalFormatting>
  <conditionalFormatting sqref="D489">
    <cfRule type="duplicateValues" dxfId="3702" priority="715"/>
  </conditionalFormatting>
  <conditionalFormatting sqref="D490:D491">
    <cfRule type="duplicateValues" dxfId="3701" priority="710"/>
  </conditionalFormatting>
  <conditionalFormatting sqref="D490:D491">
    <cfRule type="duplicateValues" dxfId="3700" priority="711"/>
  </conditionalFormatting>
  <conditionalFormatting sqref="D490:D491">
    <cfRule type="duplicateValues" dxfId="3699" priority="712"/>
    <cfRule type="duplicateValues" dxfId="3698" priority="713"/>
  </conditionalFormatting>
  <conditionalFormatting sqref="D490:D491">
    <cfRule type="duplicateValues" dxfId="3697" priority="714"/>
  </conditionalFormatting>
  <conditionalFormatting sqref="D492">
    <cfRule type="duplicateValues" dxfId="3696" priority="708"/>
  </conditionalFormatting>
  <conditionalFormatting sqref="D492">
    <cfRule type="duplicateValues" dxfId="3695" priority="706"/>
    <cfRule type="duplicateValues" dxfId="3694" priority="707"/>
  </conditionalFormatting>
  <conditionalFormatting sqref="D492">
    <cfRule type="duplicateValues" dxfId="3693" priority="709"/>
  </conditionalFormatting>
  <conditionalFormatting sqref="D492">
    <cfRule type="duplicateValues" dxfId="3692" priority="705"/>
  </conditionalFormatting>
  <conditionalFormatting sqref="D493">
    <cfRule type="duplicateValues" dxfId="3691" priority="702"/>
  </conditionalFormatting>
  <conditionalFormatting sqref="D493">
    <cfRule type="duplicateValues" dxfId="3690" priority="703"/>
    <cfRule type="duplicateValues" dxfId="3689" priority="704"/>
  </conditionalFormatting>
  <conditionalFormatting sqref="D493">
    <cfRule type="duplicateValues" dxfId="3688" priority="701"/>
  </conditionalFormatting>
  <conditionalFormatting sqref="D484:D487 D494:D495 D468:D478">
    <cfRule type="duplicateValues" dxfId="3687" priority="727"/>
  </conditionalFormatting>
  <conditionalFormatting sqref="D484:D487 D473:D478 D494:D495">
    <cfRule type="duplicateValues" dxfId="3686" priority="728"/>
  </conditionalFormatting>
  <conditionalFormatting sqref="D484:D487 D494:D495 D468:D478">
    <cfRule type="duplicateValues" dxfId="3685" priority="729"/>
    <cfRule type="duplicateValues" dxfId="3684" priority="730"/>
  </conditionalFormatting>
  <conditionalFormatting sqref="D484:D487">
    <cfRule type="duplicateValues" dxfId="3683" priority="731"/>
  </conditionalFormatting>
  <conditionalFormatting sqref="D488:D489">
    <cfRule type="duplicateValues" dxfId="3682" priority="732"/>
  </conditionalFormatting>
  <conditionalFormatting sqref="D488">
    <cfRule type="duplicateValues" dxfId="3681" priority="733"/>
  </conditionalFormatting>
  <conditionalFormatting sqref="D488:D489">
    <cfRule type="duplicateValues" dxfId="3680" priority="734"/>
    <cfRule type="duplicateValues" dxfId="3679" priority="735"/>
  </conditionalFormatting>
  <conditionalFormatting sqref="D468:D472">
    <cfRule type="duplicateValues" dxfId="3678" priority="736"/>
  </conditionalFormatting>
  <conditionalFormatting sqref="D496:D497">
    <cfRule type="duplicateValues" dxfId="3677" priority="695"/>
  </conditionalFormatting>
  <conditionalFormatting sqref="D496:D497">
    <cfRule type="duplicateValues" dxfId="3676" priority="696"/>
  </conditionalFormatting>
  <conditionalFormatting sqref="D496:D497">
    <cfRule type="duplicateValues" dxfId="3675" priority="697"/>
    <cfRule type="duplicateValues" dxfId="3674" priority="698"/>
  </conditionalFormatting>
  <conditionalFormatting sqref="D496:D497">
    <cfRule type="duplicateValues" dxfId="3673" priority="699"/>
  </conditionalFormatting>
  <conditionalFormatting sqref="D498">
    <cfRule type="duplicateValues" dxfId="3672" priority="693"/>
  </conditionalFormatting>
  <conditionalFormatting sqref="D498">
    <cfRule type="duplicateValues" dxfId="3671" priority="691"/>
    <cfRule type="duplicateValues" dxfId="3670" priority="692"/>
  </conditionalFormatting>
  <conditionalFormatting sqref="D498">
    <cfRule type="duplicateValues" dxfId="3669" priority="694"/>
  </conditionalFormatting>
  <conditionalFormatting sqref="D498">
    <cfRule type="duplicateValues" dxfId="3668" priority="690"/>
  </conditionalFormatting>
  <conditionalFormatting sqref="C496:C498">
    <cfRule type="duplicateValues" dxfId="3667" priority="689"/>
  </conditionalFormatting>
  <conditionalFormatting sqref="D496:D498">
    <cfRule type="duplicateValues" dxfId="3666" priority="700"/>
  </conditionalFormatting>
  <conditionalFormatting sqref="D507:D509">
    <cfRule type="duplicateValues" dxfId="3665" priority="801"/>
  </conditionalFormatting>
  <conditionalFormatting sqref="D507:D509">
    <cfRule type="duplicateValues" dxfId="3664" priority="802"/>
    <cfRule type="duplicateValues" dxfId="3663" priority="803"/>
  </conditionalFormatting>
  <conditionalFormatting sqref="C516:C517">
    <cfRule type="duplicateValues" dxfId="3662" priority="682"/>
  </conditionalFormatting>
  <conditionalFormatting sqref="D516:D517">
    <cfRule type="duplicateValues" dxfId="3661" priority="683"/>
  </conditionalFormatting>
  <conditionalFormatting sqref="D516:D517">
    <cfRule type="duplicateValues" dxfId="3660" priority="684"/>
  </conditionalFormatting>
  <conditionalFormatting sqref="D516:D517">
    <cfRule type="duplicateValues" dxfId="3659" priority="685"/>
  </conditionalFormatting>
  <conditionalFormatting sqref="D516:D517">
    <cfRule type="duplicateValues" dxfId="3658" priority="686"/>
    <cfRule type="duplicateValues" dxfId="3657" priority="687"/>
  </conditionalFormatting>
  <conditionalFormatting sqref="D516:D517">
    <cfRule type="duplicateValues" dxfId="3656" priority="688"/>
  </conditionalFormatting>
  <conditionalFormatting sqref="D515">
    <cfRule type="duplicateValues" dxfId="3655" priority="679"/>
  </conditionalFormatting>
  <conditionalFormatting sqref="D515">
    <cfRule type="duplicateValues" dxfId="3654" priority="680"/>
    <cfRule type="duplicateValues" dxfId="3653" priority="681"/>
  </conditionalFormatting>
  <conditionalFormatting sqref="C515">
    <cfRule type="duplicateValues" dxfId="3652" priority="672"/>
  </conditionalFormatting>
  <conditionalFormatting sqref="D515">
    <cfRule type="duplicateValues" dxfId="3651" priority="673"/>
  </conditionalFormatting>
  <conditionalFormatting sqref="D515">
    <cfRule type="duplicateValues" dxfId="3650" priority="674"/>
  </conditionalFormatting>
  <conditionalFormatting sqref="D515">
    <cfRule type="duplicateValues" dxfId="3649" priority="675"/>
  </conditionalFormatting>
  <conditionalFormatting sqref="D515">
    <cfRule type="duplicateValues" dxfId="3648" priority="676"/>
    <cfRule type="duplicateValues" dxfId="3647" priority="677"/>
  </conditionalFormatting>
  <conditionalFormatting sqref="D515">
    <cfRule type="duplicateValues" dxfId="3646" priority="678"/>
  </conditionalFormatting>
  <conditionalFormatting sqref="C627:C628">
    <cfRule type="duplicateValues" dxfId="3645" priority="665"/>
  </conditionalFormatting>
  <conditionalFormatting sqref="D627:D628">
    <cfRule type="duplicateValues" dxfId="3644" priority="666"/>
  </conditionalFormatting>
  <conditionalFormatting sqref="D627:D628">
    <cfRule type="duplicateValues" dxfId="3643" priority="667"/>
  </conditionalFormatting>
  <conditionalFormatting sqref="D627:D628">
    <cfRule type="duplicateValues" dxfId="3642" priority="668"/>
  </conditionalFormatting>
  <conditionalFormatting sqref="D627:D628">
    <cfRule type="duplicateValues" dxfId="3641" priority="669"/>
    <cfRule type="duplicateValues" dxfId="3640" priority="670"/>
  </conditionalFormatting>
  <conditionalFormatting sqref="D627:D628">
    <cfRule type="duplicateValues" dxfId="3639" priority="671"/>
  </conditionalFormatting>
  <conditionalFormatting sqref="D627:D628">
    <cfRule type="duplicateValues" dxfId="3638" priority="664"/>
  </conditionalFormatting>
  <conditionalFormatting sqref="D619">
    <cfRule type="duplicateValues" dxfId="3637" priority="658"/>
  </conditionalFormatting>
  <conditionalFormatting sqref="C619">
    <cfRule type="duplicateValues" dxfId="3636" priority="657"/>
  </conditionalFormatting>
  <conditionalFormatting sqref="D619">
    <cfRule type="duplicateValues" dxfId="3635" priority="659"/>
  </conditionalFormatting>
  <conditionalFormatting sqref="D619">
    <cfRule type="duplicateValues" dxfId="3634" priority="660"/>
  </conditionalFormatting>
  <conditionalFormatting sqref="D619">
    <cfRule type="duplicateValues" dxfId="3633" priority="661"/>
    <cfRule type="duplicateValues" dxfId="3632" priority="662"/>
  </conditionalFormatting>
  <conditionalFormatting sqref="D619">
    <cfRule type="duplicateValues" dxfId="3631" priority="663"/>
  </conditionalFormatting>
  <conditionalFormatting sqref="D619">
    <cfRule type="duplicateValues" dxfId="3630" priority="656"/>
  </conditionalFormatting>
  <conditionalFormatting sqref="D550">
    <cfRule type="duplicateValues" dxfId="3629" priority="649"/>
  </conditionalFormatting>
  <conditionalFormatting sqref="D550">
    <cfRule type="duplicateValues" dxfId="3628" priority="650"/>
  </conditionalFormatting>
  <conditionalFormatting sqref="D550">
    <cfRule type="duplicateValues" dxfId="3627" priority="651"/>
    <cfRule type="duplicateValues" dxfId="3626" priority="652"/>
  </conditionalFormatting>
  <conditionalFormatting sqref="D550">
    <cfRule type="duplicateValues" dxfId="3625" priority="653"/>
  </conditionalFormatting>
  <conditionalFormatting sqref="D551:D552">
    <cfRule type="duplicateValues" dxfId="3624" priority="648"/>
  </conditionalFormatting>
  <conditionalFormatting sqref="D551:D552">
    <cfRule type="duplicateValues" dxfId="3623" priority="654"/>
    <cfRule type="duplicateValues" dxfId="3622" priority="655"/>
  </conditionalFormatting>
  <conditionalFormatting sqref="D585:D586">
    <cfRule type="duplicateValues" dxfId="3621" priority="636"/>
  </conditionalFormatting>
  <conditionalFormatting sqref="D584:D586">
    <cfRule type="duplicateValues" dxfId="3620" priority="635"/>
  </conditionalFormatting>
  <conditionalFormatting sqref="D584">
    <cfRule type="duplicateValues" dxfId="3619" priority="637"/>
  </conditionalFormatting>
  <conditionalFormatting sqref="D584:D586">
    <cfRule type="duplicateValues" dxfId="3618" priority="638"/>
    <cfRule type="duplicateValues" dxfId="3617" priority="639"/>
  </conditionalFormatting>
  <conditionalFormatting sqref="D584:D586">
    <cfRule type="duplicateValues" dxfId="3616" priority="640"/>
  </conditionalFormatting>
  <conditionalFormatting sqref="D557">
    <cfRule type="duplicateValues" dxfId="3615" priority="630"/>
  </conditionalFormatting>
  <conditionalFormatting sqref="D557">
    <cfRule type="duplicateValues" dxfId="3614" priority="631"/>
  </conditionalFormatting>
  <conditionalFormatting sqref="D557">
    <cfRule type="duplicateValues" dxfId="3613" priority="632"/>
    <cfRule type="duplicateValues" dxfId="3612" priority="633"/>
  </conditionalFormatting>
  <conditionalFormatting sqref="D557">
    <cfRule type="duplicateValues" dxfId="3611" priority="634"/>
  </conditionalFormatting>
  <conditionalFormatting sqref="D572 D558:D570">
    <cfRule type="duplicateValues" dxfId="3610" priority="629"/>
  </conditionalFormatting>
  <conditionalFormatting sqref="D571">
    <cfRule type="duplicateValues" dxfId="3609" priority="628"/>
  </conditionalFormatting>
  <conditionalFormatting sqref="D573">
    <cfRule type="duplicateValues" dxfId="3608" priority="623"/>
  </conditionalFormatting>
  <conditionalFormatting sqref="D573">
    <cfRule type="duplicateValues" dxfId="3607" priority="624"/>
  </conditionalFormatting>
  <conditionalFormatting sqref="D573">
    <cfRule type="duplicateValues" dxfId="3606" priority="625"/>
    <cfRule type="duplicateValues" dxfId="3605" priority="626"/>
  </conditionalFormatting>
  <conditionalFormatting sqref="D573">
    <cfRule type="duplicateValues" dxfId="3604" priority="627"/>
  </conditionalFormatting>
  <conditionalFormatting sqref="D587 D574:D583 D554:D556">
    <cfRule type="duplicateValues" dxfId="3603" priority="641"/>
  </conditionalFormatting>
  <conditionalFormatting sqref="D587">
    <cfRule type="duplicateValues" dxfId="3602" priority="642"/>
  </conditionalFormatting>
  <conditionalFormatting sqref="D587 D574:D583 D554:D556">
    <cfRule type="duplicateValues" dxfId="3601" priority="643"/>
    <cfRule type="duplicateValues" dxfId="3600" priority="644"/>
  </conditionalFormatting>
  <conditionalFormatting sqref="D572">
    <cfRule type="duplicateValues" dxfId="3599" priority="645"/>
  </conditionalFormatting>
  <conditionalFormatting sqref="D572 D558:D570">
    <cfRule type="duplicateValues" dxfId="3598" priority="646"/>
    <cfRule type="duplicateValues" dxfId="3597" priority="647"/>
  </conditionalFormatting>
  <conditionalFormatting sqref="C499 C468:C495">
    <cfRule type="duplicateValues" dxfId="3596" priority="804"/>
  </conditionalFormatting>
  <conditionalFormatting sqref="D499 D468:D495">
    <cfRule type="duplicateValues" dxfId="3595" priority="805"/>
  </conditionalFormatting>
  <conditionalFormatting sqref="D631:D664 D553 D520 D524:D546 D460:D518 D587:D622">
    <cfRule type="duplicateValues" dxfId="3594" priority="806"/>
  </conditionalFormatting>
  <conditionalFormatting sqref="D520 D627:D664 D460:D518 D524:D622">
    <cfRule type="duplicateValues" dxfId="3593" priority="622"/>
  </conditionalFormatting>
  <conditionalFormatting sqref="D519">
    <cfRule type="duplicateValues" dxfId="3592" priority="618"/>
  </conditionalFormatting>
  <conditionalFormatting sqref="D519">
    <cfRule type="duplicateValues" dxfId="3591" priority="616"/>
    <cfRule type="duplicateValues" dxfId="3590" priority="617"/>
  </conditionalFormatting>
  <conditionalFormatting sqref="D519">
    <cfRule type="duplicateValues" dxfId="3589" priority="619"/>
  </conditionalFormatting>
  <conditionalFormatting sqref="D519">
    <cfRule type="duplicateValues" dxfId="3588" priority="615"/>
  </conditionalFormatting>
  <conditionalFormatting sqref="C519">
    <cfRule type="duplicateValues" dxfId="3587" priority="614"/>
  </conditionalFormatting>
  <conditionalFormatting sqref="D519">
    <cfRule type="duplicateValues" dxfId="3586" priority="620"/>
  </conditionalFormatting>
  <conditionalFormatting sqref="D519">
    <cfRule type="duplicateValues" dxfId="3585" priority="621"/>
  </conditionalFormatting>
  <conditionalFormatting sqref="D519">
    <cfRule type="duplicateValues" dxfId="3584" priority="613"/>
  </conditionalFormatting>
  <conditionalFormatting sqref="C521:C523">
    <cfRule type="duplicateValues" dxfId="3583" priority="610"/>
  </conditionalFormatting>
  <conditionalFormatting sqref="D521:D523">
    <cfRule type="duplicateValues" dxfId="3582" priority="611"/>
  </conditionalFormatting>
  <conditionalFormatting sqref="D521:D523">
    <cfRule type="duplicateValues" dxfId="3581" priority="612"/>
  </conditionalFormatting>
  <conditionalFormatting sqref="D521:D523">
    <cfRule type="duplicateValues" dxfId="3580" priority="609"/>
  </conditionalFormatting>
  <conditionalFormatting sqref="C623:C624">
    <cfRule type="duplicateValues" dxfId="3579" priority="602"/>
  </conditionalFormatting>
  <conditionalFormatting sqref="D623:D624">
    <cfRule type="duplicateValues" dxfId="3578" priority="603"/>
  </conditionalFormatting>
  <conditionalFormatting sqref="D623:D624">
    <cfRule type="duplicateValues" dxfId="3577" priority="604"/>
  </conditionalFormatting>
  <conditionalFormatting sqref="D623:D624">
    <cfRule type="duplicateValues" dxfId="3576" priority="605"/>
  </conditionalFormatting>
  <conditionalFormatting sqref="D623:D624">
    <cfRule type="duplicateValues" dxfId="3575" priority="606"/>
    <cfRule type="duplicateValues" dxfId="3574" priority="607"/>
  </conditionalFormatting>
  <conditionalFormatting sqref="D623:D624">
    <cfRule type="duplicateValues" dxfId="3573" priority="608"/>
  </conditionalFormatting>
  <conditionalFormatting sqref="D623:D624">
    <cfRule type="duplicateValues" dxfId="3572" priority="601"/>
  </conditionalFormatting>
  <conditionalFormatting sqref="D623:D626">
    <cfRule type="duplicateValues" dxfId="3571" priority="600"/>
  </conditionalFormatting>
  <conditionalFormatting sqref="D460:D664">
    <cfRule type="duplicateValues" dxfId="3570" priority="599"/>
  </conditionalFormatting>
  <conditionalFormatting sqref="D479:D480">
    <cfRule type="duplicateValues" dxfId="3569" priority="807"/>
  </conditionalFormatting>
  <conditionalFormatting sqref="D479:D480">
    <cfRule type="duplicateValues" dxfId="3568" priority="808"/>
    <cfRule type="duplicateValues" dxfId="3567" priority="809"/>
  </conditionalFormatting>
  <conditionalFormatting sqref="D617">
    <cfRule type="duplicateValues" dxfId="3566" priority="810"/>
  </conditionalFormatting>
  <conditionalFormatting sqref="D613:D614">
    <cfRule type="duplicateValues" dxfId="3565" priority="811"/>
  </conditionalFormatting>
  <conditionalFormatting sqref="D612:D614">
    <cfRule type="duplicateValues" dxfId="3564" priority="812"/>
  </conditionalFormatting>
  <conditionalFormatting sqref="D612:D614">
    <cfRule type="duplicateValues" dxfId="3563" priority="813"/>
    <cfRule type="duplicateValues" dxfId="3562" priority="814"/>
  </conditionalFormatting>
  <conditionalFormatting sqref="D591:D601">
    <cfRule type="duplicateValues" dxfId="3561" priority="815"/>
  </conditionalFormatting>
  <conditionalFormatting sqref="D591:D601">
    <cfRule type="duplicateValues" dxfId="3560" priority="816"/>
    <cfRule type="duplicateValues" dxfId="3559" priority="817"/>
  </conditionalFormatting>
  <conditionalFormatting sqref="D574:D583">
    <cfRule type="duplicateValues" dxfId="3558" priority="818"/>
  </conditionalFormatting>
  <conditionalFormatting sqref="D571">
    <cfRule type="duplicateValues" dxfId="3557" priority="819"/>
    <cfRule type="duplicateValues" dxfId="3556" priority="820"/>
  </conditionalFormatting>
  <conditionalFormatting sqref="C554:C586">
    <cfRule type="duplicateValues" dxfId="3555" priority="821"/>
  </conditionalFormatting>
  <conditionalFormatting sqref="D554:D586">
    <cfRule type="duplicateValues" dxfId="3554" priority="822"/>
  </conditionalFormatting>
  <conditionalFormatting sqref="C547:C552">
    <cfRule type="duplicateValues" dxfId="3553" priority="823"/>
  </conditionalFormatting>
  <conditionalFormatting sqref="D547:D552">
    <cfRule type="duplicateValues" dxfId="3552" priority="824"/>
  </conditionalFormatting>
  <conditionalFormatting sqref="D547:D549">
    <cfRule type="duplicateValues" dxfId="3551" priority="825"/>
  </conditionalFormatting>
  <conditionalFormatting sqref="D547:D549">
    <cfRule type="duplicateValues" dxfId="3550" priority="826"/>
    <cfRule type="duplicateValues" dxfId="3549" priority="827"/>
  </conditionalFormatting>
  <conditionalFormatting sqref="D510">
    <cfRule type="duplicateValues" dxfId="3548" priority="828"/>
    <cfRule type="duplicateValues" dxfId="3547" priority="829"/>
  </conditionalFormatting>
  <conditionalFormatting sqref="D442:D448 D450">
    <cfRule type="duplicateValues" dxfId="3546" priority="546"/>
  </conditionalFormatting>
  <conditionalFormatting sqref="D449">
    <cfRule type="duplicateValues" dxfId="3545" priority="545"/>
  </conditionalFormatting>
  <conditionalFormatting sqref="D401:D403">
    <cfRule type="duplicateValues" dxfId="3544" priority="547"/>
  </conditionalFormatting>
  <conditionalFormatting sqref="D429:D430">
    <cfRule type="duplicateValues" dxfId="3543" priority="541"/>
  </conditionalFormatting>
  <conditionalFormatting sqref="D429:D430">
    <cfRule type="duplicateValues" dxfId="3542" priority="540"/>
  </conditionalFormatting>
  <conditionalFormatting sqref="D429:D430">
    <cfRule type="duplicateValues" dxfId="3541" priority="542"/>
    <cfRule type="duplicateValues" dxfId="3540" priority="543"/>
  </conditionalFormatting>
  <conditionalFormatting sqref="D429:D430">
    <cfRule type="duplicateValues" dxfId="3539" priority="544"/>
  </conditionalFormatting>
  <conditionalFormatting sqref="C381:C409 C429:C430 C435:C456 C432 C458:C459">
    <cfRule type="duplicateValues" dxfId="3538" priority="539"/>
  </conditionalFormatting>
  <conditionalFormatting sqref="D381:D409 D429:D430 D435:D456 D432 D458:D459">
    <cfRule type="duplicateValues" dxfId="3537" priority="548"/>
  </conditionalFormatting>
  <conditionalFormatting sqref="D381:D409 D435:D456 D458:D459">
    <cfRule type="duplicateValues" dxfId="3536" priority="549"/>
  </conditionalFormatting>
  <conditionalFormatting sqref="D435:D441 D405:D409 D451:D456 D381:D400 D458:D459">
    <cfRule type="duplicateValues" dxfId="3535" priority="550"/>
  </conditionalFormatting>
  <conditionalFormatting sqref="D381:D409 D435:D456 D458:D459">
    <cfRule type="duplicateValues" dxfId="3534" priority="551"/>
    <cfRule type="duplicateValues" dxfId="3533" priority="552"/>
  </conditionalFormatting>
  <conditionalFormatting sqref="D381:D409">
    <cfRule type="duplicateValues" dxfId="3532" priority="553"/>
  </conditionalFormatting>
  <conditionalFormatting sqref="D404">
    <cfRule type="duplicateValues" dxfId="3531" priority="554"/>
  </conditionalFormatting>
  <conditionalFormatting sqref="D426:D427">
    <cfRule type="duplicateValues" dxfId="3530" priority="535"/>
  </conditionalFormatting>
  <conditionalFormatting sqref="D426:D427">
    <cfRule type="duplicateValues" dxfId="3529" priority="534"/>
  </conditionalFormatting>
  <conditionalFormatting sqref="D426:D427">
    <cfRule type="duplicateValues" dxfId="3528" priority="536"/>
    <cfRule type="duplicateValues" dxfId="3527" priority="537"/>
  </conditionalFormatting>
  <conditionalFormatting sqref="D426:D427">
    <cfRule type="duplicateValues" dxfId="3526" priority="538"/>
  </conditionalFormatting>
  <conditionalFormatting sqref="D412">
    <cfRule type="duplicateValues" dxfId="3525" priority="530"/>
  </conditionalFormatting>
  <conditionalFormatting sqref="D412">
    <cfRule type="duplicateValues" dxfId="3524" priority="529"/>
  </conditionalFormatting>
  <conditionalFormatting sqref="D412">
    <cfRule type="duplicateValues" dxfId="3523" priority="531"/>
    <cfRule type="duplicateValues" dxfId="3522" priority="532"/>
  </conditionalFormatting>
  <conditionalFormatting sqref="D412">
    <cfRule type="duplicateValues" dxfId="3521" priority="533"/>
  </conditionalFormatting>
  <conditionalFormatting sqref="D410:D411">
    <cfRule type="duplicateValues" dxfId="3520" priority="525"/>
  </conditionalFormatting>
  <conditionalFormatting sqref="D410:D411">
    <cfRule type="duplicateValues" dxfId="3519" priority="524"/>
  </conditionalFormatting>
  <conditionalFormatting sqref="D410:D411">
    <cfRule type="duplicateValues" dxfId="3518" priority="526"/>
    <cfRule type="duplicateValues" dxfId="3517" priority="527"/>
  </conditionalFormatting>
  <conditionalFormatting sqref="D410:D411">
    <cfRule type="duplicateValues" dxfId="3516" priority="528"/>
  </conditionalFormatting>
  <conditionalFormatting sqref="D418 D424">
    <cfRule type="duplicateValues" dxfId="3515" priority="520"/>
  </conditionalFormatting>
  <conditionalFormatting sqref="D418">
    <cfRule type="duplicateValues" dxfId="3514" priority="519"/>
  </conditionalFormatting>
  <conditionalFormatting sqref="D418 D424">
    <cfRule type="duplicateValues" dxfId="3513" priority="521"/>
    <cfRule type="duplicateValues" dxfId="3512" priority="522"/>
  </conditionalFormatting>
  <conditionalFormatting sqref="D418">
    <cfRule type="duplicateValues" dxfId="3511" priority="523"/>
  </conditionalFormatting>
  <conditionalFormatting sqref="D416:D417">
    <cfRule type="duplicateValues" dxfId="3510" priority="515"/>
  </conditionalFormatting>
  <conditionalFormatting sqref="D416:D417">
    <cfRule type="duplicateValues" dxfId="3509" priority="514"/>
  </conditionalFormatting>
  <conditionalFormatting sqref="D416:D417">
    <cfRule type="duplicateValues" dxfId="3508" priority="516"/>
    <cfRule type="duplicateValues" dxfId="3507" priority="517"/>
  </conditionalFormatting>
  <conditionalFormatting sqref="D416:D417">
    <cfRule type="duplicateValues" dxfId="3506" priority="518"/>
  </conditionalFormatting>
  <conditionalFormatting sqref="D413:D414">
    <cfRule type="duplicateValues" dxfId="3505" priority="510"/>
  </conditionalFormatting>
  <conditionalFormatting sqref="D413:D414">
    <cfRule type="duplicateValues" dxfId="3504" priority="509"/>
  </conditionalFormatting>
  <conditionalFormatting sqref="D413:D414">
    <cfRule type="duplicateValues" dxfId="3503" priority="511"/>
    <cfRule type="duplicateValues" dxfId="3502" priority="512"/>
  </conditionalFormatting>
  <conditionalFormatting sqref="D413:D414">
    <cfRule type="duplicateValues" dxfId="3501" priority="513"/>
  </conditionalFormatting>
  <conditionalFormatting sqref="D432">
    <cfRule type="duplicateValues" dxfId="3500" priority="555"/>
  </conditionalFormatting>
  <conditionalFormatting sqref="D432">
    <cfRule type="duplicateValues" dxfId="3499" priority="556"/>
    <cfRule type="duplicateValues" dxfId="3498" priority="557"/>
  </conditionalFormatting>
  <conditionalFormatting sqref="C413:C414">
    <cfRule type="duplicateValues" dxfId="3497" priority="558"/>
  </conditionalFormatting>
  <conditionalFormatting sqref="D413:D414">
    <cfRule type="duplicateValues" dxfId="3496" priority="559"/>
  </conditionalFormatting>
  <conditionalFormatting sqref="D435:D456 D381:D418 D432 D424:D430 D458:D459">
    <cfRule type="duplicateValues" dxfId="3495" priority="560"/>
  </conditionalFormatting>
  <conditionalFormatting sqref="D425">
    <cfRule type="duplicateValues" dxfId="3494" priority="561"/>
  </conditionalFormatting>
  <conditionalFormatting sqref="D425">
    <cfRule type="duplicateValues" dxfId="3493" priority="562"/>
    <cfRule type="duplicateValues" dxfId="3492" priority="563"/>
  </conditionalFormatting>
  <conditionalFormatting sqref="D434">
    <cfRule type="duplicateValues" dxfId="3491" priority="503"/>
  </conditionalFormatting>
  <conditionalFormatting sqref="D434">
    <cfRule type="duplicateValues" dxfId="3490" priority="504"/>
  </conditionalFormatting>
  <conditionalFormatting sqref="D434">
    <cfRule type="duplicateValues" dxfId="3489" priority="505"/>
    <cfRule type="duplicateValues" dxfId="3488" priority="506"/>
  </conditionalFormatting>
  <conditionalFormatting sqref="C434">
    <cfRule type="duplicateValues" dxfId="3487" priority="507"/>
  </conditionalFormatting>
  <conditionalFormatting sqref="D434">
    <cfRule type="duplicateValues" dxfId="3486" priority="508"/>
  </conditionalFormatting>
  <conditionalFormatting sqref="D428">
    <cfRule type="duplicateValues" dxfId="3485" priority="564"/>
  </conditionalFormatting>
  <conditionalFormatting sqref="D428">
    <cfRule type="duplicateValues" dxfId="3484" priority="565"/>
    <cfRule type="duplicateValues" dxfId="3483" priority="566"/>
  </conditionalFormatting>
  <conditionalFormatting sqref="C426:C428 C410:C412">
    <cfRule type="duplicateValues" dxfId="3482" priority="567"/>
  </conditionalFormatting>
  <conditionalFormatting sqref="D426:D428 D410:D412">
    <cfRule type="duplicateValues" dxfId="3481" priority="568"/>
  </conditionalFormatting>
  <conditionalFormatting sqref="D434:D456 D381:D418 D432 D424:D430 D458:D459">
    <cfRule type="duplicateValues" dxfId="3480" priority="502"/>
  </conditionalFormatting>
  <conditionalFormatting sqref="C433">
    <cfRule type="duplicateValues" dxfId="3479" priority="496"/>
  </conditionalFormatting>
  <conditionalFormatting sqref="D433">
    <cfRule type="duplicateValues" dxfId="3478" priority="497"/>
  </conditionalFormatting>
  <conditionalFormatting sqref="D433">
    <cfRule type="duplicateValues" dxfId="3477" priority="498"/>
  </conditionalFormatting>
  <conditionalFormatting sqref="D433">
    <cfRule type="duplicateValues" dxfId="3476" priority="499"/>
    <cfRule type="duplicateValues" dxfId="3475" priority="500"/>
  </conditionalFormatting>
  <conditionalFormatting sqref="D433">
    <cfRule type="duplicateValues" dxfId="3474" priority="501"/>
  </conditionalFormatting>
  <conditionalFormatting sqref="D433">
    <cfRule type="duplicateValues" dxfId="3473" priority="495"/>
  </conditionalFormatting>
  <conditionalFormatting sqref="C457">
    <cfRule type="duplicateValues" dxfId="3472" priority="487"/>
  </conditionalFormatting>
  <conditionalFormatting sqref="D457">
    <cfRule type="duplicateValues" dxfId="3471" priority="488"/>
  </conditionalFormatting>
  <conditionalFormatting sqref="D457">
    <cfRule type="duplicateValues" dxfId="3470" priority="489"/>
  </conditionalFormatting>
  <conditionalFormatting sqref="D457">
    <cfRule type="duplicateValues" dxfId="3469" priority="490"/>
  </conditionalFormatting>
  <conditionalFormatting sqref="D457">
    <cfRule type="duplicateValues" dxfId="3468" priority="491"/>
    <cfRule type="duplicateValues" dxfId="3467" priority="492"/>
  </conditionalFormatting>
  <conditionalFormatting sqref="D457">
    <cfRule type="duplicateValues" dxfId="3466" priority="493"/>
  </conditionalFormatting>
  <conditionalFormatting sqref="D457">
    <cfRule type="duplicateValues" dxfId="3465" priority="494"/>
  </conditionalFormatting>
  <conditionalFormatting sqref="D457">
    <cfRule type="duplicateValues" dxfId="3464" priority="486"/>
  </conditionalFormatting>
  <conditionalFormatting sqref="D415">
    <cfRule type="duplicateValues" dxfId="3463" priority="569"/>
  </conditionalFormatting>
  <conditionalFormatting sqref="D415">
    <cfRule type="duplicateValues" dxfId="3462" priority="570"/>
    <cfRule type="duplicateValues" dxfId="3461" priority="571"/>
  </conditionalFormatting>
  <conditionalFormatting sqref="C415:C418 C424:C425">
    <cfRule type="duplicateValues" dxfId="3460" priority="572"/>
  </conditionalFormatting>
  <conditionalFormatting sqref="D415:D418 D424:D425">
    <cfRule type="duplicateValues" dxfId="3459" priority="573"/>
  </conditionalFormatting>
  <conditionalFormatting sqref="D381:D418 D424:D430 D432:D459">
    <cfRule type="duplicateValues" dxfId="3458" priority="485"/>
  </conditionalFormatting>
  <conditionalFormatting sqref="D431">
    <cfRule type="duplicateValues" dxfId="3457" priority="478"/>
  </conditionalFormatting>
  <conditionalFormatting sqref="D431">
    <cfRule type="duplicateValues" dxfId="3456" priority="479"/>
  </conditionalFormatting>
  <conditionalFormatting sqref="D431">
    <cfRule type="duplicateValues" dxfId="3455" priority="480"/>
    <cfRule type="duplicateValues" dxfId="3454" priority="481"/>
  </conditionalFormatting>
  <conditionalFormatting sqref="D431">
    <cfRule type="duplicateValues" dxfId="3453" priority="482"/>
  </conditionalFormatting>
  <conditionalFormatting sqref="C431">
    <cfRule type="duplicateValues" dxfId="3452" priority="483"/>
  </conditionalFormatting>
  <conditionalFormatting sqref="D431">
    <cfRule type="duplicateValues" dxfId="3451" priority="484"/>
  </conditionalFormatting>
  <conditionalFormatting sqref="D431">
    <cfRule type="duplicateValues" dxfId="3450" priority="477"/>
  </conditionalFormatting>
  <conditionalFormatting sqref="D431">
    <cfRule type="duplicateValues" dxfId="3449" priority="476"/>
  </conditionalFormatting>
  <conditionalFormatting sqref="D419">
    <cfRule type="duplicateValues" dxfId="3448" priority="464"/>
  </conditionalFormatting>
  <conditionalFormatting sqref="D419">
    <cfRule type="duplicateValues" dxfId="3447" priority="465"/>
  </conditionalFormatting>
  <conditionalFormatting sqref="D420">
    <cfRule type="duplicateValues" dxfId="3446" priority="460"/>
  </conditionalFormatting>
  <conditionalFormatting sqref="D420">
    <cfRule type="duplicateValues" dxfId="3445" priority="459"/>
  </conditionalFormatting>
  <conditionalFormatting sqref="D420">
    <cfRule type="duplicateValues" dxfId="3444" priority="461"/>
    <cfRule type="duplicateValues" dxfId="3443" priority="462"/>
  </conditionalFormatting>
  <conditionalFormatting sqref="D420">
    <cfRule type="duplicateValues" dxfId="3442" priority="463"/>
  </conditionalFormatting>
  <conditionalFormatting sqref="C419:C423">
    <cfRule type="duplicateValues" dxfId="3441" priority="458"/>
  </conditionalFormatting>
  <conditionalFormatting sqref="D419:D423">
    <cfRule type="duplicateValues" dxfId="3440" priority="466"/>
  </conditionalFormatting>
  <conditionalFormatting sqref="D421:D423">
    <cfRule type="duplicateValues" dxfId="3439" priority="467"/>
  </conditionalFormatting>
  <conditionalFormatting sqref="D421:D423">
    <cfRule type="duplicateValues" dxfId="3438" priority="468"/>
    <cfRule type="duplicateValues" dxfId="3437" priority="469"/>
  </conditionalFormatting>
  <conditionalFormatting sqref="D421:D423">
    <cfRule type="duplicateValues" dxfId="3436" priority="470"/>
  </conditionalFormatting>
  <conditionalFormatting sqref="D419:D423">
    <cfRule type="duplicateValues" dxfId="3435" priority="471"/>
  </conditionalFormatting>
  <conditionalFormatting sqref="D419:D423">
    <cfRule type="duplicateValues" dxfId="3434" priority="457"/>
  </conditionalFormatting>
  <conditionalFormatting sqref="D419:D423">
    <cfRule type="duplicateValues" dxfId="3433" priority="456"/>
  </conditionalFormatting>
  <conditionalFormatting sqref="D419">
    <cfRule type="duplicateValues" dxfId="3432" priority="472"/>
  </conditionalFormatting>
  <conditionalFormatting sqref="D419">
    <cfRule type="duplicateValues" dxfId="3431" priority="473"/>
    <cfRule type="duplicateValues" dxfId="3430" priority="474"/>
  </conditionalFormatting>
  <conditionalFormatting sqref="D421:D423">
    <cfRule type="duplicateValues" dxfId="3429" priority="475"/>
  </conditionalFormatting>
  <conditionalFormatting sqref="D671">
    <cfRule type="duplicateValues" dxfId="3428" priority="444"/>
  </conditionalFormatting>
  <conditionalFormatting sqref="D671">
    <cfRule type="duplicateValues" dxfId="3427" priority="445"/>
  </conditionalFormatting>
  <conditionalFormatting sqref="D671">
    <cfRule type="duplicateValues" dxfId="3426" priority="446"/>
    <cfRule type="duplicateValues" dxfId="3425" priority="447"/>
  </conditionalFormatting>
  <conditionalFormatting sqref="D671">
    <cfRule type="duplicateValues" dxfId="3424" priority="448"/>
  </conditionalFormatting>
  <conditionalFormatting sqref="D674">
    <cfRule type="duplicateValues" dxfId="3423" priority="439"/>
  </conditionalFormatting>
  <conditionalFormatting sqref="D674">
    <cfRule type="duplicateValues" dxfId="3422" priority="440"/>
  </conditionalFormatting>
  <conditionalFormatting sqref="D674">
    <cfRule type="duplicateValues" dxfId="3421" priority="441"/>
    <cfRule type="duplicateValues" dxfId="3420" priority="442"/>
  </conditionalFormatting>
  <conditionalFormatting sqref="D674">
    <cfRule type="duplicateValues" dxfId="3419" priority="443"/>
  </conditionalFormatting>
  <conditionalFormatting sqref="C761 C740:C756 C701:C706 C709:C736 C697:C698 C665:C667 C676:C693 C671 C674">
    <cfRule type="duplicateValues" dxfId="3418" priority="438"/>
  </conditionalFormatting>
  <conditionalFormatting sqref="D740:D756 D701:D706 D709:D736 D697:D698 D665:D667 D676:D693 D671 D674">
    <cfRule type="duplicateValues" dxfId="3417" priority="449"/>
  </conditionalFormatting>
  <conditionalFormatting sqref="D716:D721 D723:D736 D740:D754 D702:D706 D709:D714 D697 D665:D667 D676:D682">
    <cfRule type="duplicateValues" dxfId="3416" priority="450"/>
  </conditionalFormatting>
  <conditionalFormatting sqref="D740:D752 D735:D736 D713:D714 D716:D721 D723:D733 D702:D706 D709:D711 D697 D665:D667 D676:D682">
    <cfRule type="duplicateValues" dxfId="3415" priority="451"/>
  </conditionalFormatting>
  <conditionalFormatting sqref="D716:D721 D723:D736 D740:D754 D702:D706 D709:D714 D697 D665:D667 D676:D682">
    <cfRule type="duplicateValues" dxfId="3414" priority="452"/>
    <cfRule type="duplicateValues" dxfId="3413" priority="453"/>
  </conditionalFormatting>
  <conditionalFormatting sqref="D716:D721">
    <cfRule type="duplicateValues" dxfId="3412" priority="454"/>
  </conditionalFormatting>
  <conditionalFormatting sqref="D675">
    <cfRule type="duplicateValues" dxfId="3411" priority="437"/>
  </conditionalFormatting>
  <conditionalFormatting sqref="D668">
    <cfRule type="duplicateValues" dxfId="3410" priority="431"/>
  </conditionalFormatting>
  <conditionalFormatting sqref="D668">
    <cfRule type="duplicateValues" dxfId="3409" priority="432"/>
  </conditionalFormatting>
  <conditionalFormatting sqref="D668">
    <cfRule type="duplicateValues" dxfId="3408" priority="433"/>
    <cfRule type="duplicateValues" dxfId="3407" priority="434"/>
  </conditionalFormatting>
  <conditionalFormatting sqref="D668">
    <cfRule type="duplicateValues" dxfId="3406" priority="435"/>
  </conditionalFormatting>
  <conditionalFormatting sqref="D669">
    <cfRule type="duplicateValues" dxfId="3405" priority="426"/>
  </conditionalFormatting>
  <conditionalFormatting sqref="D669">
    <cfRule type="duplicateValues" dxfId="3404" priority="427"/>
  </conditionalFormatting>
  <conditionalFormatting sqref="D669">
    <cfRule type="duplicateValues" dxfId="3403" priority="428"/>
    <cfRule type="duplicateValues" dxfId="3402" priority="429"/>
  </conditionalFormatting>
  <conditionalFormatting sqref="D669">
    <cfRule type="duplicateValues" dxfId="3401" priority="430"/>
  </conditionalFormatting>
  <conditionalFormatting sqref="C668:C669">
    <cfRule type="duplicateValues" dxfId="3400" priority="425"/>
  </conditionalFormatting>
  <conditionalFormatting sqref="D668:D669">
    <cfRule type="duplicateValues" dxfId="3399" priority="436"/>
  </conditionalFormatting>
  <conditionalFormatting sqref="D670">
    <cfRule type="duplicateValues" dxfId="3398" priority="419"/>
  </conditionalFormatting>
  <conditionalFormatting sqref="D670">
    <cfRule type="duplicateValues" dxfId="3397" priority="420"/>
  </conditionalFormatting>
  <conditionalFormatting sqref="D670">
    <cfRule type="duplicateValues" dxfId="3396" priority="421"/>
    <cfRule type="duplicateValues" dxfId="3395" priority="422"/>
  </conditionalFormatting>
  <conditionalFormatting sqref="D670">
    <cfRule type="duplicateValues" dxfId="3394" priority="423"/>
  </conditionalFormatting>
  <conditionalFormatting sqref="C670">
    <cfRule type="duplicateValues" dxfId="3393" priority="418"/>
  </conditionalFormatting>
  <conditionalFormatting sqref="D670">
    <cfRule type="duplicateValues" dxfId="3392" priority="424"/>
  </conditionalFormatting>
  <conditionalFormatting sqref="D761 D701:D706 D709:D758 D697:D698 D665:D671 D674:D693">
    <cfRule type="duplicateValues" dxfId="3391" priority="455"/>
  </conditionalFormatting>
  <conditionalFormatting sqref="D709:D761 D697:D706 D665:D671 D674:D693">
    <cfRule type="duplicateValues" dxfId="3390" priority="417"/>
  </conditionalFormatting>
  <conditionalFormatting sqref="D672">
    <cfRule type="duplicateValues" dxfId="3389" priority="410"/>
  </conditionalFormatting>
  <conditionalFormatting sqref="D672">
    <cfRule type="duplicateValues" dxfId="3388" priority="411"/>
  </conditionalFormatting>
  <conditionalFormatting sqref="D672">
    <cfRule type="duplicateValues" dxfId="3387" priority="412"/>
    <cfRule type="duplicateValues" dxfId="3386" priority="413"/>
  </conditionalFormatting>
  <conditionalFormatting sqref="D672">
    <cfRule type="duplicateValues" dxfId="3385" priority="414"/>
  </conditionalFormatting>
  <conditionalFormatting sqref="C672">
    <cfRule type="duplicateValues" dxfId="3384" priority="409"/>
  </conditionalFormatting>
  <conditionalFormatting sqref="D672">
    <cfRule type="duplicateValues" dxfId="3383" priority="415"/>
  </conditionalFormatting>
  <conditionalFormatting sqref="D673">
    <cfRule type="duplicateValues" dxfId="3382" priority="408"/>
  </conditionalFormatting>
  <conditionalFormatting sqref="D672:D673">
    <cfRule type="duplicateValues" dxfId="3381" priority="416"/>
  </conditionalFormatting>
  <conditionalFormatting sqref="D672:D673">
    <cfRule type="duplicateValues" dxfId="3380" priority="407"/>
  </conditionalFormatting>
  <conditionalFormatting sqref="D709:D761 D697:D706 D665:D693">
    <cfRule type="duplicateValues" dxfId="3379" priority="406"/>
  </conditionalFormatting>
  <conditionalFormatting sqref="D684">
    <cfRule type="duplicateValues" dxfId="3378" priority="398"/>
  </conditionalFormatting>
  <conditionalFormatting sqref="D683:D685">
    <cfRule type="duplicateValues" dxfId="3377" priority="397"/>
  </conditionalFormatting>
  <conditionalFormatting sqref="D685 D683">
    <cfRule type="duplicateValues" dxfId="3376" priority="399"/>
  </conditionalFormatting>
  <conditionalFormatting sqref="D683:D685">
    <cfRule type="duplicateValues" dxfId="3375" priority="400"/>
    <cfRule type="duplicateValues" dxfId="3374" priority="401"/>
  </conditionalFormatting>
  <conditionalFormatting sqref="D683:D685">
    <cfRule type="duplicateValues" dxfId="3373" priority="402"/>
  </conditionalFormatting>
  <conditionalFormatting sqref="D692">
    <cfRule type="duplicateValues" dxfId="3372" priority="392"/>
  </conditionalFormatting>
  <conditionalFormatting sqref="D691:D693">
    <cfRule type="duplicateValues" dxfId="3371" priority="391"/>
  </conditionalFormatting>
  <conditionalFormatting sqref="D693 D691">
    <cfRule type="duplicateValues" dxfId="3370" priority="393"/>
  </conditionalFormatting>
  <conditionalFormatting sqref="D691:D693">
    <cfRule type="duplicateValues" dxfId="3369" priority="394"/>
    <cfRule type="duplicateValues" dxfId="3368" priority="395"/>
  </conditionalFormatting>
  <conditionalFormatting sqref="D692:D693">
    <cfRule type="duplicateValues" dxfId="3367" priority="396"/>
  </conditionalFormatting>
  <conditionalFormatting sqref="D689">
    <cfRule type="duplicateValues" dxfId="3366" priority="386"/>
  </conditionalFormatting>
  <conditionalFormatting sqref="D688:D690">
    <cfRule type="duplicateValues" dxfId="3365" priority="385"/>
  </conditionalFormatting>
  <conditionalFormatting sqref="D690 D688">
    <cfRule type="duplicateValues" dxfId="3364" priority="387"/>
  </conditionalFormatting>
  <conditionalFormatting sqref="D688:D690">
    <cfRule type="duplicateValues" dxfId="3363" priority="388"/>
    <cfRule type="duplicateValues" dxfId="3362" priority="389"/>
  </conditionalFormatting>
  <conditionalFormatting sqref="D688:D690">
    <cfRule type="duplicateValues" dxfId="3361" priority="390"/>
  </conditionalFormatting>
  <conditionalFormatting sqref="D686:D687">
    <cfRule type="duplicateValues" dxfId="3360" priority="403"/>
  </conditionalFormatting>
  <conditionalFormatting sqref="D686:D687">
    <cfRule type="duplicateValues" dxfId="3359" priority="404"/>
    <cfRule type="duplicateValues" dxfId="3358" priority="405"/>
  </conditionalFormatting>
  <conditionalFormatting sqref="D694">
    <cfRule type="duplicateValues" dxfId="3357" priority="378"/>
  </conditionalFormatting>
  <conditionalFormatting sqref="C694">
    <cfRule type="duplicateValues" dxfId="3356" priority="377"/>
  </conditionalFormatting>
  <conditionalFormatting sqref="D694">
    <cfRule type="duplicateValues" dxfId="3355" priority="379"/>
  </conditionalFormatting>
  <conditionalFormatting sqref="D694">
    <cfRule type="duplicateValues" dxfId="3354" priority="380"/>
  </conditionalFormatting>
  <conditionalFormatting sqref="D694">
    <cfRule type="duplicateValues" dxfId="3353" priority="381"/>
    <cfRule type="duplicateValues" dxfId="3352" priority="382"/>
  </conditionalFormatting>
  <conditionalFormatting sqref="D694">
    <cfRule type="duplicateValues" dxfId="3351" priority="383"/>
  </conditionalFormatting>
  <conditionalFormatting sqref="D694">
    <cfRule type="duplicateValues" dxfId="3350" priority="384"/>
  </conditionalFormatting>
  <conditionalFormatting sqref="D694">
    <cfRule type="duplicateValues" dxfId="3349" priority="376"/>
  </conditionalFormatting>
  <conditionalFormatting sqref="D694">
    <cfRule type="duplicateValues" dxfId="3348" priority="375"/>
  </conditionalFormatting>
  <conditionalFormatting sqref="D695">
    <cfRule type="duplicateValues" dxfId="3347" priority="368"/>
  </conditionalFormatting>
  <conditionalFormatting sqref="D695">
    <cfRule type="duplicateValues" dxfId="3346" priority="369"/>
  </conditionalFormatting>
  <conditionalFormatting sqref="D695">
    <cfRule type="duplicateValues" dxfId="3345" priority="370"/>
    <cfRule type="duplicateValues" dxfId="3344" priority="371"/>
  </conditionalFormatting>
  <conditionalFormatting sqref="D695">
    <cfRule type="duplicateValues" dxfId="3343" priority="372"/>
  </conditionalFormatting>
  <conditionalFormatting sqref="C695">
    <cfRule type="duplicateValues" dxfId="3342" priority="367"/>
  </conditionalFormatting>
  <conditionalFormatting sqref="D695">
    <cfRule type="duplicateValues" dxfId="3341" priority="373"/>
  </conditionalFormatting>
  <conditionalFormatting sqref="D695">
    <cfRule type="duplicateValues" dxfId="3340" priority="374"/>
  </conditionalFormatting>
  <conditionalFormatting sqref="D695">
    <cfRule type="duplicateValues" dxfId="3339" priority="366"/>
  </conditionalFormatting>
  <conditionalFormatting sqref="D695">
    <cfRule type="duplicateValues" dxfId="3338" priority="365"/>
  </conditionalFormatting>
  <conditionalFormatting sqref="D696">
    <cfRule type="duplicateValues" dxfId="3337" priority="358"/>
  </conditionalFormatting>
  <conditionalFormatting sqref="C696">
    <cfRule type="duplicateValues" dxfId="3336" priority="357"/>
  </conditionalFormatting>
  <conditionalFormatting sqref="D696">
    <cfRule type="duplicateValues" dxfId="3335" priority="359"/>
  </conditionalFormatting>
  <conditionalFormatting sqref="D696">
    <cfRule type="duplicateValues" dxfId="3334" priority="360"/>
  </conditionalFormatting>
  <conditionalFormatting sqref="D696">
    <cfRule type="duplicateValues" dxfId="3333" priority="361"/>
    <cfRule type="duplicateValues" dxfId="3332" priority="362"/>
  </conditionalFormatting>
  <conditionalFormatting sqref="D696">
    <cfRule type="duplicateValues" dxfId="3331" priority="363"/>
  </conditionalFormatting>
  <conditionalFormatting sqref="D696">
    <cfRule type="duplicateValues" dxfId="3330" priority="364"/>
  </conditionalFormatting>
  <conditionalFormatting sqref="D696">
    <cfRule type="duplicateValues" dxfId="3329" priority="356"/>
  </conditionalFormatting>
  <conditionalFormatting sqref="D696">
    <cfRule type="duplicateValues" dxfId="3328" priority="355"/>
  </conditionalFormatting>
  <conditionalFormatting sqref="D712">
    <cfRule type="duplicateValues" dxfId="3327" priority="353"/>
  </conditionalFormatting>
  <conditionalFormatting sqref="D734">
    <cfRule type="duplicateValues" dxfId="3326" priority="352"/>
  </conditionalFormatting>
  <conditionalFormatting sqref="D753:D754">
    <cfRule type="duplicateValues" dxfId="3325" priority="351"/>
  </conditionalFormatting>
  <conditionalFormatting sqref="D716">
    <cfRule type="duplicateValues" dxfId="3324" priority="354"/>
  </conditionalFormatting>
  <conditionalFormatting sqref="D706">
    <cfRule type="duplicateValues" dxfId="3323" priority="347"/>
  </conditionalFormatting>
  <conditionalFormatting sqref="D706">
    <cfRule type="duplicateValues" dxfId="3322" priority="348"/>
    <cfRule type="duplicateValues" dxfId="3321" priority="349"/>
  </conditionalFormatting>
  <conditionalFormatting sqref="D706">
    <cfRule type="duplicateValues" dxfId="3320" priority="350"/>
  </conditionalFormatting>
  <conditionalFormatting sqref="D706">
    <cfRule type="duplicateValues" dxfId="3319" priority="346"/>
  </conditionalFormatting>
  <conditionalFormatting sqref="D756">
    <cfRule type="duplicateValues" dxfId="3318" priority="342"/>
  </conditionalFormatting>
  <conditionalFormatting sqref="D756">
    <cfRule type="duplicateValues" dxfId="3317" priority="341"/>
  </conditionalFormatting>
  <conditionalFormatting sqref="D756">
    <cfRule type="duplicateValues" dxfId="3316" priority="343"/>
    <cfRule type="duplicateValues" dxfId="3315" priority="344"/>
  </conditionalFormatting>
  <conditionalFormatting sqref="D756">
    <cfRule type="duplicateValues" dxfId="3314" priority="345"/>
  </conditionalFormatting>
  <conditionalFormatting sqref="D755">
    <cfRule type="duplicateValues" dxfId="3313" priority="337"/>
  </conditionalFormatting>
  <conditionalFormatting sqref="D755">
    <cfRule type="duplicateValues" dxfId="3312" priority="336"/>
  </conditionalFormatting>
  <conditionalFormatting sqref="D755">
    <cfRule type="duplicateValues" dxfId="3311" priority="338"/>
    <cfRule type="duplicateValues" dxfId="3310" priority="339"/>
  </conditionalFormatting>
  <conditionalFormatting sqref="D755">
    <cfRule type="duplicateValues" dxfId="3309" priority="340"/>
  </conditionalFormatting>
  <conditionalFormatting sqref="D698">
    <cfRule type="duplicateValues" dxfId="3308" priority="332"/>
    <cfRule type="duplicateValues" dxfId="3307" priority="333"/>
  </conditionalFormatting>
  <conditionalFormatting sqref="D698">
    <cfRule type="duplicateValues" dxfId="3306" priority="334"/>
  </conditionalFormatting>
  <conditionalFormatting sqref="D698">
    <cfRule type="duplicateValues" dxfId="3305" priority="335"/>
  </conditionalFormatting>
  <conditionalFormatting sqref="D698">
    <cfRule type="duplicateValues" dxfId="3304" priority="331"/>
  </conditionalFormatting>
  <conditionalFormatting sqref="D705">
    <cfRule type="duplicateValues" dxfId="3303" priority="327"/>
  </conditionalFormatting>
  <conditionalFormatting sqref="D705">
    <cfRule type="duplicateValues" dxfId="3302" priority="328"/>
    <cfRule type="duplicateValues" dxfId="3301" priority="329"/>
  </conditionalFormatting>
  <conditionalFormatting sqref="D705">
    <cfRule type="duplicateValues" dxfId="3300" priority="330"/>
  </conditionalFormatting>
  <conditionalFormatting sqref="D705">
    <cfRule type="duplicateValues" dxfId="3299" priority="326"/>
  </conditionalFormatting>
  <conditionalFormatting sqref="D701">
    <cfRule type="duplicateValues" dxfId="3298" priority="321"/>
  </conditionalFormatting>
  <conditionalFormatting sqref="D701">
    <cfRule type="duplicateValues" dxfId="3297" priority="322"/>
  </conditionalFormatting>
  <conditionalFormatting sqref="D701">
    <cfRule type="duplicateValues" dxfId="3296" priority="323"/>
    <cfRule type="duplicateValues" dxfId="3295" priority="324"/>
  </conditionalFormatting>
  <conditionalFormatting sqref="D701">
    <cfRule type="duplicateValues" dxfId="3294" priority="325"/>
  </conditionalFormatting>
  <conditionalFormatting sqref="D706">
    <cfRule type="duplicateValues" dxfId="3293" priority="317"/>
  </conditionalFormatting>
  <conditionalFormatting sqref="D706">
    <cfRule type="duplicateValues" dxfId="3292" priority="318"/>
    <cfRule type="duplicateValues" dxfId="3291" priority="319"/>
  </conditionalFormatting>
  <conditionalFormatting sqref="D706">
    <cfRule type="duplicateValues" dxfId="3290" priority="320"/>
  </conditionalFormatting>
  <conditionalFormatting sqref="D706">
    <cfRule type="duplicateValues" dxfId="3289" priority="316"/>
  </conditionalFormatting>
  <conditionalFormatting sqref="D715">
    <cfRule type="duplicateValues" dxfId="3288" priority="311"/>
  </conditionalFormatting>
  <conditionalFormatting sqref="D715">
    <cfRule type="duplicateValues" dxfId="3287" priority="312"/>
  </conditionalFormatting>
  <conditionalFormatting sqref="D715">
    <cfRule type="duplicateValues" dxfId="3286" priority="313"/>
    <cfRule type="duplicateValues" dxfId="3285" priority="314"/>
  </conditionalFormatting>
  <conditionalFormatting sqref="D715">
    <cfRule type="duplicateValues" dxfId="3284" priority="315"/>
  </conditionalFormatting>
  <conditionalFormatting sqref="D722">
    <cfRule type="duplicateValues" dxfId="3283" priority="306"/>
  </conditionalFormatting>
  <conditionalFormatting sqref="D722">
    <cfRule type="duplicateValues" dxfId="3282" priority="307"/>
  </conditionalFormatting>
  <conditionalFormatting sqref="D722">
    <cfRule type="duplicateValues" dxfId="3281" priority="308"/>
    <cfRule type="duplicateValues" dxfId="3280" priority="309"/>
  </conditionalFormatting>
  <conditionalFormatting sqref="D722">
    <cfRule type="duplicateValues" dxfId="3279" priority="310"/>
  </conditionalFormatting>
  <conditionalFormatting sqref="D709">
    <cfRule type="duplicateValues" dxfId="3278" priority="303"/>
  </conditionalFormatting>
  <conditionalFormatting sqref="D709">
    <cfRule type="duplicateValues" dxfId="3277" priority="304"/>
    <cfRule type="duplicateValues" dxfId="3276" priority="305"/>
  </conditionalFormatting>
  <conditionalFormatting sqref="D761">
    <cfRule type="duplicateValues" dxfId="3275" priority="299"/>
  </conditionalFormatting>
  <conditionalFormatting sqref="D761">
    <cfRule type="duplicateValues" dxfId="3274" priority="298"/>
  </conditionalFormatting>
  <conditionalFormatting sqref="D761">
    <cfRule type="duplicateValues" dxfId="3273" priority="300"/>
    <cfRule type="duplicateValues" dxfId="3272" priority="301"/>
  </conditionalFormatting>
  <conditionalFormatting sqref="D761">
    <cfRule type="duplicateValues" dxfId="3271" priority="302"/>
  </conditionalFormatting>
  <conditionalFormatting sqref="D761">
    <cfRule type="duplicateValues" dxfId="3270" priority="297"/>
  </conditionalFormatting>
  <conditionalFormatting sqref="D739">
    <cfRule type="duplicateValues" dxfId="3269" priority="290"/>
  </conditionalFormatting>
  <conditionalFormatting sqref="C737:C739">
    <cfRule type="duplicateValues" dxfId="3268" priority="289"/>
  </conditionalFormatting>
  <conditionalFormatting sqref="D737:D739">
    <cfRule type="duplicateValues" dxfId="3267" priority="291"/>
  </conditionalFormatting>
  <conditionalFormatting sqref="D737:D739">
    <cfRule type="duplicateValues" dxfId="3266" priority="292"/>
  </conditionalFormatting>
  <conditionalFormatting sqref="D737:D738">
    <cfRule type="duplicateValues" dxfId="3265" priority="293"/>
  </conditionalFormatting>
  <conditionalFormatting sqref="D737:D739">
    <cfRule type="duplicateValues" dxfId="3264" priority="294"/>
    <cfRule type="duplicateValues" dxfId="3263" priority="295"/>
  </conditionalFormatting>
  <conditionalFormatting sqref="D737:D739">
    <cfRule type="duplicateValues" dxfId="3262" priority="296"/>
  </conditionalFormatting>
  <conditionalFormatting sqref="D758">
    <cfRule type="duplicateValues" dxfId="3261" priority="284"/>
  </conditionalFormatting>
  <conditionalFormatting sqref="D758">
    <cfRule type="duplicateValues" dxfId="3260" priority="283"/>
  </conditionalFormatting>
  <conditionalFormatting sqref="D758">
    <cfRule type="duplicateValues" dxfId="3259" priority="285"/>
    <cfRule type="duplicateValues" dxfId="3258" priority="286"/>
  </conditionalFormatting>
  <conditionalFormatting sqref="D758">
    <cfRule type="duplicateValues" dxfId="3257" priority="287"/>
  </conditionalFormatting>
  <conditionalFormatting sqref="D757">
    <cfRule type="duplicateValues" dxfId="3256" priority="279"/>
  </conditionalFormatting>
  <conditionalFormatting sqref="D757">
    <cfRule type="duplicateValues" dxfId="3255" priority="278"/>
  </conditionalFormatting>
  <conditionalFormatting sqref="D757">
    <cfRule type="duplicateValues" dxfId="3254" priority="280"/>
    <cfRule type="duplicateValues" dxfId="3253" priority="281"/>
  </conditionalFormatting>
  <conditionalFormatting sqref="D757">
    <cfRule type="duplicateValues" dxfId="3252" priority="282"/>
  </conditionalFormatting>
  <conditionalFormatting sqref="D757">
    <cfRule type="duplicateValues" dxfId="3251" priority="277"/>
  </conditionalFormatting>
  <conditionalFormatting sqref="C757:C758">
    <cfRule type="duplicateValues" dxfId="3250" priority="276"/>
  </conditionalFormatting>
  <conditionalFormatting sqref="D758">
    <cfRule type="duplicateValues" dxfId="3249" priority="288"/>
  </conditionalFormatting>
  <conditionalFormatting sqref="D759">
    <cfRule type="duplicateValues" dxfId="3248" priority="272"/>
  </conditionalFormatting>
  <conditionalFormatting sqref="D759">
    <cfRule type="duplicateValues" dxfId="3247" priority="271"/>
  </conditionalFormatting>
  <conditionalFormatting sqref="D759">
    <cfRule type="duplicateValues" dxfId="3246" priority="273"/>
    <cfRule type="duplicateValues" dxfId="3245" priority="274"/>
  </conditionalFormatting>
  <conditionalFormatting sqref="D759">
    <cfRule type="duplicateValues" dxfId="3244" priority="275"/>
  </conditionalFormatting>
  <conditionalFormatting sqref="D759">
    <cfRule type="duplicateValues" dxfId="3243" priority="270"/>
  </conditionalFormatting>
  <conditionalFormatting sqref="C759">
    <cfRule type="duplicateValues" dxfId="3242" priority="269"/>
  </conditionalFormatting>
  <conditionalFormatting sqref="D759">
    <cfRule type="duplicateValues" dxfId="3241" priority="268"/>
  </conditionalFormatting>
  <conditionalFormatting sqref="D760">
    <cfRule type="duplicateValues" dxfId="3240" priority="263"/>
  </conditionalFormatting>
  <conditionalFormatting sqref="D760">
    <cfRule type="duplicateValues" dxfId="3239" priority="262"/>
  </conditionalFormatting>
  <conditionalFormatting sqref="D760">
    <cfRule type="duplicateValues" dxfId="3238" priority="264"/>
    <cfRule type="duplicateValues" dxfId="3237" priority="265"/>
  </conditionalFormatting>
  <conditionalFormatting sqref="D760">
    <cfRule type="duplicateValues" dxfId="3236" priority="266"/>
  </conditionalFormatting>
  <conditionalFormatting sqref="D759">
    <cfRule type="duplicateValues" dxfId="3235" priority="258"/>
  </conditionalFormatting>
  <conditionalFormatting sqref="D759">
    <cfRule type="duplicateValues" dxfId="3234" priority="257"/>
  </conditionalFormatting>
  <conditionalFormatting sqref="D759">
    <cfRule type="duplicateValues" dxfId="3233" priority="259"/>
    <cfRule type="duplicateValues" dxfId="3232" priority="260"/>
  </conditionalFormatting>
  <conditionalFormatting sqref="D759">
    <cfRule type="duplicateValues" dxfId="3231" priority="261"/>
  </conditionalFormatting>
  <conditionalFormatting sqref="D759">
    <cfRule type="duplicateValues" dxfId="3230" priority="256"/>
  </conditionalFormatting>
  <conditionalFormatting sqref="C759:C760">
    <cfRule type="duplicateValues" dxfId="3229" priority="255"/>
  </conditionalFormatting>
  <conditionalFormatting sqref="D760">
    <cfRule type="duplicateValues" dxfId="3228" priority="267"/>
  </conditionalFormatting>
  <conditionalFormatting sqref="D759:D760">
    <cfRule type="duplicateValues" dxfId="3227" priority="254"/>
  </conditionalFormatting>
  <conditionalFormatting sqref="D699">
    <cfRule type="duplicateValues" dxfId="3226" priority="243"/>
  </conditionalFormatting>
  <conditionalFormatting sqref="D699">
    <cfRule type="duplicateValues" dxfId="3225" priority="244"/>
  </conditionalFormatting>
  <conditionalFormatting sqref="D699">
    <cfRule type="duplicateValues" dxfId="3224" priority="245"/>
    <cfRule type="duplicateValues" dxfId="3223" priority="246"/>
  </conditionalFormatting>
  <conditionalFormatting sqref="D699">
    <cfRule type="duplicateValues" dxfId="3222" priority="247"/>
  </conditionalFormatting>
  <conditionalFormatting sqref="C699:C700">
    <cfRule type="duplicateValues" dxfId="3221" priority="242"/>
  </conditionalFormatting>
  <conditionalFormatting sqref="D699:D700">
    <cfRule type="duplicateValues" dxfId="3220" priority="248"/>
  </conditionalFormatting>
  <conditionalFormatting sqref="D700">
    <cfRule type="duplicateValues" dxfId="3219" priority="249"/>
  </conditionalFormatting>
  <conditionalFormatting sqref="D700">
    <cfRule type="duplicateValues" dxfId="3218" priority="250"/>
  </conditionalFormatting>
  <conditionalFormatting sqref="D700">
    <cfRule type="duplicateValues" dxfId="3217" priority="251"/>
    <cfRule type="duplicateValues" dxfId="3216" priority="252"/>
  </conditionalFormatting>
  <conditionalFormatting sqref="D700">
    <cfRule type="duplicateValues" dxfId="3215" priority="253"/>
  </conditionalFormatting>
  <conditionalFormatting sqref="D699:D700">
    <cfRule type="duplicateValues" dxfId="3214" priority="241"/>
  </conditionalFormatting>
  <conditionalFormatting sqref="D705">
    <cfRule type="duplicateValues" dxfId="3213" priority="237"/>
  </conditionalFormatting>
  <conditionalFormatting sqref="D705">
    <cfRule type="duplicateValues" dxfId="3212" priority="238"/>
    <cfRule type="duplicateValues" dxfId="3211" priority="239"/>
  </conditionalFormatting>
  <conditionalFormatting sqref="D705">
    <cfRule type="duplicateValues" dxfId="3210" priority="240"/>
  </conditionalFormatting>
  <conditionalFormatting sqref="D705">
    <cfRule type="duplicateValues" dxfId="3209" priority="236"/>
  </conditionalFormatting>
  <conditionalFormatting sqref="D704">
    <cfRule type="duplicateValues" dxfId="3208" priority="232"/>
  </conditionalFormatting>
  <conditionalFormatting sqref="D704">
    <cfRule type="duplicateValues" dxfId="3207" priority="233"/>
    <cfRule type="duplicateValues" dxfId="3206" priority="234"/>
  </conditionalFormatting>
  <conditionalFormatting sqref="D704">
    <cfRule type="duplicateValues" dxfId="3205" priority="235"/>
  </conditionalFormatting>
  <conditionalFormatting sqref="D704">
    <cfRule type="duplicateValues" dxfId="3204" priority="231"/>
  </conditionalFormatting>
  <conditionalFormatting sqref="D705">
    <cfRule type="duplicateValues" dxfId="3203" priority="227"/>
  </conditionalFormatting>
  <conditionalFormatting sqref="D705">
    <cfRule type="duplicateValues" dxfId="3202" priority="228"/>
    <cfRule type="duplicateValues" dxfId="3201" priority="229"/>
  </conditionalFormatting>
  <conditionalFormatting sqref="D705">
    <cfRule type="duplicateValues" dxfId="3200" priority="230"/>
  </conditionalFormatting>
  <conditionalFormatting sqref="D705">
    <cfRule type="duplicateValues" dxfId="3199" priority="226"/>
  </conditionalFormatting>
  <conditionalFormatting sqref="D706">
    <cfRule type="duplicateValues" dxfId="3198" priority="223"/>
  </conditionalFormatting>
  <conditionalFormatting sqref="D706">
    <cfRule type="duplicateValues" dxfId="3197" priority="224"/>
    <cfRule type="duplicateValues" dxfId="3196" priority="225"/>
  </conditionalFormatting>
  <conditionalFormatting sqref="D708">
    <cfRule type="duplicateValues" dxfId="3195" priority="216"/>
  </conditionalFormatting>
  <conditionalFormatting sqref="D708">
    <cfRule type="duplicateValues" dxfId="3194" priority="217"/>
  </conditionalFormatting>
  <conditionalFormatting sqref="D708">
    <cfRule type="duplicateValues" dxfId="3193" priority="218"/>
    <cfRule type="duplicateValues" dxfId="3192" priority="219"/>
  </conditionalFormatting>
  <conditionalFormatting sqref="D708">
    <cfRule type="duplicateValues" dxfId="3191" priority="220"/>
  </conditionalFormatting>
  <conditionalFormatting sqref="C708">
    <cfRule type="duplicateValues" dxfId="3190" priority="215"/>
  </conditionalFormatting>
  <conditionalFormatting sqref="D708">
    <cfRule type="duplicateValues" dxfId="3189" priority="221"/>
  </conditionalFormatting>
  <conditionalFormatting sqref="D708">
    <cfRule type="duplicateValues" dxfId="3188" priority="222"/>
  </conditionalFormatting>
  <conditionalFormatting sqref="D708">
    <cfRule type="duplicateValues" dxfId="3187" priority="214"/>
  </conditionalFormatting>
  <conditionalFormatting sqref="D708">
    <cfRule type="duplicateValues" dxfId="3186" priority="213"/>
  </conditionalFormatting>
  <conditionalFormatting sqref="D707">
    <cfRule type="duplicateValues" dxfId="3185" priority="207"/>
  </conditionalFormatting>
  <conditionalFormatting sqref="D707">
    <cfRule type="duplicateValues" dxfId="3184" priority="208"/>
    <cfRule type="duplicateValues" dxfId="3183" priority="209"/>
  </conditionalFormatting>
  <conditionalFormatting sqref="C707">
    <cfRule type="duplicateValues" dxfId="3182" priority="210"/>
  </conditionalFormatting>
  <conditionalFormatting sqref="D707">
    <cfRule type="duplicateValues" dxfId="3181" priority="211"/>
  </conditionalFormatting>
  <conditionalFormatting sqref="D707">
    <cfRule type="duplicateValues" dxfId="3180" priority="212"/>
  </conditionalFormatting>
  <conditionalFormatting sqref="D707">
    <cfRule type="duplicateValues" dxfId="3179" priority="206"/>
  </conditionalFormatting>
  <conditionalFormatting sqref="D707">
    <cfRule type="duplicateValues" dxfId="3178" priority="205"/>
  </conditionalFormatting>
  <conditionalFormatting sqref="D768">
    <cfRule type="duplicateValues" dxfId="3177" priority="187"/>
  </conditionalFormatting>
  <conditionalFormatting sqref="D770">
    <cfRule type="duplicateValues" dxfId="3176" priority="182"/>
  </conditionalFormatting>
  <conditionalFormatting sqref="D770">
    <cfRule type="duplicateValues" dxfId="3175" priority="183"/>
  </conditionalFormatting>
  <conditionalFormatting sqref="D770">
    <cfRule type="duplicateValues" dxfId="3174" priority="184"/>
    <cfRule type="duplicateValues" dxfId="3173" priority="185"/>
  </conditionalFormatting>
  <conditionalFormatting sqref="D770">
    <cfRule type="duplicateValues" dxfId="3172" priority="186"/>
  </conditionalFormatting>
  <conditionalFormatting sqref="D764">
    <cfRule type="duplicateValues" dxfId="3171" priority="177"/>
  </conditionalFormatting>
  <conditionalFormatting sqref="D764:D765">
    <cfRule type="duplicateValues" dxfId="3170" priority="176"/>
  </conditionalFormatting>
  <conditionalFormatting sqref="D764:D765">
    <cfRule type="duplicateValues" dxfId="3169" priority="178"/>
  </conditionalFormatting>
  <conditionalFormatting sqref="D764:D765">
    <cfRule type="duplicateValues" dxfId="3168" priority="179"/>
    <cfRule type="duplicateValues" dxfId="3167" priority="180"/>
  </conditionalFormatting>
  <conditionalFormatting sqref="D764:D765">
    <cfRule type="duplicateValues" dxfId="3166" priority="181"/>
  </conditionalFormatting>
  <conditionalFormatting sqref="D766">
    <cfRule type="duplicateValues" dxfId="3165" priority="171"/>
  </conditionalFormatting>
  <conditionalFormatting sqref="D766">
    <cfRule type="duplicateValues" dxfId="3164" priority="172"/>
  </conditionalFormatting>
  <conditionalFormatting sqref="D766">
    <cfRule type="duplicateValues" dxfId="3163" priority="173"/>
    <cfRule type="duplicateValues" dxfId="3162" priority="174"/>
  </conditionalFormatting>
  <conditionalFormatting sqref="D766">
    <cfRule type="duplicateValues" dxfId="3161" priority="175"/>
  </conditionalFormatting>
  <conditionalFormatting sqref="D771">
    <cfRule type="duplicateValues" dxfId="3160" priority="170"/>
  </conditionalFormatting>
  <conditionalFormatting sqref="D772:D774">
    <cfRule type="duplicateValues" dxfId="3159" priority="168"/>
  </conditionalFormatting>
  <conditionalFormatting sqref="D775">
    <cfRule type="duplicateValues" dxfId="3158" priority="167"/>
  </conditionalFormatting>
  <conditionalFormatting sqref="D776">
    <cfRule type="duplicateValues" dxfId="3157" priority="163"/>
  </conditionalFormatting>
  <conditionalFormatting sqref="D776">
    <cfRule type="duplicateValues" dxfId="3156" priority="162"/>
  </conditionalFormatting>
  <conditionalFormatting sqref="D776">
    <cfRule type="duplicateValues" dxfId="3155" priority="164"/>
    <cfRule type="duplicateValues" dxfId="3154" priority="165"/>
  </conditionalFormatting>
  <conditionalFormatting sqref="D776">
    <cfRule type="duplicateValues" dxfId="3153" priority="166"/>
  </conditionalFormatting>
  <conditionalFormatting sqref="D777">
    <cfRule type="duplicateValues" dxfId="3152" priority="158"/>
  </conditionalFormatting>
  <conditionalFormatting sqref="D777">
    <cfRule type="duplicateValues" dxfId="3151" priority="159"/>
  </conditionalFormatting>
  <conditionalFormatting sqref="D777">
    <cfRule type="duplicateValues" dxfId="3150" priority="160"/>
    <cfRule type="duplicateValues" dxfId="3149" priority="161"/>
  </conditionalFormatting>
  <conditionalFormatting sqref="D778">
    <cfRule type="duplicateValues" dxfId="3148" priority="154"/>
  </conditionalFormatting>
  <conditionalFormatting sqref="D778">
    <cfRule type="duplicateValues" dxfId="3147" priority="155"/>
  </conditionalFormatting>
  <conditionalFormatting sqref="D778">
    <cfRule type="duplicateValues" dxfId="3146" priority="156"/>
    <cfRule type="duplicateValues" dxfId="3145" priority="157"/>
  </conditionalFormatting>
  <conditionalFormatting sqref="D777">
    <cfRule type="duplicateValues" dxfId="3144" priority="150"/>
  </conditionalFormatting>
  <conditionalFormatting sqref="D777">
    <cfRule type="duplicateValues" dxfId="3143" priority="151"/>
    <cfRule type="duplicateValues" dxfId="3142" priority="152"/>
  </conditionalFormatting>
  <conditionalFormatting sqref="D777">
    <cfRule type="duplicateValues" dxfId="3141" priority="153"/>
  </conditionalFormatting>
  <conditionalFormatting sqref="D777">
    <cfRule type="duplicateValues" dxfId="3140" priority="149"/>
  </conditionalFormatting>
  <conditionalFormatting sqref="D778">
    <cfRule type="duplicateValues" dxfId="3139" priority="145"/>
  </conditionalFormatting>
  <conditionalFormatting sqref="D778">
    <cfRule type="duplicateValues" dxfId="3138" priority="146"/>
  </conditionalFormatting>
  <conditionalFormatting sqref="D778">
    <cfRule type="duplicateValues" dxfId="3137" priority="147"/>
    <cfRule type="duplicateValues" dxfId="3136" priority="148"/>
  </conditionalFormatting>
  <conditionalFormatting sqref="D776">
    <cfRule type="duplicateValues" dxfId="3135" priority="140"/>
  </conditionalFormatting>
  <conditionalFormatting sqref="D776">
    <cfRule type="duplicateValues" dxfId="3134" priority="141"/>
  </conditionalFormatting>
  <conditionalFormatting sqref="D776">
    <cfRule type="duplicateValues" dxfId="3133" priority="142"/>
    <cfRule type="duplicateValues" dxfId="3132" priority="143"/>
  </conditionalFormatting>
  <conditionalFormatting sqref="D776">
    <cfRule type="duplicateValues" dxfId="3131" priority="144"/>
  </conditionalFormatting>
  <conditionalFormatting sqref="D776">
    <cfRule type="duplicateValues" dxfId="3130" priority="136"/>
  </conditionalFormatting>
  <conditionalFormatting sqref="D776">
    <cfRule type="duplicateValues" dxfId="3129" priority="137"/>
    <cfRule type="duplicateValues" dxfId="3128" priority="138"/>
  </conditionalFormatting>
  <conditionalFormatting sqref="D776">
    <cfRule type="duplicateValues" dxfId="3127" priority="139"/>
  </conditionalFormatting>
  <conditionalFormatting sqref="D776">
    <cfRule type="duplicateValues" dxfId="3126" priority="135"/>
  </conditionalFormatting>
  <conditionalFormatting sqref="D776">
    <cfRule type="duplicateValues" dxfId="3125" priority="131"/>
  </conditionalFormatting>
  <conditionalFormatting sqref="D776">
    <cfRule type="duplicateValues" dxfId="3124" priority="132"/>
    <cfRule type="duplicateValues" dxfId="3123" priority="133"/>
  </conditionalFormatting>
  <conditionalFormatting sqref="D776">
    <cfRule type="duplicateValues" dxfId="3122" priority="134"/>
  </conditionalFormatting>
  <conditionalFormatting sqref="D776">
    <cfRule type="duplicateValues" dxfId="3121" priority="130"/>
  </conditionalFormatting>
  <conditionalFormatting sqref="D767:D769">
    <cfRule type="duplicateValues" dxfId="3120" priority="189"/>
  </conditionalFormatting>
  <conditionalFormatting sqref="D769 D767">
    <cfRule type="duplicateValues" dxfId="3119" priority="190"/>
  </conditionalFormatting>
  <conditionalFormatting sqref="D767:D769">
    <cfRule type="duplicateValues" dxfId="3118" priority="191"/>
    <cfRule type="duplicateValues" dxfId="3117" priority="192"/>
  </conditionalFormatting>
  <conditionalFormatting sqref="D767:D769">
    <cfRule type="duplicateValues" dxfId="3116" priority="193"/>
  </conditionalFormatting>
  <conditionalFormatting sqref="D780">
    <cfRule type="duplicateValues" dxfId="3115" priority="128"/>
  </conditionalFormatting>
  <conditionalFormatting sqref="D764:D779">
    <cfRule type="duplicateValues" dxfId="3114" priority="194"/>
  </conditionalFormatting>
  <conditionalFormatting sqref="D763">
    <cfRule type="duplicateValues" dxfId="3113" priority="120"/>
  </conditionalFormatting>
  <conditionalFormatting sqref="D763">
    <cfRule type="duplicateValues" dxfId="3112" priority="121"/>
  </conditionalFormatting>
  <conditionalFormatting sqref="C763">
    <cfRule type="duplicateValues" dxfId="3111" priority="122"/>
  </conditionalFormatting>
  <conditionalFormatting sqref="D763">
    <cfRule type="duplicateValues" dxfId="3110" priority="123"/>
  </conditionalFormatting>
  <conditionalFormatting sqref="D763">
    <cfRule type="duplicateValues" dxfId="3109" priority="124"/>
    <cfRule type="duplicateValues" dxfId="3108" priority="125"/>
  </conditionalFormatting>
  <conditionalFormatting sqref="D763">
    <cfRule type="duplicateValues" dxfId="3107" priority="119"/>
  </conditionalFormatting>
  <conditionalFormatting sqref="D763">
    <cfRule type="duplicateValues" dxfId="3106" priority="118"/>
  </conditionalFormatting>
  <conditionalFormatting sqref="D762">
    <cfRule type="duplicateValues" dxfId="3105" priority="113"/>
  </conditionalFormatting>
  <conditionalFormatting sqref="D762">
    <cfRule type="duplicateValues" dxfId="3104" priority="114"/>
    <cfRule type="duplicateValues" dxfId="3103" priority="115"/>
  </conditionalFormatting>
  <conditionalFormatting sqref="C762">
    <cfRule type="duplicateValues" dxfId="3102" priority="112"/>
  </conditionalFormatting>
  <conditionalFormatting sqref="D762">
    <cfRule type="duplicateValues" dxfId="3101" priority="116"/>
  </conditionalFormatting>
  <conditionalFormatting sqref="D762">
    <cfRule type="duplicateValues" dxfId="3100" priority="117"/>
  </conditionalFormatting>
  <conditionalFormatting sqref="D762">
    <cfRule type="duplicateValues" dxfId="3099" priority="111"/>
  </conditionalFormatting>
  <conditionalFormatting sqref="D762">
    <cfRule type="duplicateValues" dxfId="3098" priority="110"/>
  </conditionalFormatting>
  <conditionalFormatting sqref="D772:D775">
    <cfRule type="duplicateValues" dxfId="3097" priority="195"/>
  </conditionalFormatting>
  <conditionalFormatting sqref="D772:D775">
    <cfRule type="duplicateValues" dxfId="3096" priority="196"/>
    <cfRule type="duplicateValues" dxfId="3095" priority="197"/>
  </conditionalFormatting>
  <conditionalFormatting sqref="D780">
    <cfRule type="duplicateValues" dxfId="3094" priority="198"/>
    <cfRule type="duplicateValues" dxfId="3093" priority="199"/>
  </conditionalFormatting>
  <conditionalFormatting sqref="C780">
    <cfRule type="duplicateValues" dxfId="3092" priority="200"/>
  </conditionalFormatting>
  <conditionalFormatting sqref="D779 D771">
    <cfRule type="duplicateValues" dxfId="3091" priority="201"/>
  </conditionalFormatting>
  <conditionalFormatting sqref="D782">
    <cfRule type="duplicateValues" dxfId="3090" priority="100"/>
  </conditionalFormatting>
  <conditionalFormatting sqref="D782">
    <cfRule type="duplicateValues" dxfId="3089" priority="99"/>
  </conditionalFormatting>
  <conditionalFormatting sqref="D782">
    <cfRule type="duplicateValues" dxfId="3088" priority="101"/>
    <cfRule type="duplicateValues" dxfId="3087" priority="102"/>
  </conditionalFormatting>
  <conditionalFormatting sqref="C782 C794">
    <cfRule type="duplicateValues" dxfId="3086" priority="98"/>
  </conditionalFormatting>
  <conditionalFormatting sqref="D782 D794">
    <cfRule type="duplicateValues" dxfId="3085" priority="103"/>
  </conditionalFormatting>
  <conditionalFormatting sqref="D794">
    <cfRule type="duplicateValues" dxfId="3084" priority="104"/>
  </conditionalFormatting>
  <conditionalFormatting sqref="D794">
    <cfRule type="duplicateValues" dxfId="3083" priority="105"/>
  </conditionalFormatting>
  <conditionalFormatting sqref="D794">
    <cfRule type="duplicateValues" dxfId="3082" priority="106"/>
    <cfRule type="duplicateValues" dxfId="3081" priority="107"/>
  </conditionalFormatting>
  <conditionalFormatting sqref="D794">
    <cfRule type="duplicateValues" dxfId="3080" priority="108"/>
  </conditionalFormatting>
  <conditionalFormatting sqref="D782">
    <cfRule type="duplicateValues" dxfId="3079" priority="109"/>
  </conditionalFormatting>
  <conditionalFormatting sqref="D783">
    <cfRule type="duplicateValues" dxfId="3078" priority="92"/>
  </conditionalFormatting>
  <conditionalFormatting sqref="D783">
    <cfRule type="duplicateValues" dxfId="3077" priority="91"/>
  </conditionalFormatting>
  <conditionalFormatting sqref="D783">
    <cfRule type="duplicateValues" dxfId="3076" priority="93"/>
    <cfRule type="duplicateValues" dxfId="3075" priority="94"/>
  </conditionalFormatting>
  <conditionalFormatting sqref="D783">
    <cfRule type="duplicateValues" dxfId="3074" priority="95"/>
  </conditionalFormatting>
  <conditionalFormatting sqref="C783">
    <cfRule type="duplicateValues" dxfId="3073" priority="90"/>
  </conditionalFormatting>
  <conditionalFormatting sqref="D783">
    <cfRule type="duplicateValues" dxfId="3072" priority="96"/>
  </conditionalFormatting>
  <conditionalFormatting sqref="D783">
    <cfRule type="duplicateValues" dxfId="3071" priority="97"/>
  </conditionalFormatting>
  <conditionalFormatting sqref="D782:D783 D790:D794">
    <cfRule type="duplicateValues" dxfId="3070" priority="89"/>
  </conditionalFormatting>
  <conditionalFormatting sqref="C785">
    <cfRule type="duplicateValues" dxfId="3069" priority="83"/>
  </conditionalFormatting>
  <conditionalFormatting sqref="D785">
    <cfRule type="duplicateValues" dxfId="3068" priority="84"/>
  </conditionalFormatting>
  <conditionalFormatting sqref="D785">
    <cfRule type="duplicateValues" dxfId="3067" priority="85"/>
  </conditionalFormatting>
  <conditionalFormatting sqref="D785">
    <cfRule type="duplicateValues" dxfId="3066" priority="86"/>
  </conditionalFormatting>
  <conditionalFormatting sqref="D785">
    <cfRule type="duplicateValues" dxfId="3065" priority="87"/>
    <cfRule type="duplicateValues" dxfId="3064" priority="88"/>
  </conditionalFormatting>
  <conditionalFormatting sqref="D785">
    <cfRule type="duplicateValues" dxfId="3063" priority="82"/>
  </conditionalFormatting>
  <conditionalFormatting sqref="D784">
    <cfRule type="duplicateValues" dxfId="3062" priority="75"/>
  </conditionalFormatting>
  <conditionalFormatting sqref="D784">
    <cfRule type="duplicateValues" dxfId="3061" priority="74"/>
  </conditionalFormatting>
  <conditionalFormatting sqref="D784">
    <cfRule type="duplicateValues" dxfId="3060" priority="76"/>
    <cfRule type="duplicateValues" dxfId="3059" priority="77"/>
  </conditionalFormatting>
  <conditionalFormatting sqref="D784">
    <cfRule type="duplicateValues" dxfId="3058" priority="78"/>
  </conditionalFormatting>
  <conditionalFormatting sqref="D784">
    <cfRule type="duplicateValues" dxfId="3057" priority="79"/>
  </conditionalFormatting>
  <conditionalFormatting sqref="C784">
    <cfRule type="duplicateValues" dxfId="3056" priority="80"/>
  </conditionalFormatting>
  <conditionalFormatting sqref="D784">
    <cfRule type="duplicateValues" dxfId="3055" priority="81"/>
  </conditionalFormatting>
  <conditionalFormatting sqref="D784">
    <cfRule type="duplicateValues" dxfId="3054" priority="73"/>
  </conditionalFormatting>
  <conditionalFormatting sqref="D782:D785 D790:D794">
    <cfRule type="duplicateValues" dxfId="3053" priority="72"/>
  </conditionalFormatting>
  <conditionalFormatting sqref="C787:C788">
    <cfRule type="duplicateValues" dxfId="3052" priority="64"/>
  </conditionalFormatting>
  <conditionalFormatting sqref="D787:D788">
    <cfRule type="duplicateValues" dxfId="3051" priority="65"/>
  </conditionalFormatting>
  <conditionalFormatting sqref="D787:D788">
    <cfRule type="duplicateValues" dxfId="3050" priority="66"/>
  </conditionalFormatting>
  <conditionalFormatting sqref="D787:D788">
    <cfRule type="duplicateValues" dxfId="3049" priority="67"/>
  </conditionalFormatting>
  <conditionalFormatting sqref="D787:D788">
    <cfRule type="duplicateValues" dxfId="3048" priority="68"/>
    <cfRule type="duplicateValues" dxfId="3047" priority="69"/>
  </conditionalFormatting>
  <conditionalFormatting sqref="D787:D788">
    <cfRule type="duplicateValues" dxfId="3046" priority="70"/>
  </conditionalFormatting>
  <conditionalFormatting sqref="D787:D788">
    <cfRule type="duplicateValues" dxfId="3045" priority="71"/>
  </conditionalFormatting>
  <conditionalFormatting sqref="D787:D788">
    <cfRule type="duplicateValues" dxfId="3044" priority="63"/>
  </conditionalFormatting>
  <conditionalFormatting sqref="D787:D788">
    <cfRule type="duplicateValues" dxfId="3043" priority="62"/>
  </conditionalFormatting>
  <conditionalFormatting sqref="D786">
    <cfRule type="duplicateValues" dxfId="3042" priority="56"/>
  </conditionalFormatting>
  <conditionalFormatting sqref="C786">
    <cfRule type="duplicateValues" dxfId="3041" priority="55"/>
  </conditionalFormatting>
  <conditionalFormatting sqref="D786">
    <cfRule type="duplicateValues" dxfId="3040" priority="57"/>
  </conditionalFormatting>
  <conditionalFormatting sqref="D786">
    <cfRule type="duplicateValues" dxfId="3039" priority="58"/>
  </conditionalFormatting>
  <conditionalFormatting sqref="D786">
    <cfRule type="duplicateValues" dxfId="3038" priority="59"/>
    <cfRule type="duplicateValues" dxfId="3037" priority="60"/>
  </conditionalFormatting>
  <conditionalFormatting sqref="D786">
    <cfRule type="duplicateValues" dxfId="3036" priority="61"/>
  </conditionalFormatting>
  <conditionalFormatting sqref="D786">
    <cfRule type="duplicateValues" dxfId="3035" priority="54"/>
  </conditionalFormatting>
  <conditionalFormatting sqref="D786">
    <cfRule type="duplicateValues" dxfId="3034" priority="53"/>
  </conditionalFormatting>
  <conditionalFormatting sqref="D789">
    <cfRule type="duplicateValues" dxfId="3033" priority="46"/>
  </conditionalFormatting>
  <conditionalFormatting sqref="D789">
    <cfRule type="duplicateValues" dxfId="3032" priority="47"/>
  </conditionalFormatting>
  <conditionalFormatting sqref="D789">
    <cfRule type="duplicateValues" dxfId="3031" priority="48"/>
    <cfRule type="duplicateValues" dxfId="3030" priority="49"/>
  </conditionalFormatting>
  <conditionalFormatting sqref="D789">
    <cfRule type="duplicateValues" dxfId="3029" priority="50"/>
  </conditionalFormatting>
  <conditionalFormatting sqref="C789">
    <cfRule type="duplicateValues" dxfId="3028" priority="51"/>
  </conditionalFormatting>
  <conditionalFormatting sqref="D789">
    <cfRule type="duplicateValues" dxfId="3027" priority="52"/>
  </conditionalFormatting>
  <conditionalFormatting sqref="D789">
    <cfRule type="duplicateValues" dxfId="3026" priority="45"/>
  </conditionalFormatting>
  <conditionalFormatting sqref="D789">
    <cfRule type="duplicateValues" dxfId="3025" priority="44"/>
  </conditionalFormatting>
  <conditionalFormatting sqref="C795:C810">
    <cfRule type="duplicateValues" dxfId="3024" priority="35"/>
  </conditionalFormatting>
  <conditionalFormatting sqref="D795:D810">
    <cfRule type="duplicateValues" dxfId="3023" priority="36"/>
  </conditionalFormatting>
  <conditionalFormatting sqref="D795:D810">
    <cfRule type="duplicateValues" dxfId="3022" priority="37"/>
  </conditionalFormatting>
  <conditionalFormatting sqref="D806:D810 D795:D801">
    <cfRule type="duplicateValues" dxfId="3021" priority="38"/>
  </conditionalFormatting>
  <conditionalFormatting sqref="D795:D810">
    <cfRule type="duplicateValues" dxfId="3020" priority="39"/>
    <cfRule type="duplicateValues" dxfId="3019" priority="40"/>
  </conditionalFormatting>
  <conditionalFormatting sqref="D795:D810">
    <cfRule type="duplicateValues" dxfId="3018" priority="41"/>
  </conditionalFormatting>
  <conditionalFormatting sqref="D795:D810">
    <cfRule type="duplicateValues" dxfId="3017" priority="42"/>
  </conditionalFormatting>
  <conditionalFormatting sqref="D795:D810">
    <cfRule type="duplicateValues" dxfId="3016" priority="34"/>
  </conditionalFormatting>
  <conditionalFormatting sqref="D795:D810">
    <cfRule type="duplicateValues" dxfId="3015" priority="33"/>
  </conditionalFormatting>
  <conditionalFormatting sqref="D802:D805">
    <cfRule type="duplicateValues" dxfId="3014" priority="43"/>
  </conditionalFormatting>
  <conditionalFormatting sqref="C818:C832 C811:C816">
    <cfRule type="duplicateValues" dxfId="3013" priority="25"/>
  </conditionalFormatting>
  <conditionalFormatting sqref="D818:D832 D811:D816">
    <cfRule type="duplicateValues" dxfId="3012" priority="26"/>
  </conditionalFormatting>
  <conditionalFormatting sqref="D818:D829 D811:D816">
    <cfRule type="duplicateValues" dxfId="3011" priority="27"/>
  </conditionalFormatting>
  <conditionalFormatting sqref="D818:D824 D811:D816">
    <cfRule type="duplicateValues" dxfId="3010" priority="28"/>
  </conditionalFormatting>
  <conditionalFormatting sqref="D827:D829 D818:D825 D811:D816">
    <cfRule type="duplicateValues" dxfId="3009" priority="29"/>
    <cfRule type="duplicateValues" dxfId="3008" priority="30"/>
  </conditionalFormatting>
  <conditionalFormatting sqref="D827:D829 D818:D825 D811:D816">
    <cfRule type="duplicateValues" dxfId="3007" priority="31"/>
  </conditionalFormatting>
  <conditionalFormatting sqref="D818:D832">
    <cfRule type="duplicateValues" dxfId="3006" priority="32"/>
  </conditionalFormatting>
  <conditionalFormatting sqref="D818:D832">
    <cfRule type="duplicateValues" dxfId="3005" priority="24"/>
  </conditionalFormatting>
  <conditionalFormatting sqref="D811:D832">
    <cfRule type="duplicateValues" dxfId="3004" priority="23"/>
  </conditionalFormatting>
  <conditionalFormatting sqref="C817">
    <cfRule type="duplicateValues" dxfId="3003" priority="15"/>
  </conditionalFormatting>
  <conditionalFormatting sqref="D817">
    <cfRule type="duplicateValues" dxfId="3002" priority="16"/>
  </conditionalFormatting>
  <conditionalFormatting sqref="D817">
    <cfRule type="duplicateValues" dxfId="3001" priority="17"/>
  </conditionalFormatting>
  <conditionalFormatting sqref="D817">
    <cfRule type="duplicateValues" dxfId="3000" priority="18"/>
  </conditionalFormatting>
  <conditionalFormatting sqref="D817">
    <cfRule type="duplicateValues" dxfId="2999" priority="19"/>
    <cfRule type="duplicateValues" dxfId="2998" priority="20"/>
  </conditionalFormatting>
  <conditionalFormatting sqref="D817">
    <cfRule type="duplicateValues" dxfId="2997" priority="21"/>
  </conditionalFormatting>
  <conditionalFormatting sqref="D817">
    <cfRule type="duplicateValues" dxfId="2996" priority="22"/>
  </conditionalFormatting>
  <conditionalFormatting sqref="D817">
    <cfRule type="duplicateValues" dxfId="2995" priority="14"/>
  </conditionalFormatting>
  <conditionalFormatting sqref="D825">
    <cfRule type="duplicateValues" dxfId="2994" priority="13"/>
  </conditionalFormatting>
  <conditionalFormatting sqref="D826">
    <cfRule type="duplicateValues" dxfId="2993" priority="11"/>
  </conditionalFormatting>
  <conditionalFormatting sqref="D826">
    <cfRule type="duplicateValues" dxfId="2992" priority="9"/>
    <cfRule type="duplicateValues" dxfId="2991" priority="10"/>
  </conditionalFormatting>
  <conditionalFormatting sqref="D826">
    <cfRule type="duplicateValues" dxfId="2990" priority="12"/>
  </conditionalFormatting>
  <conditionalFormatting sqref="D830:D831">
    <cfRule type="duplicateValues" dxfId="2989" priority="1"/>
  </conditionalFormatting>
  <conditionalFormatting sqref="D830:D831">
    <cfRule type="duplicateValues" dxfId="2988" priority="2"/>
    <cfRule type="duplicateValues" dxfId="2987" priority="3"/>
  </conditionalFormatting>
  <conditionalFormatting sqref="D832">
    <cfRule type="duplicateValues" dxfId="2986" priority="4"/>
  </conditionalFormatting>
  <conditionalFormatting sqref="D832">
    <cfRule type="duplicateValues" dxfId="2985" priority="5"/>
  </conditionalFormatting>
  <conditionalFormatting sqref="D832">
    <cfRule type="duplicateValues" dxfId="2984" priority="6"/>
    <cfRule type="duplicateValues" dxfId="2983" priority="7"/>
  </conditionalFormatting>
  <conditionalFormatting sqref="D827:D829">
    <cfRule type="duplicateValues" dxfId="2982" priority="8"/>
  </conditionalFormatting>
  <conditionalFormatting sqref="D781">
    <cfRule type="duplicateValues" dxfId="2981" priority="44024"/>
  </conditionalFormatting>
  <conditionalFormatting sqref="C764:C779 C781">
    <cfRule type="duplicateValues" dxfId="2980" priority="44025"/>
  </conditionalFormatting>
  <conditionalFormatting sqref="D764:D779 D781">
    <cfRule type="duplicateValues" dxfId="2979" priority="44027"/>
  </conditionalFormatting>
  <conditionalFormatting sqref="D764:D781">
    <cfRule type="duplicateValues" dxfId="2978" priority="44029"/>
  </conditionalFormatting>
  <conditionalFormatting sqref="D781 D771 D779">
    <cfRule type="duplicateValues" dxfId="2977" priority="44031"/>
  </conditionalFormatting>
  <conditionalFormatting sqref="D781 D771 D779">
    <cfRule type="duplicateValues" dxfId="2976" priority="44034"/>
    <cfRule type="duplicateValues" dxfId="2975" priority="44035"/>
  </conditionalFormatting>
  <dataValidations count="1">
    <dataValidation type="list" allowBlank="1" showInputMessage="1" showErrorMessage="1" sqref="B742 B744:B746 B749 B751:B753 B758 B760:B761">
      <formula1>"主管,副主管,主任,副主任,工艺组长,工程师,助工"</formula1>
    </dataValidation>
  </dataValidations>
  <pageMargins left="0.7" right="0.7" top="0.75" bottom="0.75" header="0.3" footer="0.3"/>
  <pageSetup paperSize="9" scale="48" orientation="portrait" verticalDpi="300" r:id="rId1"/>
  <customProperties>
    <customPr name="BudgetSheetCodeName" r:id="rId2"/>
  </customProperties>
  <ignoredErrors>
    <ignoredError sqref="G107:J113 G154:J156 I153 G159:J159 I157 I158 G161:J165 I160 G167:J184 I16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46"/>
  <sheetViews>
    <sheetView workbookViewId="0">
      <selection activeCell="J4" sqref="J4"/>
    </sheetView>
  </sheetViews>
  <sheetFormatPr defaultRowHeight="13.5"/>
  <cols>
    <col min="1" max="1" width="12.375" customWidth="1"/>
    <col min="2" max="2" width="22" customWidth="1"/>
  </cols>
  <sheetData>
    <row r="2" spans="1:6" ht="14.25">
      <c r="A2" s="234" t="s">
        <v>2134</v>
      </c>
      <c r="B2" s="242" t="s">
        <v>2121</v>
      </c>
      <c r="C2" s="243" t="s">
        <v>81</v>
      </c>
      <c r="D2" s="244" t="s">
        <v>853</v>
      </c>
      <c r="E2" s="245" t="s">
        <v>812</v>
      </c>
      <c r="F2" s="246">
        <v>46001</v>
      </c>
    </row>
    <row r="3" spans="1:6" ht="14.25">
      <c r="A3" s="234" t="s">
        <v>2134</v>
      </c>
      <c r="B3" s="242" t="s">
        <v>2121</v>
      </c>
      <c r="C3" s="243" t="s">
        <v>81</v>
      </c>
      <c r="D3" s="244" t="s">
        <v>1242</v>
      </c>
      <c r="E3" s="245" t="s">
        <v>1243</v>
      </c>
      <c r="F3" s="246">
        <v>46120</v>
      </c>
    </row>
    <row r="4" spans="1:6" ht="14.25">
      <c r="A4" s="234" t="s">
        <v>2134</v>
      </c>
      <c r="B4" s="242" t="s">
        <v>2121</v>
      </c>
      <c r="C4" s="243" t="s">
        <v>13</v>
      </c>
      <c r="D4" s="244" t="s">
        <v>1546</v>
      </c>
      <c r="E4" s="245" t="s">
        <v>1547</v>
      </c>
      <c r="F4" s="246">
        <v>46188</v>
      </c>
    </row>
    <row r="5" spans="1:6" ht="14.25">
      <c r="A5" s="234" t="s">
        <v>2134</v>
      </c>
      <c r="B5" s="242" t="s">
        <v>2121</v>
      </c>
      <c r="C5" s="250" t="s">
        <v>13</v>
      </c>
      <c r="D5" s="251" t="s">
        <v>2071</v>
      </c>
      <c r="E5" s="252" t="s">
        <v>2072</v>
      </c>
      <c r="F5" s="253">
        <v>46232</v>
      </c>
    </row>
    <row r="6" spans="1:6" ht="14.25">
      <c r="A6" s="234" t="s">
        <v>2134</v>
      </c>
      <c r="B6" s="242" t="s">
        <v>2121</v>
      </c>
      <c r="C6" s="243" t="s">
        <v>2073</v>
      </c>
      <c r="D6" s="244" t="s">
        <v>161</v>
      </c>
      <c r="E6" s="245" t="s">
        <v>68</v>
      </c>
      <c r="F6" s="246">
        <v>44755</v>
      </c>
    </row>
    <row r="7" spans="1:6" ht="14.25">
      <c r="A7" s="234" t="s">
        <v>2134</v>
      </c>
      <c r="B7" s="242" t="s">
        <v>2121</v>
      </c>
      <c r="C7" s="243" t="s">
        <v>14</v>
      </c>
      <c r="D7" s="244" t="s">
        <v>162</v>
      </c>
      <c r="E7" s="245" t="s">
        <v>72</v>
      </c>
      <c r="F7" s="246">
        <v>44755</v>
      </c>
    </row>
    <row r="8" spans="1:6" ht="14.25">
      <c r="A8" s="234" t="s">
        <v>2134</v>
      </c>
      <c r="B8" s="242" t="s">
        <v>2121</v>
      </c>
      <c r="C8" s="243" t="s">
        <v>14</v>
      </c>
      <c r="D8" s="244" t="s">
        <v>414</v>
      </c>
      <c r="E8" s="249" t="s">
        <v>410</v>
      </c>
      <c r="F8" s="246">
        <v>45798</v>
      </c>
    </row>
    <row r="9" spans="1:6" ht="14.25">
      <c r="A9" s="234" t="s">
        <v>2134</v>
      </c>
      <c r="B9" s="242" t="s">
        <v>2121</v>
      </c>
      <c r="C9" s="243" t="s">
        <v>14</v>
      </c>
      <c r="D9" s="244" t="s">
        <v>1548</v>
      </c>
      <c r="E9" s="249" t="s">
        <v>1549</v>
      </c>
      <c r="F9" s="246">
        <v>46183</v>
      </c>
    </row>
    <row r="10" spans="1:6" ht="14.25">
      <c r="A10" s="234" t="s">
        <v>2134</v>
      </c>
      <c r="B10" s="242" t="s">
        <v>2121</v>
      </c>
      <c r="C10" s="243" t="s">
        <v>14</v>
      </c>
      <c r="D10" s="244" t="s">
        <v>1908</v>
      </c>
      <c r="E10" s="249" t="s">
        <v>1909</v>
      </c>
      <c r="F10" s="246">
        <v>46197</v>
      </c>
    </row>
    <row r="11" spans="1:6" ht="14.25">
      <c r="A11" s="234" t="s">
        <v>2134</v>
      </c>
      <c r="B11" s="242" t="s">
        <v>2121</v>
      </c>
      <c r="C11" s="243" t="s">
        <v>14</v>
      </c>
      <c r="D11" s="244" t="s">
        <v>1910</v>
      </c>
      <c r="E11" s="249" t="s">
        <v>1911</v>
      </c>
      <c r="F11" s="246">
        <v>46197</v>
      </c>
    </row>
    <row r="12" spans="1:6" ht="14.25">
      <c r="A12" s="234" t="s">
        <v>2134</v>
      </c>
      <c r="B12" s="242" t="s">
        <v>2121</v>
      </c>
      <c r="C12" s="243" t="s">
        <v>129</v>
      </c>
      <c r="D12" s="244" t="s">
        <v>1912</v>
      </c>
      <c r="E12" s="245" t="s">
        <v>1913</v>
      </c>
      <c r="F12" s="246">
        <v>46113</v>
      </c>
    </row>
    <row r="13" spans="1:6" ht="14.25">
      <c r="A13" s="234" t="s">
        <v>2134</v>
      </c>
      <c r="B13" s="242" t="s">
        <v>2121</v>
      </c>
      <c r="C13" s="243" t="s">
        <v>129</v>
      </c>
      <c r="D13" s="244" t="s">
        <v>278</v>
      </c>
      <c r="E13" s="245" t="s">
        <v>274</v>
      </c>
      <c r="F13" s="246">
        <v>45532</v>
      </c>
    </row>
    <row r="14" spans="1:6" ht="14.25">
      <c r="A14" s="234" t="s">
        <v>2134</v>
      </c>
      <c r="B14" s="242" t="s">
        <v>2121</v>
      </c>
      <c r="C14" s="243" t="s">
        <v>129</v>
      </c>
      <c r="D14" s="244" t="s">
        <v>283</v>
      </c>
      <c r="E14" s="245" t="s">
        <v>275</v>
      </c>
      <c r="F14" s="246">
        <v>45537</v>
      </c>
    </row>
    <row r="15" spans="1:6" ht="14.25">
      <c r="A15" s="234" t="s">
        <v>2134</v>
      </c>
      <c r="B15" s="242" t="s">
        <v>2121</v>
      </c>
      <c r="C15" s="243" t="s">
        <v>129</v>
      </c>
      <c r="D15" s="244" t="s">
        <v>331</v>
      </c>
      <c r="E15" s="245" t="s">
        <v>315</v>
      </c>
      <c r="F15" s="246">
        <v>45593</v>
      </c>
    </row>
    <row r="16" spans="1:6" ht="14.25">
      <c r="A16" s="234" t="s">
        <v>2134</v>
      </c>
      <c r="B16" s="242" t="s">
        <v>2121</v>
      </c>
      <c r="C16" s="243" t="s">
        <v>129</v>
      </c>
      <c r="D16" s="244" t="s">
        <v>634</v>
      </c>
      <c r="E16" s="245" t="s">
        <v>605</v>
      </c>
      <c r="F16" s="246">
        <v>45910</v>
      </c>
    </row>
    <row r="17" spans="1:6" ht="14.25">
      <c r="A17" s="234" t="s">
        <v>2134</v>
      </c>
      <c r="B17" s="242" t="s">
        <v>2121</v>
      </c>
      <c r="C17" s="243" t="s">
        <v>129</v>
      </c>
      <c r="D17" s="244" t="s">
        <v>635</v>
      </c>
      <c r="E17" s="245" t="s">
        <v>606</v>
      </c>
      <c r="F17" s="246">
        <v>45910</v>
      </c>
    </row>
    <row r="18" spans="1:6" ht="14.25">
      <c r="A18" s="235" t="s">
        <v>2134</v>
      </c>
      <c r="B18" s="242" t="s">
        <v>2121</v>
      </c>
      <c r="C18" s="243" t="s">
        <v>129</v>
      </c>
      <c r="D18" s="244" t="s">
        <v>636</v>
      </c>
      <c r="E18" s="245" t="s">
        <v>607</v>
      </c>
      <c r="F18" s="246">
        <v>45917</v>
      </c>
    </row>
    <row r="19" spans="1:6" ht="14.25">
      <c r="A19" s="235" t="s">
        <v>2134</v>
      </c>
      <c r="B19" s="242" t="s">
        <v>2121</v>
      </c>
      <c r="C19" s="250" t="s">
        <v>146</v>
      </c>
      <c r="D19" s="251" t="s">
        <v>2074</v>
      </c>
      <c r="E19" s="252" t="s">
        <v>2075</v>
      </c>
      <c r="F19" s="253">
        <v>46225</v>
      </c>
    </row>
    <row r="20" spans="1:6" ht="14.25">
      <c r="A20" s="234" t="s">
        <v>345</v>
      </c>
      <c r="B20" s="242" t="s">
        <v>2116</v>
      </c>
      <c r="C20" s="243" t="s">
        <v>81</v>
      </c>
      <c r="D20" s="244" t="s">
        <v>488</v>
      </c>
      <c r="E20" s="245" t="s">
        <v>440</v>
      </c>
      <c r="F20" s="246">
        <v>45833</v>
      </c>
    </row>
    <row r="21" spans="1:6" ht="14.25">
      <c r="A21" s="234" t="s">
        <v>1937</v>
      </c>
      <c r="B21" s="242" t="s">
        <v>2116</v>
      </c>
      <c r="C21" s="243" t="s">
        <v>81</v>
      </c>
      <c r="D21" s="244" t="s">
        <v>750</v>
      </c>
      <c r="E21" s="245" t="s">
        <v>683</v>
      </c>
      <c r="F21" s="246">
        <v>45971</v>
      </c>
    </row>
    <row r="22" spans="1:6" ht="14.25">
      <c r="A22" s="234" t="s">
        <v>1937</v>
      </c>
      <c r="B22" s="242" t="s">
        <v>2116</v>
      </c>
      <c r="C22" s="243" t="s">
        <v>81</v>
      </c>
      <c r="D22" s="244" t="s">
        <v>1806</v>
      </c>
      <c r="E22" s="245" t="s">
        <v>1807</v>
      </c>
      <c r="F22" s="246">
        <v>46197</v>
      </c>
    </row>
    <row r="23" spans="1:6" ht="14.25">
      <c r="A23" s="234" t="s">
        <v>1937</v>
      </c>
      <c r="B23" s="242" t="s">
        <v>2116</v>
      </c>
      <c r="C23" s="243" t="s">
        <v>81</v>
      </c>
      <c r="D23" s="244" t="s">
        <v>1808</v>
      </c>
      <c r="E23" s="245" t="s">
        <v>1809</v>
      </c>
      <c r="F23" s="246">
        <v>46208</v>
      </c>
    </row>
    <row r="24" spans="1:6" ht="14.25">
      <c r="A24" s="234" t="s">
        <v>1937</v>
      </c>
      <c r="B24" s="242" t="s">
        <v>2116</v>
      </c>
      <c r="C24" s="243" t="s">
        <v>81</v>
      </c>
      <c r="D24" s="244" t="s">
        <v>1810</v>
      </c>
      <c r="E24" s="245" t="s">
        <v>1811</v>
      </c>
      <c r="F24" s="246">
        <v>46208</v>
      </c>
    </row>
    <row r="25" spans="1:6" ht="14.25">
      <c r="A25" s="234" t="s">
        <v>1937</v>
      </c>
      <c r="B25" s="242" t="s">
        <v>2116</v>
      </c>
      <c r="C25" s="243" t="s">
        <v>81</v>
      </c>
      <c r="D25" s="244" t="s">
        <v>1812</v>
      </c>
      <c r="E25" s="245" t="s">
        <v>1813</v>
      </c>
      <c r="F25" s="246">
        <v>46208</v>
      </c>
    </row>
    <row r="26" spans="1:6" ht="14.25">
      <c r="A26" s="234" t="s">
        <v>1937</v>
      </c>
      <c r="B26" s="242" t="s">
        <v>2116</v>
      </c>
      <c r="C26" s="243" t="s">
        <v>81</v>
      </c>
      <c r="D26" s="244" t="s">
        <v>1814</v>
      </c>
      <c r="E26" s="245" t="s">
        <v>1815</v>
      </c>
      <c r="F26" s="246">
        <v>46208</v>
      </c>
    </row>
    <row r="27" spans="1:6" ht="14.25">
      <c r="A27" s="234" t="s">
        <v>1937</v>
      </c>
      <c r="B27" s="242" t="s">
        <v>2116</v>
      </c>
      <c r="C27" s="243" t="s">
        <v>13</v>
      </c>
      <c r="D27" s="244" t="s">
        <v>1507</v>
      </c>
      <c r="E27" s="245" t="s">
        <v>1508</v>
      </c>
      <c r="F27" s="246">
        <v>45833</v>
      </c>
    </row>
    <row r="28" spans="1:6" ht="14.25">
      <c r="A28" s="234" t="s">
        <v>1937</v>
      </c>
      <c r="B28" s="242" t="s">
        <v>2116</v>
      </c>
      <c r="C28" s="243" t="s">
        <v>154</v>
      </c>
      <c r="D28" s="244" t="s">
        <v>393</v>
      </c>
      <c r="E28" s="245" t="s">
        <v>387</v>
      </c>
      <c r="F28" s="246">
        <v>38803</v>
      </c>
    </row>
    <row r="29" spans="1:6" ht="14.25">
      <c r="A29" s="234" t="s">
        <v>1937</v>
      </c>
      <c r="B29" s="242" t="s">
        <v>2116</v>
      </c>
      <c r="C29" s="243" t="s">
        <v>131</v>
      </c>
      <c r="D29" s="244" t="s">
        <v>346</v>
      </c>
      <c r="E29" s="245" t="s">
        <v>341</v>
      </c>
      <c r="F29" s="246">
        <v>42508</v>
      </c>
    </row>
    <row r="30" spans="1:6" ht="14.25">
      <c r="A30" s="234" t="s">
        <v>1937</v>
      </c>
      <c r="B30" s="242" t="s">
        <v>2116</v>
      </c>
      <c r="C30" s="243" t="s">
        <v>131</v>
      </c>
      <c r="D30" s="244" t="s">
        <v>394</v>
      </c>
      <c r="E30" s="245" t="s">
        <v>388</v>
      </c>
      <c r="F30" s="246">
        <v>43003</v>
      </c>
    </row>
    <row r="31" spans="1:6" ht="42.75">
      <c r="A31" s="234" t="s">
        <v>1937</v>
      </c>
      <c r="B31" s="242" t="s">
        <v>2116</v>
      </c>
      <c r="C31" s="243" t="s">
        <v>131</v>
      </c>
      <c r="D31" s="244" t="s">
        <v>763</v>
      </c>
      <c r="E31" s="245" t="s">
        <v>389</v>
      </c>
      <c r="F31" s="246">
        <v>41855</v>
      </c>
    </row>
    <row r="32" spans="1:6" ht="14.25">
      <c r="A32" s="234" t="s">
        <v>1937</v>
      </c>
      <c r="B32" s="242" t="s">
        <v>2116</v>
      </c>
      <c r="C32" s="243" t="s">
        <v>131</v>
      </c>
      <c r="D32" s="244" t="s">
        <v>1504</v>
      </c>
      <c r="E32" s="245" t="s">
        <v>1505</v>
      </c>
      <c r="F32" s="246">
        <v>45994</v>
      </c>
    </row>
    <row r="33" spans="1:6" ht="14.25">
      <c r="A33" s="234" t="s">
        <v>1937</v>
      </c>
      <c r="B33" s="242" t="s">
        <v>2116</v>
      </c>
      <c r="C33" s="243" t="s">
        <v>14</v>
      </c>
      <c r="D33" s="244" t="s">
        <v>407</v>
      </c>
      <c r="E33" s="245" t="s">
        <v>403</v>
      </c>
      <c r="F33" s="246">
        <v>45791</v>
      </c>
    </row>
    <row r="34" spans="1:6" ht="14.25">
      <c r="A34" s="234" t="s">
        <v>1937</v>
      </c>
      <c r="B34" s="242" t="s">
        <v>2116</v>
      </c>
      <c r="C34" s="243" t="s">
        <v>14</v>
      </c>
      <c r="D34" s="244" t="s">
        <v>413</v>
      </c>
      <c r="E34" s="245" t="s">
        <v>409</v>
      </c>
      <c r="F34" s="246">
        <v>45798</v>
      </c>
    </row>
    <row r="35" spans="1:6" ht="14.25">
      <c r="A35" s="234" t="s">
        <v>1937</v>
      </c>
      <c r="B35" s="242" t="s">
        <v>2116</v>
      </c>
      <c r="C35" s="243" t="s">
        <v>87</v>
      </c>
      <c r="D35" s="244" t="s">
        <v>427</v>
      </c>
      <c r="E35" s="249" t="s">
        <v>422</v>
      </c>
      <c r="F35" s="244">
        <v>45812</v>
      </c>
    </row>
    <row r="36" spans="1:6" ht="14.25">
      <c r="A36" s="234" t="s">
        <v>1937</v>
      </c>
      <c r="B36" s="242" t="s">
        <v>2116</v>
      </c>
      <c r="C36" s="243" t="s">
        <v>87</v>
      </c>
      <c r="D36" s="244" t="s">
        <v>356</v>
      </c>
      <c r="E36" s="245" t="s">
        <v>355</v>
      </c>
      <c r="F36" s="246">
        <v>45672</v>
      </c>
    </row>
    <row r="37" spans="1:6" ht="14.25">
      <c r="A37" s="234" t="s">
        <v>1937</v>
      </c>
      <c r="B37" s="242" t="s">
        <v>2116</v>
      </c>
      <c r="C37" s="243" t="s">
        <v>14</v>
      </c>
      <c r="D37" s="244" t="s">
        <v>617</v>
      </c>
      <c r="E37" s="245" t="s">
        <v>574</v>
      </c>
      <c r="F37" s="246">
        <v>44389</v>
      </c>
    </row>
    <row r="38" spans="1:6" ht="14.25">
      <c r="A38" s="234" t="s">
        <v>1937</v>
      </c>
      <c r="B38" s="242" t="s">
        <v>2116</v>
      </c>
      <c r="C38" s="243" t="s">
        <v>14</v>
      </c>
      <c r="D38" s="244" t="s">
        <v>618</v>
      </c>
      <c r="E38" s="245" t="s">
        <v>575</v>
      </c>
      <c r="F38" s="246">
        <v>45908</v>
      </c>
    </row>
    <row r="39" spans="1:6" ht="14.25">
      <c r="A39" s="234" t="s">
        <v>1937</v>
      </c>
      <c r="B39" s="242" t="s">
        <v>2116</v>
      </c>
      <c r="C39" s="243" t="s">
        <v>14</v>
      </c>
      <c r="D39" s="244" t="s">
        <v>619</v>
      </c>
      <c r="E39" s="245" t="s">
        <v>576</v>
      </c>
      <c r="F39" s="246">
        <v>45910</v>
      </c>
    </row>
    <row r="40" spans="1:6" ht="14.25">
      <c r="A40" s="234" t="s">
        <v>1937</v>
      </c>
      <c r="B40" s="242" t="s">
        <v>2116</v>
      </c>
      <c r="C40" s="243" t="s">
        <v>14</v>
      </c>
      <c r="D40" s="244" t="s">
        <v>669</v>
      </c>
      <c r="E40" s="245" t="s">
        <v>650</v>
      </c>
      <c r="F40" s="246">
        <v>45924</v>
      </c>
    </row>
    <row r="41" spans="1:6" ht="14.25">
      <c r="A41" s="234" t="s">
        <v>1937</v>
      </c>
      <c r="B41" s="242" t="s">
        <v>2116</v>
      </c>
      <c r="C41" s="243" t="s">
        <v>14</v>
      </c>
      <c r="D41" s="244" t="s">
        <v>754</v>
      </c>
      <c r="E41" s="245" t="s">
        <v>682</v>
      </c>
      <c r="F41" s="246">
        <v>45875</v>
      </c>
    </row>
    <row r="42" spans="1:6" ht="14.25">
      <c r="A42" s="234" t="s">
        <v>1937</v>
      </c>
      <c r="B42" s="242" t="s">
        <v>2116</v>
      </c>
      <c r="C42" s="243" t="s">
        <v>14</v>
      </c>
      <c r="D42" s="244" t="s">
        <v>1920</v>
      </c>
      <c r="E42" s="245" t="s">
        <v>684</v>
      </c>
      <c r="F42" s="246">
        <v>45889</v>
      </c>
    </row>
    <row r="43" spans="1:6" ht="14.25">
      <c r="A43" s="234" t="s">
        <v>1937</v>
      </c>
      <c r="B43" s="242" t="s">
        <v>2116</v>
      </c>
      <c r="C43" s="243" t="s">
        <v>14</v>
      </c>
      <c r="D43" s="244" t="s">
        <v>987</v>
      </c>
      <c r="E43" s="245" t="s">
        <v>957</v>
      </c>
      <c r="F43" s="246">
        <v>45951</v>
      </c>
    </row>
    <row r="44" spans="1:6" ht="14.25">
      <c r="A44" s="234" t="s">
        <v>1937</v>
      </c>
      <c r="B44" s="242" t="s">
        <v>2116</v>
      </c>
      <c r="C44" s="243" t="s">
        <v>14</v>
      </c>
      <c r="D44" s="244" t="s">
        <v>988</v>
      </c>
      <c r="E44" s="245" t="s">
        <v>958</v>
      </c>
      <c r="F44" s="246">
        <v>45965</v>
      </c>
    </row>
    <row r="45" spans="1:6" ht="14.25">
      <c r="A45" s="234" t="s">
        <v>1937</v>
      </c>
      <c r="B45" s="242" t="s">
        <v>2116</v>
      </c>
      <c r="C45" s="243" t="s">
        <v>14</v>
      </c>
      <c r="D45" s="244" t="s">
        <v>989</v>
      </c>
      <c r="E45" s="245" t="s">
        <v>959</v>
      </c>
      <c r="F45" s="246">
        <v>45979</v>
      </c>
    </row>
    <row r="46" spans="1:6" ht="14.25">
      <c r="A46" s="234" t="s">
        <v>1937</v>
      </c>
      <c r="B46" s="242" t="s">
        <v>2116</v>
      </c>
      <c r="C46" s="243" t="s">
        <v>14</v>
      </c>
      <c r="D46" s="244" t="s">
        <v>1004</v>
      </c>
      <c r="E46" s="245" t="s">
        <v>1005</v>
      </c>
      <c r="F46" s="246">
        <v>46085</v>
      </c>
    </row>
    <row r="47" spans="1:6" ht="14.25">
      <c r="A47" s="234" t="s">
        <v>1937</v>
      </c>
      <c r="B47" s="242" t="s">
        <v>2116</v>
      </c>
      <c r="C47" s="243" t="s">
        <v>14</v>
      </c>
      <c r="D47" s="244" t="s">
        <v>481</v>
      </c>
      <c r="E47" s="245" t="s">
        <v>1403</v>
      </c>
      <c r="F47" s="246">
        <v>46155</v>
      </c>
    </row>
    <row r="48" spans="1:6" ht="14.25">
      <c r="A48" s="234" t="s">
        <v>1937</v>
      </c>
      <c r="B48" s="242" t="s">
        <v>2116</v>
      </c>
      <c r="C48" s="243" t="s">
        <v>87</v>
      </c>
      <c r="D48" s="244" t="s">
        <v>1509</v>
      </c>
      <c r="E48" s="245" t="s">
        <v>1510</v>
      </c>
      <c r="F48" s="246">
        <v>46043</v>
      </c>
    </row>
    <row r="49" spans="1:6" ht="14.25">
      <c r="A49" s="234" t="s">
        <v>1937</v>
      </c>
      <c r="B49" s="242" t="s">
        <v>2116</v>
      </c>
      <c r="C49" s="243" t="s">
        <v>14</v>
      </c>
      <c r="D49" s="244" t="s">
        <v>1511</v>
      </c>
      <c r="E49" s="245" t="s">
        <v>1512</v>
      </c>
      <c r="F49" s="246">
        <v>46162</v>
      </c>
    </row>
    <row r="50" spans="1:6" ht="14.25">
      <c r="A50" s="234" t="s">
        <v>1937</v>
      </c>
      <c r="B50" s="242" t="s">
        <v>2116</v>
      </c>
      <c r="C50" s="243" t="s">
        <v>87</v>
      </c>
      <c r="D50" s="244" t="s">
        <v>1513</v>
      </c>
      <c r="E50" s="249" t="s">
        <v>1514</v>
      </c>
      <c r="F50" s="244">
        <v>46169</v>
      </c>
    </row>
    <row r="51" spans="1:6" ht="14.25">
      <c r="A51" s="234" t="s">
        <v>1937</v>
      </c>
      <c r="B51" s="242" t="s">
        <v>2116</v>
      </c>
      <c r="C51" s="243" t="s">
        <v>87</v>
      </c>
      <c r="D51" s="244" t="s">
        <v>1515</v>
      </c>
      <c r="E51" s="245" t="s">
        <v>1516</v>
      </c>
      <c r="F51" s="246">
        <v>45952</v>
      </c>
    </row>
    <row r="52" spans="1:6" ht="14.25">
      <c r="A52" s="234" t="s">
        <v>1937</v>
      </c>
      <c r="B52" s="242" t="s">
        <v>2116</v>
      </c>
      <c r="C52" s="243" t="s">
        <v>14</v>
      </c>
      <c r="D52" s="244" t="s">
        <v>1517</v>
      </c>
      <c r="E52" s="245" t="s">
        <v>1518</v>
      </c>
      <c r="F52" s="246">
        <v>45965</v>
      </c>
    </row>
    <row r="53" spans="1:6" ht="14.25">
      <c r="A53" s="234" t="s">
        <v>1937</v>
      </c>
      <c r="B53" s="242" t="s">
        <v>2116</v>
      </c>
      <c r="C53" s="243" t="s">
        <v>14</v>
      </c>
      <c r="D53" s="244" t="s">
        <v>1519</v>
      </c>
      <c r="E53" s="245" t="s">
        <v>1520</v>
      </c>
      <c r="F53" s="246">
        <v>45979</v>
      </c>
    </row>
    <row r="54" spans="1:6" ht="14.25">
      <c r="A54" s="234" t="s">
        <v>1937</v>
      </c>
      <c r="B54" s="242" t="s">
        <v>2116</v>
      </c>
      <c r="C54" s="243" t="s">
        <v>14</v>
      </c>
      <c r="D54" s="244" t="s">
        <v>1521</v>
      </c>
      <c r="E54" s="245" t="s">
        <v>1522</v>
      </c>
      <c r="F54" s="246">
        <v>46181</v>
      </c>
    </row>
    <row r="55" spans="1:6" ht="14.25">
      <c r="A55" s="234" t="s">
        <v>1937</v>
      </c>
      <c r="B55" s="242" t="s">
        <v>2116</v>
      </c>
      <c r="C55" s="243" t="s">
        <v>14</v>
      </c>
      <c r="D55" s="244" t="s">
        <v>1523</v>
      </c>
      <c r="E55" s="245" t="s">
        <v>1524</v>
      </c>
      <c r="F55" s="246">
        <v>44389</v>
      </c>
    </row>
    <row r="56" spans="1:6" ht="14.25">
      <c r="A56" s="234" t="s">
        <v>1937</v>
      </c>
      <c r="B56" s="242" t="s">
        <v>2116</v>
      </c>
      <c r="C56" s="243" t="s">
        <v>14</v>
      </c>
      <c r="D56" s="244" t="s">
        <v>1525</v>
      </c>
      <c r="E56" s="245" t="s">
        <v>1526</v>
      </c>
      <c r="F56" s="246">
        <v>45994</v>
      </c>
    </row>
    <row r="57" spans="1:6" ht="14.25">
      <c r="A57" s="234" t="s">
        <v>1937</v>
      </c>
      <c r="B57" s="242" t="s">
        <v>2116</v>
      </c>
      <c r="C57" s="243" t="s">
        <v>14</v>
      </c>
      <c r="D57" s="244" t="s">
        <v>1527</v>
      </c>
      <c r="E57" s="245" t="s">
        <v>1528</v>
      </c>
      <c r="F57" s="246">
        <v>45945</v>
      </c>
    </row>
    <row r="58" spans="1:6" ht="14.25">
      <c r="A58" s="234" t="s">
        <v>1937</v>
      </c>
      <c r="B58" s="242" t="s">
        <v>2116</v>
      </c>
      <c r="C58" s="243" t="s">
        <v>14</v>
      </c>
      <c r="D58" s="244" t="s">
        <v>1529</v>
      </c>
      <c r="E58" s="245" t="s">
        <v>1530</v>
      </c>
      <c r="F58" s="246">
        <v>46176</v>
      </c>
    </row>
    <row r="59" spans="1:6" ht="14.25">
      <c r="A59" s="234" t="s">
        <v>1937</v>
      </c>
      <c r="B59" s="242" t="s">
        <v>2116</v>
      </c>
      <c r="C59" s="243" t="s">
        <v>14</v>
      </c>
      <c r="D59" s="244" t="s">
        <v>1531</v>
      </c>
      <c r="E59" s="245" t="s">
        <v>1532</v>
      </c>
      <c r="F59" s="246">
        <v>45945</v>
      </c>
    </row>
    <row r="60" spans="1:6" ht="14.25">
      <c r="A60" s="234" t="s">
        <v>1937</v>
      </c>
      <c r="B60" s="242" t="s">
        <v>2116</v>
      </c>
      <c r="C60" s="243" t="s">
        <v>14</v>
      </c>
      <c r="D60" s="244" t="s">
        <v>1533</v>
      </c>
      <c r="E60" s="245" t="s">
        <v>1534</v>
      </c>
      <c r="F60" s="246">
        <v>46160</v>
      </c>
    </row>
    <row r="61" spans="1:6" ht="14.25">
      <c r="A61" s="234" t="s">
        <v>1937</v>
      </c>
      <c r="B61" s="242" t="s">
        <v>2116</v>
      </c>
      <c r="C61" s="243" t="s">
        <v>14</v>
      </c>
      <c r="D61" s="244" t="s">
        <v>1535</v>
      </c>
      <c r="E61" s="245" t="s">
        <v>1536</v>
      </c>
      <c r="F61" s="246">
        <v>45959</v>
      </c>
    </row>
    <row r="62" spans="1:6" ht="14.25">
      <c r="A62" s="234" t="s">
        <v>1937</v>
      </c>
      <c r="B62" s="242" t="s">
        <v>2116</v>
      </c>
      <c r="C62" s="243" t="s">
        <v>14</v>
      </c>
      <c r="D62" s="244" t="s">
        <v>1816</v>
      </c>
      <c r="E62" s="245" t="s">
        <v>1817</v>
      </c>
      <c r="F62" s="246">
        <v>46197</v>
      </c>
    </row>
    <row r="63" spans="1:6" ht="14.25">
      <c r="A63" s="234" t="s">
        <v>1937</v>
      </c>
      <c r="B63" s="242" t="s">
        <v>2116</v>
      </c>
      <c r="C63" s="243" t="s">
        <v>14</v>
      </c>
      <c r="D63" s="244" t="s">
        <v>1818</v>
      </c>
      <c r="E63" s="245" t="s">
        <v>1819</v>
      </c>
      <c r="F63" s="246">
        <v>46204</v>
      </c>
    </row>
    <row r="64" spans="1:6" ht="14.25">
      <c r="A64" s="234" t="s">
        <v>1937</v>
      </c>
      <c r="B64" s="242" t="s">
        <v>2116</v>
      </c>
      <c r="C64" s="243" t="s">
        <v>14</v>
      </c>
      <c r="D64" s="244" t="s">
        <v>1820</v>
      </c>
      <c r="E64" s="245" t="s">
        <v>1821</v>
      </c>
      <c r="F64" s="246">
        <v>46204</v>
      </c>
    </row>
    <row r="65" spans="1:6" ht="14.25">
      <c r="A65" s="234" t="s">
        <v>1937</v>
      </c>
      <c r="B65" s="242" t="s">
        <v>2116</v>
      </c>
      <c r="C65" s="243" t="s">
        <v>14</v>
      </c>
      <c r="D65" s="244" t="s">
        <v>1822</v>
      </c>
      <c r="E65" s="245" t="s">
        <v>1823</v>
      </c>
      <c r="F65" s="246">
        <v>46197</v>
      </c>
    </row>
    <row r="66" spans="1:6" ht="14.25">
      <c r="A66" s="234" t="s">
        <v>1937</v>
      </c>
      <c r="B66" s="242" t="s">
        <v>2116</v>
      </c>
      <c r="C66" s="243" t="s">
        <v>14</v>
      </c>
      <c r="D66" s="244" t="s">
        <v>1824</v>
      </c>
      <c r="E66" s="245" t="s">
        <v>1825</v>
      </c>
      <c r="F66" s="246">
        <v>46204</v>
      </c>
    </row>
    <row r="67" spans="1:6" ht="14.25">
      <c r="A67" s="234" t="s">
        <v>1937</v>
      </c>
      <c r="B67" s="242" t="s">
        <v>2116</v>
      </c>
      <c r="C67" s="243" t="s">
        <v>14</v>
      </c>
      <c r="D67" s="244" t="s">
        <v>1826</v>
      </c>
      <c r="E67" s="245" t="s">
        <v>1827</v>
      </c>
      <c r="F67" s="246">
        <v>46204</v>
      </c>
    </row>
    <row r="68" spans="1:6" ht="14.25">
      <c r="A68" s="234" t="s">
        <v>1937</v>
      </c>
      <c r="B68" s="242" t="s">
        <v>2116</v>
      </c>
      <c r="C68" s="243" t="s">
        <v>14</v>
      </c>
      <c r="D68" s="244" t="s">
        <v>1828</v>
      </c>
      <c r="E68" s="249" t="s">
        <v>1829</v>
      </c>
      <c r="F68" s="244">
        <v>46204</v>
      </c>
    </row>
    <row r="69" spans="1:6" ht="14.25">
      <c r="A69" s="234" t="s">
        <v>1937</v>
      </c>
      <c r="B69" s="242" t="s">
        <v>2116</v>
      </c>
      <c r="C69" s="243" t="s">
        <v>14</v>
      </c>
      <c r="D69" s="244" t="s">
        <v>1830</v>
      </c>
      <c r="E69" s="245" t="s">
        <v>1831</v>
      </c>
      <c r="F69" s="246">
        <v>46204</v>
      </c>
    </row>
    <row r="70" spans="1:6" ht="14.25">
      <c r="A70" s="234" t="s">
        <v>1937</v>
      </c>
      <c r="B70" s="242" t="s">
        <v>2116</v>
      </c>
      <c r="C70" s="243" t="s">
        <v>14</v>
      </c>
      <c r="D70" s="244" t="s">
        <v>1832</v>
      </c>
      <c r="E70" s="245" t="s">
        <v>1833</v>
      </c>
      <c r="F70" s="246">
        <v>46204</v>
      </c>
    </row>
    <row r="71" spans="1:6" ht="14.25">
      <c r="A71" s="234" t="s">
        <v>1937</v>
      </c>
      <c r="B71" s="242" t="s">
        <v>2116</v>
      </c>
      <c r="C71" s="243" t="s">
        <v>14</v>
      </c>
      <c r="D71" s="244" t="s">
        <v>1834</v>
      </c>
      <c r="E71" s="245" t="s">
        <v>1835</v>
      </c>
      <c r="F71" s="246">
        <v>46204</v>
      </c>
    </row>
    <row r="72" spans="1:6" ht="14.25">
      <c r="A72" s="234" t="s">
        <v>1937</v>
      </c>
      <c r="B72" s="242" t="s">
        <v>2116</v>
      </c>
      <c r="C72" s="243" t="s">
        <v>14</v>
      </c>
      <c r="D72" s="244" t="s">
        <v>1836</v>
      </c>
      <c r="E72" s="245" t="s">
        <v>1837</v>
      </c>
      <c r="F72" s="246">
        <v>46204</v>
      </c>
    </row>
    <row r="73" spans="1:6" ht="14.25">
      <c r="A73" s="234" t="s">
        <v>1937</v>
      </c>
      <c r="B73" s="242" t="s">
        <v>2116</v>
      </c>
      <c r="C73" s="243" t="s">
        <v>14</v>
      </c>
      <c r="D73" s="244" t="s">
        <v>1838</v>
      </c>
      <c r="E73" s="245" t="s">
        <v>1839</v>
      </c>
      <c r="F73" s="246">
        <v>46208</v>
      </c>
    </row>
    <row r="74" spans="1:6" ht="14.25">
      <c r="A74" s="234" t="s">
        <v>1937</v>
      </c>
      <c r="B74" s="242" t="s">
        <v>2116</v>
      </c>
      <c r="C74" s="243" t="s">
        <v>14</v>
      </c>
      <c r="D74" s="244" t="s">
        <v>1840</v>
      </c>
      <c r="E74" s="245" t="s">
        <v>1841</v>
      </c>
      <c r="F74" s="246">
        <v>46208</v>
      </c>
    </row>
    <row r="75" spans="1:6" ht="14.25">
      <c r="A75" s="234" t="s">
        <v>1937</v>
      </c>
      <c r="B75" s="242" t="s">
        <v>2116</v>
      </c>
      <c r="C75" s="243" t="s">
        <v>14</v>
      </c>
      <c r="D75" s="244" t="s">
        <v>1842</v>
      </c>
      <c r="E75" s="245" t="s">
        <v>1843</v>
      </c>
      <c r="F75" s="246">
        <v>46197</v>
      </c>
    </row>
    <row r="76" spans="1:6" ht="14.25">
      <c r="A76" s="234" t="s">
        <v>1937</v>
      </c>
      <c r="B76" s="242" t="s">
        <v>2116</v>
      </c>
      <c r="C76" s="243" t="s">
        <v>14</v>
      </c>
      <c r="D76" s="244" t="s">
        <v>1844</v>
      </c>
      <c r="E76" s="245" t="s">
        <v>1845</v>
      </c>
      <c r="F76" s="246">
        <v>46204</v>
      </c>
    </row>
    <row r="77" spans="1:6" ht="14.25">
      <c r="A77" s="234" t="s">
        <v>1937</v>
      </c>
      <c r="B77" s="242" t="s">
        <v>2116</v>
      </c>
      <c r="C77" s="243" t="s">
        <v>14</v>
      </c>
      <c r="D77" s="244" t="s">
        <v>1846</v>
      </c>
      <c r="E77" s="245" t="s">
        <v>1847</v>
      </c>
      <c r="F77" s="246">
        <v>46204</v>
      </c>
    </row>
    <row r="78" spans="1:6" ht="14.25">
      <c r="A78" s="234" t="s">
        <v>1937</v>
      </c>
      <c r="B78" s="242" t="s">
        <v>2116</v>
      </c>
      <c r="C78" s="243" t="s">
        <v>14</v>
      </c>
      <c r="D78" s="244" t="s">
        <v>1848</v>
      </c>
      <c r="E78" s="245" t="s">
        <v>1849</v>
      </c>
      <c r="F78" s="246">
        <v>46197</v>
      </c>
    </row>
    <row r="79" spans="1:6" ht="14.25">
      <c r="A79" s="234" t="s">
        <v>1937</v>
      </c>
      <c r="B79" s="242" t="s">
        <v>2116</v>
      </c>
      <c r="C79" s="243" t="s">
        <v>14</v>
      </c>
      <c r="D79" s="244" t="s">
        <v>1852</v>
      </c>
      <c r="E79" s="245" t="s">
        <v>1853</v>
      </c>
      <c r="F79" s="246">
        <v>46215</v>
      </c>
    </row>
    <row r="80" spans="1:6" ht="14.25">
      <c r="A80" s="234" t="s">
        <v>1937</v>
      </c>
      <c r="B80" s="242" t="s">
        <v>2116</v>
      </c>
      <c r="C80" s="243" t="s">
        <v>14</v>
      </c>
      <c r="D80" s="244" t="s">
        <v>1854</v>
      </c>
      <c r="E80" s="245" t="s">
        <v>1855</v>
      </c>
      <c r="F80" s="246">
        <v>46215</v>
      </c>
    </row>
    <row r="81" spans="1:6" ht="14.25">
      <c r="A81" s="234" t="s">
        <v>1937</v>
      </c>
      <c r="B81" s="242" t="s">
        <v>2116</v>
      </c>
      <c r="C81" s="243" t="s">
        <v>14</v>
      </c>
      <c r="D81" s="244" t="s">
        <v>1856</v>
      </c>
      <c r="E81" s="249" t="s">
        <v>1857</v>
      </c>
      <c r="F81" s="244">
        <v>46215</v>
      </c>
    </row>
    <row r="82" spans="1:6" ht="14.25">
      <c r="A82" s="234" t="s">
        <v>1937</v>
      </c>
      <c r="B82" s="242" t="s">
        <v>2116</v>
      </c>
      <c r="C82" s="243" t="s">
        <v>14</v>
      </c>
      <c r="D82" s="244" t="s">
        <v>1858</v>
      </c>
      <c r="E82" s="245" t="s">
        <v>1859</v>
      </c>
      <c r="F82" s="246">
        <v>46215</v>
      </c>
    </row>
    <row r="83" spans="1:6" ht="14.25">
      <c r="A83" s="234" t="s">
        <v>1937</v>
      </c>
      <c r="B83" s="242" t="s">
        <v>2116</v>
      </c>
      <c r="C83" s="243" t="s">
        <v>14</v>
      </c>
      <c r="D83" s="244" t="s">
        <v>1860</v>
      </c>
      <c r="E83" s="245" t="s">
        <v>1861</v>
      </c>
      <c r="F83" s="246">
        <v>46215</v>
      </c>
    </row>
    <row r="84" spans="1:6" ht="14.25">
      <c r="A84" s="234" t="s">
        <v>1937</v>
      </c>
      <c r="B84" s="242" t="s">
        <v>2116</v>
      </c>
      <c r="C84" s="243" t="s">
        <v>14</v>
      </c>
      <c r="D84" s="244" t="s">
        <v>1862</v>
      </c>
      <c r="E84" s="245" t="s">
        <v>1863</v>
      </c>
      <c r="F84" s="246">
        <v>46215</v>
      </c>
    </row>
    <row r="85" spans="1:6" ht="14.25">
      <c r="A85" s="234" t="s">
        <v>1937</v>
      </c>
      <c r="B85" s="242" t="s">
        <v>2116</v>
      </c>
      <c r="C85" s="243" t="s">
        <v>14</v>
      </c>
      <c r="D85" s="244" t="s">
        <v>1864</v>
      </c>
      <c r="E85" s="245" t="s">
        <v>1865</v>
      </c>
      <c r="F85" s="246">
        <v>46215</v>
      </c>
    </row>
    <row r="86" spans="1:6" ht="14.25">
      <c r="A86" s="234" t="s">
        <v>1937</v>
      </c>
      <c r="B86" s="242" t="s">
        <v>2116</v>
      </c>
      <c r="C86" s="243" t="s">
        <v>14</v>
      </c>
      <c r="D86" s="244" t="s">
        <v>1159</v>
      </c>
      <c r="E86" s="245" t="s">
        <v>1870</v>
      </c>
      <c r="F86" s="246">
        <v>46215</v>
      </c>
    </row>
    <row r="87" spans="1:6" ht="14.25">
      <c r="A87" s="234" t="s">
        <v>1937</v>
      </c>
      <c r="B87" s="242" t="s">
        <v>2116</v>
      </c>
      <c r="C87" s="243" t="s">
        <v>14</v>
      </c>
      <c r="D87" s="244" t="s">
        <v>1871</v>
      </c>
      <c r="E87" s="245" t="s">
        <v>1872</v>
      </c>
      <c r="F87" s="246">
        <v>46215</v>
      </c>
    </row>
    <row r="88" spans="1:6" ht="14.25">
      <c r="A88" s="234" t="s">
        <v>1937</v>
      </c>
      <c r="B88" s="242" t="s">
        <v>2116</v>
      </c>
      <c r="C88" s="243" t="s">
        <v>14</v>
      </c>
      <c r="D88" s="244" t="s">
        <v>1873</v>
      </c>
      <c r="E88" s="245" t="s">
        <v>1874</v>
      </c>
      <c r="F88" s="246">
        <v>46215</v>
      </c>
    </row>
    <row r="89" spans="1:6" ht="14.25">
      <c r="A89" s="234" t="s">
        <v>1937</v>
      </c>
      <c r="B89" s="242" t="s">
        <v>2116</v>
      </c>
      <c r="C89" s="243" t="s">
        <v>14</v>
      </c>
      <c r="D89" s="244" t="s">
        <v>1875</v>
      </c>
      <c r="E89" s="245" t="s">
        <v>1876</v>
      </c>
      <c r="F89" s="246">
        <v>46215</v>
      </c>
    </row>
    <row r="90" spans="1:6" ht="14.25">
      <c r="A90" s="234" t="s">
        <v>1937</v>
      </c>
      <c r="B90" s="242" t="s">
        <v>2116</v>
      </c>
      <c r="C90" s="243" t="s">
        <v>129</v>
      </c>
      <c r="D90" s="244" t="s">
        <v>380</v>
      </c>
      <c r="E90" s="245" t="s">
        <v>377</v>
      </c>
      <c r="F90" s="246">
        <v>45735</v>
      </c>
    </row>
    <row r="91" spans="1:6" ht="14.25">
      <c r="A91" s="234" t="s">
        <v>1937</v>
      </c>
      <c r="B91" s="242" t="s">
        <v>2116</v>
      </c>
      <c r="C91" s="243" t="s">
        <v>129</v>
      </c>
      <c r="D91" s="244" t="s">
        <v>620</v>
      </c>
      <c r="E91" s="245" t="s">
        <v>577</v>
      </c>
      <c r="F91" s="246">
        <v>45896</v>
      </c>
    </row>
    <row r="92" spans="1:6" ht="14.25">
      <c r="A92" s="234" t="s">
        <v>1937</v>
      </c>
      <c r="B92" s="242" t="s">
        <v>2116</v>
      </c>
      <c r="C92" s="243" t="s">
        <v>129</v>
      </c>
      <c r="D92" s="244" t="s">
        <v>939</v>
      </c>
      <c r="E92" s="245" t="s">
        <v>878</v>
      </c>
      <c r="F92" s="246">
        <v>45903</v>
      </c>
    </row>
    <row r="93" spans="1:6" ht="14.25">
      <c r="A93" s="234" t="s">
        <v>1937</v>
      </c>
      <c r="B93" s="242" t="s">
        <v>2116</v>
      </c>
      <c r="C93" s="243" t="s">
        <v>146</v>
      </c>
      <c r="D93" s="244" t="s">
        <v>1006</v>
      </c>
      <c r="E93" s="245" t="s">
        <v>1007</v>
      </c>
      <c r="F93" s="246">
        <v>46085</v>
      </c>
    </row>
    <row r="94" spans="1:6" ht="14.25">
      <c r="A94" s="234" t="s">
        <v>1937</v>
      </c>
      <c r="B94" s="242" t="s">
        <v>2116</v>
      </c>
      <c r="C94" s="243" t="s">
        <v>146</v>
      </c>
      <c r="D94" s="244" t="s">
        <v>1804</v>
      </c>
      <c r="E94" s="245" t="s">
        <v>1805</v>
      </c>
      <c r="F94" s="246">
        <v>46204</v>
      </c>
    </row>
    <row r="95" spans="1:6" ht="14.25">
      <c r="A95" s="235" t="s">
        <v>1940</v>
      </c>
      <c r="B95" s="242" t="s">
        <v>2116</v>
      </c>
      <c r="C95" s="250" t="s">
        <v>14</v>
      </c>
      <c r="D95" s="251" t="s">
        <v>2029</v>
      </c>
      <c r="E95" s="252" t="s">
        <v>2030</v>
      </c>
      <c r="F95" s="253">
        <v>46225</v>
      </c>
    </row>
    <row r="96" spans="1:6" ht="14.25">
      <c r="A96" s="235" t="s">
        <v>1940</v>
      </c>
      <c r="B96" s="242" t="s">
        <v>2116</v>
      </c>
      <c r="C96" s="243" t="s">
        <v>14</v>
      </c>
      <c r="D96" s="245" t="s">
        <v>1780</v>
      </c>
      <c r="E96" s="249" t="s">
        <v>1781</v>
      </c>
      <c r="F96" s="244">
        <v>46215</v>
      </c>
    </row>
    <row r="97" spans="1:6" ht="14.25">
      <c r="A97" s="235" t="s">
        <v>1940</v>
      </c>
      <c r="B97" s="242" t="s">
        <v>2116</v>
      </c>
      <c r="C97" s="243" t="s">
        <v>14</v>
      </c>
      <c r="D97" s="244" t="s">
        <v>1784</v>
      </c>
      <c r="E97" s="245" t="s">
        <v>1785</v>
      </c>
      <c r="F97" s="246">
        <v>46215</v>
      </c>
    </row>
    <row r="98" spans="1:6" ht="28.5">
      <c r="A98" s="235" t="s">
        <v>2135</v>
      </c>
      <c r="B98" s="242" t="s">
        <v>2116</v>
      </c>
      <c r="C98" s="243" t="s">
        <v>14</v>
      </c>
      <c r="D98" s="245" t="s">
        <v>1428</v>
      </c>
      <c r="E98" s="249" t="s">
        <v>1429</v>
      </c>
      <c r="F98" s="244">
        <v>46176</v>
      </c>
    </row>
    <row r="99" spans="1:6" ht="14.25">
      <c r="A99" s="234" t="s">
        <v>2132</v>
      </c>
      <c r="B99" s="230" t="s">
        <v>2139</v>
      </c>
      <c r="C99" s="256" t="s">
        <v>81</v>
      </c>
      <c r="D99" s="259" t="s">
        <v>1629</v>
      </c>
      <c r="E99" s="258" t="s">
        <v>1630</v>
      </c>
      <c r="F99" s="257">
        <v>46208</v>
      </c>
    </row>
    <row r="100" spans="1:6" ht="14.25">
      <c r="A100" s="234" t="s">
        <v>2132</v>
      </c>
      <c r="B100" s="230" t="s">
        <v>2139</v>
      </c>
      <c r="C100" s="256" t="s">
        <v>14</v>
      </c>
      <c r="D100" s="257" t="s">
        <v>127</v>
      </c>
      <c r="E100" s="259" t="s">
        <v>128</v>
      </c>
      <c r="F100" s="260">
        <v>45238</v>
      </c>
    </row>
    <row r="101" spans="1:6" ht="14.25">
      <c r="A101" s="234" t="s">
        <v>2132</v>
      </c>
      <c r="B101" s="230" t="s">
        <v>2139</v>
      </c>
      <c r="C101" s="256" t="s">
        <v>14</v>
      </c>
      <c r="D101" s="257" t="s">
        <v>1631</v>
      </c>
      <c r="E101" s="258" t="s">
        <v>1632</v>
      </c>
      <c r="F101" s="257">
        <v>46208</v>
      </c>
    </row>
    <row r="102" spans="1:6" ht="14.25">
      <c r="A102" s="235" t="s">
        <v>2133</v>
      </c>
      <c r="B102" s="230" t="s">
        <v>2139</v>
      </c>
      <c r="C102" s="256" t="s">
        <v>14</v>
      </c>
      <c r="D102" s="257" t="s">
        <v>218</v>
      </c>
      <c r="E102" s="259" t="s">
        <v>219</v>
      </c>
      <c r="F102" s="260">
        <v>45469</v>
      </c>
    </row>
    <row r="103" spans="1:6" ht="14.25">
      <c r="A103" s="235" t="s">
        <v>2133</v>
      </c>
      <c r="B103" s="230" t="s">
        <v>2139</v>
      </c>
      <c r="C103" s="256" t="s">
        <v>14</v>
      </c>
      <c r="D103" s="257" t="s">
        <v>301</v>
      </c>
      <c r="E103" s="259" t="s">
        <v>288</v>
      </c>
      <c r="F103" s="260">
        <v>45586</v>
      </c>
    </row>
    <row r="104" spans="1:6" ht="14.25">
      <c r="A104" s="235" t="s">
        <v>2133</v>
      </c>
      <c r="B104" s="230" t="s">
        <v>2139</v>
      </c>
      <c r="C104" s="256" t="s">
        <v>14</v>
      </c>
      <c r="D104" s="257" t="s">
        <v>408</v>
      </c>
      <c r="E104" s="259" t="s">
        <v>404</v>
      </c>
      <c r="F104" s="260">
        <v>44396</v>
      </c>
    </row>
    <row r="105" spans="1:6" ht="14.25">
      <c r="A105" s="234" t="s">
        <v>1032</v>
      </c>
      <c r="B105" s="242" t="s">
        <v>2111</v>
      </c>
      <c r="C105" s="243" t="s">
        <v>81</v>
      </c>
      <c r="D105" s="244" t="s">
        <v>476</v>
      </c>
      <c r="E105" s="249" t="s">
        <v>441</v>
      </c>
      <c r="F105" s="244">
        <v>45138</v>
      </c>
    </row>
    <row r="106" spans="1:6" ht="14.25">
      <c r="A106" s="234" t="s">
        <v>2132</v>
      </c>
      <c r="B106" s="242" t="s">
        <v>2111</v>
      </c>
      <c r="C106" s="243" t="s">
        <v>81</v>
      </c>
      <c r="D106" s="244" t="s">
        <v>485</v>
      </c>
      <c r="E106" s="249" t="s">
        <v>452</v>
      </c>
      <c r="F106" s="244">
        <v>45847</v>
      </c>
    </row>
    <row r="107" spans="1:6" ht="14.25">
      <c r="A107" s="234" t="s">
        <v>2132</v>
      </c>
      <c r="B107" s="242" t="s">
        <v>2111</v>
      </c>
      <c r="C107" s="243" t="s">
        <v>81</v>
      </c>
      <c r="D107" s="244" t="s">
        <v>1625</v>
      </c>
      <c r="E107" s="245" t="s">
        <v>1626</v>
      </c>
      <c r="F107" s="246">
        <v>46208</v>
      </c>
    </row>
    <row r="108" spans="1:6" ht="14.25">
      <c r="A108" s="234" t="s">
        <v>2132</v>
      </c>
      <c r="B108" s="242" t="s">
        <v>2111</v>
      </c>
      <c r="C108" s="243" t="s">
        <v>81</v>
      </c>
      <c r="D108" s="244" t="s">
        <v>1627</v>
      </c>
      <c r="E108" s="249" t="s">
        <v>1628</v>
      </c>
      <c r="F108" s="246">
        <v>46213</v>
      </c>
    </row>
    <row r="109" spans="1:6" ht="14.25">
      <c r="A109" s="234" t="s">
        <v>2132</v>
      </c>
      <c r="B109" s="242" t="s">
        <v>2111</v>
      </c>
      <c r="C109" s="243" t="s">
        <v>81</v>
      </c>
      <c r="D109" s="245" t="s">
        <v>928</v>
      </c>
      <c r="E109" s="249" t="s">
        <v>879</v>
      </c>
      <c r="F109" s="244">
        <v>46015</v>
      </c>
    </row>
    <row r="110" spans="1:6" ht="42.75">
      <c r="A110" s="234" t="s">
        <v>2132</v>
      </c>
      <c r="B110" s="242" t="s">
        <v>2111</v>
      </c>
      <c r="C110" s="243" t="s">
        <v>131</v>
      </c>
      <c r="D110" s="244" t="s">
        <v>175</v>
      </c>
      <c r="E110" s="245" t="s">
        <v>176</v>
      </c>
      <c r="F110" s="246">
        <v>38548</v>
      </c>
    </row>
    <row r="111" spans="1:6" ht="14.25">
      <c r="A111" s="234" t="s">
        <v>2132</v>
      </c>
      <c r="B111" s="242" t="s">
        <v>2111</v>
      </c>
      <c r="C111" s="243" t="s">
        <v>154</v>
      </c>
      <c r="D111" s="244" t="s">
        <v>212</v>
      </c>
      <c r="E111" s="249" t="s">
        <v>213</v>
      </c>
      <c r="F111" s="244">
        <v>44774</v>
      </c>
    </row>
    <row r="112" spans="1:6" ht="14.25">
      <c r="A112" s="234" t="s">
        <v>2132</v>
      </c>
      <c r="B112" s="242" t="s">
        <v>2111</v>
      </c>
      <c r="C112" s="243" t="s">
        <v>154</v>
      </c>
      <c r="D112" s="244" t="s">
        <v>1647</v>
      </c>
      <c r="E112" s="249" t="s">
        <v>1648</v>
      </c>
      <c r="F112" s="244">
        <v>46204</v>
      </c>
    </row>
    <row r="113" spans="1:6" ht="14.25">
      <c r="A113" s="234" t="s">
        <v>2132</v>
      </c>
      <c r="B113" s="242" t="s">
        <v>2111</v>
      </c>
      <c r="C113" s="243" t="s">
        <v>14</v>
      </c>
      <c r="D113" s="244" t="s">
        <v>220</v>
      </c>
      <c r="E113" s="245" t="s">
        <v>221</v>
      </c>
      <c r="F113" s="246">
        <v>45490</v>
      </c>
    </row>
    <row r="114" spans="1:6" ht="14.25">
      <c r="A114" s="234" t="s">
        <v>2132</v>
      </c>
      <c r="B114" s="242" t="s">
        <v>2111</v>
      </c>
      <c r="C114" s="243" t="s">
        <v>14</v>
      </c>
      <c r="D114" s="244" t="s">
        <v>216</v>
      </c>
      <c r="E114" s="249" t="s">
        <v>217</v>
      </c>
      <c r="F114" s="246">
        <v>45469</v>
      </c>
    </row>
    <row r="115" spans="1:6" ht="14.25">
      <c r="A115" s="234" t="s">
        <v>2132</v>
      </c>
      <c r="B115" s="242" t="s">
        <v>2111</v>
      </c>
      <c r="C115" s="243" t="s">
        <v>14</v>
      </c>
      <c r="D115" s="244" t="s">
        <v>248</v>
      </c>
      <c r="E115" s="245" t="s">
        <v>224</v>
      </c>
      <c r="F115" s="246">
        <v>44753</v>
      </c>
    </row>
    <row r="116" spans="1:6" ht="14.25">
      <c r="A116" s="234" t="s">
        <v>2132</v>
      </c>
      <c r="B116" s="242" t="s">
        <v>2111</v>
      </c>
      <c r="C116" s="243" t="s">
        <v>14</v>
      </c>
      <c r="D116" s="244" t="s">
        <v>249</v>
      </c>
      <c r="E116" s="245" t="s">
        <v>225</v>
      </c>
      <c r="F116" s="246">
        <v>44753</v>
      </c>
    </row>
    <row r="117" spans="1:6" ht="14.25">
      <c r="A117" s="234" t="s">
        <v>2132</v>
      </c>
      <c r="B117" s="242" t="s">
        <v>2111</v>
      </c>
      <c r="C117" s="243" t="s">
        <v>14</v>
      </c>
      <c r="D117" s="244" t="s">
        <v>428</v>
      </c>
      <c r="E117" s="245" t="s">
        <v>423</v>
      </c>
      <c r="F117" s="246">
        <v>45826</v>
      </c>
    </row>
    <row r="118" spans="1:6" ht="14.25">
      <c r="A118" s="234" t="s">
        <v>2132</v>
      </c>
      <c r="B118" s="242" t="s">
        <v>2111</v>
      </c>
      <c r="C118" s="243" t="s">
        <v>14</v>
      </c>
      <c r="D118" s="244" t="s">
        <v>214</v>
      </c>
      <c r="E118" s="249" t="s">
        <v>215</v>
      </c>
      <c r="F118" s="244">
        <v>45462</v>
      </c>
    </row>
    <row r="119" spans="1:6" ht="14.25">
      <c r="A119" s="234" t="s">
        <v>2132</v>
      </c>
      <c r="B119" s="242" t="s">
        <v>2111</v>
      </c>
      <c r="C119" s="243" t="s">
        <v>14</v>
      </c>
      <c r="D119" s="244" t="s">
        <v>276</v>
      </c>
      <c r="E119" s="245" t="s">
        <v>272</v>
      </c>
      <c r="F119" s="246">
        <v>45532</v>
      </c>
    </row>
    <row r="120" spans="1:6" ht="14.25">
      <c r="A120" s="234" t="s">
        <v>2132</v>
      </c>
      <c r="B120" s="242" t="s">
        <v>2111</v>
      </c>
      <c r="C120" s="243" t="s">
        <v>87</v>
      </c>
      <c r="D120" s="244" t="s">
        <v>545</v>
      </c>
      <c r="E120" s="245" t="s">
        <v>512</v>
      </c>
      <c r="F120" s="246">
        <v>45889</v>
      </c>
    </row>
    <row r="121" spans="1:6" ht="14.25">
      <c r="A121" s="234" t="s">
        <v>2132</v>
      </c>
      <c r="B121" s="242" t="s">
        <v>2111</v>
      </c>
      <c r="C121" s="243" t="s">
        <v>14</v>
      </c>
      <c r="D121" s="244" t="s">
        <v>1280</v>
      </c>
      <c r="E121" s="245" t="s">
        <v>685</v>
      </c>
      <c r="F121" s="246">
        <v>45980</v>
      </c>
    </row>
    <row r="122" spans="1:6" ht="14.25">
      <c r="A122" s="234" t="s">
        <v>2132</v>
      </c>
      <c r="B122" s="242" t="s">
        <v>2111</v>
      </c>
      <c r="C122" s="243" t="s">
        <v>14</v>
      </c>
      <c r="D122" s="244" t="s">
        <v>818</v>
      </c>
      <c r="E122" s="245" t="s">
        <v>770</v>
      </c>
      <c r="F122" s="246">
        <v>45987</v>
      </c>
    </row>
    <row r="123" spans="1:6" ht="14.25">
      <c r="A123" s="234" t="s">
        <v>2132</v>
      </c>
      <c r="B123" s="242" t="s">
        <v>2111</v>
      </c>
      <c r="C123" s="243" t="s">
        <v>14</v>
      </c>
      <c r="D123" s="244" t="s">
        <v>819</v>
      </c>
      <c r="E123" s="245" t="s">
        <v>771</v>
      </c>
      <c r="F123" s="246">
        <v>46008</v>
      </c>
    </row>
    <row r="124" spans="1:6" ht="14.25">
      <c r="A124" s="234" t="s">
        <v>2132</v>
      </c>
      <c r="B124" s="242" t="s">
        <v>2111</v>
      </c>
      <c r="C124" s="243" t="s">
        <v>87</v>
      </c>
      <c r="D124" s="244" t="s">
        <v>820</v>
      </c>
      <c r="E124" s="249" t="s">
        <v>772</v>
      </c>
      <c r="F124" s="244">
        <v>46008</v>
      </c>
    </row>
    <row r="125" spans="1:6" ht="14.25">
      <c r="A125" s="234" t="s">
        <v>2132</v>
      </c>
      <c r="B125" s="242" t="s">
        <v>2111</v>
      </c>
      <c r="C125" s="243" t="s">
        <v>14</v>
      </c>
      <c r="D125" s="244" t="s">
        <v>1108</v>
      </c>
      <c r="E125" s="245" t="s">
        <v>1109</v>
      </c>
      <c r="F125" s="246">
        <v>46127</v>
      </c>
    </row>
    <row r="126" spans="1:6" ht="14.25">
      <c r="A126" s="234" t="s">
        <v>2132</v>
      </c>
      <c r="B126" s="242" t="s">
        <v>2111</v>
      </c>
      <c r="C126" s="243" t="s">
        <v>14</v>
      </c>
      <c r="D126" s="244" t="s">
        <v>1110</v>
      </c>
      <c r="E126" s="245" t="s">
        <v>1111</v>
      </c>
      <c r="F126" s="246">
        <v>46127</v>
      </c>
    </row>
    <row r="127" spans="1:6" ht="14.25">
      <c r="A127" s="234" t="s">
        <v>2132</v>
      </c>
      <c r="B127" s="242" t="s">
        <v>2111</v>
      </c>
      <c r="C127" s="243" t="s">
        <v>14</v>
      </c>
      <c r="D127" s="244" t="s">
        <v>1112</v>
      </c>
      <c r="E127" s="245" t="s">
        <v>1113</v>
      </c>
      <c r="F127" s="246">
        <v>46120</v>
      </c>
    </row>
    <row r="128" spans="1:6" ht="14.25">
      <c r="A128" s="234" t="s">
        <v>2132</v>
      </c>
      <c r="B128" s="242" t="s">
        <v>2111</v>
      </c>
      <c r="C128" s="243" t="s">
        <v>14</v>
      </c>
      <c r="D128" s="244" t="s">
        <v>907</v>
      </c>
      <c r="E128" s="245" t="s">
        <v>880</v>
      </c>
      <c r="F128" s="246">
        <v>46015</v>
      </c>
    </row>
    <row r="129" spans="1:6" ht="14.25">
      <c r="A129" s="234" t="s">
        <v>2132</v>
      </c>
      <c r="B129" s="242" t="s">
        <v>2111</v>
      </c>
      <c r="C129" s="243" t="s">
        <v>14</v>
      </c>
      <c r="D129" s="244" t="s">
        <v>1125</v>
      </c>
      <c r="E129" s="245" t="s">
        <v>1126</v>
      </c>
      <c r="F129" s="246">
        <v>46120</v>
      </c>
    </row>
    <row r="130" spans="1:6" ht="14.25">
      <c r="A130" s="234" t="s">
        <v>2132</v>
      </c>
      <c r="B130" s="242" t="s">
        <v>2111</v>
      </c>
      <c r="C130" s="243" t="s">
        <v>87</v>
      </c>
      <c r="D130" s="244" t="s">
        <v>1127</v>
      </c>
      <c r="E130" s="245" t="s">
        <v>1128</v>
      </c>
      <c r="F130" s="246">
        <v>46120</v>
      </c>
    </row>
    <row r="131" spans="1:6" ht="14.25">
      <c r="A131" s="234" t="s">
        <v>2132</v>
      </c>
      <c r="B131" s="242" t="s">
        <v>2111</v>
      </c>
      <c r="C131" s="243" t="s">
        <v>14</v>
      </c>
      <c r="D131" s="244" t="s">
        <v>1129</v>
      </c>
      <c r="E131" s="245" t="s">
        <v>1130</v>
      </c>
      <c r="F131" s="246">
        <v>46120</v>
      </c>
    </row>
    <row r="132" spans="1:6" ht="14.25">
      <c r="A132" s="234" t="s">
        <v>2132</v>
      </c>
      <c r="B132" s="242" t="s">
        <v>2111</v>
      </c>
      <c r="C132" s="243" t="s">
        <v>14</v>
      </c>
      <c r="D132" s="244" t="s">
        <v>1010</v>
      </c>
      <c r="E132" s="245" t="s">
        <v>1011</v>
      </c>
      <c r="F132" s="246">
        <v>46104</v>
      </c>
    </row>
    <row r="133" spans="1:6" ht="14.25">
      <c r="A133" s="234" t="s">
        <v>2132</v>
      </c>
      <c r="B133" s="242" t="s">
        <v>2111</v>
      </c>
      <c r="C133" s="243" t="s">
        <v>87</v>
      </c>
      <c r="D133" s="244" t="s">
        <v>923</v>
      </c>
      <c r="E133" s="249" t="s">
        <v>1291</v>
      </c>
      <c r="F133" s="244">
        <v>46132</v>
      </c>
    </row>
    <row r="134" spans="1:6" ht="14.25">
      <c r="A134" s="234" t="s">
        <v>2132</v>
      </c>
      <c r="B134" s="242" t="s">
        <v>2111</v>
      </c>
      <c r="C134" s="243" t="s">
        <v>14</v>
      </c>
      <c r="D134" s="244" t="s">
        <v>1292</v>
      </c>
      <c r="E134" s="245" t="s">
        <v>1293</v>
      </c>
      <c r="F134" s="246">
        <v>46134</v>
      </c>
    </row>
    <row r="135" spans="1:6" ht="14.25">
      <c r="A135" s="234" t="s">
        <v>2132</v>
      </c>
      <c r="B135" s="242" t="s">
        <v>2111</v>
      </c>
      <c r="C135" s="243" t="s">
        <v>14</v>
      </c>
      <c r="D135" s="244" t="s">
        <v>1294</v>
      </c>
      <c r="E135" s="245" t="s">
        <v>1295</v>
      </c>
      <c r="F135" s="246">
        <v>46134</v>
      </c>
    </row>
    <row r="136" spans="1:6" ht="14.25">
      <c r="A136" s="234" t="s">
        <v>2132</v>
      </c>
      <c r="B136" s="242" t="s">
        <v>2111</v>
      </c>
      <c r="C136" s="243" t="s">
        <v>14</v>
      </c>
      <c r="D136" s="244" t="s">
        <v>1297</v>
      </c>
      <c r="E136" s="245" t="s">
        <v>1298</v>
      </c>
      <c r="F136" s="246">
        <v>46132</v>
      </c>
    </row>
    <row r="137" spans="1:6" ht="14.25">
      <c r="A137" s="234" t="s">
        <v>2132</v>
      </c>
      <c r="B137" s="242" t="s">
        <v>2111</v>
      </c>
      <c r="C137" s="243" t="s">
        <v>14</v>
      </c>
      <c r="D137" s="244" t="s">
        <v>1299</v>
      </c>
      <c r="E137" s="245" t="s">
        <v>1300</v>
      </c>
      <c r="F137" s="246">
        <v>46139</v>
      </c>
    </row>
    <row r="138" spans="1:6" ht="14.25">
      <c r="A138" s="234" t="s">
        <v>2132</v>
      </c>
      <c r="B138" s="242" t="s">
        <v>2111</v>
      </c>
      <c r="C138" s="243" t="s">
        <v>14</v>
      </c>
      <c r="D138" s="244" t="s">
        <v>1331</v>
      </c>
      <c r="E138" s="245" t="s">
        <v>1332</v>
      </c>
      <c r="F138" s="246">
        <v>46139</v>
      </c>
    </row>
    <row r="139" spans="1:6" ht="14.25">
      <c r="A139" s="234" t="s">
        <v>2132</v>
      </c>
      <c r="B139" s="242" t="s">
        <v>2111</v>
      </c>
      <c r="C139" s="243" t="s">
        <v>14</v>
      </c>
      <c r="D139" s="244" t="s">
        <v>1437</v>
      </c>
      <c r="E139" s="245" t="s">
        <v>1438</v>
      </c>
      <c r="F139" s="246">
        <v>46169</v>
      </c>
    </row>
    <row r="140" spans="1:6" ht="14.25">
      <c r="A140" s="234" t="s">
        <v>2132</v>
      </c>
      <c r="B140" s="242" t="s">
        <v>2111</v>
      </c>
      <c r="C140" s="243" t="s">
        <v>14</v>
      </c>
      <c r="D140" s="244" t="s">
        <v>1633</v>
      </c>
      <c r="E140" s="245" t="s">
        <v>1634</v>
      </c>
      <c r="F140" s="246">
        <v>46197</v>
      </c>
    </row>
    <row r="141" spans="1:6" ht="14.25">
      <c r="A141" s="234" t="s">
        <v>2132</v>
      </c>
      <c r="B141" s="242" t="s">
        <v>2111</v>
      </c>
      <c r="C141" s="243" t="s">
        <v>14</v>
      </c>
      <c r="D141" s="244" t="s">
        <v>1635</v>
      </c>
      <c r="E141" s="245" t="s">
        <v>1636</v>
      </c>
      <c r="F141" s="246">
        <v>46197</v>
      </c>
    </row>
    <row r="142" spans="1:6" ht="14.25">
      <c r="A142" s="234" t="s">
        <v>2132</v>
      </c>
      <c r="B142" s="242" t="s">
        <v>2111</v>
      </c>
      <c r="C142" s="243" t="s">
        <v>14</v>
      </c>
      <c r="D142" s="244" t="s">
        <v>1650</v>
      </c>
      <c r="E142" s="249" t="s">
        <v>1651</v>
      </c>
      <c r="F142" s="244">
        <v>46215</v>
      </c>
    </row>
    <row r="143" spans="1:6" ht="14.25">
      <c r="A143" s="234" t="s">
        <v>2132</v>
      </c>
      <c r="B143" s="242" t="s">
        <v>2111</v>
      </c>
      <c r="C143" s="243" t="s">
        <v>14</v>
      </c>
      <c r="D143" s="245" t="s">
        <v>1652</v>
      </c>
      <c r="E143" s="249" t="s">
        <v>1653</v>
      </c>
      <c r="F143" s="244">
        <v>46215</v>
      </c>
    </row>
    <row r="144" spans="1:6" ht="14.25">
      <c r="A144" s="234" t="s">
        <v>2132</v>
      </c>
      <c r="B144" s="242" t="s">
        <v>2111</v>
      </c>
      <c r="C144" s="243" t="s">
        <v>14</v>
      </c>
      <c r="D144" s="244" t="s">
        <v>1656</v>
      </c>
      <c r="E144" s="245" t="s">
        <v>1657</v>
      </c>
      <c r="F144" s="246">
        <v>46215</v>
      </c>
    </row>
    <row r="145" spans="1:6" ht="14.25">
      <c r="A145" s="234" t="s">
        <v>2132</v>
      </c>
      <c r="B145" s="242" t="s">
        <v>2111</v>
      </c>
      <c r="C145" s="243" t="s">
        <v>14</v>
      </c>
      <c r="D145" s="245" t="s">
        <v>1658</v>
      </c>
      <c r="E145" s="249" t="s">
        <v>1659</v>
      </c>
      <c r="F145" s="244">
        <v>46215</v>
      </c>
    </row>
    <row r="146" spans="1:6" ht="14.25">
      <c r="A146" s="234" t="s">
        <v>2132</v>
      </c>
      <c r="B146" s="242" t="s">
        <v>2111</v>
      </c>
      <c r="C146" s="243" t="s">
        <v>14</v>
      </c>
      <c r="D146" s="244" t="s">
        <v>1660</v>
      </c>
      <c r="E146" s="245" t="s">
        <v>1661</v>
      </c>
      <c r="F146" s="246">
        <v>46215</v>
      </c>
    </row>
    <row r="147" spans="1:6" ht="14.25">
      <c r="A147" s="234" t="s">
        <v>2132</v>
      </c>
      <c r="B147" s="242" t="s">
        <v>2111</v>
      </c>
      <c r="C147" s="243" t="s">
        <v>14</v>
      </c>
      <c r="D147" s="244" t="s">
        <v>1662</v>
      </c>
      <c r="E147" s="245" t="s">
        <v>1663</v>
      </c>
      <c r="F147" s="246">
        <v>46215</v>
      </c>
    </row>
    <row r="148" spans="1:6" ht="14.25">
      <c r="A148" s="234" t="s">
        <v>2132</v>
      </c>
      <c r="B148" s="242" t="s">
        <v>2111</v>
      </c>
      <c r="C148" s="243" t="s">
        <v>14</v>
      </c>
      <c r="D148" s="244" t="s">
        <v>2094</v>
      </c>
      <c r="E148" s="245" t="s">
        <v>2095</v>
      </c>
      <c r="F148" s="246">
        <v>46215</v>
      </c>
    </row>
    <row r="149" spans="1:6" ht="14.25">
      <c r="A149" s="234" t="s">
        <v>2132</v>
      </c>
      <c r="B149" s="242" t="s">
        <v>2111</v>
      </c>
      <c r="C149" s="243" t="s">
        <v>14</v>
      </c>
      <c r="D149" s="244" t="s">
        <v>2096</v>
      </c>
      <c r="E149" s="245" t="s">
        <v>2097</v>
      </c>
      <c r="F149" s="246">
        <v>46215</v>
      </c>
    </row>
    <row r="150" spans="1:6" ht="14.25">
      <c r="A150" s="234" t="s">
        <v>2132</v>
      </c>
      <c r="B150" s="242" t="s">
        <v>2111</v>
      </c>
      <c r="C150" s="243" t="s">
        <v>14</v>
      </c>
      <c r="D150" s="244" t="s">
        <v>1119</v>
      </c>
      <c r="E150" s="245" t="s">
        <v>1120</v>
      </c>
      <c r="F150" s="246">
        <v>46029</v>
      </c>
    </row>
    <row r="151" spans="1:6" ht="14.25">
      <c r="A151" s="234" t="s">
        <v>2132</v>
      </c>
      <c r="B151" s="242" t="s">
        <v>2111</v>
      </c>
      <c r="C151" s="243" t="s">
        <v>14</v>
      </c>
      <c r="D151" s="244" t="s">
        <v>1121</v>
      </c>
      <c r="E151" s="245" t="s">
        <v>1122</v>
      </c>
      <c r="F151" s="246">
        <v>46029</v>
      </c>
    </row>
    <row r="152" spans="1:6" ht="14.25">
      <c r="A152" s="234" t="s">
        <v>2132</v>
      </c>
      <c r="B152" s="242" t="s">
        <v>2111</v>
      </c>
      <c r="C152" s="243" t="s">
        <v>14</v>
      </c>
      <c r="D152" s="244" t="s">
        <v>1123</v>
      </c>
      <c r="E152" s="245" t="s">
        <v>1124</v>
      </c>
      <c r="F152" s="246">
        <v>46029</v>
      </c>
    </row>
    <row r="153" spans="1:6" ht="14.25">
      <c r="A153" s="234" t="s">
        <v>2132</v>
      </c>
      <c r="B153" s="242" t="s">
        <v>2111</v>
      </c>
      <c r="C153" s="250" t="s">
        <v>14</v>
      </c>
      <c r="D153" s="251" t="s">
        <v>1976</v>
      </c>
      <c r="E153" s="252" t="s">
        <v>1977</v>
      </c>
      <c r="F153" s="253">
        <v>46223</v>
      </c>
    </row>
    <row r="154" spans="1:6" ht="14.25">
      <c r="A154" s="234" t="s">
        <v>2132</v>
      </c>
      <c r="B154" s="242" t="s">
        <v>2111</v>
      </c>
      <c r="C154" s="250" t="s">
        <v>14</v>
      </c>
      <c r="D154" s="251" t="s">
        <v>1978</v>
      </c>
      <c r="E154" s="252" t="s">
        <v>1979</v>
      </c>
      <c r="F154" s="253">
        <v>46223</v>
      </c>
    </row>
    <row r="155" spans="1:6" ht="14.25">
      <c r="A155" s="234" t="s">
        <v>2132</v>
      </c>
      <c r="B155" s="242" t="s">
        <v>2111</v>
      </c>
      <c r="C155" s="250" t="s">
        <v>14</v>
      </c>
      <c r="D155" s="251" t="s">
        <v>1980</v>
      </c>
      <c r="E155" s="252" t="s">
        <v>1981</v>
      </c>
      <c r="F155" s="253">
        <v>46223</v>
      </c>
    </row>
    <row r="156" spans="1:6" ht="14.25">
      <c r="A156" s="234" t="s">
        <v>2132</v>
      </c>
      <c r="B156" s="242" t="s">
        <v>2111</v>
      </c>
      <c r="C156" s="250" t="s">
        <v>14</v>
      </c>
      <c r="D156" s="251" t="s">
        <v>831</v>
      </c>
      <c r="E156" s="252" t="s">
        <v>1982</v>
      </c>
      <c r="F156" s="253">
        <v>46225</v>
      </c>
    </row>
    <row r="157" spans="1:6" ht="14.25">
      <c r="A157" s="234" t="s">
        <v>2132</v>
      </c>
      <c r="B157" s="242" t="s">
        <v>2111</v>
      </c>
      <c r="C157" s="250" t="s">
        <v>14</v>
      </c>
      <c r="D157" s="251" t="s">
        <v>1985</v>
      </c>
      <c r="E157" s="252" t="s">
        <v>1986</v>
      </c>
      <c r="F157" s="253">
        <v>46225</v>
      </c>
    </row>
    <row r="158" spans="1:6" ht="14.25">
      <c r="A158" s="234" t="s">
        <v>2132</v>
      </c>
      <c r="B158" s="242" t="s">
        <v>2111</v>
      </c>
      <c r="C158" s="250" t="s">
        <v>14</v>
      </c>
      <c r="D158" s="251" t="s">
        <v>1987</v>
      </c>
      <c r="E158" s="252" t="s">
        <v>1988</v>
      </c>
      <c r="F158" s="253">
        <v>46225</v>
      </c>
    </row>
    <row r="159" spans="1:6" ht="14.25">
      <c r="A159" s="234" t="s">
        <v>2132</v>
      </c>
      <c r="B159" s="242" t="s">
        <v>2111</v>
      </c>
      <c r="C159" s="243" t="s">
        <v>129</v>
      </c>
      <c r="D159" s="244" t="s">
        <v>262</v>
      </c>
      <c r="E159" s="245" t="s">
        <v>258</v>
      </c>
      <c r="F159" s="246">
        <v>42917</v>
      </c>
    </row>
    <row r="160" spans="1:6" ht="14.25">
      <c r="A160" s="234" t="s">
        <v>2132</v>
      </c>
      <c r="B160" s="242" t="s">
        <v>2111</v>
      </c>
      <c r="C160" s="243" t="s">
        <v>129</v>
      </c>
      <c r="D160" s="244" t="s">
        <v>484</v>
      </c>
      <c r="E160" s="245" t="s">
        <v>450</v>
      </c>
      <c r="F160" s="246">
        <v>45847</v>
      </c>
    </row>
    <row r="161" spans="1:6" ht="14.25">
      <c r="A161" s="234" t="s">
        <v>2132</v>
      </c>
      <c r="B161" s="242" t="s">
        <v>2111</v>
      </c>
      <c r="C161" s="243" t="s">
        <v>129</v>
      </c>
      <c r="D161" s="244" t="s">
        <v>547</v>
      </c>
      <c r="E161" s="245" t="s">
        <v>515</v>
      </c>
      <c r="F161" s="246">
        <v>45889</v>
      </c>
    </row>
    <row r="162" spans="1:6" ht="14.25">
      <c r="A162" s="234" t="s">
        <v>2132</v>
      </c>
      <c r="B162" s="242" t="s">
        <v>2111</v>
      </c>
      <c r="C162" s="243" t="s">
        <v>129</v>
      </c>
      <c r="D162" s="244" t="s">
        <v>482</v>
      </c>
      <c r="E162" s="245" t="s">
        <v>447</v>
      </c>
      <c r="F162" s="246">
        <v>44256</v>
      </c>
    </row>
    <row r="163" spans="1:6" ht="14.25">
      <c r="A163" s="234" t="s">
        <v>2132</v>
      </c>
      <c r="B163" s="242" t="s">
        <v>2111</v>
      </c>
      <c r="C163" s="243" t="s">
        <v>129</v>
      </c>
      <c r="D163" s="244" t="s">
        <v>821</v>
      </c>
      <c r="E163" s="245" t="s">
        <v>773</v>
      </c>
      <c r="F163" s="246">
        <v>44671</v>
      </c>
    </row>
    <row r="164" spans="1:6" ht="14.25">
      <c r="A164" s="234" t="s">
        <v>2132</v>
      </c>
      <c r="B164" s="242" t="s">
        <v>2111</v>
      </c>
      <c r="C164" s="243" t="s">
        <v>129</v>
      </c>
      <c r="D164" s="244" t="s">
        <v>1114</v>
      </c>
      <c r="E164" s="245" t="s">
        <v>1115</v>
      </c>
      <c r="F164" s="246">
        <v>46127</v>
      </c>
    </row>
    <row r="165" spans="1:6" ht="14.25">
      <c r="A165" s="234" t="s">
        <v>2132</v>
      </c>
      <c r="B165" s="242" t="s">
        <v>2111</v>
      </c>
      <c r="C165" s="243" t="s">
        <v>129</v>
      </c>
      <c r="D165" s="244" t="s">
        <v>1117</v>
      </c>
      <c r="E165" s="245" t="s">
        <v>1118</v>
      </c>
      <c r="F165" s="246">
        <v>46120</v>
      </c>
    </row>
    <row r="166" spans="1:6" ht="14.25">
      <c r="A166" s="234" t="s">
        <v>2132</v>
      </c>
      <c r="B166" s="242" t="s">
        <v>2111</v>
      </c>
      <c r="C166" s="243" t="s">
        <v>129</v>
      </c>
      <c r="D166" s="244" t="s">
        <v>1289</v>
      </c>
      <c r="E166" s="245" t="s">
        <v>1290</v>
      </c>
      <c r="F166" s="246">
        <v>46134</v>
      </c>
    </row>
    <row r="167" spans="1:6" ht="14.25">
      <c r="A167" s="234" t="s">
        <v>2132</v>
      </c>
      <c r="B167" s="242" t="s">
        <v>2111</v>
      </c>
      <c r="C167" s="243" t="s">
        <v>129</v>
      </c>
      <c r="D167" s="244" t="s">
        <v>1439</v>
      </c>
      <c r="E167" s="245" t="s">
        <v>1440</v>
      </c>
      <c r="F167" s="246">
        <v>46188</v>
      </c>
    </row>
    <row r="168" spans="1:6" ht="14.25">
      <c r="A168" s="234" t="s">
        <v>2132</v>
      </c>
      <c r="B168" s="242" t="s">
        <v>2111</v>
      </c>
      <c r="C168" s="243" t="s">
        <v>129</v>
      </c>
      <c r="D168" s="244" t="s">
        <v>1639</v>
      </c>
      <c r="E168" s="245" t="s">
        <v>1640</v>
      </c>
      <c r="F168" s="246">
        <v>46204</v>
      </c>
    </row>
    <row r="169" spans="1:6" ht="14.25">
      <c r="A169" s="234" t="s">
        <v>2132</v>
      </c>
      <c r="B169" s="242" t="s">
        <v>2111</v>
      </c>
      <c r="C169" s="243" t="s">
        <v>129</v>
      </c>
      <c r="D169" s="244" t="s">
        <v>1641</v>
      </c>
      <c r="E169" s="245" t="s">
        <v>1642</v>
      </c>
      <c r="F169" s="246">
        <v>46204</v>
      </c>
    </row>
    <row r="170" spans="1:6" ht="14.25">
      <c r="A170" s="234" t="s">
        <v>2132</v>
      </c>
      <c r="B170" s="242" t="s">
        <v>2111</v>
      </c>
      <c r="C170" s="243" t="s">
        <v>129</v>
      </c>
      <c r="D170" s="244" t="s">
        <v>1643</v>
      </c>
      <c r="E170" s="245" t="s">
        <v>1644</v>
      </c>
      <c r="F170" s="246">
        <v>46195</v>
      </c>
    </row>
    <row r="171" spans="1:6" ht="14.25">
      <c r="A171" s="234" t="s">
        <v>2132</v>
      </c>
      <c r="B171" s="242" t="s">
        <v>2111</v>
      </c>
      <c r="C171" s="243" t="s">
        <v>129</v>
      </c>
      <c r="D171" s="244" t="s">
        <v>1645</v>
      </c>
      <c r="E171" s="245" t="s">
        <v>1646</v>
      </c>
      <c r="F171" s="246">
        <v>46195</v>
      </c>
    </row>
    <row r="172" spans="1:6" ht="14.25">
      <c r="A172" s="234" t="s">
        <v>2132</v>
      </c>
      <c r="B172" s="242" t="s">
        <v>2111</v>
      </c>
      <c r="C172" s="243" t="s">
        <v>129</v>
      </c>
      <c r="D172" s="244" t="s">
        <v>724</v>
      </c>
      <c r="E172" s="245" t="s">
        <v>686</v>
      </c>
      <c r="F172" s="246">
        <v>45854</v>
      </c>
    </row>
    <row r="173" spans="1:6" ht="14.25">
      <c r="A173" s="234" t="s">
        <v>2132</v>
      </c>
      <c r="B173" s="242" t="s">
        <v>2111</v>
      </c>
      <c r="C173" s="243" t="s">
        <v>146</v>
      </c>
      <c r="D173" s="244" t="s">
        <v>1008</v>
      </c>
      <c r="E173" s="245" t="s">
        <v>1009</v>
      </c>
      <c r="F173" s="246">
        <v>45980</v>
      </c>
    </row>
    <row r="174" spans="1:6" ht="14.25">
      <c r="A174" s="234" t="s">
        <v>2132</v>
      </c>
      <c r="B174" s="242" t="s">
        <v>2111</v>
      </c>
      <c r="C174" s="250" t="s">
        <v>146</v>
      </c>
      <c r="D174" s="251" t="s">
        <v>1989</v>
      </c>
      <c r="E174" s="252" t="s">
        <v>1990</v>
      </c>
      <c r="F174" s="253">
        <v>46225</v>
      </c>
    </row>
    <row r="175" spans="1:6" ht="14.25">
      <c r="A175" s="234" t="s">
        <v>2132</v>
      </c>
      <c r="B175" s="242" t="s">
        <v>2111</v>
      </c>
      <c r="C175" s="250" t="s">
        <v>146</v>
      </c>
      <c r="D175" s="251" t="s">
        <v>1991</v>
      </c>
      <c r="E175" s="252" t="s">
        <v>1992</v>
      </c>
      <c r="F175" s="253">
        <v>46225</v>
      </c>
    </row>
    <row r="176" spans="1:6" ht="14.25">
      <c r="A176" s="235" t="s">
        <v>2133</v>
      </c>
      <c r="B176" s="242" t="s">
        <v>2111</v>
      </c>
      <c r="C176" s="243" t="s">
        <v>81</v>
      </c>
      <c r="D176" s="244" t="s">
        <v>1104</v>
      </c>
      <c r="E176" s="249" t="s">
        <v>1105</v>
      </c>
      <c r="F176" s="244">
        <v>43530</v>
      </c>
    </row>
    <row r="177" spans="1:6" ht="14.25">
      <c r="A177" s="234" t="s">
        <v>2132</v>
      </c>
      <c r="B177" s="242" t="s">
        <v>2112</v>
      </c>
      <c r="C177" s="243" t="s">
        <v>81</v>
      </c>
      <c r="D177" s="245" t="s">
        <v>1435</v>
      </c>
      <c r="E177" s="249" t="s">
        <v>1436</v>
      </c>
      <c r="F177" s="244">
        <v>46176</v>
      </c>
    </row>
    <row r="178" spans="1:6" ht="14.25">
      <c r="A178" s="234" t="s">
        <v>2132</v>
      </c>
      <c r="B178" s="242" t="s">
        <v>2112</v>
      </c>
      <c r="C178" s="250" t="s">
        <v>14</v>
      </c>
      <c r="D178" s="251" t="s">
        <v>1983</v>
      </c>
      <c r="E178" s="252" t="s">
        <v>1984</v>
      </c>
      <c r="F178" s="253">
        <v>46246</v>
      </c>
    </row>
    <row r="179" spans="1:6" ht="14.25">
      <c r="A179" s="241" t="s">
        <v>2132</v>
      </c>
      <c r="B179" s="242" t="s">
        <v>2112</v>
      </c>
      <c r="C179" s="243" t="s">
        <v>129</v>
      </c>
      <c r="D179" s="244" t="s">
        <v>398</v>
      </c>
      <c r="E179" s="245" t="s">
        <v>390</v>
      </c>
      <c r="F179" s="246">
        <v>45770</v>
      </c>
    </row>
    <row r="180" spans="1:6" ht="14.25">
      <c r="A180" s="237" t="s">
        <v>1034</v>
      </c>
      <c r="B180" s="242" t="s">
        <v>2112</v>
      </c>
      <c r="C180" s="243" t="s">
        <v>81</v>
      </c>
      <c r="D180" s="244" t="s">
        <v>246</v>
      </c>
      <c r="E180" s="249" t="s">
        <v>257</v>
      </c>
      <c r="F180" s="244">
        <v>43661</v>
      </c>
    </row>
    <row r="181" spans="1:6" ht="14.25">
      <c r="A181" s="237" t="s">
        <v>2133</v>
      </c>
      <c r="B181" s="242" t="s">
        <v>2112</v>
      </c>
      <c r="C181" s="243" t="s">
        <v>81</v>
      </c>
      <c r="D181" s="244" t="s">
        <v>929</v>
      </c>
      <c r="E181" s="249" t="s">
        <v>884</v>
      </c>
      <c r="F181" s="244">
        <v>46029</v>
      </c>
    </row>
    <row r="182" spans="1:6" ht="14.25">
      <c r="A182" s="237" t="s">
        <v>2133</v>
      </c>
      <c r="B182" s="242" t="s">
        <v>2112</v>
      </c>
      <c r="C182" s="243" t="s">
        <v>81</v>
      </c>
      <c r="D182" s="245" t="s">
        <v>1102</v>
      </c>
      <c r="E182" s="249" t="s">
        <v>1103</v>
      </c>
      <c r="F182" s="244">
        <v>46106</v>
      </c>
    </row>
    <row r="183" spans="1:6" ht="14.25">
      <c r="A183" s="237" t="s">
        <v>2133</v>
      </c>
      <c r="B183" s="242" t="s">
        <v>2112</v>
      </c>
      <c r="C183" s="243" t="s">
        <v>81</v>
      </c>
      <c r="D183" s="245" t="s">
        <v>1445</v>
      </c>
      <c r="E183" s="249" t="s">
        <v>1446</v>
      </c>
      <c r="F183" s="244">
        <v>45469</v>
      </c>
    </row>
    <row r="184" spans="1:6" ht="14.25">
      <c r="A184" s="237" t="s">
        <v>2133</v>
      </c>
      <c r="B184" s="242" t="s">
        <v>2112</v>
      </c>
      <c r="C184" s="243" t="s">
        <v>81</v>
      </c>
      <c r="D184" s="244" t="s">
        <v>1423</v>
      </c>
      <c r="E184" s="249" t="s">
        <v>1424</v>
      </c>
      <c r="F184" s="244">
        <v>46132</v>
      </c>
    </row>
    <row r="185" spans="1:6" ht="14.25">
      <c r="A185" s="237" t="s">
        <v>2133</v>
      </c>
      <c r="B185" s="242" t="s">
        <v>2112</v>
      </c>
      <c r="C185" s="255" t="s">
        <v>81</v>
      </c>
      <c r="D185" s="252" t="s">
        <v>1935</v>
      </c>
      <c r="E185" s="254" t="s">
        <v>1936</v>
      </c>
      <c r="F185" s="251">
        <v>46253</v>
      </c>
    </row>
    <row r="186" spans="1:6" ht="14.25">
      <c r="A186" s="237" t="s">
        <v>2133</v>
      </c>
      <c r="B186" s="242" t="s">
        <v>2112</v>
      </c>
      <c r="C186" s="243" t="s">
        <v>154</v>
      </c>
      <c r="D186" s="244" t="s">
        <v>230</v>
      </c>
      <c r="E186" s="245" t="s">
        <v>231</v>
      </c>
      <c r="F186" s="246">
        <v>45483</v>
      </c>
    </row>
    <row r="187" spans="1:6" ht="14.25">
      <c r="A187" s="237" t="s">
        <v>2133</v>
      </c>
      <c r="B187" s="242" t="s">
        <v>2112</v>
      </c>
      <c r="C187" s="243" t="s">
        <v>154</v>
      </c>
      <c r="D187" s="244" t="s">
        <v>2101</v>
      </c>
      <c r="E187" s="245" t="s">
        <v>58</v>
      </c>
      <c r="F187" s="246">
        <v>44489</v>
      </c>
    </row>
    <row r="188" spans="1:6" ht="14.25">
      <c r="A188" s="237" t="s">
        <v>2133</v>
      </c>
      <c r="B188" s="242" t="s">
        <v>2112</v>
      </c>
      <c r="C188" s="243" t="s">
        <v>131</v>
      </c>
      <c r="D188" s="244" t="s">
        <v>250</v>
      </c>
      <c r="E188" s="245" t="s">
        <v>232</v>
      </c>
      <c r="F188" s="246">
        <v>44753</v>
      </c>
    </row>
    <row r="189" spans="1:6" ht="14.25">
      <c r="A189" s="237" t="s">
        <v>2133</v>
      </c>
      <c r="B189" s="242" t="s">
        <v>2112</v>
      </c>
      <c r="C189" s="243" t="s">
        <v>131</v>
      </c>
      <c r="D189" s="244" t="s">
        <v>194</v>
      </c>
      <c r="E189" s="249" t="s">
        <v>179</v>
      </c>
      <c r="F189" s="244">
        <v>45000</v>
      </c>
    </row>
    <row r="190" spans="1:6" ht="14.25">
      <c r="A190" s="237" t="s">
        <v>2133</v>
      </c>
      <c r="B190" s="242" t="s">
        <v>2112</v>
      </c>
      <c r="C190" s="250" t="s">
        <v>131</v>
      </c>
      <c r="D190" s="251" t="s">
        <v>1993</v>
      </c>
      <c r="E190" s="254" t="s">
        <v>1994</v>
      </c>
      <c r="F190" s="251">
        <v>46246</v>
      </c>
    </row>
    <row r="191" spans="1:6" ht="14.25">
      <c r="A191" s="237" t="s">
        <v>2133</v>
      </c>
      <c r="B191" s="242" t="s">
        <v>2112</v>
      </c>
      <c r="C191" s="243" t="s">
        <v>14</v>
      </c>
      <c r="D191" s="244" t="s">
        <v>192</v>
      </c>
      <c r="E191" s="249" t="s">
        <v>125</v>
      </c>
      <c r="F191" s="246">
        <v>45245</v>
      </c>
    </row>
    <row r="192" spans="1:6" ht="14.25">
      <c r="A192" s="237" t="s">
        <v>2133</v>
      </c>
      <c r="B192" s="242" t="s">
        <v>2112</v>
      </c>
      <c r="C192" s="243" t="s">
        <v>87</v>
      </c>
      <c r="D192" s="244" t="s">
        <v>124</v>
      </c>
      <c r="E192" s="249" t="s">
        <v>177</v>
      </c>
      <c r="F192" s="246">
        <v>45245</v>
      </c>
    </row>
    <row r="193" spans="1:6" ht="14.25">
      <c r="A193" s="237" t="s">
        <v>2133</v>
      </c>
      <c r="B193" s="242" t="s">
        <v>2112</v>
      </c>
      <c r="C193" s="243" t="s">
        <v>87</v>
      </c>
      <c r="D193" s="244" t="s">
        <v>320</v>
      </c>
      <c r="E193" s="245" t="s">
        <v>306</v>
      </c>
      <c r="F193" s="246">
        <v>45595</v>
      </c>
    </row>
    <row r="194" spans="1:6" ht="14.25">
      <c r="A194" s="237" t="s">
        <v>2133</v>
      </c>
      <c r="B194" s="242" t="s">
        <v>2112</v>
      </c>
      <c r="C194" s="243" t="s">
        <v>14</v>
      </c>
      <c r="D194" s="244" t="s">
        <v>321</v>
      </c>
      <c r="E194" s="245" t="s">
        <v>307</v>
      </c>
      <c r="F194" s="246">
        <v>45600</v>
      </c>
    </row>
    <row r="195" spans="1:6" ht="14.25">
      <c r="A195" s="235" t="s">
        <v>2133</v>
      </c>
      <c r="B195" s="242" t="s">
        <v>2112</v>
      </c>
      <c r="C195" s="243" t="s">
        <v>14</v>
      </c>
      <c r="D195" s="244" t="s">
        <v>350</v>
      </c>
      <c r="E195" s="245" t="s">
        <v>334</v>
      </c>
      <c r="F195" s="246">
        <v>45635</v>
      </c>
    </row>
    <row r="196" spans="1:6" ht="14.25">
      <c r="A196" s="235" t="s">
        <v>2133</v>
      </c>
      <c r="B196" s="242" t="s">
        <v>2112</v>
      </c>
      <c r="C196" s="243" t="s">
        <v>14</v>
      </c>
      <c r="D196" s="244" t="s">
        <v>548</v>
      </c>
      <c r="E196" s="245" t="s">
        <v>517</v>
      </c>
      <c r="F196" s="246">
        <v>45875</v>
      </c>
    </row>
    <row r="197" spans="1:6" ht="42.75">
      <c r="A197" s="235" t="s">
        <v>2133</v>
      </c>
      <c r="B197" s="242" t="s">
        <v>2112</v>
      </c>
      <c r="C197" s="243" t="s">
        <v>14</v>
      </c>
      <c r="D197" s="244" t="s">
        <v>943</v>
      </c>
      <c r="E197" s="245" t="s">
        <v>942</v>
      </c>
      <c r="F197" s="246">
        <v>45917</v>
      </c>
    </row>
    <row r="198" spans="1:6" ht="14.25">
      <c r="A198" s="235" t="s">
        <v>2133</v>
      </c>
      <c r="B198" s="242" t="s">
        <v>2112</v>
      </c>
      <c r="C198" s="243" t="s">
        <v>14</v>
      </c>
      <c r="D198" s="244" t="s">
        <v>644</v>
      </c>
      <c r="E198" s="245" t="s">
        <v>585</v>
      </c>
      <c r="F198" s="246">
        <v>45908</v>
      </c>
    </row>
    <row r="199" spans="1:6" ht="14.25">
      <c r="A199" s="235" t="s">
        <v>2133</v>
      </c>
      <c r="B199" s="242" t="s">
        <v>2112</v>
      </c>
      <c r="C199" s="243" t="s">
        <v>14</v>
      </c>
      <c r="D199" s="244" t="s">
        <v>722</v>
      </c>
      <c r="E199" s="245" t="s">
        <v>689</v>
      </c>
      <c r="F199" s="246">
        <v>45973</v>
      </c>
    </row>
    <row r="200" spans="1:6" ht="14.25">
      <c r="A200" s="235" t="s">
        <v>2133</v>
      </c>
      <c r="B200" s="242" t="s">
        <v>2112</v>
      </c>
      <c r="C200" s="243" t="s">
        <v>14</v>
      </c>
      <c r="D200" s="244" t="s">
        <v>723</v>
      </c>
      <c r="E200" s="245" t="s">
        <v>692</v>
      </c>
      <c r="F200" s="246">
        <v>45973</v>
      </c>
    </row>
    <row r="201" spans="1:6" ht="14.25">
      <c r="A201" s="235" t="s">
        <v>2133</v>
      </c>
      <c r="B201" s="242" t="s">
        <v>2112</v>
      </c>
      <c r="C201" s="243" t="s">
        <v>14</v>
      </c>
      <c r="D201" s="244" t="s">
        <v>822</v>
      </c>
      <c r="E201" s="245" t="s">
        <v>777</v>
      </c>
      <c r="F201" s="246">
        <v>45770</v>
      </c>
    </row>
    <row r="202" spans="1:6" ht="14.25">
      <c r="A202" s="235" t="s">
        <v>2133</v>
      </c>
      <c r="B202" s="242" t="s">
        <v>2112</v>
      </c>
      <c r="C202" s="243" t="s">
        <v>14</v>
      </c>
      <c r="D202" s="244" t="s">
        <v>908</v>
      </c>
      <c r="E202" s="245" t="s">
        <v>881</v>
      </c>
      <c r="F202" s="246">
        <v>46029</v>
      </c>
    </row>
    <row r="203" spans="1:6" ht="14.25">
      <c r="A203" s="235" t="s">
        <v>2133</v>
      </c>
      <c r="B203" s="242" t="s">
        <v>2112</v>
      </c>
      <c r="C203" s="243" t="s">
        <v>14</v>
      </c>
      <c r="D203" s="244" t="s">
        <v>985</v>
      </c>
      <c r="E203" s="245" t="s">
        <v>951</v>
      </c>
      <c r="F203" s="246">
        <v>46057</v>
      </c>
    </row>
    <row r="204" spans="1:6" ht="14.25">
      <c r="A204" s="235" t="s">
        <v>2133</v>
      </c>
      <c r="B204" s="242" t="s">
        <v>2112</v>
      </c>
      <c r="C204" s="243" t="s">
        <v>14</v>
      </c>
      <c r="D204" s="244" t="s">
        <v>1131</v>
      </c>
      <c r="E204" s="245" t="s">
        <v>1132</v>
      </c>
      <c r="F204" s="246">
        <v>46113</v>
      </c>
    </row>
    <row r="205" spans="1:6" ht="14.25">
      <c r="A205" s="235" t="s">
        <v>2133</v>
      </c>
      <c r="B205" s="242" t="s">
        <v>2112</v>
      </c>
      <c r="C205" s="243" t="s">
        <v>14</v>
      </c>
      <c r="D205" s="244" t="s">
        <v>1133</v>
      </c>
      <c r="E205" s="245" t="s">
        <v>1134</v>
      </c>
      <c r="F205" s="246">
        <v>46113</v>
      </c>
    </row>
    <row r="206" spans="1:6" ht="14.25">
      <c r="A206" s="235" t="s">
        <v>2133</v>
      </c>
      <c r="B206" s="242" t="s">
        <v>2112</v>
      </c>
      <c r="C206" s="243" t="s">
        <v>87</v>
      </c>
      <c r="D206" s="244" t="s">
        <v>1135</v>
      </c>
      <c r="E206" s="249" t="s">
        <v>1136</v>
      </c>
      <c r="F206" s="244">
        <v>46113</v>
      </c>
    </row>
    <row r="207" spans="1:6" ht="14.25">
      <c r="A207" s="235" t="s">
        <v>2133</v>
      </c>
      <c r="B207" s="242" t="s">
        <v>2112</v>
      </c>
      <c r="C207" s="243" t="s">
        <v>87</v>
      </c>
      <c r="D207" s="244" t="s">
        <v>1137</v>
      </c>
      <c r="E207" s="249" t="s">
        <v>1138</v>
      </c>
      <c r="F207" s="244">
        <v>46113</v>
      </c>
    </row>
    <row r="208" spans="1:6" ht="14.25">
      <c r="A208" s="235" t="s">
        <v>2133</v>
      </c>
      <c r="B208" s="242" t="s">
        <v>2112</v>
      </c>
      <c r="C208" s="243" t="s">
        <v>14</v>
      </c>
      <c r="D208" s="244" t="s">
        <v>1139</v>
      </c>
      <c r="E208" s="245" t="s">
        <v>1140</v>
      </c>
      <c r="F208" s="246">
        <v>46113</v>
      </c>
    </row>
    <row r="209" spans="1:6" ht="14.25">
      <c r="A209" s="235" t="s">
        <v>2133</v>
      </c>
      <c r="B209" s="242" t="s">
        <v>2112</v>
      </c>
      <c r="C209" s="243" t="s">
        <v>14</v>
      </c>
      <c r="D209" s="244" t="s">
        <v>1141</v>
      </c>
      <c r="E209" s="245" t="s">
        <v>1142</v>
      </c>
      <c r="F209" s="246">
        <v>46113</v>
      </c>
    </row>
    <row r="210" spans="1:6" ht="14.25">
      <c r="A210" s="235" t="s">
        <v>2133</v>
      </c>
      <c r="B210" s="242" t="s">
        <v>2112</v>
      </c>
      <c r="C210" s="243" t="s">
        <v>14</v>
      </c>
      <c r="D210" s="244" t="s">
        <v>1145</v>
      </c>
      <c r="E210" s="245" t="s">
        <v>1146</v>
      </c>
      <c r="F210" s="246">
        <v>46127</v>
      </c>
    </row>
    <row r="211" spans="1:6" ht="14.25">
      <c r="A211" s="235" t="s">
        <v>2133</v>
      </c>
      <c r="B211" s="242" t="s">
        <v>2112</v>
      </c>
      <c r="C211" s="243" t="s">
        <v>14</v>
      </c>
      <c r="D211" s="244" t="s">
        <v>1147</v>
      </c>
      <c r="E211" s="245" t="s">
        <v>1148</v>
      </c>
      <c r="F211" s="246">
        <v>46127</v>
      </c>
    </row>
    <row r="212" spans="1:6" ht="14.25">
      <c r="A212" s="235" t="s">
        <v>2133</v>
      </c>
      <c r="B212" s="242" t="s">
        <v>2112</v>
      </c>
      <c r="C212" s="243" t="s">
        <v>14</v>
      </c>
      <c r="D212" s="244" t="s">
        <v>1149</v>
      </c>
      <c r="E212" s="245" t="s">
        <v>1150</v>
      </c>
      <c r="F212" s="246">
        <v>46127</v>
      </c>
    </row>
    <row r="213" spans="1:6" ht="14.25">
      <c r="A213" s="235" t="s">
        <v>2133</v>
      </c>
      <c r="B213" s="242" t="s">
        <v>2112</v>
      </c>
      <c r="C213" s="243" t="s">
        <v>14</v>
      </c>
      <c r="D213" s="244" t="s">
        <v>1151</v>
      </c>
      <c r="E213" s="245" t="s">
        <v>1152</v>
      </c>
      <c r="F213" s="246">
        <v>46127</v>
      </c>
    </row>
    <row r="214" spans="1:6" ht="14.25">
      <c r="A214" s="235" t="s">
        <v>2133</v>
      </c>
      <c r="B214" s="242" t="s">
        <v>2112</v>
      </c>
      <c r="C214" s="243" t="s">
        <v>14</v>
      </c>
      <c r="D214" s="244" t="s">
        <v>1153</v>
      </c>
      <c r="E214" s="245" t="s">
        <v>1154</v>
      </c>
      <c r="F214" s="246">
        <v>46127</v>
      </c>
    </row>
    <row r="215" spans="1:6" ht="14.25">
      <c r="A215" s="235" t="s">
        <v>2133</v>
      </c>
      <c r="B215" s="242" t="s">
        <v>2112</v>
      </c>
      <c r="C215" s="243" t="s">
        <v>14</v>
      </c>
      <c r="D215" s="244" t="s">
        <v>550</v>
      </c>
      <c r="E215" s="245" t="s">
        <v>519</v>
      </c>
      <c r="F215" s="246">
        <v>45488</v>
      </c>
    </row>
    <row r="216" spans="1:6" ht="14.25">
      <c r="A216" s="235" t="s">
        <v>2133</v>
      </c>
      <c r="B216" s="242" t="s">
        <v>2112</v>
      </c>
      <c r="C216" s="243" t="s">
        <v>14</v>
      </c>
      <c r="D216" s="244" t="s">
        <v>1301</v>
      </c>
      <c r="E216" s="245" t="s">
        <v>1302</v>
      </c>
      <c r="F216" s="246">
        <v>46134</v>
      </c>
    </row>
    <row r="217" spans="1:6" ht="14.25">
      <c r="A217" s="235" t="s">
        <v>2133</v>
      </c>
      <c r="B217" s="242" t="s">
        <v>2112</v>
      </c>
      <c r="C217" s="243" t="s">
        <v>14</v>
      </c>
      <c r="D217" s="244" t="s">
        <v>1303</v>
      </c>
      <c r="E217" s="245" t="s">
        <v>1304</v>
      </c>
      <c r="F217" s="246">
        <v>46132</v>
      </c>
    </row>
    <row r="218" spans="1:6" ht="14.25">
      <c r="A218" s="235" t="s">
        <v>2133</v>
      </c>
      <c r="B218" s="242" t="s">
        <v>2112</v>
      </c>
      <c r="C218" s="243" t="s">
        <v>14</v>
      </c>
      <c r="D218" s="244" t="s">
        <v>1305</v>
      </c>
      <c r="E218" s="245" t="s">
        <v>1306</v>
      </c>
      <c r="F218" s="246">
        <v>46134</v>
      </c>
    </row>
    <row r="219" spans="1:6" ht="14.25">
      <c r="A219" s="235" t="s">
        <v>2133</v>
      </c>
      <c r="B219" s="242" t="s">
        <v>2112</v>
      </c>
      <c r="C219" s="243" t="s">
        <v>14</v>
      </c>
      <c r="D219" s="244" t="s">
        <v>1307</v>
      </c>
      <c r="E219" s="245" t="s">
        <v>1308</v>
      </c>
      <c r="F219" s="246">
        <v>46132</v>
      </c>
    </row>
    <row r="220" spans="1:6" ht="14.25">
      <c r="A220" s="235" t="s">
        <v>2133</v>
      </c>
      <c r="B220" s="242" t="s">
        <v>2112</v>
      </c>
      <c r="C220" s="243" t="s">
        <v>14</v>
      </c>
      <c r="D220" s="244" t="s">
        <v>1309</v>
      </c>
      <c r="E220" s="245" t="s">
        <v>1310</v>
      </c>
      <c r="F220" s="246">
        <v>46134</v>
      </c>
    </row>
    <row r="221" spans="1:6" ht="14.25">
      <c r="A221" s="235" t="s">
        <v>2133</v>
      </c>
      <c r="B221" s="242" t="s">
        <v>2112</v>
      </c>
      <c r="C221" s="243" t="s">
        <v>14</v>
      </c>
      <c r="D221" s="244" t="s">
        <v>1333</v>
      </c>
      <c r="E221" s="249" t="s">
        <v>1334</v>
      </c>
      <c r="F221" s="244">
        <v>46139</v>
      </c>
    </row>
    <row r="222" spans="1:6" ht="14.25">
      <c r="A222" s="235" t="s">
        <v>2133</v>
      </c>
      <c r="B222" s="242" t="s">
        <v>2112</v>
      </c>
      <c r="C222" s="243" t="s">
        <v>14</v>
      </c>
      <c r="D222" s="245" t="s">
        <v>1335</v>
      </c>
      <c r="E222" s="249" t="s">
        <v>1336</v>
      </c>
      <c r="F222" s="244">
        <v>46139</v>
      </c>
    </row>
    <row r="223" spans="1:6" ht="14.25">
      <c r="A223" s="235" t="s">
        <v>2133</v>
      </c>
      <c r="B223" s="242" t="s">
        <v>2112</v>
      </c>
      <c r="C223" s="243" t="s">
        <v>14</v>
      </c>
      <c r="D223" s="244" t="s">
        <v>1337</v>
      </c>
      <c r="E223" s="245" t="s">
        <v>1338</v>
      </c>
      <c r="F223" s="246">
        <v>46155</v>
      </c>
    </row>
    <row r="224" spans="1:6" ht="14.25">
      <c r="A224" s="235" t="s">
        <v>2133</v>
      </c>
      <c r="B224" s="242" t="s">
        <v>2112</v>
      </c>
      <c r="C224" s="243" t="s">
        <v>14</v>
      </c>
      <c r="D224" s="244" t="s">
        <v>1447</v>
      </c>
      <c r="E224" s="245" t="s">
        <v>1448</v>
      </c>
      <c r="F224" s="246">
        <v>46050</v>
      </c>
    </row>
    <row r="225" spans="1:6" ht="14.25">
      <c r="A225" s="235" t="s">
        <v>2133</v>
      </c>
      <c r="B225" s="242" t="s">
        <v>2112</v>
      </c>
      <c r="C225" s="243" t="s">
        <v>14</v>
      </c>
      <c r="D225" s="245" t="s">
        <v>1449</v>
      </c>
      <c r="E225" s="249" t="s">
        <v>1450</v>
      </c>
      <c r="F225" s="244">
        <v>46050</v>
      </c>
    </row>
    <row r="226" spans="1:6" ht="14.25">
      <c r="A226" s="235" t="s">
        <v>2133</v>
      </c>
      <c r="B226" s="242" t="s">
        <v>2112</v>
      </c>
      <c r="C226" s="243" t="s">
        <v>14</v>
      </c>
      <c r="D226" s="244" t="s">
        <v>1451</v>
      </c>
      <c r="E226" s="249" t="s">
        <v>1452</v>
      </c>
      <c r="F226" s="244">
        <v>46188</v>
      </c>
    </row>
    <row r="227" spans="1:6" ht="14.25">
      <c r="A227" s="235" t="s">
        <v>2133</v>
      </c>
      <c r="B227" s="242" t="s">
        <v>2112</v>
      </c>
      <c r="C227" s="243" t="s">
        <v>14</v>
      </c>
      <c r="D227" s="245" t="s">
        <v>1453</v>
      </c>
      <c r="E227" s="249" t="s">
        <v>1454</v>
      </c>
      <c r="F227" s="244">
        <v>46188</v>
      </c>
    </row>
    <row r="228" spans="1:6" ht="14.25">
      <c r="A228" s="235" t="s">
        <v>2133</v>
      </c>
      <c r="B228" s="242" t="s">
        <v>2112</v>
      </c>
      <c r="C228" s="243" t="s">
        <v>14</v>
      </c>
      <c r="D228" s="244" t="s">
        <v>1455</v>
      </c>
      <c r="E228" s="245" t="s">
        <v>1456</v>
      </c>
      <c r="F228" s="246">
        <v>46188</v>
      </c>
    </row>
    <row r="229" spans="1:6" ht="14.25">
      <c r="A229" s="235" t="s">
        <v>2133</v>
      </c>
      <c r="B229" s="242" t="s">
        <v>2112</v>
      </c>
      <c r="C229" s="243" t="s">
        <v>14</v>
      </c>
      <c r="D229" s="244" t="s">
        <v>1664</v>
      </c>
      <c r="E229" s="249" t="s">
        <v>1665</v>
      </c>
      <c r="F229" s="244">
        <v>46215</v>
      </c>
    </row>
    <row r="230" spans="1:6" ht="14.25">
      <c r="A230" s="235" t="s">
        <v>2133</v>
      </c>
      <c r="B230" s="242" t="s">
        <v>2112</v>
      </c>
      <c r="C230" s="243" t="s">
        <v>14</v>
      </c>
      <c r="D230" s="244" t="s">
        <v>1684</v>
      </c>
      <c r="E230" s="245" t="s">
        <v>1685</v>
      </c>
      <c r="F230" s="246">
        <v>46213</v>
      </c>
    </row>
    <row r="231" spans="1:6" ht="14.25">
      <c r="A231" s="235" t="s">
        <v>2133</v>
      </c>
      <c r="B231" s="242" t="s">
        <v>2112</v>
      </c>
      <c r="C231" s="243" t="s">
        <v>14</v>
      </c>
      <c r="D231" s="244" t="s">
        <v>1686</v>
      </c>
      <c r="E231" s="245" t="s">
        <v>1687</v>
      </c>
      <c r="F231" s="246">
        <v>46197</v>
      </c>
    </row>
    <row r="232" spans="1:6" ht="14.25">
      <c r="A232" s="235" t="s">
        <v>2133</v>
      </c>
      <c r="B232" s="242" t="s">
        <v>2112</v>
      </c>
      <c r="C232" s="243" t="s">
        <v>14</v>
      </c>
      <c r="D232" s="244" t="s">
        <v>1688</v>
      </c>
      <c r="E232" s="245" t="s">
        <v>1689</v>
      </c>
      <c r="F232" s="246">
        <v>46197</v>
      </c>
    </row>
    <row r="233" spans="1:6" ht="14.25">
      <c r="A233" s="235" t="s">
        <v>2133</v>
      </c>
      <c r="B233" s="242" t="s">
        <v>2112</v>
      </c>
      <c r="C233" s="243" t="s">
        <v>14</v>
      </c>
      <c r="D233" s="244" t="s">
        <v>1690</v>
      </c>
      <c r="E233" s="245" t="s">
        <v>1691</v>
      </c>
      <c r="F233" s="246">
        <v>46197</v>
      </c>
    </row>
    <row r="234" spans="1:6" ht="14.25">
      <c r="A234" s="235" t="s">
        <v>2133</v>
      </c>
      <c r="B234" s="242" t="s">
        <v>2112</v>
      </c>
      <c r="C234" s="243" t="s">
        <v>14</v>
      </c>
      <c r="D234" s="244" t="s">
        <v>1692</v>
      </c>
      <c r="E234" s="245" t="s">
        <v>1693</v>
      </c>
      <c r="F234" s="246">
        <v>46195</v>
      </c>
    </row>
    <row r="235" spans="1:6" ht="14.25">
      <c r="A235" s="235" t="s">
        <v>2133</v>
      </c>
      <c r="B235" s="242" t="s">
        <v>2112</v>
      </c>
      <c r="C235" s="243" t="s">
        <v>87</v>
      </c>
      <c r="D235" s="244" t="s">
        <v>1694</v>
      </c>
      <c r="E235" s="249" t="s">
        <v>1695</v>
      </c>
      <c r="F235" s="244">
        <v>46208</v>
      </c>
    </row>
    <row r="236" spans="1:6" ht="14.25">
      <c r="A236" s="235" t="s">
        <v>2133</v>
      </c>
      <c r="B236" s="242" t="s">
        <v>2112</v>
      </c>
      <c r="C236" s="243" t="s">
        <v>14</v>
      </c>
      <c r="D236" s="244" t="s">
        <v>1696</v>
      </c>
      <c r="E236" s="245" t="s">
        <v>1697</v>
      </c>
      <c r="F236" s="246">
        <v>46208</v>
      </c>
    </row>
    <row r="237" spans="1:6" ht="14.25">
      <c r="A237" s="235" t="s">
        <v>2133</v>
      </c>
      <c r="B237" s="242" t="s">
        <v>2112</v>
      </c>
      <c r="C237" s="243" t="s">
        <v>14</v>
      </c>
      <c r="D237" s="244" t="s">
        <v>1698</v>
      </c>
      <c r="E237" s="245" t="s">
        <v>1699</v>
      </c>
      <c r="F237" s="246">
        <v>46197</v>
      </c>
    </row>
    <row r="238" spans="1:6" ht="14.25">
      <c r="A238" s="235" t="s">
        <v>2133</v>
      </c>
      <c r="B238" s="242" t="s">
        <v>2112</v>
      </c>
      <c r="C238" s="243" t="s">
        <v>14</v>
      </c>
      <c r="D238" s="244" t="s">
        <v>1700</v>
      </c>
      <c r="E238" s="245" t="s">
        <v>1701</v>
      </c>
      <c r="F238" s="246">
        <v>46208</v>
      </c>
    </row>
    <row r="239" spans="1:6" ht="14.25">
      <c r="A239" s="235" t="s">
        <v>2133</v>
      </c>
      <c r="B239" s="242" t="s">
        <v>2112</v>
      </c>
      <c r="C239" s="243" t="s">
        <v>14</v>
      </c>
      <c r="D239" s="244" t="s">
        <v>1702</v>
      </c>
      <c r="E239" s="245" t="s">
        <v>1703</v>
      </c>
      <c r="F239" s="246">
        <v>46208</v>
      </c>
    </row>
    <row r="240" spans="1:6" ht="14.25">
      <c r="A240" s="235" t="s">
        <v>2133</v>
      </c>
      <c r="B240" s="242" t="s">
        <v>2112</v>
      </c>
      <c r="C240" s="243" t="s">
        <v>14</v>
      </c>
      <c r="D240" s="244" t="s">
        <v>1706</v>
      </c>
      <c r="E240" s="245" t="s">
        <v>1707</v>
      </c>
      <c r="F240" s="246">
        <v>46204</v>
      </c>
    </row>
    <row r="241" spans="1:6" ht="14.25">
      <c r="A241" s="235" t="s">
        <v>2133</v>
      </c>
      <c r="B241" s="242" t="s">
        <v>2112</v>
      </c>
      <c r="C241" s="243" t="s">
        <v>14</v>
      </c>
      <c r="D241" s="244" t="s">
        <v>1712</v>
      </c>
      <c r="E241" s="245" t="s">
        <v>1713</v>
      </c>
      <c r="F241" s="246">
        <v>46195</v>
      </c>
    </row>
    <row r="242" spans="1:6" ht="14.25">
      <c r="A242" s="235" t="s">
        <v>2133</v>
      </c>
      <c r="B242" s="242" t="s">
        <v>2112</v>
      </c>
      <c r="C242" s="243" t="s">
        <v>14</v>
      </c>
      <c r="D242" s="244" t="s">
        <v>1714</v>
      </c>
      <c r="E242" s="245" t="s">
        <v>1715</v>
      </c>
      <c r="F242" s="246">
        <v>46204</v>
      </c>
    </row>
    <row r="243" spans="1:6" ht="14.25">
      <c r="A243" s="235" t="s">
        <v>2133</v>
      </c>
      <c r="B243" s="242" t="s">
        <v>2112</v>
      </c>
      <c r="C243" s="243" t="s">
        <v>14</v>
      </c>
      <c r="D243" s="244" t="s">
        <v>1716</v>
      </c>
      <c r="E243" s="245" t="s">
        <v>1717</v>
      </c>
      <c r="F243" s="246">
        <v>46204</v>
      </c>
    </row>
    <row r="244" spans="1:6" ht="14.25">
      <c r="A244" s="235" t="s">
        <v>2133</v>
      </c>
      <c r="B244" s="242" t="s">
        <v>2112</v>
      </c>
      <c r="C244" s="243" t="s">
        <v>14</v>
      </c>
      <c r="D244" s="244" t="s">
        <v>1718</v>
      </c>
      <c r="E244" s="249" t="s">
        <v>1719</v>
      </c>
      <c r="F244" s="244">
        <v>46208</v>
      </c>
    </row>
    <row r="245" spans="1:6" ht="14.25">
      <c r="A245" s="235" t="s">
        <v>2133</v>
      </c>
      <c r="B245" s="242" t="s">
        <v>2112</v>
      </c>
      <c r="C245" s="243" t="s">
        <v>14</v>
      </c>
      <c r="D245" s="244" t="s">
        <v>1704</v>
      </c>
      <c r="E245" s="245" t="s">
        <v>1705</v>
      </c>
      <c r="F245" s="246">
        <v>46208</v>
      </c>
    </row>
    <row r="246" spans="1:6" ht="14.25">
      <c r="A246" s="235" t="s">
        <v>2133</v>
      </c>
      <c r="B246" s="242" t="s">
        <v>2112</v>
      </c>
      <c r="C246" s="243" t="s">
        <v>14</v>
      </c>
      <c r="D246" s="244" t="s">
        <v>1708</v>
      </c>
      <c r="E246" s="245" t="s">
        <v>1709</v>
      </c>
      <c r="F246" s="246">
        <v>46208</v>
      </c>
    </row>
    <row r="247" spans="1:6" ht="14.25">
      <c r="A247" s="235" t="s">
        <v>2133</v>
      </c>
      <c r="B247" s="242" t="s">
        <v>2112</v>
      </c>
      <c r="C247" s="243" t="s">
        <v>14</v>
      </c>
      <c r="D247" s="244" t="s">
        <v>1710</v>
      </c>
      <c r="E247" s="245" t="s">
        <v>1711</v>
      </c>
      <c r="F247" s="246">
        <v>46208</v>
      </c>
    </row>
    <row r="248" spans="1:6" ht="14.25">
      <c r="A248" s="235" t="s">
        <v>2133</v>
      </c>
      <c r="B248" s="242" t="s">
        <v>2112</v>
      </c>
      <c r="C248" s="243" t="s">
        <v>14</v>
      </c>
      <c r="D248" s="245" t="s">
        <v>1720</v>
      </c>
      <c r="E248" s="249" t="s">
        <v>1721</v>
      </c>
      <c r="F248" s="244">
        <v>46208</v>
      </c>
    </row>
    <row r="249" spans="1:6" ht="14.25">
      <c r="A249" s="235" t="s">
        <v>2133</v>
      </c>
      <c r="B249" s="242" t="s">
        <v>2112</v>
      </c>
      <c r="C249" s="243" t="s">
        <v>14</v>
      </c>
      <c r="D249" s="244" t="s">
        <v>1722</v>
      </c>
      <c r="E249" s="245" t="s">
        <v>1723</v>
      </c>
      <c r="F249" s="246">
        <v>46208</v>
      </c>
    </row>
    <row r="250" spans="1:6" ht="14.25">
      <c r="A250" s="235" t="s">
        <v>2133</v>
      </c>
      <c r="B250" s="242" t="s">
        <v>2112</v>
      </c>
      <c r="C250" s="243" t="s">
        <v>14</v>
      </c>
      <c r="D250" s="244" t="s">
        <v>1484</v>
      </c>
      <c r="E250" s="245" t="s">
        <v>1485</v>
      </c>
      <c r="F250" s="246">
        <v>46183</v>
      </c>
    </row>
    <row r="251" spans="1:6" ht="14.25">
      <c r="A251" s="235" t="s">
        <v>2133</v>
      </c>
      <c r="B251" s="242" t="s">
        <v>2112</v>
      </c>
      <c r="C251" s="250" t="s">
        <v>14</v>
      </c>
      <c r="D251" s="251" t="s">
        <v>1995</v>
      </c>
      <c r="E251" s="252" t="s">
        <v>1996</v>
      </c>
      <c r="F251" s="253">
        <v>46246</v>
      </c>
    </row>
    <row r="252" spans="1:6" ht="14.25">
      <c r="A252" s="235" t="s">
        <v>2133</v>
      </c>
      <c r="B252" s="242" t="s">
        <v>2112</v>
      </c>
      <c r="C252" s="250" t="s">
        <v>14</v>
      </c>
      <c r="D252" s="251" t="s">
        <v>1997</v>
      </c>
      <c r="E252" s="252" t="s">
        <v>1998</v>
      </c>
      <c r="F252" s="253">
        <v>46225</v>
      </c>
    </row>
    <row r="253" spans="1:6" ht="14.25">
      <c r="A253" s="235" t="s">
        <v>2133</v>
      </c>
      <c r="B253" s="242" t="s">
        <v>2112</v>
      </c>
      <c r="C253" s="250" t="s">
        <v>14</v>
      </c>
      <c r="D253" s="251" t="s">
        <v>1999</v>
      </c>
      <c r="E253" s="252" t="s">
        <v>2000</v>
      </c>
      <c r="F253" s="253">
        <v>46225</v>
      </c>
    </row>
    <row r="254" spans="1:6" ht="14.25">
      <c r="A254" s="235" t="s">
        <v>2133</v>
      </c>
      <c r="B254" s="242" t="s">
        <v>2112</v>
      </c>
      <c r="C254" s="250" t="s">
        <v>14</v>
      </c>
      <c r="D254" s="251" t="s">
        <v>2001</v>
      </c>
      <c r="E254" s="252" t="s">
        <v>2002</v>
      </c>
      <c r="F254" s="253">
        <v>46232</v>
      </c>
    </row>
    <row r="255" spans="1:6" ht="14.25">
      <c r="A255" s="235" t="s">
        <v>2133</v>
      </c>
      <c r="B255" s="242" t="s">
        <v>2112</v>
      </c>
      <c r="C255" s="250" t="s">
        <v>14</v>
      </c>
      <c r="D255" s="251" t="s">
        <v>2003</v>
      </c>
      <c r="E255" s="252" t="s">
        <v>2004</v>
      </c>
      <c r="F255" s="253">
        <v>46225</v>
      </c>
    </row>
    <row r="256" spans="1:6" ht="14.25">
      <c r="A256" s="235" t="s">
        <v>2133</v>
      </c>
      <c r="B256" s="242" t="s">
        <v>2112</v>
      </c>
      <c r="C256" s="250" t="s">
        <v>14</v>
      </c>
      <c r="D256" s="251" t="s">
        <v>2005</v>
      </c>
      <c r="E256" s="252" t="s">
        <v>2006</v>
      </c>
      <c r="F256" s="253">
        <v>46225</v>
      </c>
    </row>
    <row r="257" spans="1:6" ht="14.25">
      <c r="A257" s="235" t="s">
        <v>2133</v>
      </c>
      <c r="B257" s="242" t="s">
        <v>2112</v>
      </c>
      <c r="C257" s="250" t="s">
        <v>14</v>
      </c>
      <c r="D257" s="251" t="s">
        <v>2007</v>
      </c>
      <c r="E257" s="252" t="s">
        <v>2008</v>
      </c>
      <c r="F257" s="253">
        <v>46225</v>
      </c>
    </row>
    <row r="258" spans="1:6" ht="14.25">
      <c r="A258" s="235" t="s">
        <v>2133</v>
      </c>
      <c r="B258" s="242" t="s">
        <v>2112</v>
      </c>
      <c r="C258" s="250" t="s">
        <v>14</v>
      </c>
      <c r="D258" s="251" t="s">
        <v>2009</v>
      </c>
      <c r="E258" s="252" t="s">
        <v>2010</v>
      </c>
      <c r="F258" s="253">
        <v>46225</v>
      </c>
    </row>
    <row r="259" spans="1:6" ht="14.25">
      <c r="A259" s="235" t="s">
        <v>2133</v>
      </c>
      <c r="B259" s="242" t="s">
        <v>2112</v>
      </c>
      <c r="C259" s="250" t="s">
        <v>14</v>
      </c>
      <c r="D259" s="251" t="s">
        <v>2011</v>
      </c>
      <c r="E259" s="252" t="s">
        <v>2012</v>
      </c>
      <c r="F259" s="253">
        <v>46232</v>
      </c>
    </row>
    <row r="260" spans="1:6" ht="14.25">
      <c r="A260" s="235" t="s">
        <v>2133</v>
      </c>
      <c r="B260" s="242" t="s">
        <v>2112</v>
      </c>
      <c r="C260" s="250" t="s">
        <v>14</v>
      </c>
      <c r="D260" s="251" t="s">
        <v>2013</v>
      </c>
      <c r="E260" s="252" t="s">
        <v>2014</v>
      </c>
      <c r="F260" s="253">
        <v>46232</v>
      </c>
    </row>
    <row r="261" spans="1:6" ht="14.25">
      <c r="A261" s="235" t="s">
        <v>2133</v>
      </c>
      <c r="B261" s="242" t="s">
        <v>2112</v>
      </c>
      <c r="C261" s="250" t="s">
        <v>14</v>
      </c>
      <c r="D261" s="251" t="s">
        <v>2015</v>
      </c>
      <c r="E261" s="252" t="s">
        <v>2016</v>
      </c>
      <c r="F261" s="253">
        <v>46232</v>
      </c>
    </row>
    <row r="262" spans="1:6" ht="14.25">
      <c r="A262" s="235" t="s">
        <v>2133</v>
      </c>
      <c r="B262" s="242" t="s">
        <v>2112</v>
      </c>
      <c r="C262" s="243" t="s">
        <v>129</v>
      </c>
      <c r="D262" s="244" t="s">
        <v>282</v>
      </c>
      <c r="E262" s="245" t="s">
        <v>270</v>
      </c>
      <c r="F262" s="246">
        <v>45546</v>
      </c>
    </row>
    <row r="263" spans="1:6" ht="14.25">
      <c r="A263" s="235" t="s">
        <v>2133</v>
      </c>
      <c r="B263" s="242" t="s">
        <v>2112</v>
      </c>
      <c r="C263" s="243" t="s">
        <v>129</v>
      </c>
      <c r="D263" s="244" t="s">
        <v>941</v>
      </c>
      <c r="E263" s="245" t="s">
        <v>905</v>
      </c>
      <c r="F263" s="246">
        <v>45847</v>
      </c>
    </row>
    <row r="264" spans="1:6" ht="14.25">
      <c r="A264" s="235" t="s">
        <v>2133</v>
      </c>
      <c r="B264" s="242" t="s">
        <v>2112</v>
      </c>
      <c r="C264" s="243" t="s">
        <v>129</v>
      </c>
      <c r="D264" s="244" t="s">
        <v>300</v>
      </c>
      <c r="E264" s="245" t="s">
        <v>287</v>
      </c>
      <c r="F264" s="246">
        <v>45574</v>
      </c>
    </row>
    <row r="265" spans="1:6" ht="14.25">
      <c r="A265" s="235" t="s">
        <v>2133</v>
      </c>
      <c r="B265" s="242" t="s">
        <v>2112</v>
      </c>
      <c r="C265" s="243" t="s">
        <v>146</v>
      </c>
      <c r="D265" s="244" t="s">
        <v>189</v>
      </c>
      <c r="E265" s="245" t="s">
        <v>126</v>
      </c>
      <c r="F265" s="246">
        <v>45238</v>
      </c>
    </row>
    <row r="266" spans="1:6" ht="14.25">
      <c r="A266" s="235" t="s">
        <v>2133</v>
      </c>
      <c r="B266" s="242" t="s">
        <v>2112</v>
      </c>
      <c r="C266" s="243" t="s">
        <v>129</v>
      </c>
      <c r="D266" s="244" t="s">
        <v>344</v>
      </c>
      <c r="E266" s="245" t="s">
        <v>337</v>
      </c>
      <c r="F266" s="246">
        <v>45630</v>
      </c>
    </row>
    <row r="267" spans="1:6" ht="14.25">
      <c r="A267" s="235" t="s">
        <v>2133</v>
      </c>
      <c r="B267" s="242" t="s">
        <v>2112</v>
      </c>
      <c r="C267" s="243" t="s">
        <v>129</v>
      </c>
      <c r="D267" s="244" t="s">
        <v>486</v>
      </c>
      <c r="E267" s="245" t="s">
        <v>453</v>
      </c>
      <c r="F267" s="246">
        <v>45847</v>
      </c>
    </row>
    <row r="268" spans="1:6" ht="42.75">
      <c r="A268" s="235" t="s">
        <v>2133</v>
      </c>
      <c r="B268" s="242" t="s">
        <v>2112</v>
      </c>
      <c r="C268" s="243" t="s">
        <v>129</v>
      </c>
      <c r="D268" s="244" t="s">
        <v>762</v>
      </c>
      <c r="E268" s="245" t="s">
        <v>690</v>
      </c>
      <c r="F268" s="246">
        <v>45973</v>
      </c>
    </row>
    <row r="269" spans="1:6" ht="14.25">
      <c r="A269" s="235" t="s">
        <v>2133</v>
      </c>
      <c r="B269" s="242" t="s">
        <v>2112</v>
      </c>
      <c r="C269" s="243" t="s">
        <v>129</v>
      </c>
      <c r="D269" s="244" t="s">
        <v>481</v>
      </c>
      <c r="E269" s="245" t="s">
        <v>444</v>
      </c>
      <c r="F269" s="246">
        <v>45540</v>
      </c>
    </row>
    <row r="270" spans="1:6" ht="14.25">
      <c r="A270" s="235" t="s">
        <v>2133</v>
      </c>
      <c r="B270" s="242" t="s">
        <v>2112</v>
      </c>
      <c r="C270" s="243" t="s">
        <v>129</v>
      </c>
      <c r="D270" s="244" t="s">
        <v>1155</v>
      </c>
      <c r="E270" s="245" t="s">
        <v>1156</v>
      </c>
      <c r="F270" s="246">
        <v>46113</v>
      </c>
    </row>
    <row r="271" spans="1:6" ht="14.25">
      <c r="A271" s="235" t="s">
        <v>2133</v>
      </c>
      <c r="B271" s="242" t="s">
        <v>2112</v>
      </c>
      <c r="C271" s="243" t="s">
        <v>129</v>
      </c>
      <c r="D271" s="244" t="s">
        <v>725</v>
      </c>
      <c r="E271" s="245" t="s">
        <v>691</v>
      </c>
      <c r="F271" s="246">
        <v>45840</v>
      </c>
    </row>
    <row r="272" spans="1:6" ht="14.25">
      <c r="A272" s="235" t="s">
        <v>1940</v>
      </c>
      <c r="B272" s="242" t="s">
        <v>2112</v>
      </c>
      <c r="C272" s="243" t="s">
        <v>87</v>
      </c>
      <c r="D272" s="244" t="s">
        <v>646</v>
      </c>
      <c r="E272" s="245" t="s">
        <v>578</v>
      </c>
      <c r="F272" s="246">
        <v>45896</v>
      </c>
    </row>
    <row r="273" spans="1:6" ht="14.25">
      <c r="A273" s="235" t="s">
        <v>1940</v>
      </c>
      <c r="B273" s="242" t="s">
        <v>2112</v>
      </c>
      <c r="C273" s="243" t="s">
        <v>14</v>
      </c>
      <c r="D273" s="244" t="s">
        <v>730</v>
      </c>
      <c r="E273" s="245" t="s">
        <v>696</v>
      </c>
      <c r="F273" s="246">
        <v>45966</v>
      </c>
    </row>
    <row r="274" spans="1:6" ht="14.25">
      <c r="A274" s="235" t="s">
        <v>1940</v>
      </c>
      <c r="B274" s="242" t="s">
        <v>2112</v>
      </c>
      <c r="C274" s="243" t="s">
        <v>87</v>
      </c>
      <c r="D274" s="244" t="s">
        <v>836</v>
      </c>
      <c r="E274" s="249" t="s">
        <v>797</v>
      </c>
      <c r="F274" s="244">
        <v>45896</v>
      </c>
    </row>
    <row r="275" spans="1:6" ht="14.25">
      <c r="A275" s="235" t="s">
        <v>1940</v>
      </c>
      <c r="B275" s="242" t="s">
        <v>2112</v>
      </c>
      <c r="C275" s="243" t="s">
        <v>14</v>
      </c>
      <c r="D275" s="244" t="s">
        <v>828</v>
      </c>
      <c r="E275" s="249" t="s">
        <v>786</v>
      </c>
      <c r="F275" s="244">
        <v>45994</v>
      </c>
    </row>
    <row r="276" spans="1:6" ht="14.25">
      <c r="A276" s="235" t="s">
        <v>1940</v>
      </c>
      <c r="B276" s="242" t="s">
        <v>2112</v>
      </c>
      <c r="C276" s="243" t="s">
        <v>14</v>
      </c>
      <c r="D276" s="244" t="s">
        <v>1165</v>
      </c>
      <c r="E276" s="245" t="s">
        <v>1166</v>
      </c>
      <c r="F276" s="246">
        <v>46016</v>
      </c>
    </row>
    <row r="277" spans="1:6" ht="14.25">
      <c r="A277" s="235" t="s">
        <v>1940</v>
      </c>
      <c r="B277" s="242" t="s">
        <v>2112</v>
      </c>
      <c r="C277" s="243" t="s">
        <v>87</v>
      </c>
      <c r="D277" s="244" t="s">
        <v>1167</v>
      </c>
      <c r="E277" s="249" t="s">
        <v>1168</v>
      </c>
      <c r="F277" s="244">
        <v>46029</v>
      </c>
    </row>
    <row r="278" spans="1:6" ht="14.25">
      <c r="A278" s="235" t="s">
        <v>1940</v>
      </c>
      <c r="B278" s="242" t="s">
        <v>2112</v>
      </c>
      <c r="C278" s="243" t="s">
        <v>14</v>
      </c>
      <c r="D278" s="244" t="s">
        <v>1171</v>
      </c>
      <c r="E278" s="249" t="s">
        <v>1172</v>
      </c>
      <c r="F278" s="246">
        <v>46029</v>
      </c>
    </row>
    <row r="279" spans="1:6" ht="14.25">
      <c r="A279" s="235" t="s">
        <v>1940</v>
      </c>
      <c r="B279" s="242" t="s">
        <v>2112</v>
      </c>
      <c r="C279" s="243" t="s">
        <v>14</v>
      </c>
      <c r="D279" s="244" t="s">
        <v>1357</v>
      </c>
      <c r="E279" s="245" t="s">
        <v>1358</v>
      </c>
      <c r="F279" s="246">
        <v>46155</v>
      </c>
    </row>
    <row r="280" spans="1:6" ht="14.25">
      <c r="A280" s="235" t="s">
        <v>1940</v>
      </c>
      <c r="B280" s="242" t="s">
        <v>2112</v>
      </c>
      <c r="C280" s="243" t="s">
        <v>14</v>
      </c>
      <c r="D280" s="244" t="s">
        <v>1359</v>
      </c>
      <c r="E280" s="245" t="s">
        <v>1360</v>
      </c>
      <c r="F280" s="246">
        <v>46155</v>
      </c>
    </row>
    <row r="281" spans="1:6" ht="14.25">
      <c r="A281" s="235" t="s">
        <v>1940</v>
      </c>
      <c r="B281" s="242" t="s">
        <v>2112</v>
      </c>
      <c r="C281" s="243" t="s">
        <v>14</v>
      </c>
      <c r="D281" s="244" t="s">
        <v>1361</v>
      </c>
      <c r="E281" s="245" t="s">
        <v>1362</v>
      </c>
      <c r="F281" s="246">
        <v>46155</v>
      </c>
    </row>
    <row r="282" spans="1:6" ht="14.25">
      <c r="A282" s="235" t="s">
        <v>1940</v>
      </c>
      <c r="B282" s="242" t="s">
        <v>2112</v>
      </c>
      <c r="C282" s="243" t="s">
        <v>14</v>
      </c>
      <c r="D282" s="244" t="s">
        <v>1464</v>
      </c>
      <c r="E282" s="245" t="s">
        <v>1465</v>
      </c>
      <c r="F282" s="246">
        <v>46050</v>
      </c>
    </row>
    <row r="283" spans="1:6" ht="14.25">
      <c r="A283" s="235" t="s">
        <v>1940</v>
      </c>
      <c r="B283" s="242" t="s">
        <v>2112</v>
      </c>
      <c r="C283" s="243" t="s">
        <v>14</v>
      </c>
      <c r="D283" s="244" t="s">
        <v>1737</v>
      </c>
      <c r="E283" s="249" t="s">
        <v>1738</v>
      </c>
      <c r="F283" s="246">
        <v>46208</v>
      </c>
    </row>
    <row r="284" spans="1:6" ht="14.25">
      <c r="A284" s="235" t="s">
        <v>1940</v>
      </c>
      <c r="B284" s="242" t="s">
        <v>2112</v>
      </c>
      <c r="C284" s="243" t="s">
        <v>129</v>
      </c>
      <c r="D284" s="244" t="s">
        <v>648</v>
      </c>
      <c r="E284" s="245" t="s">
        <v>579</v>
      </c>
      <c r="F284" s="246">
        <v>45896</v>
      </c>
    </row>
    <row r="285" spans="1:6" ht="14.25">
      <c r="A285" s="234" t="s">
        <v>2132</v>
      </c>
      <c r="B285" s="242" t="s">
        <v>2115</v>
      </c>
      <c r="C285" s="243" t="s">
        <v>129</v>
      </c>
      <c r="D285" s="244" t="s">
        <v>480</v>
      </c>
      <c r="E285" s="245" t="s">
        <v>443</v>
      </c>
      <c r="F285" s="246">
        <v>45554</v>
      </c>
    </row>
    <row r="286" spans="1:6" ht="14.25">
      <c r="A286" s="234" t="s">
        <v>2132</v>
      </c>
      <c r="B286" s="242" t="s">
        <v>2115</v>
      </c>
      <c r="C286" s="243" t="s">
        <v>129</v>
      </c>
      <c r="D286" s="244" t="s">
        <v>263</v>
      </c>
      <c r="E286" s="245" t="s">
        <v>259</v>
      </c>
      <c r="F286" s="246">
        <v>41760</v>
      </c>
    </row>
    <row r="287" spans="1:6" ht="14.25">
      <c r="A287" s="234" t="s">
        <v>2132</v>
      </c>
      <c r="B287" s="242" t="s">
        <v>2115</v>
      </c>
      <c r="C287" s="243" t="s">
        <v>129</v>
      </c>
      <c r="D287" s="244" t="s">
        <v>328</v>
      </c>
      <c r="E287" s="245" t="s">
        <v>303</v>
      </c>
      <c r="F287" s="246">
        <v>45595</v>
      </c>
    </row>
    <row r="288" spans="1:6" ht="14.25">
      <c r="A288" s="234" t="s">
        <v>2132</v>
      </c>
      <c r="B288" s="242" t="s">
        <v>2115</v>
      </c>
      <c r="C288" s="243" t="s">
        <v>129</v>
      </c>
      <c r="D288" s="244" t="s">
        <v>564</v>
      </c>
      <c r="E288" s="245" t="s">
        <v>525</v>
      </c>
      <c r="F288" s="246">
        <v>43333</v>
      </c>
    </row>
    <row r="289" spans="1:6" ht="14.25">
      <c r="A289" s="234" t="s">
        <v>2132</v>
      </c>
      <c r="B289" s="242" t="s">
        <v>2115</v>
      </c>
      <c r="C289" s="243" t="s">
        <v>129</v>
      </c>
      <c r="D289" s="244" t="s">
        <v>626</v>
      </c>
      <c r="E289" s="245" t="s">
        <v>591</v>
      </c>
      <c r="F289" s="246" t="s">
        <v>1038</v>
      </c>
    </row>
    <row r="290" spans="1:6" ht="14.25">
      <c r="A290" s="235" t="s">
        <v>2133</v>
      </c>
      <c r="B290" s="242" t="s">
        <v>2115</v>
      </c>
      <c r="C290" s="243" t="s">
        <v>14</v>
      </c>
      <c r="D290" s="244" t="s">
        <v>645</v>
      </c>
      <c r="E290" s="249" t="s">
        <v>586</v>
      </c>
      <c r="F290" s="244">
        <v>45901</v>
      </c>
    </row>
    <row r="291" spans="1:6" ht="14.25">
      <c r="A291" s="235" t="s">
        <v>1940</v>
      </c>
      <c r="B291" s="242" t="s">
        <v>2115</v>
      </c>
      <c r="C291" s="243" t="s">
        <v>81</v>
      </c>
      <c r="D291" s="244" t="s">
        <v>823</v>
      </c>
      <c r="E291" s="249" t="s">
        <v>778</v>
      </c>
      <c r="F291" s="244">
        <v>43299</v>
      </c>
    </row>
    <row r="292" spans="1:6" ht="14.25">
      <c r="A292" s="235" t="s">
        <v>1940</v>
      </c>
      <c r="B292" s="242" t="s">
        <v>2115</v>
      </c>
      <c r="C292" s="243" t="s">
        <v>154</v>
      </c>
      <c r="D292" s="244" t="s">
        <v>560</v>
      </c>
      <c r="E292" s="245" t="s">
        <v>521</v>
      </c>
      <c r="F292" s="246">
        <v>45875</v>
      </c>
    </row>
    <row r="293" spans="1:6" ht="14.25">
      <c r="A293" s="235" t="s">
        <v>1940</v>
      </c>
      <c r="B293" s="242" t="s">
        <v>2115</v>
      </c>
      <c r="C293" s="243" t="s">
        <v>154</v>
      </c>
      <c r="D293" s="244" t="s">
        <v>843</v>
      </c>
      <c r="E293" s="245" t="s">
        <v>779</v>
      </c>
      <c r="F293" s="246">
        <v>44018</v>
      </c>
    </row>
    <row r="294" spans="1:6" ht="14.25">
      <c r="A294" s="235" t="s">
        <v>1940</v>
      </c>
      <c r="B294" s="242" t="s">
        <v>2115</v>
      </c>
      <c r="C294" s="243" t="s">
        <v>154</v>
      </c>
      <c r="D294" s="244" t="s">
        <v>844</v>
      </c>
      <c r="E294" s="245" t="s">
        <v>792</v>
      </c>
      <c r="F294" s="246">
        <v>41340</v>
      </c>
    </row>
    <row r="295" spans="1:6" ht="14.25">
      <c r="A295" s="235" t="s">
        <v>1940</v>
      </c>
      <c r="B295" s="242" t="s">
        <v>2115</v>
      </c>
      <c r="C295" s="243" t="s">
        <v>154</v>
      </c>
      <c r="D295" s="244" t="s">
        <v>721</v>
      </c>
      <c r="E295" s="245" t="s">
        <v>687</v>
      </c>
      <c r="F295" s="246">
        <v>45980</v>
      </c>
    </row>
    <row r="296" spans="1:6" ht="14.25">
      <c r="A296" s="235" t="s">
        <v>1940</v>
      </c>
      <c r="B296" s="242" t="s">
        <v>2115</v>
      </c>
      <c r="C296" s="243" t="s">
        <v>14</v>
      </c>
      <c r="D296" s="244" t="s">
        <v>563</v>
      </c>
      <c r="E296" s="245" t="s">
        <v>524</v>
      </c>
      <c r="F296" s="246">
        <v>45889</v>
      </c>
    </row>
    <row r="297" spans="1:6" ht="14.25">
      <c r="A297" s="235" t="s">
        <v>1940</v>
      </c>
      <c r="B297" s="242" t="s">
        <v>2115</v>
      </c>
      <c r="C297" s="243" t="s">
        <v>14</v>
      </c>
      <c r="D297" s="244" t="s">
        <v>247</v>
      </c>
      <c r="E297" s="245" t="s">
        <v>223</v>
      </c>
      <c r="F297" s="246">
        <v>44753</v>
      </c>
    </row>
    <row r="298" spans="1:6" ht="14.25">
      <c r="A298" s="235" t="s">
        <v>1940</v>
      </c>
      <c r="B298" s="242" t="s">
        <v>2115</v>
      </c>
      <c r="C298" s="243" t="s">
        <v>14</v>
      </c>
      <c r="D298" s="244" t="s">
        <v>561</v>
      </c>
      <c r="E298" s="245" t="s">
        <v>522</v>
      </c>
      <c r="F298" s="246">
        <v>45139</v>
      </c>
    </row>
    <row r="299" spans="1:6" ht="14.25">
      <c r="A299" s="235" t="s">
        <v>1940</v>
      </c>
      <c r="B299" s="242" t="s">
        <v>2115</v>
      </c>
      <c r="C299" s="243" t="s">
        <v>14</v>
      </c>
      <c r="D299" s="244" t="s">
        <v>623</v>
      </c>
      <c r="E299" s="245" t="s">
        <v>588</v>
      </c>
      <c r="F299" s="246" t="s">
        <v>1038</v>
      </c>
    </row>
    <row r="300" spans="1:6" ht="14.25">
      <c r="A300" s="235" t="s">
        <v>1940</v>
      </c>
      <c r="B300" s="242" t="s">
        <v>2115</v>
      </c>
      <c r="C300" s="243" t="s">
        <v>14</v>
      </c>
      <c r="D300" s="244" t="s">
        <v>624</v>
      </c>
      <c r="E300" s="245" t="s">
        <v>589</v>
      </c>
      <c r="F300" s="246" t="s">
        <v>1038</v>
      </c>
    </row>
    <row r="301" spans="1:6" ht="14.25">
      <c r="A301" s="235" t="s">
        <v>1940</v>
      </c>
      <c r="B301" s="242" t="s">
        <v>2115</v>
      </c>
      <c r="C301" s="243" t="s">
        <v>14</v>
      </c>
      <c r="D301" s="244" t="s">
        <v>228</v>
      </c>
      <c r="E301" s="245" t="s">
        <v>229</v>
      </c>
      <c r="F301" s="246">
        <v>45483</v>
      </c>
    </row>
    <row r="302" spans="1:6" ht="14.25">
      <c r="A302" s="235" t="s">
        <v>1940</v>
      </c>
      <c r="B302" s="242" t="s">
        <v>2115</v>
      </c>
      <c r="C302" s="243" t="s">
        <v>87</v>
      </c>
      <c r="D302" s="244" t="s">
        <v>551</v>
      </c>
      <c r="E302" s="245" t="s">
        <v>516</v>
      </c>
      <c r="F302" s="246">
        <v>45889</v>
      </c>
    </row>
    <row r="303" spans="1:6" ht="14.25">
      <c r="A303" s="235" t="s">
        <v>1940</v>
      </c>
      <c r="B303" s="242" t="s">
        <v>2115</v>
      </c>
      <c r="C303" s="243" t="s">
        <v>14</v>
      </c>
      <c r="D303" s="244" t="s">
        <v>647</v>
      </c>
      <c r="E303" s="245" t="s">
        <v>580</v>
      </c>
      <c r="F303" s="246">
        <v>45896</v>
      </c>
    </row>
    <row r="304" spans="1:6" ht="14.25">
      <c r="A304" s="235" t="s">
        <v>1940</v>
      </c>
      <c r="B304" s="242" t="s">
        <v>2115</v>
      </c>
      <c r="C304" s="243" t="s">
        <v>87</v>
      </c>
      <c r="D304" s="244" t="s">
        <v>727</v>
      </c>
      <c r="E304" s="249" t="s">
        <v>693</v>
      </c>
      <c r="F304" s="244">
        <v>45509</v>
      </c>
    </row>
    <row r="305" spans="1:6" ht="14.25">
      <c r="A305" s="235" t="s">
        <v>1940</v>
      </c>
      <c r="B305" s="242" t="s">
        <v>2115</v>
      </c>
      <c r="C305" s="243" t="s">
        <v>14</v>
      </c>
      <c r="D305" s="244" t="s">
        <v>734</v>
      </c>
      <c r="E305" s="249" t="s">
        <v>705</v>
      </c>
      <c r="F305" s="246">
        <v>45959</v>
      </c>
    </row>
    <row r="306" spans="1:6" ht="14.25">
      <c r="A306" s="235" t="s">
        <v>1940</v>
      </c>
      <c r="B306" s="242" t="s">
        <v>2115</v>
      </c>
      <c r="C306" s="243" t="s">
        <v>14</v>
      </c>
      <c r="D306" s="244" t="s">
        <v>825</v>
      </c>
      <c r="E306" s="249" t="s">
        <v>782</v>
      </c>
      <c r="F306" s="246">
        <v>45994</v>
      </c>
    </row>
    <row r="307" spans="1:6" ht="14.25">
      <c r="A307" s="235" t="s">
        <v>1940</v>
      </c>
      <c r="B307" s="242" t="s">
        <v>2115</v>
      </c>
      <c r="C307" s="243" t="s">
        <v>14</v>
      </c>
      <c r="D307" s="244" t="s">
        <v>826</v>
      </c>
      <c r="E307" s="245" t="s">
        <v>783</v>
      </c>
      <c r="F307" s="246">
        <v>45896</v>
      </c>
    </row>
    <row r="308" spans="1:6" ht="42.75">
      <c r="A308" s="235" t="s">
        <v>1940</v>
      </c>
      <c r="B308" s="242" t="s">
        <v>2115</v>
      </c>
      <c r="C308" s="243" t="s">
        <v>14</v>
      </c>
      <c r="D308" s="244" t="s">
        <v>868</v>
      </c>
      <c r="E308" s="245" t="s">
        <v>784</v>
      </c>
      <c r="F308" s="246">
        <v>45896</v>
      </c>
    </row>
    <row r="309" spans="1:6" ht="14.25">
      <c r="A309" s="235" t="s">
        <v>1940</v>
      </c>
      <c r="B309" s="242" t="s">
        <v>2115</v>
      </c>
      <c r="C309" s="243" t="s">
        <v>87</v>
      </c>
      <c r="D309" s="244" t="s">
        <v>827</v>
      </c>
      <c r="E309" s="249" t="s">
        <v>785</v>
      </c>
      <c r="F309" s="244">
        <v>45994</v>
      </c>
    </row>
    <row r="310" spans="1:6" ht="14.25">
      <c r="A310" s="235" t="s">
        <v>1940</v>
      </c>
      <c r="B310" s="242" t="s">
        <v>2115</v>
      </c>
      <c r="C310" s="243" t="s">
        <v>14</v>
      </c>
      <c r="D310" s="244" t="s">
        <v>830</v>
      </c>
      <c r="E310" s="249" t="s">
        <v>788</v>
      </c>
      <c r="F310" s="246">
        <v>46001</v>
      </c>
    </row>
    <row r="311" spans="1:6" ht="14.25">
      <c r="A311" s="235" t="s">
        <v>1940</v>
      </c>
      <c r="B311" s="242" t="s">
        <v>2115</v>
      </c>
      <c r="C311" s="243" t="s">
        <v>14</v>
      </c>
      <c r="D311" s="244" t="s">
        <v>831</v>
      </c>
      <c r="E311" s="245" t="s">
        <v>789</v>
      </c>
      <c r="F311" s="246">
        <v>46008</v>
      </c>
    </row>
    <row r="312" spans="1:6" ht="14.25">
      <c r="A312" s="235" t="s">
        <v>1940</v>
      </c>
      <c r="B312" s="242" t="s">
        <v>2115</v>
      </c>
      <c r="C312" s="243" t="s">
        <v>87</v>
      </c>
      <c r="D312" s="244" t="s">
        <v>832</v>
      </c>
      <c r="E312" s="249" t="s">
        <v>791</v>
      </c>
      <c r="F312" s="244">
        <v>45987</v>
      </c>
    </row>
    <row r="313" spans="1:6" ht="14.25">
      <c r="A313" s="235" t="s">
        <v>1940</v>
      </c>
      <c r="B313" s="242" t="s">
        <v>2115</v>
      </c>
      <c r="C313" s="243" t="s">
        <v>14</v>
      </c>
      <c r="D313" s="244" t="s">
        <v>833</v>
      </c>
      <c r="E313" s="245" t="s">
        <v>794</v>
      </c>
      <c r="F313" s="246">
        <v>43922</v>
      </c>
    </row>
    <row r="314" spans="1:6" ht="14.25">
      <c r="A314" s="235" t="s">
        <v>1940</v>
      </c>
      <c r="B314" s="242" t="s">
        <v>2115</v>
      </c>
      <c r="C314" s="243" t="s">
        <v>14</v>
      </c>
      <c r="D314" s="244" t="s">
        <v>834</v>
      </c>
      <c r="E314" s="245" t="s">
        <v>795</v>
      </c>
      <c r="F314" s="246">
        <v>44706</v>
      </c>
    </row>
    <row r="315" spans="1:6" ht="14.25">
      <c r="A315" s="235" t="s">
        <v>1940</v>
      </c>
      <c r="B315" s="242" t="s">
        <v>2115</v>
      </c>
      <c r="C315" s="243" t="s">
        <v>14</v>
      </c>
      <c r="D315" s="244" t="s">
        <v>837</v>
      </c>
      <c r="E315" s="245" t="s">
        <v>798</v>
      </c>
      <c r="F315" s="246">
        <v>45987</v>
      </c>
    </row>
    <row r="316" spans="1:6" ht="14.25">
      <c r="A316" s="235" t="s">
        <v>1940</v>
      </c>
      <c r="B316" s="242" t="s">
        <v>2115</v>
      </c>
      <c r="C316" s="243" t="s">
        <v>14</v>
      </c>
      <c r="D316" s="244" t="s">
        <v>351</v>
      </c>
      <c r="E316" s="245" t="s">
        <v>335</v>
      </c>
      <c r="F316" s="246">
        <v>45637</v>
      </c>
    </row>
    <row r="317" spans="1:6" ht="14.25">
      <c r="A317" s="235" t="s">
        <v>1940</v>
      </c>
      <c r="B317" s="242" t="s">
        <v>2115</v>
      </c>
      <c r="C317" s="243" t="s">
        <v>14</v>
      </c>
      <c r="D317" s="244" t="s">
        <v>914</v>
      </c>
      <c r="E317" s="245" t="s">
        <v>885</v>
      </c>
      <c r="F317" s="246">
        <v>45916</v>
      </c>
    </row>
    <row r="318" spans="1:6" ht="14.25">
      <c r="A318" s="235" t="s">
        <v>1940</v>
      </c>
      <c r="B318" s="242" t="s">
        <v>2115</v>
      </c>
      <c r="C318" s="243" t="s">
        <v>14</v>
      </c>
      <c r="D318" s="244" t="s">
        <v>557</v>
      </c>
      <c r="E318" s="245" t="s">
        <v>532</v>
      </c>
      <c r="F318" s="246">
        <v>45882</v>
      </c>
    </row>
    <row r="319" spans="1:6" ht="14.25">
      <c r="A319" s="235" t="s">
        <v>1940</v>
      </c>
      <c r="B319" s="242" t="s">
        <v>2115</v>
      </c>
      <c r="C319" s="243" t="s">
        <v>87</v>
      </c>
      <c r="D319" s="244" t="s">
        <v>479</v>
      </c>
      <c r="E319" s="245" t="s">
        <v>448</v>
      </c>
      <c r="F319" s="246">
        <v>45833</v>
      </c>
    </row>
    <row r="320" spans="1:6" ht="14.25">
      <c r="A320" s="235" t="s">
        <v>1940</v>
      </c>
      <c r="B320" s="242" t="s">
        <v>2115</v>
      </c>
      <c r="C320" s="243" t="s">
        <v>14</v>
      </c>
      <c r="D320" s="244" t="s">
        <v>863</v>
      </c>
      <c r="E320" s="245" t="s">
        <v>810</v>
      </c>
      <c r="F320" s="246">
        <v>45987</v>
      </c>
    </row>
    <row r="321" spans="1:6" ht="14.25">
      <c r="A321" s="235" t="s">
        <v>1940</v>
      </c>
      <c r="B321" s="242" t="s">
        <v>2115</v>
      </c>
      <c r="C321" s="243" t="s">
        <v>14</v>
      </c>
      <c r="D321" s="244" t="s">
        <v>909</v>
      </c>
      <c r="E321" s="245" t="s">
        <v>892</v>
      </c>
      <c r="F321" s="246">
        <v>45882</v>
      </c>
    </row>
    <row r="322" spans="1:6" ht="14.25">
      <c r="A322" s="235" t="s">
        <v>1940</v>
      </c>
      <c r="B322" s="242" t="s">
        <v>2115</v>
      </c>
      <c r="C322" s="243" t="s">
        <v>14</v>
      </c>
      <c r="D322" s="244" t="s">
        <v>1159</v>
      </c>
      <c r="E322" s="245" t="s">
        <v>1160</v>
      </c>
      <c r="F322" s="246">
        <v>46000</v>
      </c>
    </row>
    <row r="323" spans="1:6" ht="14.25">
      <c r="A323" s="235" t="s">
        <v>1940</v>
      </c>
      <c r="B323" s="242" t="s">
        <v>2115</v>
      </c>
      <c r="C323" s="243" t="s">
        <v>14</v>
      </c>
      <c r="D323" s="244" t="s">
        <v>1161</v>
      </c>
      <c r="E323" s="245" t="s">
        <v>1162</v>
      </c>
      <c r="F323" s="246">
        <v>46015</v>
      </c>
    </row>
    <row r="324" spans="1:6" ht="14.25">
      <c r="A324" s="235" t="s">
        <v>1940</v>
      </c>
      <c r="B324" s="242" t="s">
        <v>2115</v>
      </c>
      <c r="C324" s="243" t="s">
        <v>14</v>
      </c>
      <c r="D324" s="244" t="s">
        <v>1163</v>
      </c>
      <c r="E324" s="245" t="s">
        <v>1164</v>
      </c>
      <c r="F324" s="246">
        <v>46015</v>
      </c>
    </row>
    <row r="325" spans="1:6" ht="14.25">
      <c r="A325" s="235" t="s">
        <v>1940</v>
      </c>
      <c r="B325" s="242" t="s">
        <v>2115</v>
      </c>
      <c r="C325" s="243" t="s">
        <v>87</v>
      </c>
      <c r="D325" s="244" t="s">
        <v>1169</v>
      </c>
      <c r="E325" s="249" t="s">
        <v>1170</v>
      </c>
      <c r="F325" s="244">
        <v>46029</v>
      </c>
    </row>
    <row r="326" spans="1:6" ht="14.25">
      <c r="A326" s="235" t="s">
        <v>1940</v>
      </c>
      <c r="B326" s="242" t="s">
        <v>2115</v>
      </c>
      <c r="C326" s="243" t="s">
        <v>14</v>
      </c>
      <c r="D326" s="244" t="s">
        <v>1173</v>
      </c>
      <c r="E326" s="245" t="s">
        <v>1174</v>
      </c>
      <c r="F326" s="246">
        <v>46113</v>
      </c>
    </row>
    <row r="327" spans="1:6" ht="14.25">
      <c r="A327" s="235" t="s">
        <v>1940</v>
      </c>
      <c r="B327" s="242" t="s">
        <v>2115</v>
      </c>
      <c r="C327" s="243" t="s">
        <v>14</v>
      </c>
      <c r="D327" s="244" t="s">
        <v>1175</v>
      </c>
      <c r="E327" s="245" t="s">
        <v>1176</v>
      </c>
      <c r="F327" s="246">
        <v>46113</v>
      </c>
    </row>
    <row r="328" spans="1:6" ht="14.25">
      <c r="A328" s="235" t="s">
        <v>1940</v>
      </c>
      <c r="B328" s="242" t="s">
        <v>2115</v>
      </c>
      <c r="C328" s="243" t="s">
        <v>87</v>
      </c>
      <c r="D328" s="244" t="s">
        <v>1177</v>
      </c>
      <c r="E328" s="249" t="s">
        <v>1178</v>
      </c>
      <c r="F328" s="244">
        <v>46113</v>
      </c>
    </row>
    <row r="329" spans="1:6" ht="14.25">
      <c r="A329" s="235" t="s">
        <v>1940</v>
      </c>
      <c r="B329" s="242" t="s">
        <v>2115</v>
      </c>
      <c r="C329" s="243" t="s">
        <v>14</v>
      </c>
      <c r="D329" s="244" t="s">
        <v>1179</v>
      </c>
      <c r="E329" s="245" t="s">
        <v>1180</v>
      </c>
      <c r="F329" s="246">
        <v>46113</v>
      </c>
    </row>
    <row r="330" spans="1:6" ht="14.25">
      <c r="A330" s="235" t="s">
        <v>1940</v>
      </c>
      <c r="B330" s="242" t="s">
        <v>2115</v>
      </c>
      <c r="C330" s="243" t="s">
        <v>87</v>
      </c>
      <c r="D330" s="244" t="s">
        <v>1181</v>
      </c>
      <c r="E330" s="249" t="s">
        <v>1182</v>
      </c>
      <c r="F330" s="244">
        <v>46113</v>
      </c>
    </row>
    <row r="331" spans="1:6" ht="14.25">
      <c r="A331" s="235" t="s">
        <v>1940</v>
      </c>
      <c r="B331" s="242" t="s">
        <v>2115</v>
      </c>
      <c r="C331" s="243" t="s">
        <v>87</v>
      </c>
      <c r="D331" s="244" t="s">
        <v>1183</v>
      </c>
      <c r="E331" s="249" t="s">
        <v>1184</v>
      </c>
      <c r="F331" s="244">
        <v>46120</v>
      </c>
    </row>
    <row r="332" spans="1:6" ht="14.25">
      <c r="A332" s="235" t="s">
        <v>1940</v>
      </c>
      <c r="B332" s="242" t="s">
        <v>2115</v>
      </c>
      <c r="C332" s="243" t="s">
        <v>14</v>
      </c>
      <c r="D332" s="244" t="s">
        <v>1191</v>
      </c>
      <c r="E332" s="245" t="s">
        <v>1192</v>
      </c>
      <c r="F332" s="246">
        <v>46127</v>
      </c>
    </row>
    <row r="333" spans="1:6" ht="14.25">
      <c r="A333" s="235" t="s">
        <v>1940</v>
      </c>
      <c r="B333" s="242" t="s">
        <v>2115</v>
      </c>
      <c r="C333" s="243" t="s">
        <v>14</v>
      </c>
      <c r="D333" s="244" t="s">
        <v>1193</v>
      </c>
      <c r="E333" s="245" t="s">
        <v>1194</v>
      </c>
      <c r="F333" s="246">
        <v>46127</v>
      </c>
    </row>
    <row r="334" spans="1:6" ht="14.25">
      <c r="A334" s="235" t="s">
        <v>1940</v>
      </c>
      <c r="B334" s="242" t="s">
        <v>2115</v>
      </c>
      <c r="C334" s="243" t="s">
        <v>14</v>
      </c>
      <c r="D334" s="244" t="s">
        <v>1195</v>
      </c>
      <c r="E334" s="245" t="s">
        <v>1196</v>
      </c>
      <c r="F334" s="246">
        <v>46127</v>
      </c>
    </row>
    <row r="335" spans="1:6" ht="14.25">
      <c r="A335" s="235" t="s">
        <v>1940</v>
      </c>
      <c r="B335" s="242" t="s">
        <v>2115</v>
      </c>
      <c r="C335" s="243" t="s">
        <v>14</v>
      </c>
      <c r="D335" s="245" t="s">
        <v>1201</v>
      </c>
      <c r="E335" s="249" t="s">
        <v>1202</v>
      </c>
      <c r="F335" s="244">
        <v>46127</v>
      </c>
    </row>
    <row r="336" spans="1:6" ht="14.25">
      <c r="A336" s="235" t="s">
        <v>1940</v>
      </c>
      <c r="B336" s="242" t="s">
        <v>2115</v>
      </c>
      <c r="C336" s="243" t="s">
        <v>14</v>
      </c>
      <c r="D336" s="244" t="s">
        <v>1203</v>
      </c>
      <c r="E336" s="245" t="s">
        <v>1204</v>
      </c>
      <c r="F336" s="246">
        <v>46127</v>
      </c>
    </row>
    <row r="337" spans="1:6" ht="14.25">
      <c r="A337" s="235" t="s">
        <v>1940</v>
      </c>
      <c r="B337" s="242" t="s">
        <v>2115</v>
      </c>
      <c r="C337" s="243" t="s">
        <v>14</v>
      </c>
      <c r="D337" s="244" t="s">
        <v>1205</v>
      </c>
      <c r="E337" s="245" t="s">
        <v>1206</v>
      </c>
      <c r="F337" s="246">
        <v>46127</v>
      </c>
    </row>
    <row r="338" spans="1:6" ht="14.25">
      <c r="A338" s="235" t="s">
        <v>1940</v>
      </c>
      <c r="B338" s="242" t="s">
        <v>2115</v>
      </c>
      <c r="C338" s="243" t="s">
        <v>14</v>
      </c>
      <c r="D338" s="244" t="s">
        <v>1311</v>
      </c>
      <c r="E338" s="245" t="s">
        <v>1312</v>
      </c>
      <c r="F338" s="246">
        <v>46134</v>
      </c>
    </row>
    <row r="339" spans="1:6" ht="14.25">
      <c r="A339" s="235" t="s">
        <v>1940</v>
      </c>
      <c r="B339" s="242" t="s">
        <v>2115</v>
      </c>
      <c r="C339" s="243" t="s">
        <v>14</v>
      </c>
      <c r="D339" s="244" t="s">
        <v>1313</v>
      </c>
      <c r="E339" s="245" t="s">
        <v>1314</v>
      </c>
      <c r="F339" s="246">
        <v>46134</v>
      </c>
    </row>
    <row r="340" spans="1:6" ht="14.25">
      <c r="A340" s="235" t="s">
        <v>1940</v>
      </c>
      <c r="B340" s="242" t="s">
        <v>2115</v>
      </c>
      <c r="C340" s="243" t="s">
        <v>14</v>
      </c>
      <c r="D340" s="244" t="s">
        <v>1315</v>
      </c>
      <c r="E340" s="245" t="s">
        <v>1316</v>
      </c>
      <c r="F340" s="246">
        <v>46132</v>
      </c>
    </row>
    <row r="341" spans="1:6" ht="14.25">
      <c r="A341" s="235" t="s">
        <v>1940</v>
      </c>
      <c r="B341" s="242" t="s">
        <v>2115</v>
      </c>
      <c r="C341" s="243" t="s">
        <v>14</v>
      </c>
      <c r="D341" s="244" t="s">
        <v>1317</v>
      </c>
      <c r="E341" s="245" t="s">
        <v>1318</v>
      </c>
      <c r="F341" s="246">
        <v>46132</v>
      </c>
    </row>
    <row r="342" spans="1:6" ht="14.25">
      <c r="A342" s="235" t="s">
        <v>1940</v>
      </c>
      <c r="B342" s="242" t="s">
        <v>2115</v>
      </c>
      <c r="C342" s="243" t="s">
        <v>14</v>
      </c>
      <c r="D342" s="244" t="s">
        <v>1345</v>
      </c>
      <c r="E342" s="245" t="s">
        <v>1346</v>
      </c>
      <c r="F342" s="246">
        <v>46139</v>
      </c>
    </row>
    <row r="343" spans="1:6" ht="14.25">
      <c r="A343" s="235" t="s">
        <v>1940</v>
      </c>
      <c r="B343" s="242" t="s">
        <v>2115</v>
      </c>
      <c r="C343" s="243" t="s">
        <v>14</v>
      </c>
      <c r="D343" s="244" t="s">
        <v>1347</v>
      </c>
      <c r="E343" s="245" t="s">
        <v>1348</v>
      </c>
      <c r="F343" s="246">
        <v>46139</v>
      </c>
    </row>
    <row r="344" spans="1:6" ht="14.25">
      <c r="A344" s="235" t="s">
        <v>1940</v>
      </c>
      <c r="B344" s="242" t="s">
        <v>2115</v>
      </c>
      <c r="C344" s="243" t="s">
        <v>14</v>
      </c>
      <c r="D344" s="245" t="s">
        <v>1351</v>
      </c>
      <c r="E344" s="249" t="s">
        <v>1352</v>
      </c>
      <c r="F344" s="244">
        <v>46139</v>
      </c>
    </row>
    <row r="345" spans="1:6" ht="14.25">
      <c r="A345" s="235" t="s">
        <v>1940</v>
      </c>
      <c r="B345" s="242" t="s">
        <v>2115</v>
      </c>
      <c r="C345" s="243" t="s">
        <v>14</v>
      </c>
      <c r="D345" s="245" t="s">
        <v>1353</v>
      </c>
      <c r="E345" s="249" t="s">
        <v>1354</v>
      </c>
      <c r="F345" s="244">
        <v>46139</v>
      </c>
    </row>
    <row r="346" spans="1:6" ht="14.25">
      <c r="A346" s="235" t="s">
        <v>1940</v>
      </c>
      <c r="B346" s="242" t="s">
        <v>2115</v>
      </c>
      <c r="C346" s="243" t="s">
        <v>14</v>
      </c>
      <c r="D346" s="244" t="s">
        <v>1355</v>
      </c>
      <c r="E346" s="245" t="s">
        <v>1356</v>
      </c>
      <c r="F346" s="246">
        <v>46153</v>
      </c>
    </row>
    <row r="347" spans="1:6" ht="14.25">
      <c r="A347" s="235" t="s">
        <v>1940</v>
      </c>
      <c r="B347" s="242" t="s">
        <v>2115</v>
      </c>
      <c r="C347" s="243" t="s">
        <v>14</v>
      </c>
      <c r="D347" s="244" t="s">
        <v>862</v>
      </c>
      <c r="E347" s="245" t="s">
        <v>809</v>
      </c>
      <c r="F347" s="246">
        <v>45987</v>
      </c>
    </row>
    <row r="348" spans="1:6" ht="14.25">
      <c r="A348" s="235" t="s">
        <v>1940</v>
      </c>
      <c r="B348" s="242" t="s">
        <v>2115</v>
      </c>
      <c r="C348" s="243" t="s">
        <v>14</v>
      </c>
      <c r="D348" s="244" t="s">
        <v>910</v>
      </c>
      <c r="E348" s="245" t="s">
        <v>893</v>
      </c>
      <c r="F348" s="246">
        <v>45882</v>
      </c>
    </row>
    <row r="349" spans="1:6" ht="14.25">
      <c r="A349" s="235" t="s">
        <v>1940</v>
      </c>
      <c r="B349" s="242" t="s">
        <v>2115</v>
      </c>
      <c r="C349" s="243" t="s">
        <v>14</v>
      </c>
      <c r="D349" s="244" t="s">
        <v>911</v>
      </c>
      <c r="E349" s="245" t="s">
        <v>894</v>
      </c>
      <c r="F349" s="246">
        <v>45889</v>
      </c>
    </row>
    <row r="350" spans="1:6" ht="14.25">
      <c r="A350" s="235" t="s">
        <v>1940</v>
      </c>
      <c r="B350" s="242" t="s">
        <v>2115</v>
      </c>
      <c r="C350" s="243" t="s">
        <v>14</v>
      </c>
      <c r="D350" s="244" t="s">
        <v>838</v>
      </c>
      <c r="E350" s="245" t="s">
        <v>799</v>
      </c>
      <c r="F350" s="246">
        <v>45462</v>
      </c>
    </row>
    <row r="351" spans="1:6" ht="14.25">
      <c r="A351" s="235" t="s">
        <v>1940</v>
      </c>
      <c r="B351" s="242" t="s">
        <v>2115</v>
      </c>
      <c r="C351" s="243" t="s">
        <v>14</v>
      </c>
      <c r="D351" s="245" t="s">
        <v>1462</v>
      </c>
      <c r="E351" s="249" t="s">
        <v>1463</v>
      </c>
      <c r="F351" s="244">
        <v>46169</v>
      </c>
    </row>
    <row r="352" spans="1:6" ht="14.25">
      <c r="A352" s="235" t="s">
        <v>1940</v>
      </c>
      <c r="B352" s="242" t="s">
        <v>2115</v>
      </c>
      <c r="C352" s="243" t="s">
        <v>14</v>
      </c>
      <c r="D352" s="244" t="s">
        <v>1466</v>
      </c>
      <c r="E352" s="245" t="s">
        <v>1467</v>
      </c>
      <c r="F352" s="246">
        <v>46127</v>
      </c>
    </row>
    <row r="353" spans="1:6" ht="14.25">
      <c r="A353" s="235" t="s">
        <v>1940</v>
      </c>
      <c r="B353" s="242" t="s">
        <v>2115</v>
      </c>
      <c r="C353" s="243" t="s">
        <v>14</v>
      </c>
      <c r="D353" s="244" t="s">
        <v>2098</v>
      </c>
      <c r="E353" s="245" t="s">
        <v>2099</v>
      </c>
      <c r="F353" s="246">
        <v>46134</v>
      </c>
    </row>
    <row r="354" spans="1:6" ht="14.25">
      <c r="A354" s="235" t="s">
        <v>1940</v>
      </c>
      <c r="B354" s="242" t="s">
        <v>2115</v>
      </c>
      <c r="C354" s="243" t="s">
        <v>14</v>
      </c>
      <c r="D354" s="244" t="s">
        <v>1378</v>
      </c>
      <c r="E354" s="245" t="s">
        <v>1379</v>
      </c>
      <c r="F354" s="246">
        <v>46155</v>
      </c>
    </row>
    <row r="355" spans="1:6" ht="14.25">
      <c r="A355" s="235" t="s">
        <v>1940</v>
      </c>
      <c r="B355" s="242" t="s">
        <v>2115</v>
      </c>
      <c r="C355" s="243" t="s">
        <v>14</v>
      </c>
      <c r="D355" s="244" t="s">
        <v>470</v>
      </c>
      <c r="E355" s="245" t="s">
        <v>430</v>
      </c>
      <c r="F355" s="246">
        <v>45840</v>
      </c>
    </row>
    <row r="356" spans="1:6" ht="14.25">
      <c r="A356" s="235" t="s">
        <v>1940</v>
      </c>
      <c r="B356" s="242" t="s">
        <v>2115</v>
      </c>
      <c r="C356" s="243" t="s">
        <v>14</v>
      </c>
      <c r="D356" s="244" t="s">
        <v>471</v>
      </c>
      <c r="E356" s="245" t="s">
        <v>431</v>
      </c>
      <c r="F356" s="246">
        <v>45854</v>
      </c>
    </row>
    <row r="357" spans="1:6" ht="14.25">
      <c r="A357" s="235" t="s">
        <v>1940</v>
      </c>
      <c r="B357" s="242" t="s">
        <v>2115</v>
      </c>
      <c r="C357" s="243" t="s">
        <v>14</v>
      </c>
      <c r="D357" s="244" t="s">
        <v>472</v>
      </c>
      <c r="E357" s="245" t="s">
        <v>432</v>
      </c>
      <c r="F357" s="246">
        <v>45861</v>
      </c>
    </row>
    <row r="358" spans="1:6" ht="14.25">
      <c r="A358" s="235" t="s">
        <v>1940</v>
      </c>
      <c r="B358" s="242" t="s">
        <v>2115</v>
      </c>
      <c r="C358" s="243" t="s">
        <v>14</v>
      </c>
      <c r="D358" s="244" t="s">
        <v>542</v>
      </c>
      <c r="E358" s="245" t="s">
        <v>508</v>
      </c>
      <c r="F358" s="246">
        <v>45868</v>
      </c>
    </row>
    <row r="359" spans="1:6" ht="14.25">
      <c r="A359" s="235" t="s">
        <v>1940</v>
      </c>
      <c r="B359" s="242" t="s">
        <v>2115</v>
      </c>
      <c r="C359" s="250" t="s">
        <v>14</v>
      </c>
      <c r="D359" s="251" t="s">
        <v>2031</v>
      </c>
      <c r="E359" s="252" t="s">
        <v>2032</v>
      </c>
      <c r="F359" s="253">
        <v>46225</v>
      </c>
    </row>
    <row r="360" spans="1:6" ht="14.25">
      <c r="A360" s="235" t="s">
        <v>1940</v>
      </c>
      <c r="B360" s="242" t="s">
        <v>2115</v>
      </c>
      <c r="C360" s="250" t="s">
        <v>14</v>
      </c>
      <c r="D360" s="251" t="s">
        <v>2033</v>
      </c>
      <c r="E360" s="252" t="s">
        <v>2034</v>
      </c>
      <c r="F360" s="253">
        <v>46225</v>
      </c>
    </row>
    <row r="361" spans="1:6" ht="14.25">
      <c r="A361" s="235" t="s">
        <v>1940</v>
      </c>
      <c r="B361" s="242" t="s">
        <v>2115</v>
      </c>
      <c r="C361" s="250" t="s">
        <v>14</v>
      </c>
      <c r="D361" s="251" t="s">
        <v>2045</v>
      </c>
      <c r="E361" s="252" t="s">
        <v>2046</v>
      </c>
      <c r="F361" s="253">
        <v>46225</v>
      </c>
    </row>
    <row r="362" spans="1:6" ht="14.25">
      <c r="A362" s="235" t="s">
        <v>1940</v>
      </c>
      <c r="B362" s="242" t="s">
        <v>2115</v>
      </c>
      <c r="C362" s="250" t="s">
        <v>14</v>
      </c>
      <c r="D362" s="251" t="s">
        <v>2049</v>
      </c>
      <c r="E362" s="252" t="s">
        <v>2050</v>
      </c>
      <c r="F362" s="253">
        <v>46225</v>
      </c>
    </row>
    <row r="363" spans="1:6" ht="14.25">
      <c r="A363" s="235" t="s">
        <v>1940</v>
      </c>
      <c r="B363" s="242" t="s">
        <v>2115</v>
      </c>
      <c r="C363" s="250" t="s">
        <v>14</v>
      </c>
      <c r="D363" s="251" t="s">
        <v>2051</v>
      </c>
      <c r="E363" s="252" t="s">
        <v>2052</v>
      </c>
      <c r="F363" s="253">
        <v>46225</v>
      </c>
    </row>
    <row r="364" spans="1:6" ht="14.25">
      <c r="A364" s="235" t="s">
        <v>1940</v>
      </c>
      <c r="B364" s="242" t="s">
        <v>2115</v>
      </c>
      <c r="C364" s="250" t="s">
        <v>14</v>
      </c>
      <c r="D364" s="251" t="s">
        <v>2053</v>
      </c>
      <c r="E364" s="252" t="s">
        <v>2054</v>
      </c>
      <c r="F364" s="253">
        <v>46225</v>
      </c>
    </row>
    <row r="365" spans="1:6" ht="14.25">
      <c r="A365" s="235" t="s">
        <v>1940</v>
      </c>
      <c r="B365" s="242" t="s">
        <v>2115</v>
      </c>
      <c r="C365" s="243" t="s">
        <v>14</v>
      </c>
      <c r="D365" s="244" t="s">
        <v>1730</v>
      </c>
      <c r="E365" s="245" t="s">
        <v>1731</v>
      </c>
      <c r="F365" s="246">
        <v>46204</v>
      </c>
    </row>
    <row r="366" spans="1:6" ht="14.25">
      <c r="A366" s="235" t="s">
        <v>1940</v>
      </c>
      <c r="B366" s="242" t="s">
        <v>2115</v>
      </c>
      <c r="C366" s="243" t="s">
        <v>14</v>
      </c>
      <c r="D366" s="244" t="s">
        <v>1732</v>
      </c>
      <c r="E366" s="245" t="s">
        <v>1733</v>
      </c>
      <c r="F366" s="246">
        <v>46208</v>
      </c>
    </row>
    <row r="367" spans="1:6" ht="14.25">
      <c r="A367" s="235" t="s">
        <v>1940</v>
      </c>
      <c r="B367" s="242" t="s">
        <v>2115</v>
      </c>
      <c r="C367" s="243" t="s">
        <v>14</v>
      </c>
      <c r="D367" s="244" t="s">
        <v>1734</v>
      </c>
      <c r="E367" s="245" t="s">
        <v>1735</v>
      </c>
      <c r="F367" s="246">
        <v>46208</v>
      </c>
    </row>
    <row r="368" spans="1:6" ht="14.25">
      <c r="A368" s="235" t="s">
        <v>1940</v>
      </c>
      <c r="B368" s="242" t="s">
        <v>2115</v>
      </c>
      <c r="C368" s="243" t="s">
        <v>14</v>
      </c>
      <c r="D368" s="244" t="s">
        <v>563</v>
      </c>
      <c r="E368" s="245" t="s">
        <v>1736</v>
      </c>
      <c r="F368" s="246">
        <v>46208</v>
      </c>
    </row>
    <row r="369" spans="1:6" ht="14.25">
      <c r="A369" s="235" t="s">
        <v>1940</v>
      </c>
      <c r="B369" s="242" t="s">
        <v>2115</v>
      </c>
      <c r="C369" s="243" t="s">
        <v>14</v>
      </c>
      <c r="D369" s="244" t="s">
        <v>1739</v>
      </c>
      <c r="E369" s="245" t="s">
        <v>1740</v>
      </c>
      <c r="F369" s="246">
        <v>46208</v>
      </c>
    </row>
    <row r="370" spans="1:6" ht="14.25">
      <c r="A370" s="235" t="s">
        <v>1940</v>
      </c>
      <c r="B370" s="242" t="s">
        <v>2115</v>
      </c>
      <c r="C370" s="243" t="s">
        <v>14</v>
      </c>
      <c r="D370" s="244" t="s">
        <v>1741</v>
      </c>
      <c r="E370" s="245" t="s">
        <v>1742</v>
      </c>
      <c r="F370" s="246">
        <v>45889</v>
      </c>
    </row>
    <row r="371" spans="1:6" ht="14.25">
      <c r="A371" s="235" t="s">
        <v>1940</v>
      </c>
      <c r="B371" s="242" t="s">
        <v>2115</v>
      </c>
      <c r="C371" s="243" t="s">
        <v>14</v>
      </c>
      <c r="D371" s="244" t="s">
        <v>1743</v>
      </c>
      <c r="E371" s="245" t="s">
        <v>1744</v>
      </c>
      <c r="F371" s="246">
        <v>46197</v>
      </c>
    </row>
    <row r="372" spans="1:6" ht="14.25">
      <c r="A372" s="235" t="s">
        <v>1940</v>
      </c>
      <c r="B372" s="242" t="s">
        <v>2115</v>
      </c>
      <c r="C372" s="243" t="s">
        <v>14</v>
      </c>
      <c r="D372" s="245" t="s">
        <v>1745</v>
      </c>
      <c r="E372" s="249" t="s">
        <v>1746</v>
      </c>
      <c r="F372" s="244">
        <v>46197</v>
      </c>
    </row>
    <row r="373" spans="1:6" ht="14.25">
      <c r="A373" s="235" t="s">
        <v>1940</v>
      </c>
      <c r="B373" s="242" t="s">
        <v>2115</v>
      </c>
      <c r="C373" s="243" t="s">
        <v>14</v>
      </c>
      <c r="D373" s="244" t="s">
        <v>1764</v>
      </c>
      <c r="E373" s="245" t="s">
        <v>1765</v>
      </c>
      <c r="F373" s="246">
        <v>46215</v>
      </c>
    </row>
    <row r="374" spans="1:6" ht="14.25">
      <c r="A374" s="235" t="s">
        <v>1940</v>
      </c>
      <c r="B374" s="242" t="s">
        <v>2115</v>
      </c>
      <c r="C374" s="243" t="s">
        <v>14</v>
      </c>
      <c r="D374" s="244" t="s">
        <v>1766</v>
      </c>
      <c r="E374" s="245" t="s">
        <v>1767</v>
      </c>
      <c r="F374" s="246">
        <v>46215</v>
      </c>
    </row>
    <row r="375" spans="1:6" ht="14.25">
      <c r="A375" s="235" t="s">
        <v>1940</v>
      </c>
      <c r="B375" s="242" t="s">
        <v>2115</v>
      </c>
      <c r="C375" s="243" t="s">
        <v>14</v>
      </c>
      <c r="D375" s="244" t="s">
        <v>1774</v>
      </c>
      <c r="E375" s="245" t="s">
        <v>1775</v>
      </c>
      <c r="F375" s="246">
        <v>46215</v>
      </c>
    </row>
    <row r="376" spans="1:6" ht="14.25">
      <c r="A376" s="235" t="s">
        <v>1940</v>
      </c>
      <c r="B376" s="242" t="s">
        <v>2115</v>
      </c>
      <c r="C376" s="243" t="s">
        <v>14</v>
      </c>
      <c r="D376" s="244" t="s">
        <v>1430</v>
      </c>
      <c r="E376" s="245" t="s">
        <v>1431</v>
      </c>
      <c r="F376" s="246">
        <v>46183</v>
      </c>
    </row>
    <row r="377" spans="1:6" ht="14.25">
      <c r="A377" s="235" t="s">
        <v>1940</v>
      </c>
      <c r="B377" s="242" t="s">
        <v>2115</v>
      </c>
      <c r="C377" s="243" t="s">
        <v>14</v>
      </c>
      <c r="D377" s="244" t="s">
        <v>1432</v>
      </c>
      <c r="E377" s="245" t="s">
        <v>1433</v>
      </c>
      <c r="F377" s="246">
        <v>46183</v>
      </c>
    </row>
    <row r="378" spans="1:6" ht="14.25">
      <c r="A378" s="235" t="s">
        <v>1940</v>
      </c>
      <c r="B378" s="242" t="s">
        <v>2115</v>
      </c>
      <c r="C378" s="243" t="s">
        <v>14</v>
      </c>
      <c r="D378" s="244" t="s">
        <v>478</v>
      </c>
      <c r="E378" s="245" t="s">
        <v>446</v>
      </c>
      <c r="F378" s="246">
        <v>45847</v>
      </c>
    </row>
    <row r="379" spans="1:6" ht="14.25">
      <c r="A379" s="235" t="s">
        <v>1940</v>
      </c>
      <c r="B379" s="242" t="s">
        <v>2115</v>
      </c>
      <c r="C379" s="243" t="s">
        <v>14</v>
      </c>
      <c r="D379" s="244" t="s">
        <v>1327</v>
      </c>
      <c r="E379" s="245" t="s">
        <v>1328</v>
      </c>
      <c r="F379" s="246">
        <v>46134</v>
      </c>
    </row>
    <row r="380" spans="1:6" ht="14.25">
      <c r="A380" s="235" t="s">
        <v>1940</v>
      </c>
      <c r="B380" s="242" t="s">
        <v>2115</v>
      </c>
      <c r="C380" s="243" t="s">
        <v>129</v>
      </c>
      <c r="D380" s="244" t="s">
        <v>494</v>
      </c>
      <c r="E380" s="245" t="s">
        <v>445</v>
      </c>
      <c r="F380" s="246">
        <v>45854</v>
      </c>
    </row>
    <row r="381" spans="1:6" ht="14.25">
      <c r="A381" s="235" t="s">
        <v>1940</v>
      </c>
      <c r="B381" s="242" t="s">
        <v>2115</v>
      </c>
      <c r="C381" s="243" t="s">
        <v>129</v>
      </c>
      <c r="D381" s="244" t="s">
        <v>473</v>
      </c>
      <c r="E381" s="245" t="s">
        <v>433</v>
      </c>
      <c r="F381" s="246">
        <v>45840</v>
      </c>
    </row>
    <row r="382" spans="1:6" ht="14.25">
      <c r="A382" s="235" t="s">
        <v>1940</v>
      </c>
      <c r="B382" s="242" t="s">
        <v>2115</v>
      </c>
      <c r="C382" s="243" t="s">
        <v>129</v>
      </c>
      <c r="D382" s="244" t="s">
        <v>474</v>
      </c>
      <c r="E382" s="245" t="s">
        <v>435</v>
      </c>
      <c r="F382" s="246">
        <v>45854</v>
      </c>
    </row>
    <row r="383" spans="1:6" ht="14.25">
      <c r="A383" s="235" t="s">
        <v>1940</v>
      </c>
      <c r="B383" s="242" t="s">
        <v>2115</v>
      </c>
      <c r="C383" s="243" t="s">
        <v>129</v>
      </c>
      <c r="D383" s="244" t="s">
        <v>850</v>
      </c>
      <c r="E383" s="245" t="s">
        <v>767</v>
      </c>
      <c r="F383" s="246">
        <v>44307</v>
      </c>
    </row>
    <row r="384" spans="1:6" ht="14.25">
      <c r="A384" s="235" t="s">
        <v>1940</v>
      </c>
      <c r="B384" s="242" t="s">
        <v>2115</v>
      </c>
      <c r="C384" s="243" t="s">
        <v>129</v>
      </c>
      <c r="D384" s="244" t="s">
        <v>1238</v>
      </c>
      <c r="E384" s="245" t="s">
        <v>1239</v>
      </c>
      <c r="F384" s="246">
        <v>46125</v>
      </c>
    </row>
    <row r="385" spans="1:6" ht="14.25">
      <c r="A385" s="235" t="s">
        <v>1940</v>
      </c>
      <c r="B385" s="242" t="s">
        <v>2115</v>
      </c>
      <c r="C385" s="243" t="s">
        <v>146</v>
      </c>
      <c r="D385" s="244" t="s">
        <v>846</v>
      </c>
      <c r="E385" s="245" t="s">
        <v>790</v>
      </c>
      <c r="F385" s="246">
        <v>45882</v>
      </c>
    </row>
    <row r="386" spans="1:6" ht="14.25">
      <c r="A386" s="235" t="s">
        <v>1940</v>
      </c>
      <c r="B386" s="242" t="s">
        <v>2115</v>
      </c>
      <c r="C386" s="243" t="s">
        <v>129</v>
      </c>
      <c r="D386" s="244" t="s">
        <v>495</v>
      </c>
      <c r="E386" s="245" t="s">
        <v>451</v>
      </c>
      <c r="F386" s="246">
        <v>45854</v>
      </c>
    </row>
    <row r="387" spans="1:6" ht="14.25">
      <c r="A387" s="235" t="s">
        <v>1940</v>
      </c>
      <c r="B387" s="242" t="s">
        <v>2115</v>
      </c>
      <c r="C387" s="243" t="s">
        <v>129</v>
      </c>
      <c r="D387" s="244" t="s">
        <v>565</v>
      </c>
      <c r="E387" s="245" t="s">
        <v>526</v>
      </c>
      <c r="F387" s="246">
        <v>44260</v>
      </c>
    </row>
    <row r="388" spans="1:6" ht="14.25">
      <c r="A388" s="235" t="s">
        <v>1940</v>
      </c>
      <c r="B388" s="242" t="s">
        <v>2115</v>
      </c>
      <c r="C388" s="243" t="s">
        <v>129</v>
      </c>
      <c r="D388" s="244" t="s">
        <v>566</v>
      </c>
      <c r="E388" s="245" t="s">
        <v>527</v>
      </c>
      <c r="F388" s="246">
        <v>44463</v>
      </c>
    </row>
    <row r="389" spans="1:6" ht="14.25">
      <c r="A389" s="235" t="s">
        <v>1940</v>
      </c>
      <c r="B389" s="242" t="s">
        <v>2115</v>
      </c>
      <c r="C389" s="243" t="s">
        <v>129</v>
      </c>
      <c r="D389" s="244" t="s">
        <v>628</v>
      </c>
      <c r="E389" s="245" t="s">
        <v>593</v>
      </c>
      <c r="F389" s="246" t="s">
        <v>1038</v>
      </c>
    </row>
    <row r="390" spans="1:6" ht="14.25">
      <c r="A390" s="235" t="s">
        <v>1940</v>
      </c>
      <c r="B390" s="242" t="s">
        <v>2115</v>
      </c>
      <c r="C390" s="243" t="s">
        <v>129</v>
      </c>
      <c r="D390" s="244" t="s">
        <v>629</v>
      </c>
      <c r="E390" s="245" t="s">
        <v>594</v>
      </c>
      <c r="F390" s="246">
        <v>45896</v>
      </c>
    </row>
    <row r="391" spans="1:6" ht="14.25">
      <c r="A391" s="235" t="s">
        <v>1940</v>
      </c>
      <c r="B391" s="242" t="s">
        <v>2115</v>
      </c>
      <c r="C391" s="243" t="s">
        <v>129</v>
      </c>
      <c r="D391" s="244" t="s">
        <v>630</v>
      </c>
      <c r="E391" s="245" t="s">
        <v>595</v>
      </c>
      <c r="F391" s="246">
        <v>45908</v>
      </c>
    </row>
    <row r="392" spans="1:6" ht="14.25">
      <c r="A392" s="235" t="s">
        <v>1940</v>
      </c>
      <c r="B392" s="242" t="s">
        <v>2115</v>
      </c>
      <c r="C392" s="243" t="s">
        <v>129</v>
      </c>
      <c r="D392" s="244" t="s">
        <v>631</v>
      </c>
      <c r="E392" s="245" t="s">
        <v>596</v>
      </c>
      <c r="F392" s="246">
        <v>45908</v>
      </c>
    </row>
    <row r="393" spans="1:6" ht="14.25">
      <c r="A393" s="235" t="s">
        <v>1940</v>
      </c>
      <c r="B393" s="242" t="s">
        <v>2115</v>
      </c>
      <c r="C393" s="243" t="s">
        <v>129</v>
      </c>
      <c r="D393" s="244" t="s">
        <v>552</v>
      </c>
      <c r="E393" s="245" t="s">
        <v>513</v>
      </c>
      <c r="F393" s="246">
        <v>45889</v>
      </c>
    </row>
    <row r="394" spans="1:6" ht="14.25">
      <c r="A394" s="235" t="s">
        <v>1940</v>
      </c>
      <c r="B394" s="242" t="s">
        <v>2115</v>
      </c>
      <c r="C394" s="243" t="s">
        <v>129</v>
      </c>
      <c r="D394" s="244" t="s">
        <v>632</v>
      </c>
      <c r="E394" s="245" t="s">
        <v>597</v>
      </c>
      <c r="F394" s="246">
        <v>45910</v>
      </c>
    </row>
    <row r="395" spans="1:6" ht="14.25">
      <c r="A395" s="235" t="s">
        <v>1940</v>
      </c>
      <c r="B395" s="242" t="s">
        <v>2115</v>
      </c>
      <c r="C395" s="243" t="s">
        <v>129</v>
      </c>
      <c r="D395" s="244" t="s">
        <v>633</v>
      </c>
      <c r="E395" s="245" t="s">
        <v>598</v>
      </c>
      <c r="F395" s="246">
        <v>45910</v>
      </c>
    </row>
    <row r="396" spans="1:6" ht="14.25">
      <c r="A396" s="235" t="s">
        <v>1940</v>
      </c>
      <c r="B396" s="242" t="s">
        <v>2115</v>
      </c>
      <c r="C396" s="243" t="s">
        <v>129</v>
      </c>
      <c r="D396" s="244" t="s">
        <v>735</v>
      </c>
      <c r="E396" s="245" t="s">
        <v>699</v>
      </c>
      <c r="F396" s="246">
        <v>45940</v>
      </c>
    </row>
    <row r="397" spans="1:6" ht="14.25">
      <c r="A397" s="235" t="s">
        <v>1940</v>
      </c>
      <c r="B397" s="242" t="s">
        <v>2115</v>
      </c>
      <c r="C397" s="243" t="s">
        <v>129</v>
      </c>
      <c r="D397" s="244" t="s">
        <v>737</v>
      </c>
      <c r="E397" s="245" t="s">
        <v>701</v>
      </c>
      <c r="F397" s="246">
        <v>45966</v>
      </c>
    </row>
    <row r="398" spans="1:6" ht="14.25">
      <c r="A398" s="235" t="s">
        <v>1940</v>
      </c>
      <c r="B398" s="242" t="s">
        <v>2115</v>
      </c>
      <c r="C398" s="243" t="s">
        <v>129</v>
      </c>
      <c r="D398" s="244" t="s">
        <v>845</v>
      </c>
      <c r="E398" s="245" t="s">
        <v>780</v>
      </c>
      <c r="F398" s="246">
        <v>41583</v>
      </c>
    </row>
    <row r="399" spans="1:6" ht="14.25">
      <c r="A399" s="235" t="s">
        <v>1940</v>
      </c>
      <c r="B399" s="242" t="s">
        <v>2115</v>
      </c>
      <c r="C399" s="243" t="s">
        <v>129</v>
      </c>
      <c r="D399" s="244" t="s">
        <v>937</v>
      </c>
      <c r="E399" s="245" t="s">
        <v>883</v>
      </c>
      <c r="F399" s="246">
        <v>46015</v>
      </c>
    </row>
    <row r="400" spans="1:6" ht="14.25">
      <c r="A400" s="235" t="s">
        <v>1940</v>
      </c>
      <c r="B400" s="242" t="s">
        <v>2115</v>
      </c>
      <c r="C400" s="243" t="s">
        <v>129</v>
      </c>
      <c r="D400" s="244" t="s">
        <v>739</v>
      </c>
      <c r="E400" s="245" t="s">
        <v>703</v>
      </c>
      <c r="F400" s="246">
        <v>45847</v>
      </c>
    </row>
    <row r="401" spans="1:6" ht="14.25">
      <c r="A401" s="235" t="s">
        <v>1940</v>
      </c>
      <c r="B401" s="242" t="s">
        <v>2115</v>
      </c>
      <c r="C401" s="243" t="s">
        <v>129</v>
      </c>
      <c r="D401" s="244" t="s">
        <v>546</v>
      </c>
      <c r="E401" s="245" t="s">
        <v>514</v>
      </c>
      <c r="F401" s="246">
        <v>45509</v>
      </c>
    </row>
    <row r="402" spans="1:6" ht="14.25">
      <c r="A402" s="235" t="s">
        <v>1940</v>
      </c>
      <c r="B402" s="242" t="s">
        <v>2115</v>
      </c>
      <c r="C402" s="243" t="s">
        <v>146</v>
      </c>
      <c r="D402" s="244" t="s">
        <v>936</v>
      </c>
      <c r="E402" s="245" t="s">
        <v>896</v>
      </c>
      <c r="F402" s="246">
        <v>45896</v>
      </c>
    </row>
    <row r="403" spans="1:6" ht="14.25">
      <c r="A403" s="235" t="s">
        <v>1940</v>
      </c>
      <c r="B403" s="242" t="s">
        <v>2115</v>
      </c>
      <c r="C403" s="243" t="s">
        <v>129</v>
      </c>
      <c r="D403" s="244" t="s">
        <v>1210</v>
      </c>
      <c r="E403" s="245" t="s">
        <v>1211</v>
      </c>
      <c r="F403" s="246">
        <v>46120</v>
      </c>
    </row>
    <row r="404" spans="1:6" ht="14.25">
      <c r="A404" s="235" t="s">
        <v>1940</v>
      </c>
      <c r="B404" s="242" t="s">
        <v>2115</v>
      </c>
      <c r="C404" s="243" t="s">
        <v>129</v>
      </c>
      <c r="D404" s="244" t="s">
        <v>1212</v>
      </c>
      <c r="E404" s="245" t="s">
        <v>1213</v>
      </c>
      <c r="F404" s="246">
        <v>46127</v>
      </c>
    </row>
    <row r="405" spans="1:6" ht="14.25">
      <c r="A405" s="235" t="s">
        <v>1940</v>
      </c>
      <c r="B405" s="242" t="s">
        <v>2115</v>
      </c>
      <c r="C405" s="243" t="s">
        <v>146</v>
      </c>
      <c r="D405" s="244" t="s">
        <v>1469</v>
      </c>
      <c r="E405" s="245" t="s">
        <v>1470</v>
      </c>
      <c r="F405" s="246">
        <v>46050</v>
      </c>
    </row>
    <row r="406" spans="1:6" ht="14.25">
      <c r="A406" s="235" t="s">
        <v>1940</v>
      </c>
      <c r="B406" s="242" t="s">
        <v>2115</v>
      </c>
      <c r="C406" s="243" t="s">
        <v>129</v>
      </c>
      <c r="D406" s="244" t="s">
        <v>1471</v>
      </c>
      <c r="E406" s="245" t="s">
        <v>1472</v>
      </c>
      <c r="F406" s="246">
        <v>46085</v>
      </c>
    </row>
    <row r="407" spans="1:6" ht="14.25">
      <c r="A407" s="235" t="s">
        <v>1940</v>
      </c>
      <c r="B407" s="242" t="s">
        <v>2115</v>
      </c>
      <c r="C407" s="243" t="s">
        <v>129</v>
      </c>
      <c r="D407" s="244" t="s">
        <v>1473</v>
      </c>
      <c r="E407" s="245" t="s">
        <v>1474</v>
      </c>
      <c r="F407" s="246">
        <v>46050</v>
      </c>
    </row>
    <row r="408" spans="1:6" ht="14.25">
      <c r="A408" s="235" t="s">
        <v>1940</v>
      </c>
      <c r="B408" s="242" t="s">
        <v>2115</v>
      </c>
      <c r="C408" s="243" t="s">
        <v>146</v>
      </c>
      <c r="D408" s="244" t="s">
        <v>1792</v>
      </c>
      <c r="E408" s="245" t="s">
        <v>1793</v>
      </c>
      <c r="F408" s="246">
        <v>46204</v>
      </c>
    </row>
    <row r="409" spans="1:6" ht="14.25">
      <c r="A409" s="235" t="s">
        <v>1940</v>
      </c>
      <c r="B409" s="242" t="s">
        <v>2115</v>
      </c>
      <c r="C409" s="243" t="s">
        <v>129</v>
      </c>
      <c r="D409" s="244" t="s">
        <v>1794</v>
      </c>
      <c r="E409" s="245" t="s">
        <v>1795</v>
      </c>
      <c r="F409" s="246">
        <v>46204</v>
      </c>
    </row>
    <row r="410" spans="1:6" ht="14.25">
      <c r="A410" s="235" t="s">
        <v>1940</v>
      </c>
      <c r="B410" s="242" t="s">
        <v>2115</v>
      </c>
      <c r="C410" s="243" t="s">
        <v>146</v>
      </c>
      <c r="D410" s="244" t="s">
        <v>1796</v>
      </c>
      <c r="E410" s="245" t="s">
        <v>1797</v>
      </c>
      <c r="F410" s="246">
        <v>46204</v>
      </c>
    </row>
    <row r="411" spans="1:6" ht="14.25">
      <c r="A411" s="235" t="s">
        <v>1940</v>
      </c>
      <c r="B411" s="242" t="s">
        <v>2115</v>
      </c>
      <c r="C411" s="243" t="s">
        <v>146</v>
      </c>
      <c r="D411" s="244" t="s">
        <v>1798</v>
      </c>
      <c r="E411" s="245" t="s">
        <v>1799</v>
      </c>
      <c r="F411" s="246">
        <v>46204</v>
      </c>
    </row>
    <row r="412" spans="1:6" ht="14.25">
      <c r="A412" s="235" t="s">
        <v>1940</v>
      </c>
      <c r="B412" s="242" t="s">
        <v>2115</v>
      </c>
      <c r="C412" s="243" t="s">
        <v>129</v>
      </c>
      <c r="D412" s="244" t="s">
        <v>1800</v>
      </c>
      <c r="E412" s="245" t="s">
        <v>1801</v>
      </c>
      <c r="F412" s="246">
        <v>46204</v>
      </c>
    </row>
    <row r="413" spans="1:6" ht="14.25">
      <c r="A413" s="235" t="s">
        <v>1940</v>
      </c>
      <c r="B413" s="242" t="s">
        <v>2115</v>
      </c>
      <c r="C413" s="243" t="s">
        <v>146</v>
      </c>
      <c r="D413" s="244" t="s">
        <v>740</v>
      </c>
      <c r="E413" s="245" t="s">
        <v>711</v>
      </c>
      <c r="F413" s="246">
        <v>45868</v>
      </c>
    </row>
    <row r="414" spans="1:6" ht="14.25">
      <c r="A414" s="235" t="s">
        <v>1940</v>
      </c>
      <c r="B414" s="242" t="s">
        <v>2115</v>
      </c>
      <c r="C414" s="243" t="s">
        <v>129</v>
      </c>
      <c r="D414" s="244" t="s">
        <v>1214</v>
      </c>
      <c r="E414" s="245" t="s">
        <v>1215</v>
      </c>
      <c r="F414" s="246">
        <v>46008</v>
      </c>
    </row>
    <row r="415" spans="1:6" ht="14.25">
      <c r="A415" s="235" t="s">
        <v>1940</v>
      </c>
      <c r="B415" s="242" t="s">
        <v>2115</v>
      </c>
      <c r="C415" s="243" t="s">
        <v>129</v>
      </c>
      <c r="D415" s="244" t="s">
        <v>1386</v>
      </c>
      <c r="E415" s="245" t="s">
        <v>1387</v>
      </c>
      <c r="F415" s="246">
        <v>46155</v>
      </c>
    </row>
    <row r="416" spans="1:6" ht="14.25">
      <c r="A416" s="235" t="s">
        <v>1940</v>
      </c>
      <c r="B416" s="242" t="s">
        <v>2115</v>
      </c>
      <c r="C416" s="250" t="s">
        <v>146</v>
      </c>
      <c r="D416" s="251" t="s">
        <v>2057</v>
      </c>
      <c r="E416" s="252" t="s">
        <v>2058</v>
      </c>
      <c r="F416" s="253">
        <v>44272</v>
      </c>
    </row>
    <row r="417" spans="1:6" ht="14.25">
      <c r="A417" s="235" t="s">
        <v>1940</v>
      </c>
      <c r="B417" s="242" t="s">
        <v>2115</v>
      </c>
      <c r="C417" s="250" t="s">
        <v>146</v>
      </c>
      <c r="D417" s="251" t="s">
        <v>2059</v>
      </c>
      <c r="E417" s="252" t="s">
        <v>2060</v>
      </c>
      <c r="F417" s="253">
        <v>45805</v>
      </c>
    </row>
    <row r="418" spans="1:6" ht="14.25">
      <c r="A418" s="235" t="s">
        <v>1940</v>
      </c>
      <c r="B418" s="242" t="s">
        <v>2115</v>
      </c>
      <c r="C418" s="250" t="s">
        <v>146</v>
      </c>
      <c r="D418" s="251" t="s">
        <v>2063</v>
      </c>
      <c r="E418" s="252" t="s">
        <v>2064</v>
      </c>
      <c r="F418" s="253">
        <v>44118</v>
      </c>
    </row>
    <row r="419" spans="1:6" ht="14.25">
      <c r="A419" s="235" t="s">
        <v>1940</v>
      </c>
      <c r="B419" s="242" t="s">
        <v>2115</v>
      </c>
      <c r="C419" s="250" t="s">
        <v>146</v>
      </c>
      <c r="D419" s="251" t="s">
        <v>2067</v>
      </c>
      <c r="E419" s="252" t="s">
        <v>2068</v>
      </c>
      <c r="F419" s="253">
        <v>46225</v>
      </c>
    </row>
    <row r="420" spans="1:6" ht="14.25">
      <c r="A420" s="235" t="s">
        <v>1940</v>
      </c>
      <c r="B420" s="242" t="s">
        <v>2115</v>
      </c>
      <c r="C420" s="250" t="s">
        <v>146</v>
      </c>
      <c r="D420" s="251" t="s">
        <v>2069</v>
      </c>
      <c r="E420" s="252" t="s">
        <v>2070</v>
      </c>
      <c r="F420" s="253">
        <v>46225</v>
      </c>
    </row>
    <row r="421" spans="1:6" ht="28.5">
      <c r="A421" s="235" t="s">
        <v>2135</v>
      </c>
      <c r="B421" s="242" t="s">
        <v>2115</v>
      </c>
      <c r="C421" s="243" t="s">
        <v>14</v>
      </c>
      <c r="D421" s="244" t="s">
        <v>553</v>
      </c>
      <c r="E421" s="249" t="s">
        <v>528</v>
      </c>
      <c r="F421" s="246">
        <v>45868</v>
      </c>
    </row>
    <row r="422" spans="1:6" ht="28.5">
      <c r="A422" s="235" t="s">
        <v>2135</v>
      </c>
      <c r="B422" s="242" t="s">
        <v>2115</v>
      </c>
      <c r="C422" s="243" t="s">
        <v>14</v>
      </c>
      <c r="D422" s="244" t="s">
        <v>477</v>
      </c>
      <c r="E422" s="245" t="s">
        <v>442</v>
      </c>
      <c r="F422" s="246">
        <v>45847</v>
      </c>
    </row>
    <row r="423" spans="1:6" ht="28.5">
      <c r="A423" s="235" t="s">
        <v>2135</v>
      </c>
      <c r="B423" s="242" t="s">
        <v>2115</v>
      </c>
      <c r="C423" s="243" t="s">
        <v>146</v>
      </c>
      <c r="D423" s="244" t="s">
        <v>329</v>
      </c>
      <c r="E423" s="245" t="s">
        <v>304</v>
      </c>
      <c r="F423" s="246">
        <v>45600</v>
      </c>
    </row>
    <row r="424" spans="1:6" ht="28.5">
      <c r="A424" s="235" t="s">
        <v>2135</v>
      </c>
      <c r="B424" s="242" t="s">
        <v>2115</v>
      </c>
      <c r="C424" s="243" t="s">
        <v>14</v>
      </c>
      <c r="D424" s="244" t="s">
        <v>1329</v>
      </c>
      <c r="E424" s="245" t="s">
        <v>1330</v>
      </c>
      <c r="F424" s="246">
        <v>46139</v>
      </c>
    </row>
    <row r="425" spans="1:6" ht="28.5">
      <c r="A425" s="235" t="s">
        <v>2135</v>
      </c>
      <c r="B425" s="242" t="s">
        <v>2115</v>
      </c>
      <c r="C425" s="250" t="s">
        <v>14</v>
      </c>
      <c r="D425" s="251" t="s">
        <v>2078</v>
      </c>
      <c r="E425" s="252" t="s">
        <v>2079</v>
      </c>
      <c r="F425" s="253">
        <v>44018</v>
      </c>
    </row>
    <row r="426" spans="1:6" ht="14.25">
      <c r="A426" s="235" t="s">
        <v>499</v>
      </c>
      <c r="B426" s="242" t="s">
        <v>2117</v>
      </c>
      <c r="C426" s="243" t="s">
        <v>81</v>
      </c>
      <c r="D426" s="244" t="s">
        <v>726</v>
      </c>
      <c r="E426" s="249" t="s">
        <v>707</v>
      </c>
      <c r="F426" s="244">
        <v>44151</v>
      </c>
    </row>
    <row r="427" spans="1:6" ht="14.25">
      <c r="A427" s="235" t="s">
        <v>1940</v>
      </c>
      <c r="B427" s="242" t="s">
        <v>2117</v>
      </c>
      <c r="C427" s="243" t="s">
        <v>81</v>
      </c>
      <c r="D427" s="244" t="s">
        <v>1790</v>
      </c>
      <c r="E427" s="245" t="s">
        <v>1791</v>
      </c>
      <c r="F427" s="246">
        <v>46208</v>
      </c>
    </row>
    <row r="428" spans="1:6" ht="14.25">
      <c r="A428" s="235" t="s">
        <v>1940</v>
      </c>
      <c r="B428" s="242" t="s">
        <v>2117</v>
      </c>
      <c r="C428" s="250" t="s">
        <v>13</v>
      </c>
      <c r="D428" s="251" t="s">
        <v>2017</v>
      </c>
      <c r="E428" s="252" t="s">
        <v>2018</v>
      </c>
      <c r="F428" s="253">
        <v>46225</v>
      </c>
    </row>
    <row r="429" spans="1:6" ht="14.25">
      <c r="A429" s="235" t="s">
        <v>1940</v>
      </c>
      <c r="B429" s="242" t="s">
        <v>2117</v>
      </c>
      <c r="C429" s="250" t="s">
        <v>13</v>
      </c>
      <c r="D429" s="251" t="s">
        <v>2019</v>
      </c>
      <c r="E429" s="252" t="s">
        <v>2020</v>
      </c>
      <c r="F429" s="253">
        <v>45847</v>
      </c>
    </row>
    <row r="430" spans="1:6" ht="14.25">
      <c r="A430" s="235" t="s">
        <v>1940</v>
      </c>
      <c r="B430" s="242" t="s">
        <v>2117</v>
      </c>
      <c r="C430" s="243" t="s">
        <v>154</v>
      </c>
      <c r="D430" s="244" t="s">
        <v>667</v>
      </c>
      <c r="E430" s="245" t="s">
        <v>653</v>
      </c>
      <c r="F430" s="246">
        <v>45943</v>
      </c>
    </row>
    <row r="431" spans="1:6" ht="14.25">
      <c r="A431" s="235" t="s">
        <v>1940</v>
      </c>
      <c r="B431" s="242" t="s">
        <v>2117</v>
      </c>
      <c r="C431" s="243" t="s">
        <v>14</v>
      </c>
      <c r="D431" s="244" t="s">
        <v>562</v>
      </c>
      <c r="E431" s="245" t="s">
        <v>523</v>
      </c>
      <c r="F431" s="246">
        <v>45875</v>
      </c>
    </row>
    <row r="432" spans="1:6" ht="14.25">
      <c r="A432" s="235" t="s">
        <v>1940</v>
      </c>
      <c r="B432" s="242" t="s">
        <v>2117</v>
      </c>
      <c r="C432" s="243" t="s">
        <v>14</v>
      </c>
      <c r="D432" s="244" t="s">
        <v>641</v>
      </c>
      <c r="E432" s="245" t="s">
        <v>582</v>
      </c>
      <c r="F432" s="246">
        <v>45910</v>
      </c>
    </row>
    <row r="433" spans="1:6" ht="14.25">
      <c r="A433" s="235" t="s">
        <v>1940</v>
      </c>
      <c r="B433" s="242" t="s">
        <v>2117</v>
      </c>
      <c r="C433" s="243" t="s">
        <v>87</v>
      </c>
      <c r="D433" s="244" t="s">
        <v>642</v>
      </c>
      <c r="E433" s="249" t="s">
        <v>583</v>
      </c>
      <c r="F433" s="244">
        <v>45910</v>
      </c>
    </row>
    <row r="434" spans="1:6" ht="14.25">
      <c r="A434" s="235" t="s">
        <v>1940</v>
      </c>
      <c r="B434" s="242" t="s">
        <v>2117</v>
      </c>
      <c r="C434" s="243" t="s">
        <v>87</v>
      </c>
      <c r="D434" s="244" t="s">
        <v>728</v>
      </c>
      <c r="E434" s="249" t="s">
        <v>694</v>
      </c>
      <c r="F434" s="244">
        <v>45475</v>
      </c>
    </row>
    <row r="435" spans="1:6" ht="14.25">
      <c r="A435" s="235" t="s">
        <v>1940</v>
      </c>
      <c r="B435" s="242" t="s">
        <v>2117</v>
      </c>
      <c r="C435" s="243" t="s">
        <v>14</v>
      </c>
      <c r="D435" s="244" t="s">
        <v>731</v>
      </c>
      <c r="E435" s="249" t="s">
        <v>697</v>
      </c>
      <c r="F435" s="246">
        <v>45971</v>
      </c>
    </row>
    <row r="436" spans="1:6" ht="14.25">
      <c r="A436" s="235" t="s">
        <v>1940</v>
      </c>
      <c r="B436" s="242" t="s">
        <v>2117</v>
      </c>
      <c r="C436" s="243" t="s">
        <v>87</v>
      </c>
      <c r="D436" s="244" t="s">
        <v>732</v>
      </c>
      <c r="E436" s="249" t="s">
        <v>698</v>
      </c>
      <c r="F436" s="244">
        <v>45985</v>
      </c>
    </row>
    <row r="437" spans="1:6" ht="14.25">
      <c r="A437" s="235" t="s">
        <v>1940</v>
      </c>
      <c r="B437" s="242" t="s">
        <v>2117</v>
      </c>
      <c r="C437" s="243" t="s">
        <v>87</v>
      </c>
      <c r="D437" s="244" t="s">
        <v>733</v>
      </c>
      <c r="E437" s="249" t="s">
        <v>704</v>
      </c>
      <c r="F437" s="244">
        <v>45959</v>
      </c>
    </row>
    <row r="438" spans="1:6" ht="14.25">
      <c r="A438" s="235" t="s">
        <v>1940</v>
      </c>
      <c r="B438" s="242" t="s">
        <v>2117</v>
      </c>
      <c r="C438" s="243" t="s">
        <v>14</v>
      </c>
      <c r="D438" s="244" t="s">
        <v>637</v>
      </c>
      <c r="E438" s="245" t="s">
        <v>601</v>
      </c>
      <c r="F438" s="246" t="s">
        <v>1038</v>
      </c>
    </row>
    <row r="439" spans="1:6" ht="14.25">
      <c r="A439" s="235" t="s">
        <v>1940</v>
      </c>
      <c r="B439" s="242" t="s">
        <v>2117</v>
      </c>
      <c r="C439" s="243" t="s">
        <v>87</v>
      </c>
      <c r="D439" s="244" t="s">
        <v>824</v>
      </c>
      <c r="E439" s="249" t="s">
        <v>781</v>
      </c>
      <c r="F439" s="244">
        <v>45987</v>
      </c>
    </row>
    <row r="440" spans="1:6" ht="14.25">
      <c r="A440" s="235" t="s">
        <v>1940</v>
      </c>
      <c r="B440" s="242" t="s">
        <v>2117</v>
      </c>
      <c r="C440" s="243" t="s">
        <v>14</v>
      </c>
      <c r="D440" s="244" t="s">
        <v>835</v>
      </c>
      <c r="E440" s="245" t="s">
        <v>796</v>
      </c>
      <c r="F440" s="246">
        <v>44760</v>
      </c>
    </row>
    <row r="441" spans="1:6" ht="14.25">
      <c r="A441" s="235" t="s">
        <v>1940</v>
      </c>
      <c r="B441" s="242" t="s">
        <v>2117</v>
      </c>
      <c r="C441" s="243" t="s">
        <v>14</v>
      </c>
      <c r="D441" s="244" t="s">
        <v>842</v>
      </c>
      <c r="E441" s="245" t="s">
        <v>803</v>
      </c>
      <c r="F441" s="246">
        <v>45994</v>
      </c>
    </row>
    <row r="442" spans="1:6" ht="14.25">
      <c r="A442" s="235" t="s">
        <v>1940</v>
      </c>
      <c r="B442" s="242" t="s">
        <v>2117</v>
      </c>
      <c r="C442" s="243" t="s">
        <v>14</v>
      </c>
      <c r="D442" s="244" t="s">
        <v>643</v>
      </c>
      <c r="E442" s="245" t="s">
        <v>584</v>
      </c>
      <c r="F442" s="246">
        <v>45896</v>
      </c>
    </row>
    <row r="443" spans="1:6" ht="14.25">
      <c r="A443" s="235" t="s">
        <v>1940</v>
      </c>
      <c r="B443" s="242" t="s">
        <v>2117</v>
      </c>
      <c r="C443" s="243" t="s">
        <v>14</v>
      </c>
      <c r="D443" s="244" t="s">
        <v>915</v>
      </c>
      <c r="E443" s="245" t="s">
        <v>886</v>
      </c>
      <c r="F443" s="246">
        <v>45901</v>
      </c>
    </row>
    <row r="444" spans="1:6" ht="14.25">
      <c r="A444" s="235" t="s">
        <v>1940</v>
      </c>
      <c r="B444" s="242" t="s">
        <v>2117</v>
      </c>
      <c r="C444" s="243" t="s">
        <v>14</v>
      </c>
      <c r="D444" s="244" t="s">
        <v>916</v>
      </c>
      <c r="E444" s="245" t="s">
        <v>887</v>
      </c>
      <c r="F444" s="246">
        <v>45896</v>
      </c>
    </row>
    <row r="445" spans="1:6" ht="14.25">
      <c r="A445" s="237" t="s">
        <v>1940</v>
      </c>
      <c r="B445" s="242" t="s">
        <v>2117</v>
      </c>
      <c r="C445" s="243" t="s">
        <v>14</v>
      </c>
      <c r="D445" s="245" t="s">
        <v>927</v>
      </c>
      <c r="E445" s="249" t="s">
        <v>906</v>
      </c>
      <c r="F445" s="244">
        <v>45987</v>
      </c>
    </row>
    <row r="446" spans="1:6" ht="14.25">
      <c r="A446" s="237" t="s">
        <v>1940</v>
      </c>
      <c r="B446" s="242" t="s">
        <v>2117</v>
      </c>
      <c r="C446" s="243" t="s">
        <v>14</v>
      </c>
      <c r="D446" s="244" t="s">
        <v>1185</v>
      </c>
      <c r="E446" s="249" t="s">
        <v>1186</v>
      </c>
      <c r="F446" s="246">
        <v>46127</v>
      </c>
    </row>
    <row r="447" spans="1:6" ht="14.25">
      <c r="A447" s="237" t="s">
        <v>1940</v>
      </c>
      <c r="B447" s="242" t="s">
        <v>2117</v>
      </c>
      <c r="C447" s="243" t="s">
        <v>14</v>
      </c>
      <c r="D447" s="244" t="s">
        <v>1189</v>
      </c>
      <c r="E447" s="249" t="s">
        <v>1190</v>
      </c>
      <c r="F447" s="246">
        <v>46127</v>
      </c>
    </row>
    <row r="448" spans="1:6" ht="14.25">
      <c r="A448" s="237" t="s">
        <v>1940</v>
      </c>
      <c r="B448" s="242" t="s">
        <v>2117</v>
      </c>
      <c r="C448" s="243" t="s">
        <v>14</v>
      </c>
      <c r="D448" s="245" t="s">
        <v>1197</v>
      </c>
      <c r="E448" s="249" t="s">
        <v>1198</v>
      </c>
      <c r="F448" s="244">
        <v>46127</v>
      </c>
    </row>
    <row r="449" spans="1:6" ht="14.25">
      <c r="A449" s="237" t="s">
        <v>1940</v>
      </c>
      <c r="B449" s="242" t="s">
        <v>2117</v>
      </c>
      <c r="C449" s="243" t="s">
        <v>14</v>
      </c>
      <c r="D449" s="245" t="s">
        <v>1199</v>
      </c>
      <c r="E449" s="249" t="s">
        <v>1200</v>
      </c>
      <c r="F449" s="244">
        <v>46127</v>
      </c>
    </row>
    <row r="450" spans="1:6" ht="14.25">
      <c r="A450" s="237" t="s">
        <v>1940</v>
      </c>
      <c r="B450" s="242" t="s">
        <v>2117</v>
      </c>
      <c r="C450" s="243" t="s">
        <v>14</v>
      </c>
      <c r="D450" s="244" t="s">
        <v>1363</v>
      </c>
      <c r="E450" s="245" t="s">
        <v>1364</v>
      </c>
      <c r="F450" s="246">
        <v>46155</v>
      </c>
    </row>
    <row r="451" spans="1:6" ht="14.25">
      <c r="A451" s="237" t="s">
        <v>1940</v>
      </c>
      <c r="B451" s="242" t="s">
        <v>2117</v>
      </c>
      <c r="C451" s="243" t="s">
        <v>14</v>
      </c>
      <c r="D451" s="245" t="s">
        <v>1365</v>
      </c>
      <c r="E451" s="249" t="s">
        <v>1366</v>
      </c>
      <c r="F451" s="244">
        <v>46155</v>
      </c>
    </row>
    <row r="452" spans="1:6" ht="14.25">
      <c r="A452" s="237" t="s">
        <v>1940</v>
      </c>
      <c r="B452" s="242" t="s">
        <v>2117</v>
      </c>
      <c r="C452" s="243" t="s">
        <v>14</v>
      </c>
      <c r="D452" s="244" t="s">
        <v>1369</v>
      </c>
      <c r="E452" s="245" t="s">
        <v>1370</v>
      </c>
      <c r="F452" s="246">
        <v>46155</v>
      </c>
    </row>
    <row r="453" spans="1:6" ht="14.25">
      <c r="A453" s="237" t="s">
        <v>1940</v>
      </c>
      <c r="B453" s="242" t="s">
        <v>2117</v>
      </c>
      <c r="C453" s="243" t="s">
        <v>14</v>
      </c>
      <c r="D453" s="244" t="s">
        <v>1371</v>
      </c>
      <c r="E453" s="245" t="s">
        <v>1372</v>
      </c>
      <c r="F453" s="246">
        <v>46155</v>
      </c>
    </row>
    <row r="454" spans="1:6" ht="14.25">
      <c r="A454" s="237" t="s">
        <v>1940</v>
      </c>
      <c r="B454" s="242" t="s">
        <v>2117</v>
      </c>
      <c r="C454" s="243" t="s">
        <v>14</v>
      </c>
      <c r="D454" s="244" t="s">
        <v>1480</v>
      </c>
      <c r="E454" s="245" t="s">
        <v>1481</v>
      </c>
      <c r="F454" s="246">
        <v>46188</v>
      </c>
    </row>
    <row r="455" spans="1:6" ht="14.25">
      <c r="A455" s="237" t="s">
        <v>1940</v>
      </c>
      <c r="B455" s="242" t="s">
        <v>2117</v>
      </c>
      <c r="C455" s="243" t="s">
        <v>14</v>
      </c>
      <c r="D455" s="244" t="s">
        <v>1100</v>
      </c>
      <c r="E455" s="245" t="s">
        <v>1101</v>
      </c>
      <c r="F455" s="246">
        <v>46111</v>
      </c>
    </row>
    <row r="456" spans="1:6" ht="14.25">
      <c r="A456" s="237" t="s">
        <v>1940</v>
      </c>
      <c r="B456" s="242" t="s">
        <v>2117</v>
      </c>
      <c r="C456" s="250" t="s">
        <v>14</v>
      </c>
      <c r="D456" s="251" t="s">
        <v>2021</v>
      </c>
      <c r="E456" s="252" t="s">
        <v>2022</v>
      </c>
      <c r="F456" s="253">
        <v>46253</v>
      </c>
    </row>
    <row r="457" spans="1:6" ht="14.25">
      <c r="A457" s="237" t="s">
        <v>1940</v>
      </c>
      <c r="B457" s="242" t="s">
        <v>2117</v>
      </c>
      <c r="C457" s="250" t="s">
        <v>14</v>
      </c>
      <c r="D457" s="251" t="s">
        <v>2025</v>
      </c>
      <c r="E457" s="252" t="s">
        <v>2026</v>
      </c>
      <c r="F457" s="253">
        <v>46225</v>
      </c>
    </row>
    <row r="458" spans="1:6" ht="14.25">
      <c r="A458" s="237" t="s">
        <v>1940</v>
      </c>
      <c r="B458" s="242" t="s">
        <v>2117</v>
      </c>
      <c r="C458" s="250" t="s">
        <v>14</v>
      </c>
      <c r="D458" s="251" t="s">
        <v>2027</v>
      </c>
      <c r="E458" s="252" t="s">
        <v>2028</v>
      </c>
      <c r="F458" s="253">
        <v>46225</v>
      </c>
    </row>
    <row r="459" spans="1:6" ht="14.25">
      <c r="A459" s="237" t="s">
        <v>1940</v>
      </c>
      <c r="B459" s="242" t="s">
        <v>2117</v>
      </c>
      <c r="C459" s="250" t="s">
        <v>14</v>
      </c>
      <c r="D459" s="251" t="s">
        <v>2035</v>
      </c>
      <c r="E459" s="252" t="s">
        <v>2036</v>
      </c>
      <c r="F459" s="253">
        <v>44524</v>
      </c>
    </row>
    <row r="460" spans="1:6" ht="14.25">
      <c r="A460" s="237" t="s">
        <v>1940</v>
      </c>
      <c r="B460" s="242" t="s">
        <v>2117</v>
      </c>
      <c r="C460" s="250" t="s">
        <v>14</v>
      </c>
      <c r="D460" s="251" t="s">
        <v>2037</v>
      </c>
      <c r="E460" s="252" t="s">
        <v>2038</v>
      </c>
      <c r="F460" s="253">
        <v>45483</v>
      </c>
    </row>
    <row r="461" spans="1:6" ht="14.25">
      <c r="A461" s="237" t="s">
        <v>1940</v>
      </c>
      <c r="B461" s="242" t="s">
        <v>2117</v>
      </c>
      <c r="C461" s="250" t="s">
        <v>14</v>
      </c>
      <c r="D461" s="251" t="s">
        <v>2039</v>
      </c>
      <c r="E461" s="252" t="s">
        <v>2040</v>
      </c>
      <c r="F461" s="253">
        <v>45476</v>
      </c>
    </row>
    <row r="462" spans="1:6" ht="14.25">
      <c r="A462" s="237" t="s">
        <v>1940</v>
      </c>
      <c r="B462" s="242" t="s">
        <v>2117</v>
      </c>
      <c r="C462" s="250" t="s">
        <v>14</v>
      </c>
      <c r="D462" s="251" t="s">
        <v>2041</v>
      </c>
      <c r="E462" s="252" t="s">
        <v>2042</v>
      </c>
      <c r="F462" s="253">
        <v>44118</v>
      </c>
    </row>
    <row r="463" spans="1:6" ht="14.25">
      <c r="A463" s="237" t="s">
        <v>1940</v>
      </c>
      <c r="B463" s="242" t="s">
        <v>2117</v>
      </c>
      <c r="C463" s="250" t="s">
        <v>14</v>
      </c>
      <c r="D463" s="251" t="s">
        <v>2043</v>
      </c>
      <c r="E463" s="252" t="s">
        <v>2044</v>
      </c>
      <c r="F463" s="253">
        <v>44118</v>
      </c>
    </row>
    <row r="464" spans="1:6" ht="14.25">
      <c r="A464" s="237" t="s">
        <v>1940</v>
      </c>
      <c r="B464" s="242" t="s">
        <v>2117</v>
      </c>
      <c r="C464" s="243" t="s">
        <v>14</v>
      </c>
      <c r="D464" s="245" t="s">
        <v>1296</v>
      </c>
      <c r="E464" s="249" t="s">
        <v>1747</v>
      </c>
      <c r="F464" s="244">
        <v>46208</v>
      </c>
    </row>
    <row r="465" spans="1:6" ht="14.25">
      <c r="A465" s="237" t="s">
        <v>1940</v>
      </c>
      <c r="B465" s="242" t="s">
        <v>2117</v>
      </c>
      <c r="C465" s="243" t="s">
        <v>14</v>
      </c>
      <c r="D465" s="245" t="s">
        <v>1748</v>
      </c>
      <c r="E465" s="249" t="s">
        <v>1749</v>
      </c>
      <c r="F465" s="244">
        <v>46208</v>
      </c>
    </row>
    <row r="466" spans="1:6" ht="14.25">
      <c r="A466" s="237" t="s">
        <v>1940</v>
      </c>
      <c r="B466" s="242" t="s">
        <v>2117</v>
      </c>
      <c r="C466" s="243" t="s">
        <v>14</v>
      </c>
      <c r="D466" s="244" t="s">
        <v>1752</v>
      </c>
      <c r="E466" s="245" t="s">
        <v>1753</v>
      </c>
      <c r="F466" s="246">
        <v>46208</v>
      </c>
    </row>
    <row r="467" spans="1:6" ht="14.25">
      <c r="A467" s="237" t="s">
        <v>1940</v>
      </c>
      <c r="B467" s="242" t="s">
        <v>2117</v>
      </c>
      <c r="C467" s="243" t="s">
        <v>14</v>
      </c>
      <c r="D467" s="244" t="s">
        <v>1754</v>
      </c>
      <c r="E467" s="245" t="s">
        <v>1755</v>
      </c>
      <c r="F467" s="246">
        <v>46197</v>
      </c>
    </row>
    <row r="468" spans="1:6" ht="14.25">
      <c r="A468" s="237" t="s">
        <v>1940</v>
      </c>
      <c r="B468" s="242" t="s">
        <v>2117</v>
      </c>
      <c r="C468" s="243" t="s">
        <v>14</v>
      </c>
      <c r="D468" s="244" t="s">
        <v>1756</v>
      </c>
      <c r="E468" s="245" t="s">
        <v>1757</v>
      </c>
      <c r="F468" s="246">
        <v>46208</v>
      </c>
    </row>
    <row r="469" spans="1:6" ht="14.25">
      <c r="A469" s="237" t="s">
        <v>1940</v>
      </c>
      <c r="B469" s="242" t="s">
        <v>2117</v>
      </c>
      <c r="C469" s="243" t="s">
        <v>14</v>
      </c>
      <c r="D469" s="244" t="s">
        <v>1758</v>
      </c>
      <c r="E469" s="245" t="s">
        <v>1759</v>
      </c>
      <c r="F469" s="246">
        <v>46197</v>
      </c>
    </row>
    <row r="470" spans="1:6" ht="14.25">
      <c r="A470" s="237" t="s">
        <v>1940</v>
      </c>
      <c r="B470" s="242" t="s">
        <v>2117</v>
      </c>
      <c r="C470" s="243" t="s">
        <v>14</v>
      </c>
      <c r="D470" s="245" t="s">
        <v>1760</v>
      </c>
      <c r="E470" s="249" t="s">
        <v>1761</v>
      </c>
      <c r="F470" s="244">
        <v>46208</v>
      </c>
    </row>
    <row r="471" spans="1:6" ht="14.25">
      <c r="A471" s="237" t="s">
        <v>1940</v>
      </c>
      <c r="B471" s="242" t="s">
        <v>2117</v>
      </c>
      <c r="C471" s="243" t="s">
        <v>14</v>
      </c>
      <c r="D471" s="245" t="s">
        <v>1762</v>
      </c>
      <c r="E471" s="249" t="s">
        <v>1763</v>
      </c>
      <c r="F471" s="244">
        <v>46208</v>
      </c>
    </row>
    <row r="472" spans="1:6" ht="14.25">
      <c r="A472" s="237" t="s">
        <v>1940</v>
      </c>
      <c r="B472" s="242" t="s">
        <v>2117</v>
      </c>
      <c r="C472" s="243" t="s">
        <v>87</v>
      </c>
      <c r="D472" s="244" t="s">
        <v>839</v>
      </c>
      <c r="E472" s="249" t="s">
        <v>800</v>
      </c>
      <c r="F472" s="244">
        <v>45469</v>
      </c>
    </row>
    <row r="473" spans="1:6" ht="14.25">
      <c r="A473" s="237" t="s">
        <v>1940</v>
      </c>
      <c r="B473" s="242" t="s">
        <v>2117</v>
      </c>
      <c r="C473" s="243" t="s">
        <v>146</v>
      </c>
      <c r="D473" s="244" t="s">
        <v>558</v>
      </c>
      <c r="E473" s="245" t="s">
        <v>533</v>
      </c>
      <c r="F473" s="246">
        <v>45868</v>
      </c>
    </row>
    <row r="474" spans="1:6" ht="14.25">
      <c r="A474" s="237" t="s">
        <v>1940</v>
      </c>
      <c r="B474" s="242" t="s">
        <v>2117</v>
      </c>
      <c r="C474" s="243" t="s">
        <v>129</v>
      </c>
      <c r="D474" s="244" t="s">
        <v>487</v>
      </c>
      <c r="E474" s="245" t="s">
        <v>455</v>
      </c>
      <c r="F474" s="246">
        <v>45847</v>
      </c>
    </row>
    <row r="475" spans="1:6" ht="14.25">
      <c r="A475" s="237" t="s">
        <v>1940</v>
      </c>
      <c r="B475" s="242" t="s">
        <v>2117</v>
      </c>
      <c r="C475" s="243" t="s">
        <v>129</v>
      </c>
      <c r="D475" s="244" t="s">
        <v>627</v>
      </c>
      <c r="E475" s="245" t="s">
        <v>592</v>
      </c>
      <c r="F475" s="246" t="s">
        <v>1038</v>
      </c>
    </row>
    <row r="476" spans="1:6" ht="14.25">
      <c r="A476" s="237" t="s">
        <v>1940</v>
      </c>
      <c r="B476" s="242" t="s">
        <v>2117</v>
      </c>
      <c r="C476" s="243" t="s">
        <v>129</v>
      </c>
      <c r="D476" s="244" t="s">
        <v>736</v>
      </c>
      <c r="E476" s="245" t="s">
        <v>700</v>
      </c>
      <c r="F476" s="246">
        <v>45940</v>
      </c>
    </row>
    <row r="477" spans="1:6" ht="14.25">
      <c r="A477" s="237" t="s">
        <v>1940</v>
      </c>
      <c r="B477" s="242" t="s">
        <v>2117</v>
      </c>
      <c r="C477" s="243" t="s">
        <v>129</v>
      </c>
      <c r="D477" s="244" t="s">
        <v>1802</v>
      </c>
      <c r="E477" s="245" t="s">
        <v>1803</v>
      </c>
      <c r="F477" s="246">
        <v>46197</v>
      </c>
    </row>
    <row r="478" spans="1:6" ht="14.25">
      <c r="A478" s="237" t="s">
        <v>1940</v>
      </c>
      <c r="B478" s="242" t="s">
        <v>2117</v>
      </c>
      <c r="C478" s="243" t="s">
        <v>129</v>
      </c>
      <c r="D478" s="244" t="s">
        <v>1216</v>
      </c>
      <c r="E478" s="245" t="s">
        <v>1217</v>
      </c>
      <c r="F478" s="246">
        <v>45994</v>
      </c>
    </row>
    <row r="479" spans="1:6" ht="14.25">
      <c r="A479" s="237" t="s">
        <v>1940</v>
      </c>
      <c r="B479" s="242" t="s">
        <v>2117</v>
      </c>
      <c r="C479" s="250" t="s">
        <v>146</v>
      </c>
      <c r="D479" s="251" t="s">
        <v>2055</v>
      </c>
      <c r="E479" s="252" t="s">
        <v>2056</v>
      </c>
      <c r="F479" s="253">
        <v>46225</v>
      </c>
    </row>
    <row r="480" spans="1:6" ht="14.25">
      <c r="A480" s="237" t="s">
        <v>1940</v>
      </c>
      <c r="B480" s="242" t="s">
        <v>2117</v>
      </c>
      <c r="C480" s="250" t="s">
        <v>146</v>
      </c>
      <c r="D480" s="251" t="s">
        <v>2061</v>
      </c>
      <c r="E480" s="252" t="s">
        <v>2062</v>
      </c>
      <c r="F480" s="253">
        <v>45236</v>
      </c>
    </row>
    <row r="481" spans="1:6" ht="14.25">
      <c r="A481" s="237" t="s">
        <v>1940</v>
      </c>
      <c r="B481" s="242" t="s">
        <v>2117</v>
      </c>
      <c r="C481" s="250" t="s">
        <v>146</v>
      </c>
      <c r="D481" s="251" t="s">
        <v>2065</v>
      </c>
      <c r="E481" s="252" t="s">
        <v>2066</v>
      </c>
      <c r="F481" s="253">
        <v>45455</v>
      </c>
    </row>
    <row r="482" spans="1:6" ht="28.5">
      <c r="A482" s="237" t="s">
        <v>2135</v>
      </c>
      <c r="B482" s="242" t="s">
        <v>2117</v>
      </c>
      <c r="C482" s="243" t="s">
        <v>14</v>
      </c>
      <c r="D482" s="244" t="s">
        <v>1750</v>
      </c>
      <c r="E482" s="245" t="s">
        <v>1751</v>
      </c>
      <c r="F482" s="246">
        <v>46197</v>
      </c>
    </row>
    <row r="483" spans="1:6" ht="28.5">
      <c r="A483" s="237" t="s">
        <v>2135</v>
      </c>
      <c r="B483" s="242" t="s">
        <v>2117</v>
      </c>
      <c r="C483" s="243" t="s">
        <v>14</v>
      </c>
      <c r="D483" s="244" t="s">
        <v>1319</v>
      </c>
      <c r="E483" s="245" t="s">
        <v>1320</v>
      </c>
      <c r="F483" s="246">
        <v>46134</v>
      </c>
    </row>
    <row r="484" spans="1:6" ht="28.5">
      <c r="A484" s="237" t="s">
        <v>2135</v>
      </c>
      <c r="B484" s="242" t="s">
        <v>2117</v>
      </c>
      <c r="C484" s="243" t="s">
        <v>14</v>
      </c>
      <c r="D484" s="245" t="s">
        <v>1321</v>
      </c>
      <c r="E484" s="249" t="s">
        <v>1322</v>
      </c>
      <c r="F484" s="244">
        <v>46134</v>
      </c>
    </row>
    <row r="485" spans="1:6" ht="14.25">
      <c r="A485" s="237" t="s">
        <v>1940</v>
      </c>
      <c r="B485" s="242" t="s">
        <v>2118</v>
      </c>
      <c r="C485" s="243" t="s">
        <v>81</v>
      </c>
      <c r="D485" s="244" t="s">
        <v>1786</v>
      </c>
      <c r="E485" s="245" t="s">
        <v>1787</v>
      </c>
      <c r="F485" s="246">
        <v>46206</v>
      </c>
    </row>
    <row r="486" spans="1:6" ht="14.25">
      <c r="A486" s="237" t="s">
        <v>1940</v>
      </c>
      <c r="B486" s="242" t="s">
        <v>2118</v>
      </c>
      <c r="C486" s="243" t="s">
        <v>14</v>
      </c>
      <c r="D486" s="244" t="s">
        <v>729</v>
      </c>
      <c r="E486" s="245" t="s">
        <v>695</v>
      </c>
      <c r="F486" s="246">
        <v>45966</v>
      </c>
    </row>
    <row r="487" spans="1:6" ht="14.25">
      <c r="A487" s="237" t="s">
        <v>1940</v>
      </c>
      <c r="B487" s="242" t="s">
        <v>2118</v>
      </c>
      <c r="C487" s="243" t="s">
        <v>14</v>
      </c>
      <c r="D487" s="244" t="s">
        <v>1187</v>
      </c>
      <c r="E487" s="245" t="s">
        <v>1188</v>
      </c>
      <c r="F487" s="246">
        <v>46127</v>
      </c>
    </row>
    <row r="488" spans="1:6" ht="14.25">
      <c r="A488" s="237" t="s">
        <v>1940</v>
      </c>
      <c r="B488" s="242" t="s">
        <v>2118</v>
      </c>
      <c r="C488" s="243" t="s">
        <v>87</v>
      </c>
      <c r="D488" s="244" t="s">
        <v>319</v>
      </c>
      <c r="E488" s="245" t="s">
        <v>305</v>
      </c>
      <c r="F488" s="246">
        <v>45607</v>
      </c>
    </row>
    <row r="489" spans="1:6" ht="14.25">
      <c r="A489" s="237" t="s">
        <v>1940</v>
      </c>
      <c r="B489" s="242" t="s">
        <v>2118</v>
      </c>
      <c r="C489" s="243" t="s">
        <v>14</v>
      </c>
      <c r="D489" s="244" t="s">
        <v>555</v>
      </c>
      <c r="E489" s="245" t="s">
        <v>530</v>
      </c>
      <c r="F489" s="246">
        <v>45882</v>
      </c>
    </row>
    <row r="490" spans="1:6" ht="14.25">
      <c r="A490" s="237" t="s">
        <v>1940</v>
      </c>
      <c r="B490" s="230" t="s">
        <v>2119</v>
      </c>
      <c r="C490" s="256" t="s">
        <v>81</v>
      </c>
      <c r="D490" s="257" t="s">
        <v>1482</v>
      </c>
      <c r="E490" s="259" t="s">
        <v>1483</v>
      </c>
      <c r="F490" s="260">
        <v>46176</v>
      </c>
    </row>
    <row r="491" spans="1:6" ht="14.25">
      <c r="A491" s="237" t="s">
        <v>1940</v>
      </c>
      <c r="B491" s="230" t="s">
        <v>2119</v>
      </c>
      <c r="C491" s="256" t="s">
        <v>81</v>
      </c>
      <c r="D491" s="257" t="s">
        <v>1882</v>
      </c>
      <c r="E491" s="259" t="s">
        <v>1883</v>
      </c>
      <c r="F491" s="260">
        <v>46208</v>
      </c>
    </row>
    <row r="492" spans="1:6" ht="14.25">
      <c r="A492" s="237" t="s">
        <v>1940</v>
      </c>
      <c r="B492" s="230" t="s">
        <v>2119</v>
      </c>
      <c r="C492" s="256" t="s">
        <v>13</v>
      </c>
      <c r="D492" s="257" t="s">
        <v>1884</v>
      </c>
      <c r="E492" s="259" t="s">
        <v>1885</v>
      </c>
      <c r="F492" s="260">
        <v>46208</v>
      </c>
    </row>
    <row r="493" spans="1:6" ht="14.25">
      <c r="A493" s="237" t="s">
        <v>1940</v>
      </c>
      <c r="B493" s="230" t="s">
        <v>2119</v>
      </c>
      <c r="C493" s="256" t="s">
        <v>13</v>
      </c>
      <c r="D493" s="257" t="s">
        <v>1886</v>
      </c>
      <c r="E493" s="259" t="s">
        <v>1887</v>
      </c>
      <c r="F493" s="260">
        <v>46215</v>
      </c>
    </row>
    <row r="494" spans="1:6" ht="14.25">
      <c r="A494" s="237" t="s">
        <v>1940</v>
      </c>
      <c r="B494" s="230" t="s">
        <v>2119</v>
      </c>
      <c r="C494" s="256" t="s">
        <v>81</v>
      </c>
      <c r="D494" s="257" t="s">
        <v>1788</v>
      </c>
      <c r="E494" s="259" t="s">
        <v>1789</v>
      </c>
      <c r="F494" s="260">
        <v>46197</v>
      </c>
    </row>
    <row r="495" spans="1:6" ht="14.25">
      <c r="A495" s="237" t="s">
        <v>1940</v>
      </c>
      <c r="B495" s="230" t="s">
        <v>2119</v>
      </c>
      <c r="C495" s="256" t="s">
        <v>154</v>
      </c>
      <c r="D495" s="257" t="s">
        <v>1477</v>
      </c>
      <c r="E495" s="259" t="s">
        <v>1478</v>
      </c>
      <c r="F495" s="260">
        <v>46183</v>
      </c>
    </row>
    <row r="496" spans="1:6" ht="14.25">
      <c r="A496" s="237" t="s">
        <v>1940</v>
      </c>
      <c r="B496" s="230" t="s">
        <v>2119</v>
      </c>
      <c r="C496" s="256" t="s">
        <v>14</v>
      </c>
      <c r="D496" s="257" t="s">
        <v>1341</v>
      </c>
      <c r="E496" s="259" t="s">
        <v>1342</v>
      </c>
      <c r="F496" s="260">
        <v>46134</v>
      </c>
    </row>
    <row r="497" spans="1:6" ht="14.25">
      <c r="A497" s="237" t="s">
        <v>1940</v>
      </c>
      <c r="B497" s="230" t="s">
        <v>2119</v>
      </c>
      <c r="C497" s="256" t="s">
        <v>14</v>
      </c>
      <c r="D497" s="257" t="s">
        <v>1343</v>
      </c>
      <c r="E497" s="259" t="s">
        <v>1344</v>
      </c>
      <c r="F497" s="260">
        <v>46139</v>
      </c>
    </row>
    <row r="498" spans="1:6" ht="14.25">
      <c r="A498" s="237" t="s">
        <v>1940</v>
      </c>
      <c r="B498" s="230" t="s">
        <v>2119</v>
      </c>
      <c r="C498" s="261" t="s">
        <v>14</v>
      </c>
      <c r="D498" s="262" t="s">
        <v>2047</v>
      </c>
      <c r="E498" s="263" t="s">
        <v>2048</v>
      </c>
      <c r="F498" s="264">
        <v>46232</v>
      </c>
    </row>
    <row r="499" spans="1:6" ht="14.25">
      <c r="A499" s="237" t="s">
        <v>1940</v>
      </c>
      <c r="B499" s="230" t="s">
        <v>2119</v>
      </c>
      <c r="C499" s="256" t="s">
        <v>154</v>
      </c>
      <c r="D499" s="257" t="s">
        <v>1157</v>
      </c>
      <c r="E499" s="259" t="s">
        <v>1158</v>
      </c>
      <c r="F499" s="260">
        <v>46120</v>
      </c>
    </row>
    <row r="500" spans="1:6" ht="14.25">
      <c r="A500" s="237" t="s">
        <v>1567</v>
      </c>
      <c r="B500" s="242" t="s">
        <v>2110</v>
      </c>
      <c r="C500" s="243" t="s">
        <v>13</v>
      </c>
      <c r="D500" s="244" t="s">
        <v>203</v>
      </c>
      <c r="E500" s="245" t="s">
        <v>254</v>
      </c>
      <c r="F500" s="246">
        <v>45462</v>
      </c>
    </row>
    <row r="501" spans="1:6" ht="14.25">
      <c r="A501" s="237" t="s">
        <v>2131</v>
      </c>
      <c r="B501" s="242" t="s">
        <v>2110</v>
      </c>
      <c r="C501" s="243" t="s">
        <v>14</v>
      </c>
      <c r="D501" s="244" t="s">
        <v>105</v>
      </c>
      <c r="E501" s="249" t="s">
        <v>101</v>
      </c>
      <c r="F501" s="244">
        <v>45042</v>
      </c>
    </row>
    <row r="502" spans="1:6" ht="14.25">
      <c r="A502" s="237" t="s">
        <v>2131</v>
      </c>
      <c r="B502" s="242" t="s">
        <v>2110</v>
      </c>
      <c r="C502" s="243" t="s">
        <v>14</v>
      </c>
      <c r="D502" s="244" t="s">
        <v>1488</v>
      </c>
      <c r="E502" s="249" t="s">
        <v>1489</v>
      </c>
      <c r="F502" s="244">
        <v>46176</v>
      </c>
    </row>
    <row r="503" spans="1:6" ht="14.25">
      <c r="A503" s="237" t="s">
        <v>2131</v>
      </c>
      <c r="B503" s="242" t="s">
        <v>2110</v>
      </c>
      <c r="C503" s="243" t="s">
        <v>14</v>
      </c>
      <c r="D503" s="244" t="s">
        <v>1492</v>
      </c>
      <c r="E503" s="245" t="s">
        <v>1493</v>
      </c>
      <c r="F503" s="246">
        <v>46183</v>
      </c>
    </row>
    <row r="504" spans="1:6" ht="14.25">
      <c r="A504" s="237" t="s">
        <v>2131</v>
      </c>
      <c r="B504" s="242" t="s">
        <v>2110</v>
      </c>
      <c r="C504" s="243" t="s">
        <v>14</v>
      </c>
      <c r="D504" s="244" t="s">
        <v>1486</v>
      </c>
      <c r="E504" s="245" t="s">
        <v>1487</v>
      </c>
      <c r="F504" s="246">
        <v>46174</v>
      </c>
    </row>
    <row r="505" spans="1:6" ht="14.25">
      <c r="A505" s="237" t="s">
        <v>2131</v>
      </c>
      <c r="B505" s="242" t="s">
        <v>2110</v>
      </c>
      <c r="C505" s="243" t="s">
        <v>14</v>
      </c>
      <c r="D505" s="244" t="s">
        <v>1490</v>
      </c>
      <c r="E505" s="245" t="s">
        <v>1491</v>
      </c>
      <c r="F505" s="246">
        <v>46176</v>
      </c>
    </row>
    <row r="506" spans="1:6" ht="14.25">
      <c r="A506" s="237" t="s">
        <v>2131</v>
      </c>
      <c r="B506" s="242" t="s">
        <v>2110</v>
      </c>
      <c r="C506" s="243" t="s">
        <v>146</v>
      </c>
      <c r="D506" s="244" t="s">
        <v>467</v>
      </c>
      <c r="E506" s="245" t="s">
        <v>439</v>
      </c>
      <c r="F506" s="246">
        <v>45833</v>
      </c>
    </row>
    <row r="507" spans="1:6" ht="14.25">
      <c r="A507" s="237" t="s">
        <v>2131</v>
      </c>
      <c r="B507" s="242" t="s">
        <v>2110</v>
      </c>
      <c r="C507" s="243" t="s">
        <v>146</v>
      </c>
      <c r="D507" s="244" t="s">
        <v>938</v>
      </c>
      <c r="E507" s="245" t="s">
        <v>875</v>
      </c>
      <c r="F507" s="246">
        <v>46029</v>
      </c>
    </row>
    <row r="508" spans="1:6" ht="14.25">
      <c r="A508" s="237" t="s">
        <v>2131</v>
      </c>
      <c r="B508" s="242" t="s">
        <v>2110</v>
      </c>
      <c r="C508" s="243" t="s">
        <v>1092</v>
      </c>
      <c r="D508" s="244" t="s">
        <v>975</v>
      </c>
      <c r="E508" s="245" t="s">
        <v>955</v>
      </c>
      <c r="F508" s="246">
        <v>46027</v>
      </c>
    </row>
    <row r="509" spans="1:6" ht="14.25">
      <c r="A509" s="237" t="s">
        <v>2131</v>
      </c>
      <c r="B509" s="242" t="s">
        <v>2110</v>
      </c>
      <c r="C509" s="243" t="s">
        <v>1092</v>
      </c>
      <c r="D509" s="244" t="s">
        <v>976</v>
      </c>
      <c r="E509" s="249" t="s">
        <v>956</v>
      </c>
      <c r="F509" s="244">
        <v>46027</v>
      </c>
    </row>
    <row r="510" spans="1:6" ht="14.25">
      <c r="A510" s="237" t="s">
        <v>2131</v>
      </c>
      <c r="B510" s="242" t="s">
        <v>2110</v>
      </c>
      <c r="C510" s="243" t="s">
        <v>1092</v>
      </c>
      <c r="D510" s="244" t="s">
        <v>930</v>
      </c>
      <c r="E510" s="245" t="s">
        <v>869</v>
      </c>
      <c r="F510" s="246">
        <v>46043</v>
      </c>
    </row>
    <row r="511" spans="1:6" ht="14.25">
      <c r="A511" s="237" t="s">
        <v>2131</v>
      </c>
      <c r="B511" s="242" t="s">
        <v>2110</v>
      </c>
      <c r="C511" s="243" t="s">
        <v>1092</v>
      </c>
      <c r="D511" s="244" t="s">
        <v>1236</v>
      </c>
      <c r="E511" s="249" t="s">
        <v>1237</v>
      </c>
      <c r="F511" s="244">
        <v>46106</v>
      </c>
    </row>
    <row r="512" spans="1:6" ht="14.25">
      <c r="A512" s="237" t="s">
        <v>2131</v>
      </c>
      <c r="B512" s="242" t="s">
        <v>2110</v>
      </c>
      <c r="C512" s="243" t="s">
        <v>1092</v>
      </c>
      <c r="D512" s="244" t="s">
        <v>919</v>
      </c>
      <c r="E512" s="245" t="s">
        <v>871</v>
      </c>
      <c r="F512" s="246">
        <v>46029</v>
      </c>
    </row>
    <row r="513" spans="1:6" ht="14.25">
      <c r="A513" s="237" t="s">
        <v>2131</v>
      </c>
      <c r="B513" s="242" t="s">
        <v>2110</v>
      </c>
      <c r="C513" s="243" t="s">
        <v>1092</v>
      </c>
      <c r="D513" s="244" t="s">
        <v>921</v>
      </c>
      <c r="E513" s="245" t="s">
        <v>873</v>
      </c>
      <c r="F513" s="246">
        <v>46029</v>
      </c>
    </row>
    <row r="514" spans="1:6" ht="14.25">
      <c r="A514" s="237" t="s">
        <v>2131</v>
      </c>
      <c r="B514" s="242" t="s">
        <v>2110</v>
      </c>
      <c r="C514" s="243" t="s">
        <v>1092</v>
      </c>
      <c r="D514" s="244" t="s">
        <v>922</v>
      </c>
      <c r="E514" s="245" t="s">
        <v>874</v>
      </c>
      <c r="F514" s="246">
        <v>46043</v>
      </c>
    </row>
    <row r="515" spans="1:6" ht="14.25">
      <c r="A515" s="237" t="s">
        <v>2131</v>
      </c>
      <c r="B515" s="242" t="s">
        <v>2110</v>
      </c>
      <c r="C515" s="250" t="s">
        <v>14</v>
      </c>
      <c r="D515" s="251" t="s">
        <v>1974</v>
      </c>
      <c r="E515" s="252" t="s">
        <v>1975</v>
      </c>
      <c r="F515" s="253">
        <v>46225</v>
      </c>
    </row>
    <row r="516" spans="1:6" ht="14.25">
      <c r="A516" s="239" t="s">
        <v>293</v>
      </c>
      <c r="B516" s="242" t="s">
        <v>2109</v>
      </c>
      <c r="C516" s="243" t="s">
        <v>14</v>
      </c>
      <c r="D516" s="244" t="s">
        <v>1768</v>
      </c>
      <c r="E516" s="245" t="s">
        <v>1769</v>
      </c>
      <c r="F516" s="246">
        <v>46215</v>
      </c>
    </row>
    <row r="517" spans="1:6" ht="14.25">
      <c r="A517" s="239" t="s">
        <v>293</v>
      </c>
      <c r="B517" s="242" t="s">
        <v>2109</v>
      </c>
      <c r="C517" s="243" t="s">
        <v>14</v>
      </c>
      <c r="D517" s="244" t="s">
        <v>1772</v>
      </c>
      <c r="E517" s="245" t="s">
        <v>1773</v>
      </c>
      <c r="F517" s="246">
        <v>46215</v>
      </c>
    </row>
    <row r="518" spans="1:6" ht="14.25">
      <c r="A518" s="239" t="s">
        <v>293</v>
      </c>
      <c r="B518" s="242" t="s">
        <v>2109</v>
      </c>
      <c r="C518" s="243" t="s">
        <v>14</v>
      </c>
      <c r="D518" s="244" t="s">
        <v>1776</v>
      </c>
      <c r="E518" s="245" t="s">
        <v>1777</v>
      </c>
      <c r="F518" s="246">
        <v>46215</v>
      </c>
    </row>
    <row r="519" spans="1:6" ht="14.25">
      <c r="A519" s="239" t="s">
        <v>293</v>
      </c>
      <c r="B519" s="242" t="s">
        <v>2109</v>
      </c>
      <c r="C519" s="243" t="s">
        <v>14</v>
      </c>
      <c r="D519" s="244" t="s">
        <v>1778</v>
      </c>
      <c r="E519" s="245" t="s">
        <v>1779</v>
      </c>
      <c r="F519" s="246">
        <v>46215</v>
      </c>
    </row>
    <row r="520" spans="1:6" ht="14.25">
      <c r="A520" s="239" t="s">
        <v>293</v>
      </c>
      <c r="B520" s="242" t="s">
        <v>2109</v>
      </c>
      <c r="C520" s="243" t="s">
        <v>14</v>
      </c>
      <c r="D520" s="245" t="s">
        <v>1782</v>
      </c>
      <c r="E520" s="249" t="s">
        <v>1783</v>
      </c>
      <c r="F520" s="244">
        <v>46215</v>
      </c>
    </row>
    <row r="521" spans="1:6" ht="14.25">
      <c r="A521" s="239" t="s">
        <v>293</v>
      </c>
      <c r="B521" s="242" t="s">
        <v>2109</v>
      </c>
      <c r="C521" s="243" t="s">
        <v>14</v>
      </c>
      <c r="D521" s="244" t="s">
        <v>1460</v>
      </c>
      <c r="E521" s="245" t="s">
        <v>1461</v>
      </c>
      <c r="F521" s="246">
        <v>46169</v>
      </c>
    </row>
    <row r="522" spans="1:6" ht="14.25">
      <c r="A522" s="239" t="s">
        <v>293</v>
      </c>
      <c r="B522" s="242" t="s">
        <v>2109</v>
      </c>
      <c r="C522" s="243" t="s">
        <v>14</v>
      </c>
      <c r="D522" s="244" t="s">
        <v>1619</v>
      </c>
      <c r="E522" s="245" t="s">
        <v>1620</v>
      </c>
      <c r="F522" s="246">
        <v>46215</v>
      </c>
    </row>
    <row r="523" spans="1:6" ht="14.25">
      <c r="A523" s="239" t="s">
        <v>293</v>
      </c>
      <c r="B523" s="242" t="s">
        <v>2109</v>
      </c>
      <c r="C523" s="243" t="s">
        <v>129</v>
      </c>
      <c r="D523" s="244" t="s">
        <v>1234</v>
      </c>
      <c r="E523" s="245" t="s">
        <v>1235</v>
      </c>
      <c r="F523" s="246">
        <v>46127</v>
      </c>
    </row>
    <row r="524" spans="1:6" ht="14.25">
      <c r="A524" s="237" t="s">
        <v>1030</v>
      </c>
      <c r="B524" s="242" t="s">
        <v>2109</v>
      </c>
      <c r="C524" s="243" t="s">
        <v>13</v>
      </c>
      <c r="D524" s="244" t="s">
        <v>245</v>
      </c>
      <c r="E524" s="245" t="s">
        <v>233</v>
      </c>
      <c r="F524" s="244">
        <v>44752</v>
      </c>
    </row>
    <row r="525" spans="1:6" ht="14.25">
      <c r="A525" s="237" t="s">
        <v>294</v>
      </c>
      <c r="B525" s="242" t="s">
        <v>2109</v>
      </c>
      <c r="C525" s="243" t="s">
        <v>13</v>
      </c>
      <c r="D525" s="244" t="s">
        <v>204</v>
      </c>
      <c r="E525" s="245" t="s">
        <v>205</v>
      </c>
      <c r="F525" s="246">
        <v>43677</v>
      </c>
    </row>
    <row r="526" spans="1:6" ht="14.25">
      <c r="A526" s="237" t="s">
        <v>294</v>
      </c>
      <c r="B526" s="242" t="s">
        <v>2109</v>
      </c>
      <c r="C526" s="243" t="s">
        <v>13</v>
      </c>
      <c r="D526" s="244" t="s">
        <v>368</v>
      </c>
      <c r="E526" s="245" t="s">
        <v>361</v>
      </c>
      <c r="F526" s="246">
        <v>43977</v>
      </c>
    </row>
    <row r="527" spans="1:6" ht="14.25">
      <c r="A527" s="237" t="s">
        <v>294</v>
      </c>
      <c r="B527" s="242" t="s">
        <v>2109</v>
      </c>
      <c r="C527" s="243" t="s">
        <v>13</v>
      </c>
      <c r="D527" s="244" t="s">
        <v>392</v>
      </c>
      <c r="E527" s="245" t="s">
        <v>383</v>
      </c>
      <c r="F527" s="246">
        <v>44389</v>
      </c>
    </row>
    <row r="528" spans="1:6" ht="14.25">
      <c r="A528" s="237" t="s">
        <v>294</v>
      </c>
      <c r="B528" s="242" t="s">
        <v>2109</v>
      </c>
      <c r="C528" s="243" t="s">
        <v>13</v>
      </c>
      <c r="D528" s="244" t="s">
        <v>468</v>
      </c>
      <c r="E528" s="245" t="s">
        <v>434</v>
      </c>
      <c r="F528" s="246">
        <v>45847</v>
      </c>
    </row>
    <row r="529" spans="1:6" ht="14.25">
      <c r="A529" s="237" t="s">
        <v>294</v>
      </c>
      <c r="B529" s="242" t="s">
        <v>2109</v>
      </c>
      <c r="C529" s="243" t="s">
        <v>13</v>
      </c>
      <c r="D529" s="244" t="s">
        <v>1500</v>
      </c>
      <c r="E529" s="245" t="s">
        <v>1501</v>
      </c>
      <c r="F529" s="246">
        <v>46169</v>
      </c>
    </row>
    <row r="530" spans="1:6" ht="14.25">
      <c r="A530" s="237" t="s">
        <v>294</v>
      </c>
      <c r="B530" s="242" t="s">
        <v>2109</v>
      </c>
      <c r="C530" s="243" t="s">
        <v>154</v>
      </c>
      <c r="D530" s="243" t="s">
        <v>153</v>
      </c>
      <c r="E530" s="249" t="s">
        <v>43</v>
      </c>
      <c r="F530" s="244">
        <v>43817</v>
      </c>
    </row>
    <row r="531" spans="1:6" ht="14.25">
      <c r="A531" s="237" t="s">
        <v>294</v>
      </c>
      <c r="B531" s="242" t="s">
        <v>2109</v>
      </c>
      <c r="C531" s="243" t="s">
        <v>131</v>
      </c>
      <c r="D531" s="244" t="s">
        <v>134</v>
      </c>
      <c r="E531" s="245" t="s">
        <v>61</v>
      </c>
      <c r="F531" s="246">
        <v>44734</v>
      </c>
    </row>
    <row r="532" spans="1:6" ht="14.25">
      <c r="A532" s="237" t="s">
        <v>294</v>
      </c>
      <c r="B532" s="242" t="s">
        <v>2109</v>
      </c>
      <c r="C532" s="243" t="s">
        <v>131</v>
      </c>
      <c r="D532" s="244" t="s">
        <v>137</v>
      </c>
      <c r="E532" s="245" t="s">
        <v>69</v>
      </c>
      <c r="F532" s="246">
        <v>44755</v>
      </c>
    </row>
    <row r="533" spans="1:6" ht="14.25">
      <c r="A533" s="237" t="s">
        <v>294</v>
      </c>
      <c r="B533" s="242" t="s">
        <v>2109</v>
      </c>
      <c r="C533" s="243" t="s">
        <v>131</v>
      </c>
      <c r="D533" s="244" t="s">
        <v>139</v>
      </c>
      <c r="E533" s="249" t="s">
        <v>100</v>
      </c>
      <c r="F533" s="244">
        <v>45056</v>
      </c>
    </row>
    <row r="534" spans="1:6" ht="14.25">
      <c r="A534" s="237" t="s">
        <v>294</v>
      </c>
      <c r="B534" s="242" t="s">
        <v>2109</v>
      </c>
      <c r="C534" s="243" t="s">
        <v>131</v>
      </c>
      <c r="D534" s="244" t="s">
        <v>210</v>
      </c>
      <c r="E534" s="249" t="s">
        <v>211</v>
      </c>
      <c r="F534" s="246">
        <v>44755</v>
      </c>
    </row>
    <row r="535" spans="1:6" ht="14.25">
      <c r="A535" s="237" t="s">
        <v>294</v>
      </c>
      <c r="B535" s="242" t="s">
        <v>2109</v>
      </c>
      <c r="C535" s="243" t="s">
        <v>154</v>
      </c>
      <c r="D535" s="244" t="s">
        <v>148</v>
      </c>
      <c r="E535" s="245" t="s">
        <v>55</v>
      </c>
      <c r="F535" s="246">
        <v>44454</v>
      </c>
    </row>
    <row r="536" spans="1:6" ht="14.25">
      <c r="A536" s="237" t="s">
        <v>294</v>
      </c>
      <c r="B536" s="242" t="s">
        <v>2109</v>
      </c>
      <c r="C536" s="243" t="s">
        <v>14</v>
      </c>
      <c r="D536" s="244" t="s">
        <v>138</v>
      </c>
      <c r="E536" s="245" t="s">
        <v>77</v>
      </c>
      <c r="F536" s="246">
        <v>44774</v>
      </c>
    </row>
    <row r="537" spans="1:6" ht="14.25">
      <c r="A537" s="237" t="s">
        <v>294</v>
      </c>
      <c r="B537" s="242" t="s">
        <v>2109</v>
      </c>
      <c r="C537" s="243" t="s">
        <v>14</v>
      </c>
      <c r="D537" s="244" t="s">
        <v>140</v>
      </c>
      <c r="E537" s="245" t="s">
        <v>65</v>
      </c>
      <c r="F537" s="246">
        <v>44734</v>
      </c>
    </row>
    <row r="538" spans="1:6" ht="14.25">
      <c r="A538" s="237" t="s">
        <v>294</v>
      </c>
      <c r="B538" s="242" t="s">
        <v>2109</v>
      </c>
      <c r="C538" s="243" t="s">
        <v>14</v>
      </c>
      <c r="D538" s="244" t="s">
        <v>141</v>
      </c>
      <c r="E538" s="245" t="s">
        <v>59</v>
      </c>
      <c r="F538" s="246">
        <v>44734</v>
      </c>
    </row>
    <row r="539" spans="1:6" ht="14.25">
      <c r="A539" s="237" t="s">
        <v>294</v>
      </c>
      <c r="B539" s="242" t="s">
        <v>2109</v>
      </c>
      <c r="C539" s="243" t="s">
        <v>14</v>
      </c>
      <c r="D539" s="244" t="s">
        <v>144</v>
      </c>
      <c r="E539" s="245" t="s">
        <v>62</v>
      </c>
      <c r="F539" s="246">
        <v>44734</v>
      </c>
    </row>
    <row r="540" spans="1:6" ht="14.25">
      <c r="A540" s="237" t="s">
        <v>294</v>
      </c>
      <c r="B540" s="242" t="s">
        <v>2109</v>
      </c>
      <c r="C540" s="243" t="s">
        <v>14</v>
      </c>
      <c r="D540" s="244" t="s">
        <v>187</v>
      </c>
      <c r="E540" s="249" t="s">
        <v>183</v>
      </c>
      <c r="F540" s="244">
        <v>44774</v>
      </c>
    </row>
    <row r="541" spans="1:6" ht="14.25">
      <c r="A541" s="237" t="s">
        <v>294</v>
      </c>
      <c r="B541" s="242" t="s">
        <v>2109</v>
      </c>
      <c r="C541" s="243" t="s">
        <v>14</v>
      </c>
      <c r="D541" s="244" t="s">
        <v>188</v>
      </c>
      <c r="E541" s="249" t="s">
        <v>184</v>
      </c>
      <c r="F541" s="244">
        <v>44774</v>
      </c>
    </row>
    <row r="542" spans="1:6" ht="14.25">
      <c r="A542" s="237" t="s">
        <v>294</v>
      </c>
      <c r="B542" s="242" t="s">
        <v>2109</v>
      </c>
      <c r="C542" s="243" t="s">
        <v>14</v>
      </c>
      <c r="D542" s="244" t="s">
        <v>115</v>
      </c>
      <c r="E542" s="249" t="s">
        <v>113</v>
      </c>
      <c r="F542" s="244">
        <v>45194</v>
      </c>
    </row>
    <row r="543" spans="1:6" ht="14.25">
      <c r="A543" s="237" t="s">
        <v>294</v>
      </c>
      <c r="B543" s="242" t="s">
        <v>2109</v>
      </c>
      <c r="C543" s="243" t="s">
        <v>14</v>
      </c>
      <c r="D543" s="244" t="s">
        <v>117</v>
      </c>
      <c r="E543" s="249" t="s">
        <v>114</v>
      </c>
      <c r="F543" s="244">
        <v>45194</v>
      </c>
    </row>
    <row r="544" spans="1:6" ht="14.25">
      <c r="A544" s="237" t="s">
        <v>294</v>
      </c>
      <c r="B544" s="242" t="s">
        <v>2109</v>
      </c>
      <c r="C544" s="243" t="s">
        <v>87</v>
      </c>
      <c r="D544" s="244" t="s">
        <v>195</v>
      </c>
      <c r="E544" s="245" t="s">
        <v>253</v>
      </c>
      <c r="F544" s="246">
        <v>44734</v>
      </c>
    </row>
    <row r="545" spans="1:6" ht="14.25">
      <c r="A545" s="237" t="s">
        <v>294</v>
      </c>
      <c r="B545" s="242" t="s">
        <v>2109</v>
      </c>
      <c r="C545" s="243" t="s">
        <v>14</v>
      </c>
      <c r="D545" s="244" t="s">
        <v>97</v>
      </c>
      <c r="E545" s="249" t="s">
        <v>96</v>
      </c>
      <c r="F545" s="246">
        <v>44998</v>
      </c>
    </row>
    <row r="546" spans="1:6" ht="14.25">
      <c r="A546" s="237" t="s">
        <v>294</v>
      </c>
      <c r="B546" s="242" t="s">
        <v>2109</v>
      </c>
      <c r="C546" s="243" t="s">
        <v>14</v>
      </c>
      <c r="D546" s="244" t="s">
        <v>193</v>
      </c>
      <c r="E546" s="249" t="s">
        <v>123</v>
      </c>
      <c r="F546" s="244">
        <v>45231</v>
      </c>
    </row>
    <row r="547" spans="1:6" ht="14.25">
      <c r="A547" s="237" t="s">
        <v>294</v>
      </c>
      <c r="B547" s="242" t="s">
        <v>2109</v>
      </c>
      <c r="C547" s="243" t="s">
        <v>14</v>
      </c>
      <c r="D547" s="244" t="s">
        <v>206</v>
      </c>
      <c r="E547" s="249" t="s">
        <v>207</v>
      </c>
      <c r="F547" s="246">
        <v>45469</v>
      </c>
    </row>
    <row r="548" spans="1:6" ht="14.25">
      <c r="A548" s="237" t="s">
        <v>294</v>
      </c>
      <c r="B548" s="242" t="s">
        <v>2109</v>
      </c>
      <c r="C548" s="243" t="s">
        <v>14</v>
      </c>
      <c r="D548" s="244" t="s">
        <v>208</v>
      </c>
      <c r="E548" s="249" t="s">
        <v>209</v>
      </c>
      <c r="F548" s="246">
        <v>45194</v>
      </c>
    </row>
    <row r="549" spans="1:6" ht="14.25">
      <c r="A549" s="237" t="s">
        <v>294</v>
      </c>
      <c r="B549" s="242" t="s">
        <v>2109</v>
      </c>
      <c r="C549" s="243" t="s">
        <v>14</v>
      </c>
      <c r="D549" s="244" t="s">
        <v>296</v>
      </c>
      <c r="E549" s="249" t="s">
        <v>289</v>
      </c>
      <c r="F549" s="246">
        <v>45574</v>
      </c>
    </row>
    <row r="550" spans="1:6" ht="14.25">
      <c r="A550" s="237" t="s">
        <v>294</v>
      </c>
      <c r="B550" s="242" t="s">
        <v>2109</v>
      </c>
      <c r="C550" s="243" t="s">
        <v>14</v>
      </c>
      <c r="D550" s="244" t="s">
        <v>323</v>
      </c>
      <c r="E550" s="249" t="s">
        <v>308</v>
      </c>
      <c r="F550" s="246">
        <v>45602</v>
      </c>
    </row>
    <row r="551" spans="1:6" ht="14.25">
      <c r="A551" s="237" t="s">
        <v>294</v>
      </c>
      <c r="B551" s="242" t="s">
        <v>2109</v>
      </c>
      <c r="C551" s="243" t="s">
        <v>14</v>
      </c>
      <c r="D551" s="244" t="s">
        <v>324</v>
      </c>
      <c r="E551" s="249" t="s">
        <v>309</v>
      </c>
      <c r="F551" s="246">
        <v>45602</v>
      </c>
    </row>
    <row r="552" spans="1:6" ht="14.25">
      <c r="A552" s="237" t="s">
        <v>294</v>
      </c>
      <c r="B552" s="242" t="s">
        <v>2109</v>
      </c>
      <c r="C552" s="243" t="s">
        <v>14</v>
      </c>
      <c r="D552" s="244" t="s">
        <v>325</v>
      </c>
      <c r="E552" s="249" t="s">
        <v>310</v>
      </c>
      <c r="F552" s="246">
        <v>45623</v>
      </c>
    </row>
    <row r="553" spans="1:6" ht="14.25">
      <c r="A553" s="237" t="s">
        <v>294</v>
      </c>
      <c r="B553" s="242" t="s">
        <v>2109</v>
      </c>
      <c r="C553" s="243" t="s">
        <v>14</v>
      </c>
      <c r="D553" s="244" t="s">
        <v>326</v>
      </c>
      <c r="E553" s="249" t="s">
        <v>312</v>
      </c>
      <c r="F553" s="246">
        <v>45607</v>
      </c>
    </row>
    <row r="554" spans="1:6" ht="14.25">
      <c r="A554" s="237" t="s">
        <v>294</v>
      </c>
      <c r="B554" s="242" t="s">
        <v>2109</v>
      </c>
      <c r="C554" s="243" t="s">
        <v>14</v>
      </c>
      <c r="D554" s="244" t="s">
        <v>327</v>
      </c>
      <c r="E554" s="249" t="s">
        <v>313</v>
      </c>
      <c r="F554" s="246">
        <v>45607</v>
      </c>
    </row>
    <row r="555" spans="1:6" ht="14.25">
      <c r="A555" s="237" t="s">
        <v>294</v>
      </c>
      <c r="B555" s="242" t="s">
        <v>2109</v>
      </c>
      <c r="C555" s="243" t="s">
        <v>14</v>
      </c>
      <c r="D555" s="244" t="s">
        <v>352</v>
      </c>
      <c r="E555" s="249" t="s">
        <v>339</v>
      </c>
      <c r="F555" s="246">
        <v>45628</v>
      </c>
    </row>
    <row r="556" spans="1:6" ht="14.25">
      <c r="A556" s="237" t="s">
        <v>294</v>
      </c>
      <c r="B556" s="242" t="s">
        <v>2109</v>
      </c>
      <c r="C556" s="243" t="s">
        <v>14</v>
      </c>
      <c r="D556" s="244" t="s">
        <v>358</v>
      </c>
      <c r="E556" s="249" t="s">
        <v>353</v>
      </c>
      <c r="F556" s="246">
        <v>45649</v>
      </c>
    </row>
    <row r="557" spans="1:6" ht="14.25">
      <c r="A557" s="237" t="s">
        <v>294</v>
      </c>
      <c r="B557" s="242" t="s">
        <v>2109</v>
      </c>
      <c r="C557" s="243" t="s">
        <v>14</v>
      </c>
      <c r="D557" s="244" t="s">
        <v>280</v>
      </c>
      <c r="E557" s="245" t="s">
        <v>271</v>
      </c>
      <c r="F557" s="246">
        <v>45546</v>
      </c>
    </row>
    <row r="558" spans="1:6" ht="14.25">
      <c r="A558" s="237" t="s">
        <v>294</v>
      </c>
      <c r="B558" s="242" t="s">
        <v>2109</v>
      </c>
      <c r="C558" s="243" t="s">
        <v>14</v>
      </c>
      <c r="D558" s="244" t="s">
        <v>370</v>
      </c>
      <c r="E558" s="249" t="s">
        <v>363</v>
      </c>
      <c r="F558" s="246">
        <v>45700</v>
      </c>
    </row>
    <row r="559" spans="1:6" ht="14.25">
      <c r="A559" s="237" t="s">
        <v>294</v>
      </c>
      <c r="B559" s="242" t="s">
        <v>2109</v>
      </c>
      <c r="C559" s="243" t="s">
        <v>14</v>
      </c>
      <c r="D559" s="244" t="s">
        <v>371</v>
      </c>
      <c r="E559" s="249" t="s">
        <v>365</v>
      </c>
      <c r="F559" s="246">
        <v>45700</v>
      </c>
    </row>
    <row r="560" spans="1:6" ht="14.25">
      <c r="A560" s="237" t="s">
        <v>294</v>
      </c>
      <c r="B560" s="242" t="s">
        <v>2109</v>
      </c>
      <c r="C560" s="243" t="s">
        <v>14</v>
      </c>
      <c r="D560" s="244" t="s">
        <v>372</v>
      </c>
      <c r="E560" s="249" t="s">
        <v>366</v>
      </c>
      <c r="F560" s="246">
        <v>45700</v>
      </c>
    </row>
    <row r="561" spans="1:6" ht="14.25">
      <c r="A561" s="237" t="s">
        <v>294</v>
      </c>
      <c r="B561" s="242" t="s">
        <v>2109</v>
      </c>
      <c r="C561" s="243" t="s">
        <v>14</v>
      </c>
      <c r="D561" s="244" t="s">
        <v>373</v>
      </c>
      <c r="E561" s="249" t="s">
        <v>367</v>
      </c>
      <c r="F561" s="246">
        <v>45700</v>
      </c>
    </row>
    <row r="562" spans="1:6" ht="14.25">
      <c r="A562" s="237" t="s">
        <v>294</v>
      </c>
      <c r="B562" s="242" t="s">
        <v>2109</v>
      </c>
      <c r="C562" s="243" t="s">
        <v>14</v>
      </c>
      <c r="D562" s="244" t="s">
        <v>397</v>
      </c>
      <c r="E562" s="249" t="s">
        <v>384</v>
      </c>
      <c r="F562" s="246">
        <v>45770</v>
      </c>
    </row>
    <row r="563" spans="1:6" ht="14.25">
      <c r="A563" s="237" t="s">
        <v>294</v>
      </c>
      <c r="B563" s="242" t="s">
        <v>2109</v>
      </c>
      <c r="C563" s="243" t="s">
        <v>14</v>
      </c>
      <c r="D563" s="244" t="s">
        <v>277</v>
      </c>
      <c r="E563" s="249" t="s">
        <v>273</v>
      </c>
      <c r="F563" s="244">
        <v>44389</v>
      </c>
    </row>
    <row r="564" spans="1:6" ht="14.25">
      <c r="A564" s="237" t="s">
        <v>294</v>
      </c>
      <c r="B564" s="242" t="s">
        <v>2109</v>
      </c>
      <c r="C564" s="243" t="s">
        <v>14</v>
      </c>
      <c r="D564" s="244" t="s">
        <v>191</v>
      </c>
      <c r="E564" s="249" t="s">
        <v>95</v>
      </c>
      <c r="F564" s="246">
        <v>44753</v>
      </c>
    </row>
    <row r="565" spans="1:6" ht="14.25">
      <c r="A565" s="237" t="s">
        <v>294</v>
      </c>
      <c r="B565" s="242" t="s">
        <v>2109</v>
      </c>
      <c r="C565" s="243" t="s">
        <v>14</v>
      </c>
      <c r="D565" s="244" t="s">
        <v>406</v>
      </c>
      <c r="E565" s="245" t="s">
        <v>401</v>
      </c>
      <c r="F565" s="246">
        <v>45791</v>
      </c>
    </row>
    <row r="566" spans="1:6" ht="14.25">
      <c r="A566" s="237" t="s">
        <v>294</v>
      </c>
      <c r="B566" s="242" t="s">
        <v>2109</v>
      </c>
      <c r="C566" s="243" t="s">
        <v>14</v>
      </c>
      <c r="D566" s="244" t="s">
        <v>425</v>
      </c>
      <c r="E566" s="245" t="s">
        <v>418</v>
      </c>
      <c r="F566" s="246">
        <v>45819</v>
      </c>
    </row>
    <row r="567" spans="1:6" ht="14.25">
      <c r="A567" s="237" t="s">
        <v>294</v>
      </c>
      <c r="B567" s="242" t="s">
        <v>2109</v>
      </c>
      <c r="C567" s="243" t="s">
        <v>14</v>
      </c>
      <c r="D567" s="244" t="s">
        <v>426</v>
      </c>
      <c r="E567" s="245" t="s">
        <v>419</v>
      </c>
      <c r="F567" s="246">
        <v>45826</v>
      </c>
    </row>
    <row r="568" spans="1:6" ht="14.25">
      <c r="A568" s="237" t="s">
        <v>294</v>
      </c>
      <c r="B568" s="242" t="s">
        <v>2109</v>
      </c>
      <c r="C568" s="243" t="s">
        <v>14</v>
      </c>
      <c r="D568" s="244" t="s">
        <v>469</v>
      </c>
      <c r="E568" s="245" t="s">
        <v>429</v>
      </c>
      <c r="F568" s="246">
        <v>45840</v>
      </c>
    </row>
    <row r="569" spans="1:6" ht="14.25">
      <c r="A569" s="237" t="s">
        <v>294</v>
      </c>
      <c r="B569" s="242" t="s">
        <v>2109</v>
      </c>
      <c r="C569" s="243" t="s">
        <v>14</v>
      </c>
      <c r="D569" s="244" t="s">
        <v>539</v>
      </c>
      <c r="E569" s="245" t="s">
        <v>503</v>
      </c>
      <c r="F569" s="246">
        <v>45882</v>
      </c>
    </row>
    <row r="570" spans="1:6" ht="14.25">
      <c r="A570" s="237" t="s">
        <v>294</v>
      </c>
      <c r="B570" s="242" t="s">
        <v>2109</v>
      </c>
      <c r="C570" s="243" t="s">
        <v>14</v>
      </c>
      <c r="D570" s="244" t="s">
        <v>540</v>
      </c>
      <c r="E570" s="245" t="s">
        <v>505</v>
      </c>
      <c r="F570" s="246">
        <v>45875</v>
      </c>
    </row>
    <row r="571" spans="1:6" ht="14.25">
      <c r="A571" s="237" t="s">
        <v>294</v>
      </c>
      <c r="B571" s="242" t="s">
        <v>2109</v>
      </c>
      <c r="C571" s="243" t="s">
        <v>14</v>
      </c>
      <c r="D571" s="244" t="s">
        <v>541</v>
      </c>
      <c r="E571" s="245" t="s">
        <v>506</v>
      </c>
      <c r="F571" s="246">
        <v>45875</v>
      </c>
    </row>
    <row r="572" spans="1:6" ht="14.25">
      <c r="A572" s="237" t="s">
        <v>294</v>
      </c>
      <c r="B572" s="242" t="s">
        <v>2109</v>
      </c>
      <c r="C572" s="243" t="s">
        <v>14</v>
      </c>
      <c r="D572" s="244" t="s">
        <v>847</v>
      </c>
      <c r="E572" s="245" t="s">
        <v>764</v>
      </c>
      <c r="F572" s="246">
        <v>45392</v>
      </c>
    </row>
    <row r="573" spans="1:6" ht="14.25">
      <c r="A573" s="237" t="s">
        <v>294</v>
      </c>
      <c r="B573" s="242" t="s">
        <v>2109</v>
      </c>
      <c r="C573" s="243" t="s">
        <v>14</v>
      </c>
      <c r="D573" s="244" t="s">
        <v>848</v>
      </c>
      <c r="E573" s="245" t="s">
        <v>766</v>
      </c>
      <c r="F573" s="246">
        <v>45889</v>
      </c>
    </row>
    <row r="574" spans="1:6" ht="14.25">
      <c r="A574" s="237" t="s">
        <v>294</v>
      </c>
      <c r="B574" s="242" t="s">
        <v>2109</v>
      </c>
      <c r="C574" s="243" t="s">
        <v>14</v>
      </c>
      <c r="D574" s="244" t="s">
        <v>742</v>
      </c>
      <c r="E574" s="249" t="s">
        <v>678</v>
      </c>
      <c r="F574" s="244">
        <v>45959</v>
      </c>
    </row>
    <row r="575" spans="1:6" ht="14.25">
      <c r="A575" s="237" t="s">
        <v>294</v>
      </c>
      <c r="B575" s="242" t="s">
        <v>2109</v>
      </c>
      <c r="C575" s="243" t="s">
        <v>14</v>
      </c>
      <c r="D575" s="244" t="s">
        <v>918</v>
      </c>
      <c r="E575" s="245" t="s">
        <v>870</v>
      </c>
      <c r="F575" s="246">
        <v>46029</v>
      </c>
    </row>
    <row r="576" spans="1:6" ht="14.25">
      <c r="A576" s="237" t="s">
        <v>294</v>
      </c>
      <c r="B576" s="242" t="s">
        <v>2109</v>
      </c>
      <c r="C576" s="243" t="s">
        <v>14</v>
      </c>
      <c r="D576" s="244" t="s">
        <v>920</v>
      </c>
      <c r="E576" s="245" t="s">
        <v>872</v>
      </c>
      <c r="F576" s="246">
        <v>46029</v>
      </c>
    </row>
    <row r="577" spans="1:6" ht="14.25">
      <c r="A577" s="237" t="s">
        <v>294</v>
      </c>
      <c r="B577" s="242" t="s">
        <v>2109</v>
      </c>
      <c r="C577" s="243" t="s">
        <v>14</v>
      </c>
      <c r="D577" s="244" t="s">
        <v>982</v>
      </c>
      <c r="E577" s="245" t="s">
        <v>961</v>
      </c>
      <c r="F577" s="246">
        <v>45973</v>
      </c>
    </row>
    <row r="578" spans="1:6" ht="14.25">
      <c r="A578" s="237" t="s">
        <v>294</v>
      </c>
      <c r="B578" s="242" t="s">
        <v>2109</v>
      </c>
      <c r="C578" s="243" t="s">
        <v>14</v>
      </c>
      <c r="D578" s="244" t="s">
        <v>983</v>
      </c>
      <c r="E578" s="245" t="s">
        <v>968</v>
      </c>
      <c r="F578" s="246">
        <v>45987</v>
      </c>
    </row>
    <row r="579" spans="1:6" ht="14.25">
      <c r="A579" s="237" t="s">
        <v>294</v>
      </c>
      <c r="B579" s="242" t="s">
        <v>2109</v>
      </c>
      <c r="C579" s="243" t="s">
        <v>14</v>
      </c>
      <c r="D579" s="244" t="s">
        <v>984</v>
      </c>
      <c r="E579" s="249" t="s">
        <v>969</v>
      </c>
      <c r="F579" s="244">
        <v>45987</v>
      </c>
    </row>
    <row r="580" spans="1:6" ht="14.25">
      <c r="A580" s="237" t="s">
        <v>294</v>
      </c>
      <c r="B580" s="242" t="s">
        <v>2109</v>
      </c>
      <c r="C580" s="243" t="s">
        <v>14</v>
      </c>
      <c r="D580" s="244" t="s">
        <v>1569</v>
      </c>
      <c r="E580" s="249" t="s">
        <v>1570</v>
      </c>
      <c r="F580" s="244">
        <v>46197</v>
      </c>
    </row>
    <row r="581" spans="1:6" ht="14.25">
      <c r="A581" s="237" t="s">
        <v>294</v>
      </c>
      <c r="B581" s="242" t="s">
        <v>2109</v>
      </c>
      <c r="C581" s="243" t="s">
        <v>14</v>
      </c>
      <c r="D581" s="244" t="s">
        <v>1571</v>
      </c>
      <c r="E581" s="245" t="s">
        <v>1572</v>
      </c>
      <c r="F581" s="246">
        <v>46197</v>
      </c>
    </row>
    <row r="582" spans="1:6" ht="14.25">
      <c r="A582" s="237" t="s">
        <v>294</v>
      </c>
      <c r="B582" s="242" t="s">
        <v>2109</v>
      </c>
      <c r="C582" s="243" t="s">
        <v>14</v>
      </c>
      <c r="D582" s="244" t="s">
        <v>1573</v>
      </c>
      <c r="E582" s="245" t="s">
        <v>1574</v>
      </c>
      <c r="F582" s="246">
        <v>46195</v>
      </c>
    </row>
    <row r="583" spans="1:6" ht="14.25">
      <c r="A583" s="237" t="s">
        <v>294</v>
      </c>
      <c r="B583" s="242" t="s">
        <v>2109</v>
      </c>
      <c r="C583" s="243" t="s">
        <v>14</v>
      </c>
      <c r="D583" s="244" t="s">
        <v>1095</v>
      </c>
      <c r="E583" s="245" t="s">
        <v>1096</v>
      </c>
      <c r="F583" s="246">
        <v>44389</v>
      </c>
    </row>
    <row r="584" spans="1:6" ht="14.25">
      <c r="A584" s="237" t="s">
        <v>294</v>
      </c>
      <c r="B584" s="242" t="s">
        <v>2109</v>
      </c>
      <c r="C584" s="243" t="s">
        <v>14</v>
      </c>
      <c r="D584" s="244" t="s">
        <v>1502</v>
      </c>
      <c r="E584" s="249" t="s">
        <v>1503</v>
      </c>
      <c r="F584" s="244">
        <v>46160</v>
      </c>
    </row>
    <row r="585" spans="1:6" ht="14.25">
      <c r="A585" s="237" t="s">
        <v>294</v>
      </c>
      <c r="B585" s="242" t="s">
        <v>2109</v>
      </c>
      <c r="C585" s="243" t="s">
        <v>14</v>
      </c>
      <c r="D585" s="244" t="s">
        <v>1621</v>
      </c>
      <c r="E585" s="245" t="s">
        <v>1622</v>
      </c>
      <c r="F585" s="246">
        <v>46215</v>
      </c>
    </row>
    <row r="586" spans="1:6" ht="14.25">
      <c r="A586" s="237" t="s">
        <v>294</v>
      </c>
      <c r="B586" s="242" t="s">
        <v>2109</v>
      </c>
      <c r="C586" s="243" t="s">
        <v>14</v>
      </c>
      <c r="D586" s="244" t="s">
        <v>1623</v>
      </c>
      <c r="E586" s="249" t="s">
        <v>1624</v>
      </c>
      <c r="F586" s="244">
        <v>46215</v>
      </c>
    </row>
    <row r="587" spans="1:6" ht="14.25">
      <c r="A587" s="237" t="s">
        <v>294</v>
      </c>
      <c r="B587" s="242" t="s">
        <v>2109</v>
      </c>
      <c r="C587" s="250" t="s">
        <v>14</v>
      </c>
      <c r="D587" s="251" t="s">
        <v>1964</v>
      </c>
      <c r="E587" s="254" t="s">
        <v>1965</v>
      </c>
      <c r="F587" s="251">
        <v>46239</v>
      </c>
    </row>
    <row r="588" spans="1:6" ht="14.25">
      <c r="A588" s="237" t="s">
        <v>294</v>
      </c>
      <c r="B588" s="242" t="s">
        <v>2109</v>
      </c>
      <c r="C588" s="250" t="s">
        <v>14</v>
      </c>
      <c r="D588" s="251" t="s">
        <v>1966</v>
      </c>
      <c r="E588" s="254" t="s">
        <v>1967</v>
      </c>
      <c r="F588" s="251">
        <v>46232</v>
      </c>
    </row>
    <row r="589" spans="1:6" ht="14.25">
      <c r="A589" s="237" t="s">
        <v>294</v>
      </c>
      <c r="B589" s="242" t="s">
        <v>2109</v>
      </c>
      <c r="C589" s="250" t="s">
        <v>14</v>
      </c>
      <c r="D589" s="251" t="s">
        <v>1968</v>
      </c>
      <c r="E589" s="254" t="s">
        <v>1969</v>
      </c>
      <c r="F589" s="251">
        <v>46232</v>
      </c>
    </row>
    <row r="590" spans="1:6" ht="14.25">
      <c r="A590" s="237" t="s">
        <v>294</v>
      </c>
      <c r="B590" s="242" t="s">
        <v>2109</v>
      </c>
      <c r="C590" s="250" t="s">
        <v>14</v>
      </c>
      <c r="D590" s="251" t="s">
        <v>1970</v>
      </c>
      <c r="E590" s="254" t="s">
        <v>1971</v>
      </c>
      <c r="F590" s="251">
        <v>46232</v>
      </c>
    </row>
    <row r="591" spans="1:6" ht="14.25">
      <c r="A591" s="237" t="s">
        <v>294</v>
      </c>
      <c r="B591" s="242" t="s">
        <v>2109</v>
      </c>
      <c r="C591" s="243" t="s">
        <v>146</v>
      </c>
      <c r="D591" s="244" t="s">
        <v>190</v>
      </c>
      <c r="E591" s="245" t="s">
        <v>147</v>
      </c>
      <c r="F591" s="246">
        <v>44620</v>
      </c>
    </row>
    <row r="592" spans="1:6" ht="14.25">
      <c r="A592" s="237" t="s">
        <v>294</v>
      </c>
      <c r="B592" s="242" t="s">
        <v>2109</v>
      </c>
      <c r="C592" s="243" t="s">
        <v>146</v>
      </c>
      <c r="D592" s="244" t="s">
        <v>234</v>
      </c>
      <c r="E592" s="245" t="s">
        <v>235</v>
      </c>
      <c r="F592" s="246">
        <v>45476</v>
      </c>
    </row>
    <row r="593" spans="1:6" ht="14.25">
      <c r="A593" s="237" t="s">
        <v>294</v>
      </c>
      <c r="B593" s="242" t="s">
        <v>2109</v>
      </c>
      <c r="C593" s="243" t="s">
        <v>146</v>
      </c>
      <c r="D593" s="244" t="s">
        <v>297</v>
      </c>
      <c r="E593" s="245" t="s">
        <v>290</v>
      </c>
      <c r="F593" s="246">
        <v>45574</v>
      </c>
    </row>
    <row r="594" spans="1:6" ht="14.25">
      <c r="A594" s="237" t="s">
        <v>294</v>
      </c>
      <c r="B594" s="242" t="s">
        <v>2109</v>
      </c>
      <c r="C594" s="243" t="s">
        <v>146</v>
      </c>
      <c r="D594" s="244" t="s">
        <v>330</v>
      </c>
      <c r="E594" s="245" t="s">
        <v>311</v>
      </c>
      <c r="F594" s="246">
        <v>45616</v>
      </c>
    </row>
    <row r="595" spans="1:6" ht="14.25">
      <c r="A595" s="237" t="s">
        <v>294</v>
      </c>
      <c r="B595" s="242" t="s">
        <v>2109</v>
      </c>
      <c r="C595" s="243" t="s">
        <v>129</v>
      </c>
      <c r="D595" s="244" t="s">
        <v>374</v>
      </c>
      <c r="E595" s="245" t="s">
        <v>364</v>
      </c>
      <c r="F595" s="246">
        <v>45700</v>
      </c>
    </row>
    <row r="596" spans="1:6" ht="14.25">
      <c r="A596" s="237" t="s">
        <v>294</v>
      </c>
      <c r="B596" s="242" t="s">
        <v>2109</v>
      </c>
      <c r="C596" s="243" t="s">
        <v>129</v>
      </c>
      <c r="D596" s="244" t="s">
        <v>379</v>
      </c>
      <c r="E596" s="245" t="s">
        <v>375</v>
      </c>
      <c r="F596" s="246">
        <v>45735</v>
      </c>
    </row>
    <row r="597" spans="1:6" ht="14.25">
      <c r="A597" s="237" t="s">
        <v>294</v>
      </c>
      <c r="B597" s="242" t="s">
        <v>2109</v>
      </c>
      <c r="C597" s="243" t="s">
        <v>129</v>
      </c>
      <c r="D597" s="244" t="s">
        <v>343</v>
      </c>
      <c r="E597" s="245" t="s">
        <v>336</v>
      </c>
      <c r="F597" s="246">
        <v>45630</v>
      </c>
    </row>
    <row r="598" spans="1:6" ht="14.25">
      <c r="A598" s="237" t="s">
        <v>294</v>
      </c>
      <c r="B598" s="242" t="s">
        <v>2109</v>
      </c>
      <c r="C598" s="243" t="s">
        <v>129</v>
      </c>
      <c r="D598" s="244" t="s">
        <v>475</v>
      </c>
      <c r="E598" s="245" t="s">
        <v>436</v>
      </c>
      <c r="F598" s="246">
        <v>45812</v>
      </c>
    </row>
    <row r="599" spans="1:6" ht="14.25">
      <c r="A599" s="237" t="s">
        <v>294</v>
      </c>
      <c r="B599" s="242" t="s">
        <v>2109</v>
      </c>
      <c r="C599" s="243" t="s">
        <v>129</v>
      </c>
      <c r="D599" s="244" t="s">
        <v>543</v>
      </c>
      <c r="E599" s="245" t="s">
        <v>504</v>
      </c>
      <c r="F599" s="246">
        <v>45875</v>
      </c>
    </row>
    <row r="600" spans="1:6" ht="14.25">
      <c r="A600" s="237" t="s">
        <v>294</v>
      </c>
      <c r="B600" s="242" t="s">
        <v>2109</v>
      </c>
      <c r="C600" s="243" t="s">
        <v>129</v>
      </c>
      <c r="D600" s="244" t="s">
        <v>544</v>
      </c>
      <c r="E600" s="245" t="s">
        <v>507</v>
      </c>
      <c r="F600" s="246">
        <v>45875</v>
      </c>
    </row>
    <row r="601" spans="1:6" ht="14.25">
      <c r="A601" s="237" t="s">
        <v>294</v>
      </c>
      <c r="B601" s="242" t="s">
        <v>2109</v>
      </c>
      <c r="C601" s="243" t="s">
        <v>129</v>
      </c>
      <c r="D601" s="244" t="s">
        <v>616</v>
      </c>
      <c r="E601" s="245" t="s">
        <v>569</v>
      </c>
      <c r="F601" s="246">
        <v>45896</v>
      </c>
    </row>
    <row r="602" spans="1:6" ht="14.25">
      <c r="A602" s="237" t="s">
        <v>294</v>
      </c>
      <c r="B602" s="242" t="s">
        <v>2109</v>
      </c>
      <c r="C602" s="243" t="s">
        <v>129</v>
      </c>
      <c r="D602" s="244" t="s">
        <v>849</v>
      </c>
      <c r="E602" s="245" t="s">
        <v>765</v>
      </c>
      <c r="F602" s="246">
        <v>45575</v>
      </c>
    </row>
    <row r="603" spans="1:6" ht="14.25">
      <c r="A603" s="237" t="s">
        <v>294</v>
      </c>
      <c r="B603" s="242" t="s">
        <v>2109</v>
      </c>
      <c r="C603" s="243" t="s">
        <v>129</v>
      </c>
      <c r="D603" s="244" t="s">
        <v>851</v>
      </c>
      <c r="E603" s="245" t="s">
        <v>768</v>
      </c>
      <c r="F603" s="246">
        <v>45763</v>
      </c>
    </row>
    <row r="604" spans="1:6" ht="14.25">
      <c r="A604" s="237" t="s">
        <v>294</v>
      </c>
      <c r="B604" s="242" t="s">
        <v>2109</v>
      </c>
      <c r="C604" s="243" t="s">
        <v>129</v>
      </c>
      <c r="D604" s="244" t="s">
        <v>852</v>
      </c>
      <c r="E604" s="245" t="s">
        <v>769</v>
      </c>
      <c r="F604" s="246">
        <v>45896</v>
      </c>
    </row>
    <row r="605" spans="1:6" ht="14.25">
      <c r="A605" s="237" t="s">
        <v>294</v>
      </c>
      <c r="B605" s="242" t="s">
        <v>2109</v>
      </c>
      <c r="C605" s="243" t="s">
        <v>129</v>
      </c>
      <c r="D605" s="244" t="s">
        <v>993</v>
      </c>
      <c r="E605" s="245" t="s">
        <v>960</v>
      </c>
      <c r="F605" s="246">
        <v>45973</v>
      </c>
    </row>
    <row r="606" spans="1:6" ht="14.25">
      <c r="A606" s="237" t="s">
        <v>294</v>
      </c>
      <c r="B606" s="242" t="s">
        <v>2109</v>
      </c>
      <c r="C606" s="243" t="s">
        <v>129</v>
      </c>
      <c r="D606" s="244" t="s">
        <v>1240</v>
      </c>
      <c r="E606" s="245" t="s">
        <v>1241</v>
      </c>
      <c r="F606" s="246">
        <v>46127</v>
      </c>
    </row>
    <row r="607" spans="1:6" ht="14.25">
      <c r="A607" s="237" t="s">
        <v>294</v>
      </c>
      <c r="B607" s="242" t="s">
        <v>2109</v>
      </c>
      <c r="C607" s="243" t="s">
        <v>129</v>
      </c>
      <c r="D607" s="244" t="s">
        <v>747</v>
      </c>
      <c r="E607" s="245" t="s">
        <v>674</v>
      </c>
      <c r="F607" s="246">
        <v>45847</v>
      </c>
    </row>
    <row r="608" spans="1:6" ht="14.25">
      <c r="A608" s="237" t="s">
        <v>294</v>
      </c>
      <c r="B608" s="242" t="s">
        <v>2109</v>
      </c>
      <c r="C608" s="243" t="s">
        <v>129</v>
      </c>
      <c r="D608" s="244" t="s">
        <v>748</v>
      </c>
      <c r="E608" s="245" t="s">
        <v>675</v>
      </c>
      <c r="F608" s="246">
        <v>45854</v>
      </c>
    </row>
    <row r="609" spans="1:6" ht="14.25">
      <c r="A609" s="237" t="s">
        <v>294</v>
      </c>
      <c r="B609" s="242" t="s">
        <v>2109</v>
      </c>
      <c r="C609" s="243" t="s">
        <v>129</v>
      </c>
      <c r="D609" s="244" t="s">
        <v>749</v>
      </c>
      <c r="E609" s="245" t="s">
        <v>676</v>
      </c>
      <c r="F609" s="246">
        <v>45847</v>
      </c>
    </row>
    <row r="610" spans="1:6" ht="14.25">
      <c r="A610" s="237" t="s">
        <v>294</v>
      </c>
      <c r="B610" s="242" t="s">
        <v>2109</v>
      </c>
      <c r="C610" s="243" t="s">
        <v>129</v>
      </c>
      <c r="D610" s="244" t="s">
        <v>998</v>
      </c>
      <c r="E610" s="245" t="s">
        <v>999</v>
      </c>
      <c r="F610" s="246">
        <v>45980</v>
      </c>
    </row>
    <row r="611" spans="1:6" ht="14.25">
      <c r="A611" s="237" t="s">
        <v>294</v>
      </c>
      <c r="B611" s="242" t="s">
        <v>2109</v>
      </c>
      <c r="C611" s="250" t="s">
        <v>146</v>
      </c>
      <c r="D611" s="251" t="s">
        <v>1972</v>
      </c>
      <c r="E611" s="252" t="s">
        <v>1973</v>
      </c>
      <c r="F611" s="253">
        <v>46225</v>
      </c>
    </row>
    <row r="612" spans="1:6" ht="14.25">
      <c r="A612" s="239" t="s">
        <v>1029</v>
      </c>
      <c r="B612" s="242" t="s">
        <v>2108</v>
      </c>
      <c r="C612" s="243" t="s">
        <v>13</v>
      </c>
      <c r="D612" s="244" t="s">
        <v>465</v>
      </c>
      <c r="E612" s="245" t="s">
        <v>438</v>
      </c>
      <c r="F612" s="246">
        <v>45840</v>
      </c>
    </row>
    <row r="613" spans="1:6" ht="14.25">
      <c r="A613" s="239" t="s">
        <v>293</v>
      </c>
      <c r="B613" s="242" t="s">
        <v>2108</v>
      </c>
      <c r="C613" s="243" t="s">
        <v>13</v>
      </c>
      <c r="D613" s="244" t="s">
        <v>744</v>
      </c>
      <c r="E613" s="245" t="s">
        <v>677</v>
      </c>
      <c r="F613" s="246">
        <v>45980</v>
      </c>
    </row>
    <row r="614" spans="1:6" ht="14.25">
      <c r="A614" s="239" t="s">
        <v>293</v>
      </c>
      <c r="B614" s="242" t="s">
        <v>2108</v>
      </c>
      <c r="C614" s="243" t="s">
        <v>13</v>
      </c>
      <c r="D614" s="244" t="s">
        <v>972</v>
      </c>
      <c r="E614" s="245" t="s">
        <v>948</v>
      </c>
      <c r="F614" s="246">
        <v>46050</v>
      </c>
    </row>
    <row r="615" spans="1:6" ht="14.25">
      <c r="A615" s="239" t="s">
        <v>293</v>
      </c>
      <c r="B615" s="242" t="s">
        <v>2108</v>
      </c>
      <c r="C615" s="243" t="s">
        <v>13</v>
      </c>
      <c r="D615" s="244" t="s">
        <v>1401</v>
      </c>
      <c r="E615" s="245" t="s">
        <v>1402</v>
      </c>
      <c r="F615" s="246">
        <v>46153</v>
      </c>
    </row>
    <row r="616" spans="1:6" ht="14.25">
      <c r="A616" s="239" t="s">
        <v>293</v>
      </c>
      <c r="B616" s="242" t="s">
        <v>2108</v>
      </c>
      <c r="C616" s="243" t="s">
        <v>13</v>
      </c>
      <c r="D616" s="244" t="s">
        <v>178</v>
      </c>
      <c r="E616" s="245" t="s">
        <v>99</v>
      </c>
      <c r="F616" s="246">
        <v>45019</v>
      </c>
    </row>
    <row r="617" spans="1:6" ht="14.25">
      <c r="A617" s="239" t="s">
        <v>293</v>
      </c>
      <c r="B617" s="242" t="s">
        <v>2108</v>
      </c>
      <c r="C617" s="243" t="s">
        <v>13</v>
      </c>
      <c r="D617" s="244" t="s">
        <v>1602</v>
      </c>
      <c r="E617" s="245" t="s">
        <v>1579</v>
      </c>
      <c r="F617" s="246">
        <v>46208</v>
      </c>
    </row>
    <row r="618" spans="1:6" ht="14.25">
      <c r="A618" s="239" t="s">
        <v>293</v>
      </c>
      <c r="B618" s="242" t="s">
        <v>2108</v>
      </c>
      <c r="C618" s="243" t="s">
        <v>13</v>
      </c>
      <c r="D618" s="244" t="s">
        <v>1596</v>
      </c>
      <c r="E618" s="245" t="s">
        <v>1597</v>
      </c>
      <c r="F618" s="246">
        <v>46215</v>
      </c>
    </row>
    <row r="619" spans="1:6" ht="14.25">
      <c r="A619" s="239" t="s">
        <v>293</v>
      </c>
      <c r="B619" s="242" t="s">
        <v>2108</v>
      </c>
      <c r="C619" s="243" t="s">
        <v>13</v>
      </c>
      <c r="D619" s="244" t="s">
        <v>1598</v>
      </c>
      <c r="E619" s="245" t="s">
        <v>1599</v>
      </c>
      <c r="F619" s="246">
        <v>46215</v>
      </c>
    </row>
    <row r="620" spans="1:6" ht="14.25">
      <c r="A620" s="239" t="s">
        <v>293</v>
      </c>
      <c r="B620" s="242" t="s">
        <v>2108</v>
      </c>
      <c r="C620" s="243" t="s">
        <v>13</v>
      </c>
      <c r="D620" s="245" t="s">
        <v>1600</v>
      </c>
      <c r="E620" s="247" t="s">
        <v>1601</v>
      </c>
      <c r="F620" s="248">
        <v>46215</v>
      </c>
    </row>
    <row r="621" spans="1:6" ht="14.25">
      <c r="A621" s="239" t="s">
        <v>293</v>
      </c>
      <c r="B621" s="242" t="s">
        <v>2108</v>
      </c>
      <c r="C621" s="243" t="s">
        <v>13</v>
      </c>
      <c r="D621" s="244" t="s">
        <v>405</v>
      </c>
      <c r="E621" s="245" t="s">
        <v>402</v>
      </c>
      <c r="F621" s="246">
        <v>45448</v>
      </c>
    </row>
    <row r="622" spans="1:6" ht="14.25">
      <c r="A622" s="239" t="s">
        <v>293</v>
      </c>
      <c r="B622" s="242" t="s">
        <v>2108</v>
      </c>
      <c r="C622" s="243" t="s">
        <v>13</v>
      </c>
      <c r="D622" s="245" t="s">
        <v>1097</v>
      </c>
      <c r="E622" s="247" t="s">
        <v>1098</v>
      </c>
      <c r="F622" s="248">
        <v>43237</v>
      </c>
    </row>
    <row r="623" spans="1:6" ht="14.25">
      <c r="A623" s="239" t="s">
        <v>293</v>
      </c>
      <c r="B623" s="242" t="s">
        <v>2108</v>
      </c>
      <c r="C623" s="243" t="s">
        <v>131</v>
      </c>
      <c r="D623" s="244" t="s">
        <v>159</v>
      </c>
      <c r="E623" s="249" t="s">
        <v>84</v>
      </c>
      <c r="F623" s="244">
        <v>44732</v>
      </c>
    </row>
    <row r="624" spans="1:6" ht="14.25">
      <c r="A624" s="239" t="s">
        <v>293</v>
      </c>
      <c r="B624" s="242" t="s">
        <v>2108</v>
      </c>
      <c r="C624" s="243" t="s">
        <v>131</v>
      </c>
      <c r="D624" s="244" t="s">
        <v>157</v>
      </c>
      <c r="E624" s="245" t="s">
        <v>76</v>
      </c>
      <c r="F624" s="246">
        <v>44774</v>
      </c>
    </row>
    <row r="625" spans="1:6" ht="14.25">
      <c r="A625" s="239" t="s">
        <v>293</v>
      </c>
      <c r="B625" s="242" t="s">
        <v>2108</v>
      </c>
      <c r="C625" s="243" t="s">
        <v>14</v>
      </c>
      <c r="D625" s="244" t="s">
        <v>156</v>
      </c>
      <c r="E625" s="245" t="s">
        <v>74</v>
      </c>
      <c r="F625" s="246">
        <v>44774</v>
      </c>
    </row>
    <row r="626" spans="1:6" ht="42.75">
      <c r="A626" s="239" t="s">
        <v>293</v>
      </c>
      <c r="B626" s="242" t="s">
        <v>2108</v>
      </c>
      <c r="C626" s="243" t="s">
        <v>87</v>
      </c>
      <c r="D626" s="244" t="s">
        <v>867</v>
      </c>
      <c r="E626" s="249" t="s">
        <v>94</v>
      </c>
      <c r="F626" s="244">
        <v>44998</v>
      </c>
    </row>
    <row r="627" spans="1:6" ht="14.25">
      <c r="A627" s="239" t="s">
        <v>293</v>
      </c>
      <c r="B627" s="242" t="s">
        <v>2108</v>
      </c>
      <c r="C627" s="243" t="s">
        <v>87</v>
      </c>
      <c r="D627" s="244" t="s">
        <v>106</v>
      </c>
      <c r="E627" s="245" t="s">
        <v>98</v>
      </c>
      <c r="F627" s="246">
        <v>45019</v>
      </c>
    </row>
    <row r="628" spans="1:6" ht="14.25">
      <c r="A628" s="239" t="s">
        <v>293</v>
      </c>
      <c r="B628" s="242" t="s">
        <v>2108</v>
      </c>
      <c r="C628" s="243" t="s">
        <v>87</v>
      </c>
      <c r="D628" s="244" t="s">
        <v>112</v>
      </c>
      <c r="E628" s="245" t="s">
        <v>111</v>
      </c>
      <c r="F628" s="246">
        <v>45138</v>
      </c>
    </row>
    <row r="629" spans="1:6" ht="14.25">
      <c r="A629" s="239" t="s">
        <v>293</v>
      </c>
      <c r="B629" s="242" t="s">
        <v>2108</v>
      </c>
      <c r="C629" s="243" t="s">
        <v>87</v>
      </c>
      <c r="D629" s="244" t="s">
        <v>110</v>
      </c>
      <c r="E629" s="249" t="s">
        <v>93</v>
      </c>
      <c r="F629" s="244">
        <v>44998</v>
      </c>
    </row>
    <row r="630" spans="1:6" ht="14.25">
      <c r="A630" s="239" t="s">
        <v>293</v>
      </c>
      <c r="B630" s="242" t="s">
        <v>2108</v>
      </c>
      <c r="C630" s="243" t="s">
        <v>87</v>
      </c>
      <c r="D630" s="244" t="s">
        <v>120</v>
      </c>
      <c r="E630" s="245" t="s">
        <v>122</v>
      </c>
      <c r="F630" s="246">
        <v>45231</v>
      </c>
    </row>
    <row r="631" spans="1:6" ht="14.25">
      <c r="A631" s="239" t="s">
        <v>293</v>
      </c>
      <c r="B631" s="242" t="s">
        <v>2108</v>
      </c>
      <c r="C631" s="243" t="s">
        <v>14</v>
      </c>
      <c r="D631" s="244" t="s">
        <v>236</v>
      </c>
      <c r="E631" s="245" t="s">
        <v>237</v>
      </c>
      <c r="F631" s="246">
        <v>45476</v>
      </c>
    </row>
    <row r="632" spans="1:6" ht="14.25">
      <c r="A632" s="239" t="s">
        <v>293</v>
      </c>
      <c r="B632" s="242" t="s">
        <v>2108</v>
      </c>
      <c r="C632" s="243" t="s">
        <v>14</v>
      </c>
      <c r="D632" s="244" t="s">
        <v>238</v>
      </c>
      <c r="E632" s="245" t="s">
        <v>239</v>
      </c>
      <c r="F632" s="246">
        <v>45497</v>
      </c>
    </row>
    <row r="633" spans="1:6" ht="14.25">
      <c r="A633" s="239" t="s">
        <v>293</v>
      </c>
      <c r="B633" s="242" t="s">
        <v>2108</v>
      </c>
      <c r="C633" s="243" t="s">
        <v>14</v>
      </c>
      <c r="D633" s="244" t="s">
        <v>240</v>
      </c>
      <c r="E633" s="245" t="s">
        <v>241</v>
      </c>
      <c r="F633" s="246">
        <v>45476</v>
      </c>
    </row>
    <row r="634" spans="1:6" ht="14.25">
      <c r="A634" s="239" t="s">
        <v>293</v>
      </c>
      <c r="B634" s="242" t="s">
        <v>2108</v>
      </c>
      <c r="C634" s="243" t="s">
        <v>14</v>
      </c>
      <c r="D634" s="244" t="s">
        <v>242</v>
      </c>
      <c r="E634" s="245" t="s">
        <v>243</v>
      </c>
      <c r="F634" s="246">
        <v>45490</v>
      </c>
    </row>
    <row r="635" spans="1:6" ht="14.25">
      <c r="A635" s="239" t="s">
        <v>293</v>
      </c>
      <c r="B635" s="242" t="s">
        <v>2108</v>
      </c>
      <c r="C635" s="243" t="s">
        <v>87</v>
      </c>
      <c r="D635" s="244" t="s">
        <v>198</v>
      </c>
      <c r="E635" s="245" t="s">
        <v>199</v>
      </c>
      <c r="F635" s="246">
        <v>44396</v>
      </c>
    </row>
    <row r="636" spans="1:6" ht="14.25">
      <c r="A636" s="239" t="s">
        <v>293</v>
      </c>
      <c r="B636" s="242" t="s">
        <v>2108</v>
      </c>
      <c r="C636" s="243" t="s">
        <v>87</v>
      </c>
      <c r="D636" s="244" t="s">
        <v>322</v>
      </c>
      <c r="E636" s="245" t="s">
        <v>314</v>
      </c>
      <c r="F636" s="246">
        <v>45602</v>
      </c>
    </row>
    <row r="637" spans="1:6" ht="14.25">
      <c r="A637" s="239" t="s">
        <v>293</v>
      </c>
      <c r="B637" s="242" t="s">
        <v>2108</v>
      </c>
      <c r="C637" s="243" t="s">
        <v>14</v>
      </c>
      <c r="D637" s="244" t="s">
        <v>395</v>
      </c>
      <c r="E637" s="249" t="s">
        <v>385</v>
      </c>
      <c r="F637" s="246">
        <v>45756</v>
      </c>
    </row>
    <row r="638" spans="1:6" ht="14.25">
      <c r="A638" s="239" t="s">
        <v>293</v>
      </c>
      <c r="B638" s="242" t="s">
        <v>2108</v>
      </c>
      <c r="C638" s="243" t="s">
        <v>87</v>
      </c>
      <c r="D638" s="244" t="s">
        <v>181</v>
      </c>
      <c r="E638" s="249" t="s">
        <v>180</v>
      </c>
      <c r="F638" s="244">
        <v>44397</v>
      </c>
    </row>
    <row r="639" spans="1:6" ht="14.25">
      <c r="A639" s="239" t="s">
        <v>293</v>
      </c>
      <c r="B639" s="242" t="s">
        <v>2108</v>
      </c>
      <c r="C639" s="243" t="s">
        <v>87</v>
      </c>
      <c r="D639" s="244" t="s">
        <v>416</v>
      </c>
      <c r="E639" s="249" t="s">
        <v>411</v>
      </c>
      <c r="F639" s="244">
        <v>45798</v>
      </c>
    </row>
    <row r="640" spans="1:6" ht="14.25">
      <c r="A640" s="239" t="s">
        <v>293</v>
      </c>
      <c r="B640" s="242" t="s">
        <v>2108</v>
      </c>
      <c r="C640" s="243" t="s">
        <v>14</v>
      </c>
      <c r="D640" s="244" t="s">
        <v>424</v>
      </c>
      <c r="E640" s="249" t="s">
        <v>420</v>
      </c>
      <c r="F640" s="244">
        <v>45826</v>
      </c>
    </row>
    <row r="641" spans="1:6" ht="14.25">
      <c r="A641" s="239" t="s">
        <v>293</v>
      </c>
      <c r="B641" s="242" t="s">
        <v>2108</v>
      </c>
      <c r="C641" s="243" t="s">
        <v>14</v>
      </c>
      <c r="D641" s="244" t="s">
        <v>535</v>
      </c>
      <c r="E641" s="249" t="s">
        <v>509</v>
      </c>
      <c r="F641" s="244">
        <v>45889</v>
      </c>
    </row>
    <row r="642" spans="1:6" ht="14.25">
      <c r="A642" s="239" t="s">
        <v>293</v>
      </c>
      <c r="B642" s="242" t="s">
        <v>2108</v>
      </c>
      <c r="C642" s="243" t="s">
        <v>14</v>
      </c>
      <c r="D642" s="244" t="s">
        <v>612</v>
      </c>
      <c r="E642" s="249" t="s">
        <v>570</v>
      </c>
      <c r="F642" s="244">
        <v>45896</v>
      </c>
    </row>
    <row r="643" spans="1:6" ht="14.25">
      <c r="A643" s="239" t="s">
        <v>293</v>
      </c>
      <c r="B643" s="242" t="s">
        <v>2108</v>
      </c>
      <c r="C643" s="243" t="s">
        <v>14</v>
      </c>
      <c r="D643" s="244" t="s">
        <v>613</v>
      </c>
      <c r="E643" s="249" t="s">
        <v>571</v>
      </c>
      <c r="F643" s="244">
        <v>45917</v>
      </c>
    </row>
    <row r="644" spans="1:6" ht="14.25">
      <c r="A644" s="239" t="s">
        <v>293</v>
      </c>
      <c r="B644" s="242" t="s">
        <v>2108</v>
      </c>
      <c r="C644" s="243" t="s">
        <v>14</v>
      </c>
      <c r="D644" s="244" t="s">
        <v>614</v>
      </c>
      <c r="E644" s="249" t="s">
        <v>572</v>
      </c>
      <c r="F644" s="244">
        <v>45917</v>
      </c>
    </row>
    <row r="645" spans="1:6" ht="14.25">
      <c r="A645" s="239" t="s">
        <v>293</v>
      </c>
      <c r="B645" s="242" t="s">
        <v>2108</v>
      </c>
      <c r="C645" s="243" t="s">
        <v>14</v>
      </c>
      <c r="D645" s="244" t="s">
        <v>743</v>
      </c>
      <c r="E645" s="249" t="s">
        <v>679</v>
      </c>
      <c r="F645" s="244">
        <v>45971</v>
      </c>
    </row>
    <row r="646" spans="1:6" ht="14.25">
      <c r="A646" s="240" t="s">
        <v>293</v>
      </c>
      <c r="B646" s="242" t="s">
        <v>2108</v>
      </c>
      <c r="C646" s="243" t="s">
        <v>14</v>
      </c>
      <c r="D646" s="244" t="s">
        <v>917</v>
      </c>
      <c r="E646" s="249" t="s">
        <v>877</v>
      </c>
      <c r="F646" s="244">
        <v>46036</v>
      </c>
    </row>
    <row r="647" spans="1:6" ht="14.25">
      <c r="A647" s="240" t="s">
        <v>293</v>
      </c>
      <c r="B647" s="242" t="s">
        <v>2108</v>
      </c>
      <c r="C647" s="243" t="s">
        <v>14</v>
      </c>
      <c r="D647" s="244" t="s">
        <v>977</v>
      </c>
      <c r="E647" s="249" t="s">
        <v>949</v>
      </c>
      <c r="F647" s="244">
        <v>45728</v>
      </c>
    </row>
    <row r="648" spans="1:6" ht="14.25">
      <c r="A648" s="240" t="s">
        <v>293</v>
      </c>
      <c r="B648" s="242" t="s">
        <v>2108</v>
      </c>
      <c r="C648" s="243" t="s">
        <v>14</v>
      </c>
      <c r="D648" s="244" t="s">
        <v>978</v>
      </c>
      <c r="E648" s="249" t="s">
        <v>950</v>
      </c>
      <c r="F648" s="244">
        <v>41828</v>
      </c>
    </row>
    <row r="649" spans="1:6" ht="14.25">
      <c r="A649" s="240" t="s">
        <v>293</v>
      </c>
      <c r="B649" s="242" t="s">
        <v>2108</v>
      </c>
      <c r="C649" s="243" t="s">
        <v>14</v>
      </c>
      <c r="D649" s="244" t="s">
        <v>979</v>
      </c>
      <c r="E649" s="249" t="s">
        <v>962</v>
      </c>
      <c r="F649" s="244">
        <v>45980</v>
      </c>
    </row>
    <row r="650" spans="1:6" ht="14.25">
      <c r="A650" s="240" t="s">
        <v>293</v>
      </c>
      <c r="B650" s="242" t="s">
        <v>2108</v>
      </c>
      <c r="C650" s="243" t="s">
        <v>14</v>
      </c>
      <c r="D650" s="244" t="s">
        <v>980</v>
      </c>
      <c r="E650" s="249" t="s">
        <v>963</v>
      </c>
      <c r="F650" s="244">
        <v>45980</v>
      </c>
    </row>
    <row r="651" spans="1:6" ht="14.25">
      <c r="A651" s="240" t="s">
        <v>293</v>
      </c>
      <c r="B651" s="242" t="s">
        <v>2108</v>
      </c>
      <c r="C651" s="243" t="s">
        <v>14</v>
      </c>
      <c r="D651" s="244" t="s">
        <v>981</v>
      </c>
      <c r="E651" s="249" t="s">
        <v>964</v>
      </c>
      <c r="F651" s="244">
        <v>45980</v>
      </c>
    </row>
    <row r="652" spans="1:6" ht="14.25">
      <c r="A652" s="240" t="s">
        <v>293</v>
      </c>
      <c r="B652" s="242" t="s">
        <v>2108</v>
      </c>
      <c r="C652" s="243" t="s">
        <v>14</v>
      </c>
      <c r="D652" s="244" t="s">
        <v>974</v>
      </c>
      <c r="E652" s="249" t="s">
        <v>954</v>
      </c>
      <c r="F652" s="244">
        <v>46006</v>
      </c>
    </row>
    <row r="653" spans="1:6" ht="14.25">
      <c r="A653" s="240" t="s">
        <v>293</v>
      </c>
      <c r="B653" s="242" t="s">
        <v>2108</v>
      </c>
      <c r="C653" s="243" t="s">
        <v>14</v>
      </c>
      <c r="D653" s="244" t="s">
        <v>1000</v>
      </c>
      <c r="E653" s="245" t="s">
        <v>1001</v>
      </c>
      <c r="F653" s="246">
        <v>46097</v>
      </c>
    </row>
    <row r="654" spans="1:6" ht="14.25">
      <c r="A654" s="240" t="s">
        <v>293</v>
      </c>
      <c r="B654" s="242" t="s">
        <v>2108</v>
      </c>
      <c r="C654" s="243" t="s">
        <v>14</v>
      </c>
      <c r="D654" s="244" t="s">
        <v>1218</v>
      </c>
      <c r="E654" s="249" t="s">
        <v>1219</v>
      </c>
      <c r="F654" s="244">
        <v>46120</v>
      </c>
    </row>
    <row r="655" spans="1:6" ht="14.25">
      <c r="A655" s="234" t="s">
        <v>293</v>
      </c>
      <c r="B655" s="242" t="s">
        <v>2108</v>
      </c>
      <c r="C655" s="243" t="s">
        <v>14</v>
      </c>
      <c r="D655" s="244" t="s">
        <v>1220</v>
      </c>
      <c r="E655" s="249" t="s">
        <v>1221</v>
      </c>
      <c r="F655" s="244">
        <v>46120</v>
      </c>
    </row>
    <row r="656" spans="1:6" ht="14.25">
      <c r="A656" s="234" t="s">
        <v>293</v>
      </c>
      <c r="B656" s="242" t="s">
        <v>2108</v>
      </c>
      <c r="C656" s="243" t="s">
        <v>14</v>
      </c>
      <c r="D656" s="244" t="s">
        <v>1222</v>
      </c>
      <c r="E656" s="249" t="s">
        <v>1223</v>
      </c>
      <c r="F656" s="244">
        <v>46120</v>
      </c>
    </row>
    <row r="657" spans="1:6" ht="14.25">
      <c r="A657" s="234" t="s">
        <v>293</v>
      </c>
      <c r="B657" s="242" t="s">
        <v>2108</v>
      </c>
      <c r="C657" s="243" t="s">
        <v>14</v>
      </c>
      <c r="D657" s="244" t="s">
        <v>1224</v>
      </c>
      <c r="E657" s="249" t="s">
        <v>1225</v>
      </c>
      <c r="F657" s="244">
        <v>46120</v>
      </c>
    </row>
    <row r="658" spans="1:6" ht="14.25">
      <c r="A658" s="234" t="s">
        <v>293</v>
      </c>
      <c r="B658" s="242" t="s">
        <v>2108</v>
      </c>
      <c r="C658" s="243" t="s">
        <v>14</v>
      </c>
      <c r="D658" s="244" t="s">
        <v>1226</v>
      </c>
      <c r="E658" s="249" t="s">
        <v>1227</v>
      </c>
      <c r="F658" s="244">
        <v>46125</v>
      </c>
    </row>
    <row r="659" spans="1:6" ht="14.25">
      <c r="A659" s="234" t="s">
        <v>293</v>
      </c>
      <c r="B659" s="242" t="s">
        <v>2108</v>
      </c>
      <c r="C659" s="243" t="s">
        <v>14</v>
      </c>
      <c r="D659" s="244" t="s">
        <v>1230</v>
      </c>
      <c r="E659" s="245" t="s">
        <v>1231</v>
      </c>
      <c r="F659" s="246">
        <v>46127</v>
      </c>
    </row>
    <row r="660" spans="1:6" ht="14.25">
      <c r="A660" s="234" t="s">
        <v>293</v>
      </c>
      <c r="B660" s="242" t="s">
        <v>2108</v>
      </c>
      <c r="C660" s="243" t="s">
        <v>14</v>
      </c>
      <c r="D660" s="244" t="s">
        <v>1232</v>
      </c>
      <c r="E660" s="245" t="s">
        <v>1233</v>
      </c>
      <c r="F660" s="246">
        <v>46127</v>
      </c>
    </row>
    <row r="661" spans="1:6" ht="14.25">
      <c r="A661" s="234" t="s">
        <v>293</v>
      </c>
      <c r="B661" s="242" t="s">
        <v>2108</v>
      </c>
      <c r="C661" s="243" t="s">
        <v>14</v>
      </c>
      <c r="D661" s="244" t="s">
        <v>1494</v>
      </c>
      <c r="E661" s="245" t="s">
        <v>1495</v>
      </c>
      <c r="F661" s="246">
        <v>46169</v>
      </c>
    </row>
    <row r="662" spans="1:6" ht="14.25">
      <c r="A662" s="234" t="s">
        <v>293</v>
      </c>
      <c r="B662" s="242" t="s">
        <v>2108</v>
      </c>
      <c r="C662" s="243" t="s">
        <v>14</v>
      </c>
      <c r="D662" s="244" t="s">
        <v>1496</v>
      </c>
      <c r="E662" s="245" t="s">
        <v>1497</v>
      </c>
      <c r="F662" s="246">
        <v>46169</v>
      </c>
    </row>
    <row r="663" spans="1:6" ht="14.25">
      <c r="A663" s="234" t="s">
        <v>293</v>
      </c>
      <c r="B663" s="242" t="s">
        <v>2108</v>
      </c>
      <c r="C663" s="243" t="s">
        <v>14</v>
      </c>
      <c r="D663" s="244" t="s">
        <v>1498</v>
      </c>
      <c r="E663" s="245" t="s">
        <v>1499</v>
      </c>
      <c r="F663" s="246">
        <v>46169</v>
      </c>
    </row>
    <row r="664" spans="1:6" ht="14.25">
      <c r="A664" s="234" t="s">
        <v>293</v>
      </c>
      <c r="B664" s="242" t="s">
        <v>2108</v>
      </c>
      <c r="C664" s="243" t="s">
        <v>14</v>
      </c>
      <c r="D664" s="244" t="s">
        <v>1580</v>
      </c>
      <c r="E664" s="245" t="s">
        <v>1581</v>
      </c>
      <c r="F664" s="246">
        <v>46197</v>
      </c>
    </row>
    <row r="665" spans="1:6" ht="14.25">
      <c r="A665" s="234" t="s">
        <v>293</v>
      </c>
      <c r="B665" s="242" t="s">
        <v>2108</v>
      </c>
      <c r="C665" s="243" t="s">
        <v>14</v>
      </c>
      <c r="D665" s="244" t="s">
        <v>1584</v>
      </c>
      <c r="E665" s="245" t="s">
        <v>1585</v>
      </c>
      <c r="F665" s="246">
        <v>46204</v>
      </c>
    </row>
    <row r="666" spans="1:6" ht="14.25">
      <c r="A666" s="234" t="s">
        <v>293</v>
      </c>
      <c r="B666" s="242" t="s">
        <v>2108</v>
      </c>
      <c r="C666" s="243" t="s">
        <v>14</v>
      </c>
      <c r="D666" s="244" t="s">
        <v>1586</v>
      </c>
      <c r="E666" s="245" t="s">
        <v>1587</v>
      </c>
      <c r="F666" s="246">
        <v>46204</v>
      </c>
    </row>
    <row r="667" spans="1:6" ht="14.25">
      <c r="A667" s="234" t="s">
        <v>293</v>
      </c>
      <c r="B667" s="242" t="s">
        <v>2108</v>
      </c>
      <c r="C667" s="243" t="s">
        <v>14</v>
      </c>
      <c r="D667" s="244" t="s">
        <v>1588</v>
      </c>
      <c r="E667" s="245" t="s">
        <v>1589</v>
      </c>
      <c r="F667" s="246">
        <v>46204</v>
      </c>
    </row>
    <row r="668" spans="1:6" ht="14.25">
      <c r="A668" s="234" t="s">
        <v>293</v>
      </c>
      <c r="B668" s="242" t="s">
        <v>2108</v>
      </c>
      <c r="C668" s="243" t="s">
        <v>14</v>
      </c>
      <c r="D668" s="244" t="s">
        <v>1590</v>
      </c>
      <c r="E668" s="245" t="s">
        <v>1591</v>
      </c>
      <c r="F668" s="246">
        <v>46208</v>
      </c>
    </row>
    <row r="669" spans="1:6" ht="14.25">
      <c r="A669" s="234" t="s">
        <v>293</v>
      </c>
      <c r="B669" s="242" t="s">
        <v>2108</v>
      </c>
      <c r="C669" s="243" t="s">
        <v>14</v>
      </c>
      <c r="D669" s="244" t="s">
        <v>1592</v>
      </c>
      <c r="E669" s="245" t="s">
        <v>1593</v>
      </c>
      <c r="F669" s="246">
        <v>46208</v>
      </c>
    </row>
    <row r="670" spans="1:6" ht="14.25">
      <c r="A670" s="234" t="s">
        <v>293</v>
      </c>
      <c r="B670" s="242" t="s">
        <v>2108</v>
      </c>
      <c r="C670" s="243" t="s">
        <v>14</v>
      </c>
      <c r="D670" s="244" t="s">
        <v>1603</v>
      </c>
      <c r="E670" s="245" t="s">
        <v>1604</v>
      </c>
      <c r="F670" s="246">
        <v>46215</v>
      </c>
    </row>
    <row r="671" spans="1:6" ht="14.25">
      <c r="A671" s="234" t="s">
        <v>293</v>
      </c>
      <c r="B671" s="242" t="s">
        <v>2108</v>
      </c>
      <c r="C671" s="243" t="s">
        <v>14</v>
      </c>
      <c r="D671" s="244" t="s">
        <v>1605</v>
      </c>
      <c r="E671" s="245" t="s">
        <v>1606</v>
      </c>
      <c r="F671" s="246">
        <v>46215</v>
      </c>
    </row>
    <row r="672" spans="1:6" ht="14.25">
      <c r="A672" s="234" t="s">
        <v>293</v>
      </c>
      <c r="B672" s="242" t="s">
        <v>2108</v>
      </c>
      <c r="C672" s="243" t="s">
        <v>14</v>
      </c>
      <c r="D672" s="244" t="s">
        <v>1609</v>
      </c>
      <c r="E672" s="245" t="s">
        <v>1610</v>
      </c>
      <c r="F672" s="246">
        <v>46215</v>
      </c>
    </row>
    <row r="673" spans="1:6" ht="14.25">
      <c r="A673" s="234" t="s">
        <v>293</v>
      </c>
      <c r="B673" s="242" t="s">
        <v>2108</v>
      </c>
      <c r="C673" s="243" t="s">
        <v>14</v>
      </c>
      <c r="D673" s="244" t="s">
        <v>1615</v>
      </c>
      <c r="E673" s="245" t="s">
        <v>1616</v>
      </c>
      <c r="F673" s="246">
        <v>46215</v>
      </c>
    </row>
    <row r="674" spans="1:6" ht="14.25">
      <c r="A674" s="234" t="s">
        <v>293</v>
      </c>
      <c r="B674" s="242" t="s">
        <v>2108</v>
      </c>
      <c r="C674" s="243" t="s">
        <v>14</v>
      </c>
      <c r="D674" s="244" t="s">
        <v>1617</v>
      </c>
      <c r="E674" s="245" t="s">
        <v>1618</v>
      </c>
      <c r="F674" s="246">
        <v>46215</v>
      </c>
    </row>
    <row r="675" spans="1:6" ht="14.25">
      <c r="A675" s="234" t="s">
        <v>293</v>
      </c>
      <c r="B675" s="242" t="s">
        <v>2108</v>
      </c>
      <c r="C675" s="243" t="s">
        <v>14</v>
      </c>
      <c r="D675" s="244" t="s">
        <v>1892</v>
      </c>
      <c r="E675" s="245" t="s">
        <v>1893</v>
      </c>
      <c r="F675" s="246">
        <v>46208</v>
      </c>
    </row>
    <row r="676" spans="1:6" ht="14.25">
      <c r="A676" s="234" t="s">
        <v>293</v>
      </c>
      <c r="B676" s="242" t="s">
        <v>2108</v>
      </c>
      <c r="C676" s="243" t="s">
        <v>14</v>
      </c>
      <c r="D676" s="244" t="s">
        <v>973</v>
      </c>
      <c r="E676" s="249" t="s">
        <v>953</v>
      </c>
      <c r="F676" s="246">
        <v>46027</v>
      </c>
    </row>
    <row r="677" spans="1:6" ht="14.25">
      <c r="A677" s="234" t="s">
        <v>293</v>
      </c>
      <c r="B677" s="242" t="s">
        <v>2108</v>
      </c>
      <c r="C677" s="243" t="s">
        <v>129</v>
      </c>
      <c r="D677" s="244" t="s">
        <v>200</v>
      </c>
      <c r="E677" s="245" t="s">
        <v>201</v>
      </c>
      <c r="F677" s="246">
        <v>44979</v>
      </c>
    </row>
    <row r="678" spans="1:6" ht="42.75">
      <c r="A678" s="234" t="s">
        <v>293</v>
      </c>
      <c r="B678" s="242" t="s">
        <v>2108</v>
      </c>
      <c r="C678" s="243" t="s">
        <v>129</v>
      </c>
      <c r="D678" s="244" t="s">
        <v>995</v>
      </c>
      <c r="E678" s="245" t="s">
        <v>994</v>
      </c>
      <c r="F678" s="246">
        <v>45609</v>
      </c>
    </row>
    <row r="679" spans="1:6" ht="14.25">
      <c r="A679" s="234" t="s">
        <v>293</v>
      </c>
      <c r="B679" s="242" t="s">
        <v>2108</v>
      </c>
      <c r="C679" s="243" t="s">
        <v>129</v>
      </c>
      <c r="D679" s="244" t="s">
        <v>378</v>
      </c>
      <c r="E679" s="245" t="s">
        <v>376</v>
      </c>
      <c r="F679" s="246">
        <v>45742</v>
      </c>
    </row>
    <row r="680" spans="1:6" ht="14.25">
      <c r="A680" s="234" t="s">
        <v>293</v>
      </c>
      <c r="B680" s="242" t="s">
        <v>2108</v>
      </c>
      <c r="C680" s="243" t="s">
        <v>129</v>
      </c>
      <c r="D680" s="244" t="s">
        <v>396</v>
      </c>
      <c r="E680" s="245" t="s">
        <v>386</v>
      </c>
      <c r="F680" s="246">
        <v>45756</v>
      </c>
    </row>
    <row r="681" spans="1:6" ht="14.25">
      <c r="A681" s="234" t="s">
        <v>293</v>
      </c>
      <c r="B681" s="242" t="s">
        <v>2108</v>
      </c>
      <c r="C681" s="243" t="s">
        <v>129</v>
      </c>
      <c r="D681" s="244" t="s">
        <v>417</v>
      </c>
      <c r="E681" s="245" t="s">
        <v>412</v>
      </c>
      <c r="F681" s="246">
        <v>45798</v>
      </c>
    </row>
    <row r="682" spans="1:6" ht="14.25">
      <c r="A682" s="234" t="s">
        <v>293</v>
      </c>
      <c r="B682" s="242" t="s">
        <v>2108</v>
      </c>
      <c r="C682" s="243" t="s">
        <v>129</v>
      </c>
      <c r="D682" s="244" t="s">
        <v>466</v>
      </c>
      <c r="E682" s="245" t="s">
        <v>437</v>
      </c>
      <c r="F682" s="246">
        <v>45854</v>
      </c>
    </row>
    <row r="683" spans="1:6" ht="14.25">
      <c r="A683" s="234" t="s">
        <v>293</v>
      </c>
      <c r="B683" s="242" t="s">
        <v>2108</v>
      </c>
      <c r="C683" s="243" t="s">
        <v>129</v>
      </c>
      <c r="D683" s="244" t="s">
        <v>536</v>
      </c>
      <c r="E683" s="245" t="s">
        <v>510</v>
      </c>
      <c r="F683" s="246">
        <v>45889</v>
      </c>
    </row>
    <row r="684" spans="1:6" ht="14.25">
      <c r="A684" s="234" t="s">
        <v>293</v>
      </c>
      <c r="B684" s="242" t="s">
        <v>2108</v>
      </c>
      <c r="C684" s="243" t="s">
        <v>129</v>
      </c>
      <c r="D684" s="244" t="s">
        <v>537</v>
      </c>
      <c r="E684" s="245" t="s">
        <v>511</v>
      </c>
      <c r="F684" s="246">
        <v>45882</v>
      </c>
    </row>
    <row r="685" spans="1:6" ht="14.25">
      <c r="A685" s="234" t="s">
        <v>293</v>
      </c>
      <c r="B685" s="242" t="s">
        <v>2108</v>
      </c>
      <c r="C685" s="243" t="s">
        <v>129</v>
      </c>
      <c r="D685" s="244" t="s">
        <v>615</v>
      </c>
      <c r="E685" s="245" t="s">
        <v>573</v>
      </c>
      <c r="F685" s="246">
        <v>45910</v>
      </c>
    </row>
    <row r="686" spans="1:6" ht="14.25">
      <c r="A686" s="234" t="s">
        <v>293</v>
      </c>
      <c r="B686" s="242" t="s">
        <v>2108</v>
      </c>
      <c r="C686" s="243" t="s">
        <v>129</v>
      </c>
      <c r="D686" s="244" t="s">
        <v>671</v>
      </c>
      <c r="E686" s="245" t="s">
        <v>672</v>
      </c>
      <c r="F686" s="246">
        <v>45854</v>
      </c>
    </row>
    <row r="687" spans="1:6" ht="14.25">
      <c r="A687" s="234" t="s">
        <v>293</v>
      </c>
      <c r="B687" s="242" t="s">
        <v>2108</v>
      </c>
      <c r="C687" s="243" t="s">
        <v>129</v>
      </c>
      <c r="D687" s="244" t="s">
        <v>745</v>
      </c>
      <c r="E687" s="245" t="s">
        <v>680</v>
      </c>
      <c r="F687" s="246">
        <v>45973</v>
      </c>
    </row>
    <row r="688" spans="1:6" ht="42.75">
      <c r="A688" s="234" t="s">
        <v>293</v>
      </c>
      <c r="B688" s="242" t="s">
        <v>2108</v>
      </c>
      <c r="C688" s="243" t="s">
        <v>129</v>
      </c>
      <c r="D688" s="244" t="s">
        <v>997</v>
      </c>
      <c r="E688" s="245" t="s">
        <v>996</v>
      </c>
      <c r="F688" s="246">
        <v>46057</v>
      </c>
    </row>
    <row r="689" spans="1:6" ht="14.25">
      <c r="A689" s="234" t="s">
        <v>293</v>
      </c>
      <c r="B689" s="242" t="s">
        <v>2108</v>
      </c>
      <c r="C689" s="243" t="s">
        <v>129</v>
      </c>
      <c r="D689" s="244" t="s">
        <v>990</v>
      </c>
      <c r="E689" s="245" t="s">
        <v>965</v>
      </c>
      <c r="F689" s="246">
        <v>45980</v>
      </c>
    </row>
    <row r="690" spans="1:6" ht="14.25">
      <c r="A690" s="234" t="s">
        <v>293</v>
      </c>
      <c r="B690" s="242" t="s">
        <v>2108</v>
      </c>
      <c r="C690" s="243" t="s">
        <v>129</v>
      </c>
      <c r="D690" s="244" t="s">
        <v>991</v>
      </c>
      <c r="E690" s="245" t="s">
        <v>966</v>
      </c>
      <c r="F690" s="246">
        <v>45980</v>
      </c>
    </row>
    <row r="691" spans="1:6" ht="14.25">
      <c r="A691" s="234" t="s">
        <v>293</v>
      </c>
      <c r="B691" s="242" t="s">
        <v>2108</v>
      </c>
      <c r="C691" s="243" t="s">
        <v>129</v>
      </c>
      <c r="D691" s="244" t="s">
        <v>992</v>
      </c>
      <c r="E691" s="245" t="s">
        <v>967</v>
      </c>
      <c r="F691" s="246">
        <v>45987</v>
      </c>
    </row>
    <row r="692" spans="1:6" ht="14.25">
      <c r="A692" s="234" t="s">
        <v>293</v>
      </c>
      <c r="B692" s="242" t="s">
        <v>2108</v>
      </c>
      <c r="C692" s="243" t="s">
        <v>146</v>
      </c>
      <c r="D692" s="244" t="s">
        <v>1002</v>
      </c>
      <c r="E692" s="245" t="s">
        <v>1003</v>
      </c>
      <c r="F692" s="246">
        <v>45980</v>
      </c>
    </row>
    <row r="693" spans="1:6" ht="14.25">
      <c r="A693" s="235" t="s">
        <v>294</v>
      </c>
      <c r="B693" s="242" t="s">
        <v>2108</v>
      </c>
      <c r="C693" s="250" t="s">
        <v>13</v>
      </c>
      <c r="D693" s="251" t="s">
        <v>1960</v>
      </c>
      <c r="E693" s="252" t="s">
        <v>1961</v>
      </c>
      <c r="F693" s="253">
        <v>46253</v>
      </c>
    </row>
    <row r="694" spans="1:6" ht="14.25">
      <c r="A694" s="235" t="s">
        <v>294</v>
      </c>
      <c r="B694" s="242" t="s">
        <v>2108</v>
      </c>
      <c r="C694" s="250" t="s">
        <v>13</v>
      </c>
      <c r="D694" s="251" t="s">
        <v>1962</v>
      </c>
      <c r="E694" s="252" t="s">
        <v>1963</v>
      </c>
      <c r="F694" s="253">
        <v>46251</v>
      </c>
    </row>
    <row r="695" spans="1:6" ht="14.25">
      <c r="A695" s="235" t="s">
        <v>294</v>
      </c>
      <c r="B695" s="242" t="s">
        <v>2108</v>
      </c>
      <c r="C695" s="243" t="s">
        <v>129</v>
      </c>
      <c r="D695" s="244" t="s">
        <v>746</v>
      </c>
      <c r="E695" s="245" t="s">
        <v>673</v>
      </c>
      <c r="F695" s="246">
        <v>45840</v>
      </c>
    </row>
    <row r="696" spans="1:6" ht="14.25">
      <c r="A696" s="235" t="s">
        <v>294</v>
      </c>
      <c r="B696" s="242" t="s">
        <v>2108</v>
      </c>
      <c r="C696" s="243" t="s">
        <v>129</v>
      </c>
      <c r="D696" s="244" t="s">
        <v>1106</v>
      </c>
      <c r="E696" s="245" t="s">
        <v>1107</v>
      </c>
      <c r="F696" s="246">
        <v>45994</v>
      </c>
    </row>
    <row r="697" spans="1:6" ht="14.25">
      <c r="A697" s="234" t="s">
        <v>256</v>
      </c>
      <c r="B697" s="242" t="s">
        <v>2125</v>
      </c>
      <c r="C697" s="243" t="s">
        <v>87</v>
      </c>
      <c r="D697" s="244" t="s">
        <v>165</v>
      </c>
      <c r="E697" s="249" t="s">
        <v>89</v>
      </c>
      <c r="F697" s="244">
        <v>44755</v>
      </c>
    </row>
    <row r="698" spans="1:6" ht="14.25">
      <c r="A698" s="234" t="s">
        <v>295</v>
      </c>
      <c r="B698" s="242" t="s">
        <v>2125</v>
      </c>
      <c r="C698" s="243" t="s">
        <v>87</v>
      </c>
      <c r="D698" s="244" t="s">
        <v>496</v>
      </c>
      <c r="E698" s="249" t="s">
        <v>461</v>
      </c>
      <c r="F698" s="244">
        <v>45488</v>
      </c>
    </row>
    <row r="699" spans="1:6" ht="14.25">
      <c r="A699" s="234" t="s">
        <v>295</v>
      </c>
      <c r="B699" s="242" t="s">
        <v>2125</v>
      </c>
      <c r="C699" s="243" t="s">
        <v>87</v>
      </c>
      <c r="D699" s="244" t="s">
        <v>497</v>
      </c>
      <c r="E699" s="249" t="s">
        <v>463</v>
      </c>
      <c r="F699" s="244">
        <v>45216</v>
      </c>
    </row>
    <row r="700" spans="1:6" ht="14.25">
      <c r="A700" s="234" t="s">
        <v>295</v>
      </c>
      <c r="B700" s="242" t="s">
        <v>2125</v>
      </c>
      <c r="C700" s="243" t="s">
        <v>87</v>
      </c>
      <c r="D700" s="244" t="s">
        <v>498</v>
      </c>
      <c r="E700" s="249" t="s">
        <v>464</v>
      </c>
      <c r="F700" s="244">
        <v>45042</v>
      </c>
    </row>
    <row r="701" spans="1:6" ht="14.25">
      <c r="A701" s="234" t="s">
        <v>295</v>
      </c>
      <c r="B701" s="242" t="s">
        <v>2125</v>
      </c>
      <c r="C701" s="243" t="s">
        <v>87</v>
      </c>
      <c r="D701" s="244" t="s">
        <v>622</v>
      </c>
      <c r="E701" s="249" t="s">
        <v>608</v>
      </c>
      <c r="F701" s="244">
        <v>45896</v>
      </c>
    </row>
    <row r="702" spans="1:6" ht="14.25">
      <c r="A702" s="234" t="s">
        <v>295</v>
      </c>
      <c r="B702" s="242" t="s">
        <v>2125</v>
      </c>
      <c r="C702" s="243" t="s">
        <v>87</v>
      </c>
      <c r="D702" s="244" t="s">
        <v>2093</v>
      </c>
      <c r="E702" s="249" t="s">
        <v>865</v>
      </c>
      <c r="F702" s="244">
        <v>45999</v>
      </c>
    </row>
    <row r="703" spans="1:6" ht="14.25">
      <c r="A703" s="234" t="s">
        <v>295</v>
      </c>
      <c r="B703" s="242" t="s">
        <v>2125</v>
      </c>
      <c r="C703" s="243" t="s">
        <v>14</v>
      </c>
      <c r="D703" s="244" t="s">
        <v>924</v>
      </c>
      <c r="E703" s="245" t="s">
        <v>903</v>
      </c>
      <c r="F703" s="246">
        <v>46036</v>
      </c>
    </row>
    <row r="704" spans="1:6" ht="14.25">
      <c r="A704" s="234" t="s">
        <v>295</v>
      </c>
      <c r="B704" s="242" t="s">
        <v>2125</v>
      </c>
      <c r="C704" s="250" t="s">
        <v>14</v>
      </c>
      <c r="D704" s="251" t="s">
        <v>2086</v>
      </c>
      <c r="E704" s="252" t="s">
        <v>2087</v>
      </c>
      <c r="F704" s="253">
        <v>46225</v>
      </c>
    </row>
    <row r="705" spans="1:6" ht="14.25">
      <c r="A705" s="234" t="s">
        <v>295</v>
      </c>
      <c r="B705" s="242" t="s">
        <v>2125</v>
      </c>
      <c r="C705" s="250" t="s">
        <v>14</v>
      </c>
      <c r="D705" s="251" t="s">
        <v>2088</v>
      </c>
      <c r="E705" s="252" t="s">
        <v>2089</v>
      </c>
      <c r="F705" s="253">
        <v>46225</v>
      </c>
    </row>
    <row r="706" spans="1:6" ht="14.25">
      <c r="A706" s="234" t="s">
        <v>295</v>
      </c>
      <c r="B706" s="242" t="s">
        <v>2125</v>
      </c>
      <c r="C706" s="250" t="s">
        <v>14</v>
      </c>
      <c r="D706" s="251" t="s">
        <v>2090</v>
      </c>
      <c r="E706" s="252" t="s">
        <v>2091</v>
      </c>
      <c r="F706" s="253">
        <v>46225</v>
      </c>
    </row>
    <row r="707" spans="1:6" ht="14.25">
      <c r="A707" s="234" t="s">
        <v>295</v>
      </c>
      <c r="B707" s="242" t="s">
        <v>2125</v>
      </c>
      <c r="C707" s="265" t="s">
        <v>13</v>
      </c>
      <c r="D707" s="244" t="s">
        <v>1012</v>
      </c>
      <c r="E707" s="249" t="s">
        <v>1013</v>
      </c>
      <c r="F707" s="244">
        <v>45457</v>
      </c>
    </row>
    <row r="708" spans="1:6" ht="14.25">
      <c r="A708" s="234" t="s">
        <v>295</v>
      </c>
      <c r="B708" s="242" t="s">
        <v>2125</v>
      </c>
      <c r="C708" s="265" t="s">
        <v>146</v>
      </c>
      <c r="D708" s="244" t="s">
        <v>166</v>
      </c>
      <c r="E708" s="249" t="s">
        <v>90</v>
      </c>
      <c r="F708" s="244">
        <v>44790</v>
      </c>
    </row>
    <row r="709" spans="1:6" ht="14.25">
      <c r="A709" s="234" t="s">
        <v>295</v>
      </c>
      <c r="B709" s="242" t="s">
        <v>2125</v>
      </c>
      <c r="C709" s="265" t="s">
        <v>146</v>
      </c>
      <c r="D709" s="244" t="s">
        <v>151</v>
      </c>
      <c r="E709" s="249" t="s">
        <v>91</v>
      </c>
      <c r="F709" s="244">
        <v>44790</v>
      </c>
    </row>
    <row r="710" spans="1:6" ht="14.25">
      <c r="A710" s="234" t="s">
        <v>295</v>
      </c>
      <c r="B710" s="242" t="s">
        <v>2125</v>
      </c>
      <c r="C710" s="265" t="s">
        <v>146</v>
      </c>
      <c r="D710" s="244" t="s">
        <v>167</v>
      </c>
      <c r="E710" s="249" t="s">
        <v>92</v>
      </c>
      <c r="F710" s="244">
        <v>44790</v>
      </c>
    </row>
    <row r="711" spans="1:6" ht="14.25">
      <c r="A711" s="234" t="s">
        <v>295</v>
      </c>
      <c r="B711" s="242" t="s">
        <v>2125</v>
      </c>
      <c r="C711" s="265" t="s">
        <v>146</v>
      </c>
      <c r="D711" s="244" t="s">
        <v>266</v>
      </c>
      <c r="E711" s="249" t="s">
        <v>267</v>
      </c>
      <c r="F711" s="244">
        <v>45063</v>
      </c>
    </row>
    <row r="712" spans="1:6" ht="14.25">
      <c r="A712" s="234" t="s">
        <v>295</v>
      </c>
      <c r="B712" s="242" t="s">
        <v>2125</v>
      </c>
      <c r="C712" s="265" t="s">
        <v>146</v>
      </c>
      <c r="D712" s="244" t="s">
        <v>109</v>
      </c>
      <c r="E712" s="249" t="s">
        <v>102</v>
      </c>
      <c r="F712" s="244">
        <v>44770</v>
      </c>
    </row>
    <row r="713" spans="1:6" ht="28.5">
      <c r="A713" s="235" t="s">
        <v>2135</v>
      </c>
      <c r="B713" s="242" t="s">
        <v>2123</v>
      </c>
      <c r="C713" s="243" t="s">
        <v>14</v>
      </c>
      <c r="D713" s="244" t="s">
        <v>493</v>
      </c>
      <c r="E713" s="245" t="s">
        <v>457</v>
      </c>
      <c r="F713" s="246">
        <v>45854</v>
      </c>
    </row>
    <row r="714" spans="1:6" ht="28.5">
      <c r="A714" s="235" t="s">
        <v>2135</v>
      </c>
      <c r="B714" s="242" t="s">
        <v>2123</v>
      </c>
      <c r="C714" s="243" t="s">
        <v>14</v>
      </c>
      <c r="D714" s="244" t="s">
        <v>639</v>
      </c>
      <c r="E714" s="245" t="s">
        <v>603</v>
      </c>
      <c r="F714" s="246">
        <v>45908</v>
      </c>
    </row>
    <row r="715" spans="1:6" ht="28.5">
      <c r="A715" s="235" t="s">
        <v>2135</v>
      </c>
      <c r="B715" s="242" t="s">
        <v>2123</v>
      </c>
      <c r="C715" s="243" t="s">
        <v>14</v>
      </c>
      <c r="D715" s="244" t="s">
        <v>913</v>
      </c>
      <c r="E715" s="245" t="s">
        <v>898</v>
      </c>
      <c r="F715" s="246">
        <v>46015</v>
      </c>
    </row>
    <row r="716" spans="1:6" ht="28.5">
      <c r="A716" s="235" t="s">
        <v>2135</v>
      </c>
      <c r="B716" s="242" t="s">
        <v>2123</v>
      </c>
      <c r="C716" s="243" t="s">
        <v>87</v>
      </c>
      <c r="D716" s="244" t="s">
        <v>1244</v>
      </c>
      <c r="E716" s="249" t="s">
        <v>1245</v>
      </c>
      <c r="F716" s="244">
        <v>46113</v>
      </c>
    </row>
    <row r="717" spans="1:6" ht="28.5">
      <c r="A717" s="235" t="s">
        <v>2135</v>
      </c>
      <c r="B717" s="242" t="s">
        <v>2123</v>
      </c>
      <c r="C717" s="243" t="s">
        <v>14</v>
      </c>
      <c r="D717" s="244" t="s">
        <v>1724</v>
      </c>
      <c r="E717" s="245" t="s">
        <v>1725</v>
      </c>
      <c r="F717" s="246">
        <v>46197</v>
      </c>
    </row>
    <row r="718" spans="1:6" ht="28.5">
      <c r="A718" s="235" t="s">
        <v>2135</v>
      </c>
      <c r="B718" s="242" t="s">
        <v>2123</v>
      </c>
      <c r="C718" s="250" t="s">
        <v>14</v>
      </c>
      <c r="D718" s="251" t="s">
        <v>2080</v>
      </c>
      <c r="E718" s="252" t="s">
        <v>2081</v>
      </c>
      <c r="F718" s="253">
        <v>46225</v>
      </c>
    </row>
    <row r="719" spans="1:6" ht="28.5">
      <c r="A719" s="235" t="s">
        <v>2135</v>
      </c>
      <c r="B719" s="242" t="s">
        <v>2122</v>
      </c>
      <c r="C719" s="243" t="s">
        <v>13</v>
      </c>
      <c r="D719" s="244" t="s">
        <v>860</v>
      </c>
      <c r="E719" s="245" t="s">
        <v>811</v>
      </c>
      <c r="F719" s="246">
        <v>45992</v>
      </c>
    </row>
    <row r="720" spans="1:6" ht="28.5">
      <c r="A720" s="235" t="s">
        <v>2135</v>
      </c>
      <c r="B720" s="242" t="s">
        <v>2122</v>
      </c>
      <c r="C720" s="243" t="s">
        <v>14</v>
      </c>
      <c r="D720" s="244" t="s">
        <v>299</v>
      </c>
      <c r="E720" s="245" t="s">
        <v>292</v>
      </c>
      <c r="F720" s="246">
        <v>45560</v>
      </c>
    </row>
    <row r="721" spans="1:6" ht="28.5">
      <c r="A721" s="235" t="s">
        <v>2135</v>
      </c>
      <c r="B721" s="242" t="s">
        <v>2122</v>
      </c>
      <c r="C721" s="243" t="s">
        <v>14</v>
      </c>
      <c r="D721" s="244" t="s">
        <v>640</v>
      </c>
      <c r="E721" s="245" t="s">
        <v>604</v>
      </c>
      <c r="F721" s="246">
        <v>45910</v>
      </c>
    </row>
    <row r="722" spans="1:6" ht="28.5">
      <c r="A722" s="235" t="s">
        <v>2135</v>
      </c>
      <c r="B722" s="242" t="s">
        <v>2122</v>
      </c>
      <c r="C722" s="243" t="s">
        <v>14</v>
      </c>
      <c r="D722" s="244" t="s">
        <v>912</v>
      </c>
      <c r="E722" s="245" t="s">
        <v>897</v>
      </c>
      <c r="F722" s="246">
        <v>46013</v>
      </c>
    </row>
    <row r="723" spans="1:6" ht="28.5">
      <c r="A723" s="235" t="s">
        <v>2135</v>
      </c>
      <c r="B723" s="242" t="s">
        <v>2122</v>
      </c>
      <c r="C723" s="243" t="s">
        <v>14</v>
      </c>
      <c r="D723" s="244" t="s">
        <v>1904</v>
      </c>
      <c r="E723" s="245" t="s">
        <v>1905</v>
      </c>
      <c r="F723" s="246">
        <v>46215</v>
      </c>
    </row>
    <row r="724" spans="1:6" ht="28.5">
      <c r="A724" s="235" t="s">
        <v>2135</v>
      </c>
      <c r="B724" s="242" t="s">
        <v>2122</v>
      </c>
      <c r="C724" s="243" t="s">
        <v>14</v>
      </c>
      <c r="D724" s="244" t="s">
        <v>1906</v>
      </c>
      <c r="E724" s="245" t="s">
        <v>1907</v>
      </c>
      <c r="F724" s="246">
        <v>46215</v>
      </c>
    </row>
    <row r="725" spans="1:6" ht="28.5">
      <c r="A725" s="235" t="s">
        <v>2135</v>
      </c>
      <c r="B725" s="242" t="s">
        <v>2122</v>
      </c>
      <c r="C725" s="243" t="s">
        <v>14</v>
      </c>
      <c r="D725" s="244" t="s">
        <v>1594</v>
      </c>
      <c r="E725" s="245" t="s">
        <v>1595</v>
      </c>
      <c r="F725" s="246">
        <v>46208</v>
      </c>
    </row>
    <row r="726" spans="1:6" ht="28.5">
      <c r="A726" s="235" t="s">
        <v>2135</v>
      </c>
      <c r="B726" s="242" t="s">
        <v>2122</v>
      </c>
      <c r="C726" s="250" t="s">
        <v>14</v>
      </c>
      <c r="D726" s="251" t="s">
        <v>2082</v>
      </c>
      <c r="E726" s="252" t="s">
        <v>2083</v>
      </c>
      <c r="F726" s="253">
        <v>46225</v>
      </c>
    </row>
    <row r="727" spans="1:6" ht="14.25">
      <c r="A727" s="234" t="s">
        <v>2132</v>
      </c>
      <c r="B727" s="242" t="s">
        <v>2114</v>
      </c>
      <c r="C727" s="243" t="s">
        <v>14</v>
      </c>
      <c r="D727" s="244" t="s">
        <v>1654</v>
      </c>
      <c r="E727" s="245" t="s">
        <v>1655</v>
      </c>
      <c r="F727" s="246">
        <v>46215</v>
      </c>
    </row>
    <row r="728" spans="1:6" ht="14.25">
      <c r="A728" s="235" t="s">
        <v>1940</v>
      </c>
      <c r="B728" s="242" t="s">
        <v>2114</v>
      </c>
      <c r="C728" s="243" t="s">
        <v>14</v>
      </c>
      <c r="D728" s="245" t="s">
        <v>1367</v>
      </c>
      <c r="E728" s="249" t="s">
        <v>1368</v>
      </c>
      <c r="F728" s="244">
        <v>46155</v>
      </c>
    </row>
    <row r="729" spans="1:6" ht="14.25">
      <c r="A729" s="235" t="s">
        <v>1940</v>
      </c>
      <c r="B729" s="242" t="s">
        <v>2114</v>
      </c>
      <c r="C729" s="243" t="s">
        <v>14</v>
      </c>
      <c r="D729" s="244" t="s">
        <v>1458</v>
      </c>
      <c r="E729" s="245" t="s">
        <v>1459</v>
      </c>
      <c r="F729" s="246">
        <v>46169</v>
      </c>
    </row>
    <row r="730" spans="1:6" ht="14.25">
      <c r="A730" s="235" t="s">
        <v>1940</v>
      </c>
      <c r="B730" s="242" t="s">
        <v>2114</v>
      </c>
      <c r="C730" s="250" t="s">
        <v>14</v>
      </c>
      <c r="D730" s="251" t="s">
        <v>2023</v>
      </c>
      <c r="E730" s="252" t="s">
        <v>2024</v>
      </c>
      <c r="F730" s="253">
        <v>46246</v>
      </c>
    </row>
    <row r="731" spans="1:6" ht="28.5">
      <c r="A731" s="235" t="s">
        <v>2135</v>
      </c>
      <c r="B731" s="242" t="s">
        <v>2114</v>
      </c>
      <c r="C731" s="243" t="s">
        <v>14</v>
      </c>
      <c r="D731" s="244" t="s">
        <v>1577</v>
      </c>
      <c r="E731" s="249" t="s">
        <v>1578</v>
      </c>
      <c r="F731" s="244">
        <v>46204</v>
      </c>
    </row>
    <row r="732" spans="1:6" ht="28.5">
      <c r="A732" s="235" t="s">
        <v>2135</v>
      </c>
      <c r="B732" s="242" t="s">
        <v>2114</v>
      </c>
      <c r="C732" s="243" t="s">
        <v>14</v>
      </c>
      <c r="D732" s="244" t="s">
        <v>1770</v>
      </c>
      <c r="E732" s="245" t="s">
        <v>1771</v>
      </c>
      <c r="F732" s="246">
        <v>46215</v>
      </c>
    </row>
    <row r="733" spans="1:6" ht="28.5">
      <c r="A733" s="235" t="s">
        <v>2135</v>
      </c>
      <c r="B733" s="242" t="s">
        <v>2114</v>
      </c>
      <c r="C733" s="243" t="s">
        <v>14</v>
      </c>
      <c r="D733" s="244" t="s">
        <v>1349</v>
      </c>
      <c r="E733" s="245" t="s">
        <v>1350</v>
      </c>
      <c r="F733" s="246">
        <v>46139</v>
      </c>
    </row>
    <row r="734" spans="1:6" ht="28.5">
      <c r="A734" s="235" t="s">
        <v>2135</v>
      </c>
      <c r="B734" s="242" t="s">
        <v>2114</v>
      </c>
      <c r="C734" s="243" t="s">
        <v>14</v>
      </c>
      <c r="D734" s="244" t="s">
        <v>1582</v>
      </c>
      <c r="E734" s="245" t="s">
        <v>1583</v>
      </c>
      <c r="F734" s="246">
        <v>46197</v>
      </c>
    </row>
    <row r="735" spans="1:6" ht="28.5">
      <c r="A735" s="235" t="s">
        <v>2135</v>
      </c>
      <c r="B735" s="242" t="s">
        <v>2114</v>
      </c>
      <c r="C735" s="243" t="s">
        <v>14</v>
      </c>
      <c r="D735" s="244" t="s">
        <v>1611</v>
      </c>
      <c r="E735" s="245" t="s">
        <v>1612</v>
      </c>
      <c r="F735" s="246">
        <v>46215</v>
      </c>
    </row>
    <row r="736" spans="1:6" ht="28.5">
      <c r="A736" s="235" t="s">
        <v>2135</v>
      </c>
      <c r="B736" s="242" t="s">
        <v>2114</v>
      </c>
      <c r="C736" s="243" t="s">
        <v>14</v>
      </c>
      <c r="D736" s="244" t="s">
        <v>1850</v>
      </c>
      <c r="E736" s="245" t="s">
        <v>1851</v>
      </c>
      <c r="F736" s="246">
        <v>46215</v>
      </c>
    </row>
    <row r="737" spans="1:6" ht="28.5">
      <c r="A737" s="235" t="s">
        <v>2135</v>
      </c>
      <c r="B737" s="242" t="s">
        <v>2114</v>
      </c>
      <c r="C737" s="243" t="s">
        <v>14</v>
      </c>
      <c r="D737" s="244" t="s">
        <v>1866</v>
      </c>
      <c r="E737" s="245" t="s">
        <v>1867</v>
      </c>
      <c r="F737" s="246">
        <v>46215</v>
      </c>
    </row>
    <row r="738" spans="1:6" ht="28.5">
      <c r="A738" s="235" t="s">
        <v>2135</v>
      </c>
      <c r="B738" s="242" t="s">
        <v>2114</v>
      </c>
      <c r="C738" s="243" t="s">
        <v>14</v>
      </c>
      <c r="D738" s="244" t="s">
        <v>1868</v>
      </c>
      <c r="E738" s="245" t="s">
        <v>1869</v>
      </c>
      <c r="F738" s="246">
        <v>46215</v>
      </c>
    </row>
    <row r="739" spans="1:6" ht="14.25">
      <c r="A739" s="234" t="s">
        <v>415</v>
      </c>
      <c r="B739" s="242" t="s">
        <v>2114</v>
      </c>
      <c r="C739" s="243" t="s">
        <v>14</v>
      </c>
      <c r="D739" s="244" t="s">
        <v>621</v>
      </c>
      <c r="E739" s="249" t="s">
        <v>599</v>
      </c>
      <c r="F739" s="246">
        <v>45896</v>
      </c>
    </row>
    <row r="740" spans="1:6" ht="14.25">
      <c r="A740" s="234" t="s">
        <v>2136</v>
      </c>
      <c r="B740" s="242" t="s">
        <v>2114</v>
      </c>
      <c r="C740" s="243" t="s">
        <v>14</v>
      </c>
      <c r="D740" s="244" t="s">
        <v>369</v>
      </c>
      <c r="E740" s="249" t="s">
        <v>362</v>
      </c>
      <c r="F740" s="246">
        <v>45700</v>
      </c>
    </row>
    <row r="741" spans="1:6" ht="14.25">
      <c r="A741" s="234" t="s">
        <v>2136</v>
      </c>
      <c r="B741" s="242" t="s">
        <v>2114</v>
      </c>
      <c r="C741" s="243" t="s">
        <v>14</v>
      </c>
      <c r="D741" s="244" t="s">
        <v>638</v>
      </c>
      <c r="E741" s="245" t="s">
        <v>602</v>
      </c>
      <c r="F741" s="246">
        <v>45908</v>
      </c>
    </row>
    <row r="742" spans="1:6" ht="14.25">
      <c r="A742" s="234" t="s">
        <v>2136</v>
      </c>
      <c r="B742" s="242" t="s">
        <v>2114</v>
      </c>
      <c r="C742" s="243" t="s">
        <v>14</v>
      </c>
      <c r="D742" s="244" t="s">
        <v>1416</v>
      </c>
      <c r="E742" s="249" t="s">
        <v>1417</v>
      </c>
      <c r="F742" s="246">
        <v>46139</v>
      </c>
    </row>
    <row r="743" spans="1:6" ht="14.25">
      <c r="A743" s="234" t="s">
        <v>2136</v>
      </c>
      <c r="B743" s="242" t="s">
        <v>2114</v>
      </c>
      <c r="C743" s="243" t="s">
        <v>14</v>
      </c>
      <c r="D743" s="244" t="s">
        <v>1143</v>
      </c>
      <c r="E743" s="245" t="s">
        <v>1144</v>
      </c>
      <c r="F743" s="246">
        <v>46127</v>
      </c>
    </row>
    <row r="744" spans="1:6" ht="14.25">
      <c r="A744" s="234" t="s">
        <v>2136</v>
      </c>
      <c r="B744" s="242" t="s">
        <v>2114</v>
      </c>
      <c r="C744" s="243" t="s">
        <v>129</v>
      </c>
      <c r="D744" s="244" t="s">
        <v>1441</v>
      </c>
      <c r="E744" s="245" t="s">
        <v>1442</v>
      </c>
      <c r="F744" s="246">
        <v>46174</v>
      </c>
    </row>
    <row r="745" spans="1:6" ht="14.25">
      <c r="A745" s="234" t="s">
        <v>2136</v>
      </c>
      <c r="B745" s="242" t="s">
        <v>2114</v>
      </c>
      <c r="C745" s="243" t="s">
        <v>146</v>
      </c>
      <c r="D745" s="244" t="s">
        <v>933</v>
      </c>
      <c r="E745" s="249" t="s">
        <v>888</v>
      </c>
      <c r="F745" s="246">
        <v>45882</v>
      </c>
    </row>
    <row r="746" spans="1:6" ht="14.25">
      <c r="A746" s="234" t="s">
        <v>2136</v>
      </c>
      <c r="B746" s="242" t="s">
        <v>2114</v>
      </c>
      <c r="C746" s="243" t="s">
        <v>146</v>
      </c>
      <c r="D746" s="244" t="s">
        <v>934</v>
      </c>
      <c r="E746" s="249" t="s">
        <v>889</v>
      </c>
      <c r="F746" s="246">
        <v>45924</v>
      </c>
    </row>
    <row r="747" spans="1:6" ht="14.25">
      <c r="A747" s="235" t="s">
        <v>294</v>
      </c>
      <c r="B747" s="242" t="s">
        <v>2104</v>
      </c>
      <c r="C747" s="243" t="s">
        <v>14</v>
      </c>
      <c r="D747" s="244" t="s">
        <v>265</v>
      </c>
      <c r="E747" s="249" t="s">
        <v>261</v>
      </c>
      <c r="F747" s="246">
        <v>45525</v>
      </c>
    </row>
    <row r="748" spans="1:6" ht="14.25">
      <c r="A748" s="235" t="s">
        <v>294</v>
      </c>
      <c r="B748" s="242" t="s">
        <v>2104</v>
      </c>
      <c r="C748" s="243" t="s">
        <v>14</v>
      </c>
      <c r="D748" s="244" t="s">
        <v>1228</v>
      </c>
      <c r="E748" s="249" t="s">
        <v>1229</v>
      </c>
      <c r="F748" s="244">
        <v>46125</v>
      </c>
    </row>
    <row r="749" spans="1:6" ht="14.25">
      <c r="A749" s="235" t="s">
        <v>1940</v>
      </c>
      <c r="B749" s="242" t="s">
        <v>2104</v>
      </c>
      <c r="C749" s="243" t="s">
        <v>14</v>
      </c>
      <c r="D749" s="244" t="s">
        <v>158</v>
      </c>
      <c r="E749" s="245" t="s">
        <v>80</v>
      </c>
      <c r="F749" s="246">
        <v>44809</v>
      </c>
    </row>
    <row r="750" spans="1:6" ht="28.5">
      <c r="A750" s="235" t="s">
        <v>333</v>
      </c>
      <c r="B750" s="242" t="s">
        <v>2104</v>
      </c>
      <c r="C750" s="243" t="s">
        <v>13</v>
      </c>
      <c r="D750" s="244" t="s">
        <v>664</v>
      </c>
      <c r="E750" s="245" t="s">
        <v>659</v>
      </c>
      <c r="F750" s="246">
        <v>45943</v>
      </c>
    </row>
    <row r="751" spans="1:6" ht="28.5">
      <c r="A751" s="235" t="s">
        <v>2135</v>
      </c>
      <c r="B751" s="242" t="s">
        <v>2104</v>
      </c>
      <c r="C751" s="243" t="s">
        <v>13</v>
      </c>
      <c r="D751" s="244" t="s">
        <v>859</v>
      </c>
      <c r="E751" s="245" t="s">
        <v>807</v>
      </c>
      <c r="F751" s="246">
        <v>45992</v>
      </c>
    </row>
    <row r="752" spans="1:6" ht="28.5">
      <c r="A752" s="235" t="s">
        <v>2135</v>
      </c>
      <c r="B752" s="242" t="s">
        <v>2104</v>
      </c>
      <c r="C752" s="243" t="s">
        <v>13</v>
      </c>
      <c r="D752" s="244" t="s">
        <v>931</v>
      </c>
      <c r="E752" s="245" t="s">
        <v>890</v>
      </c>
      <c r="F752" s="246">
        <v>43907</v>
      </c>
    </row>
    <row r="753" spans="1:6" ht="28.5">
      <c r="A753" s="235" t="s">
        <v>2135</v>
      </c>
      <c r="B753" s="242" t="s">
        <v>2104</v>
      </c>
      <c r="C753" s="243" t="s">
        <v>81</v>
      </c>
      <c r="D753" s="244" t="s">
        <v>1264</v>
      </c>
      <c r="E753" s="249" t="s">
        <v>1265</v>
      </c>
      <c r="F753" s="244">
        <v>46127</v>
      </c>
    </row>
    <row r="754" spans="1:6" ht="28.5">
      <c r="A754" s="235" t="s">
        <v>2135</v>
      </c>
      <c r="B754" s="242" t="s">
        <v>2104</v>
      </c>
      <c r="C754" s="243" t="s">
        <v>14</v>
      </c>
      <c r="D754" s="244" t="s">
        <v>164</v>
      </c>
      <c r="E754" s="245" t="s">
        <v>73</v>
      </c>
      <c r="F754" s="246">
        <v>44774</v>
      </c>
    </row>
    <row r="755" spans="1:6" ht="28.5">
      <c r="A755" s="235" t="s">
        <v>2135</v>
      </c>
      <c r="B755" s="242" t="s">
        <v>2104</v>
      </c>
      <c r="C755" s="243" t="s">
        <v>14</v>
      </c>
      <c r="D755" s="244" t="s">
        <v>298</v>
      </c>
      <c r="E755" s="245" t="s">
        <v>291</v>
      </c>
      <c r="F755" s="246">
        <v>45588</v>
      </c>
    </row>
    <row r="756" spans="1:6" ht="28.5">
      <c r="A756" s="235" t="s">
        <v>2135</v>
      </c>
      <c r="B756" s="242" t="s">
        <v>2104</v>
      </c>
      <c r="C756" s="243" t="s">
        <v>14</v>
      </c>
      <c r="D756" s="244" t="s">
        <v>349</v>
      </c>
      <c r="E756" s="245" t="s">
        <v>340</v>
      </c>
      <c r="F756" s="246">
        <v>45644</v>
      </c>
    </row>
    <row r="757" spans="1:6" ht="28.5">
      <c r="A757" s="235" t="s">
        <v>2135</v>
      </c>
      <c r="B757" s="242" t="s">
        <v>2104</v>
      </c>
      <c r="C757" s="243" t="s">
        <v>14</v>
      </c>
      <c r="D757" s="244" t="s">
        <v>357</v>
      </c>
      <c r="E757" s="245" t="s">
        <v>354</v>
      </c>
      <c r="F757" s="246">
        <v>45651</v>
      </c>
    </row>
    <row r="758" spans="1:6" ht="28.5">
      <c r="A758" s="234" t="s">
        <v>2135</v>
      </c>
      <c r="B758" s="242" t="s">
        <v>2104</v>
      </c>
      <c r="C758" s="243" t="s">
        <v>14</v>
      </c>
      <c r="D758" s="244" t="s">
        <v>226</v>
      </c>
      <c r="E758" s="249" t="s">
        <v>227</v>
      </c>
      <c r="F758" s="246">
        <v>45483</v>
      </c>
    </row>
    <row r="759" spans="1:6" ht="28.5">
      <c r="A759" s="235" t="s">
        <v>2135</v>
      </c>
      <c r="B759" s="242" t="s">
        <v>2104</v>
      </c>
      <c r="C759" s="243" t="s">
        <v>14</v>
      </c>
      <c r="D759" s="244" t="s">
        <v>251</v>
      </c>
      <c r="E759" s="249" t="s">
        <v>255</v>
      </c>
      <c r="F759" s="246">
        <v>44617</v>
      </c>
    </row>
    <row r="760" spans="1:6" ht="28.5">
      <c r="A760" s="235" t="s">
        <v>2135</v>
      </c>
      <c r="B760" s="242" t="s">
        <v>2104</v>
      </c>
      <c r="C760" s="243" t="s">
        <v>14</v>
      </c>
      <c r="D760" s="244" t="s">
        <v>554</v>
      </c>
      <c r="E760" s="249" t="s">
        <v>529</v>
      </c>
      <c r="F760" s="246">
        <v>45875</v>
      </c>
    </row>
    <row r="761" spans="1:6" ht="28.5">
      <c r="A761" s="235" t="s">
        <v>2135</v>
      </c>
      <c r="B761" s="242" t="s">
        <v>2104</v>
      </c>
      <c r="C761" s="243" t="s">
        <v>14</v>
      </c>
      <c r="D761" s="244" t="s">
        <v>489</v>
      </c>
      <c r="E761" s="245" t="s">
        <v>458</v>
      </c>
      <c r="F761" s="246">
        <v>45847</v>
      </c>
    </row>
    <row r="762" spans="1:6" ht="28.5">
      <c r="A762" s="235" t="s">
        <v>2135</v>
      </c>
      <c r="B762" s="242" t="s">
        <v>2104</v>
      </c>
      <c r="C762" s="243" t="s">
        <v>14</v>
      </c>
      <c r="D762" s="244" t="s">
        <v>625</v>
      </c>
      <c r="E762" s="245" t="s">
        <v>590</v>
      </c>
      <c r="F762" s="246">
        <v>45910</v>
      </c>
    </row>
    <row r="763" spans="1:6" ht="28.5">
      <c r="A763" s="235" t="s">
        <v>2135</v>
      </c>
      <c r="B763" s="242" t="s">
        <v>2104</v>
      </c>
      <c r="C763" s="243" t="s">
        <v>14</v>
      </c>
      <c r="D763" s="244" t="s">
        <v>556</v>
      </c>
      <c r="E763" s="245" t="s">
        <v>531</v>
      </c>
      <c r="F763" s="246">
        <v>45882</v>
      </c>
    </row>
    <row r="764" spans="1:6" ht="28.5">
      <c r="A764" s="235" t="s">
        <v>2135</v>
      </c>
      <c r="B764" s="242" t="s">
        <v>2104</v>
      </c>
      <c r="C764" s="243" t="s">
        <v>14</v>
      </c>
      <c r="D764" s="244" t="s">
        <v>741</v>
      </c>
      <c r="E764" s="245" t="s">
        <v>710</v>
      </c>
      <c r="F764" s="246">
        <v>45980</v>
      </c>
    </row>
    <row r="765" spans="1:6" ht="28.5">
      <c r="A765" s="235" t="s">
        <v>2135</v>
      </c>
      <c r="B765" s="242" t="s">
        <v>2104</v>
      </c>
      <c r="C765" s="243" t="s">
        <v>14</v>
      </c>
      <c r="D765" s="244" t="s">
        <v>861</v>
      </c>
      <c r="E765" s="245" t="s">
        <v>808</v>
      </c>
      <c r="F765" s="246">
        <v>46008</v>
      </c>
    </row>
    <row r="766" spans="1:6" ht="28.5">
      <c r="A766" s="235" t="s">
        <v>2135</v>
      </c>
      <c r="B766" s="242" t="s">
        <v>2104</v>
      </c>
      <c r="C766" s="243" t="s">
        <v>14</v>
      </c>
      <c r="D766" s="244" t="s">
        <v>923</v>
      </c>
      <c r="E766" s="245" t="s">
        <v>891</v>
      </c>
      <c r="F766" s="246">
        <v>46015</v>
      </c>
    </row>
    <row r="767" spans="1:6" ht="28.5">
      <c r="A767" s="235" t="s">
        <v>2135</v>
      </c>
      <c r="B767" s="242" t="s">
        <v>2104</v>
      </c>
      <c r="C767" s="243" t="s">
        <v>14</v>
      </c>
      <c r="D767" s="244" t="s">
        <v>829</v>
      </c>
      <c r="E767" s="245" t="s">
        <v>787</v>
      </c>
      <c r="F767" s="246">
        <v>45994</v>
      </c>
    </row>
    <row r="768" spans="1:6" ht="28.5">
      <c r="A768" s="235" t="s">
        <v>2135</v>
      </c>
      <c r="B768" s="242" t="s">
        <v>2104</v>
      </c>
      <c r="C768" s="243" t="s">
        <v>14</v>
      </c>
      <c r="D768" s="244" t="s">
        <v>1248</v>
      </c>
      <c r="E768" s="245" t="s">
        <v>1249</v>
      </c>
      <c r="F768" s="246">
        <v>46120</v>
      </c>
    </row>
    <row r="769" spans="1:6" ht="28.5">
      <c r="A769" s="235" t="s">
        <v>2135</v>
      </c>
      <c r="B769" s="242" t="s">
        <v>2104</v>
      </c>
      <c r="C769" s="243" t="s">
        <v>14</v>
      </c>
      <c r="D769" s="244" t="s">
        <v>1250</v>
      </c>
      <c r="E769" s="249" t="s">
        <v>1251</v>
      </c>
      <c r="F769" s="244">
        <v>46125</v>
      </c>
    </row>
    <row r="770" spans="1:6" ht="28.5">
      <c r="A770" s="235" t="s">
        <v>2135</v>
      </c>
      <c r="B770" s="242" t="s">
        <v>2104</v>
      </c>
      <c r="C770" s="243" t="s">
        <v>14</v>
      </c>
      <c r="D770" s="244" t="s">
        <v>1252</v>
      </c>
      <c r="E770" s="249" t="s">
        <v>1253</v>
      </c>
      <c r="F770" s="246">
        <v>46127</v>
      </c>
    </row>
    <row r="771" spans="1:6" ht="28.5">
      <c r="A771" s="235" t="s">
        <v>2135</v>
      </c>
      <c r="B771" s="242" t="s">
        <v>2104</v>
      </c>
      <c r="C771" s="243" t="s">
        <v>14</v>
      </c>
      <c r="D771" s="244" t="s">
        <v>1254</v>
      </c>
      <c r="E771" s="245" t="s">
        <v>1255</v>
      </c>
      <c r="F771" s="246">
        <v>46113</v>
      </c>
    </row>
    <row r="772" spans="1:6" ht="28.5">
      <c r="A772" s="235" t="s">
        <v>2135</v>
      </c>
      <c r="B772" s="242" t="s">
        <v>2104</v>
      </c>
      <c r="C772" s="243" t="s">
        <v>14</v>
      </c>
      <c r="D772" s="244" t="s">
        <v>1256</v>
      </c>
      <c r="E772" s="245" t="s">
        <v>1257</v>
      </c>
      <c r="F772" s="246">
        <v>46120</v>
      </c>
    </row>
    <row r="773" spans="1:6" ht="28.5">
      <c r="A773" s="235" t="s">
        <v>2135</v>
      </c>
      <c r="B773" s="242" t="s">
        <v>2104</v>
      </c>
      <c r="C773" s="243" t="s">
        <v>14</v>
      </c>
      <c r="D773" s="244" t="s">
        <v>1258</v>
      </c>
      <c r="E773" s="245" t="s">
        <v>1259</v>
      </c>
      <c r="F773" s="246">
        <v>46127</v>
      </c>
    </row>
    <row r="774" spans="1:6" ht="28.5">
      <c r="A774" s="235" t="s">
        <v>2135</v>
      </c>
      <c r="B774" s="242" t="s">
        <v>2104</v>
      </c>
      <c r="C774" s="243" t="s">
        <v>87</v>
      </c>
      <c r="D774" s="244" t="s">
        <v>1260</v>
      </c>
      <c r="E774" s="249" t="s">
        <v>1261</v>
      </c>
      <c r="F774" s="244">
        <v>46127</v>
      </c>
    </row>
    <row r="775" spans="1:6" ht="28.5">
      <c r="A775" s="235" t="s">
        <v>2135</v>
      </c>
      <c r="B775" s="242" t="s">
        <v>2104</v>
      </c>
      <c r="C775" s="243" t="s">
        <v>87</v>
      </c>
      <c r="D775" s="244" t="s">
        <v>1262</v>
      </c>
      <c r="E775" s="249" t="s">
        <v>1263</v>
      </c>
      <c r="F775" s="244">
        <v>46127</v>
      </c>
    </row>
    <row r="776" spans="1:6" ht="28.5">
      <c r="A776" s="235" t="s">
        <v>2135</v>
      </c>
      <c r="B776" s="242" t="s">
        <v>2104</v>
      </c>
      <c r="C776" s="243" t="s">
        <v>87</v>
      </c>
      <c r="D776" s="244" t="s">
        <v>840</v>
      </c>
      <c r="E776" s="249" t="s">
        <v>801</v>
      </c>
      <c r="F776" s="244">
        <v>45889</v>
      </c>
    </row>
    <row r="777" spans="1:6" ht="28.5">
      <c r="A777" s="235" t="s">
        <v>2135</v>
      </c>
      <c r="B777" s="242" t="s">
        <v>2104</v>
      </c>
      <c r="C777" s="243" t="s">
        <v>14</v>
      </c>
      <c r="D777" s="244" t="s">
        <v>841</v>
      </c>
      <c r="E777" s="249" t="s">
        <v>802</v>
      </c>
      <c r="F777" s="246">
        <v>45987</v>
      </c>
    </row>
    <row r="778" spans="1:6" ht="28.5">
      <c r="A778" s="235" t="s">
        <v>2135</v>
      </c>
      <c r="B778" s="242" t="s">
        <v>2104</v>
      </c>
      <c r="C778" s="243" t="s">
        <v>14</v>
      </c>
      <c r="D778" s="244" t="s">
        <v>1404</v>
      </c>
      <c r="E778" s="245" t="s">
        <v>1405</v>
      </c>
      <c r="F778" s="246">
        <v>46153</v>
      </c>
    </row>
    <row r="779" spans="1:6" ht="28.5">
      <c r="A779" s="235" t="s">
        <v>2135</v>
      </c>
      <c r="B779" s="242" t="s">
        <v>2104</v>
      </c>
      <c r="C779" s="243" t="s">
        <v>87</v>
      </c>
      <c r="D779" s="244" t="s">
        <v>1406</v>
      </c>
      <c r="E779" s="249" t="s">
        <v>1407</v>
      </c>
      <c r="F779" s="244">
        <v>46155</v>
      </c>
    </row>
    <row r="780" spans="1:6" ht="28.5">
      <c r="A780" s="235" t="s">
        <v>2135</v>
      </c>
      <c r="B780" s="242" t="s">
        <v>2104</v>
      </c>
      <c r="C780" s="243" t="s">
        <v>87</v>
      </c>
      <c r="D780" s="244" t="s">
        <v>1408</v>
      </c>
      <c r="E780" s="249" t="s">
        <v>1409</v>
      </c>
      <c r="F780" s="244">
        <v>46134</v>
      </c>
    </row>
    <row r="781" spans="1:6" ht="28.5">
      <c r="A781" s="235" t="s">
        <v>2135</v>
      </c>
      <c r="B781" s="242" t="s">
        <v>2104</v>
      </c>
      <c r="C781" s="243" t="s">
        <v>14</v>
      </c>
      <c r="D781" s="244" t="s">
        <v>1410</v>
      </c>
      <c r="E781" s="245" t="s">
        <v>1411</v>
      </c>
      <c r="F781" s="246">
        <v>46153</v>
      </c>
    </row>
    <row r="782" spans="1:6" ht="28.5">
      <c r="A782" s="235" t="s">
        <v>2135</v>
      </c>
      <c r="B782" s="242" t="s">
        <v>2104</v>
      </c>
      <c r="C782" s="243" t="s">
        <v>87</v>
      </c>
      <c r="D782" s="244" t="s">
        <v>1412</v>
      </c>
      <c r="E782" s="249" t="s">
        <v>1413</v>
      </c>
      <c r="F782" s="244">
        <v>46153</v>
      </c>
    </row>
    <row r="783" spans="1:6" ht="28.5">
      <c r="A783" s="235" t="s">
        <v>2135</v>
      </c>
      <c r="B783" s="242" t="s">
        <v>2104</v>
      </c>
      <c r="C783" s="243" t="s">
        <v>87</v>
      </c>
      <c r="D783" s="244" t="s">
        <v>1414</v>
      </c>
      <c r="E783" s="249" t="s">
        <v>1415</v>
      </c>
      <c r="F783" s="244">
        <v>46155</v>
      </c>
    </row>
    <row r="784" spans="1:6" ht="28.5">
      <c r="A784" s="235" t="s">
        <v>2135</v>
      </c>
      <c r="B784" s="242" t="s">
        <v>2104</v>
      </c>
      <c r="C784" s="243" t="s">
        <v>87</v>
      </c>
      <c r="D784" s="244" t="s">
        <v>1388</v>
      </c>
      <c r="E784" s="249" t="s">
        <v>1389</v>
      </c>
      <c r="F784" s="244">
        <v>46139</v>
      </c>
    </row>
    <row r="785" spans="1:6" ht="28.5">
      <c r="A785" s="235" t="s">
        <v>2135</v>
      </c>
      <c r="B785" s="242" t="s">
        <v>2104</v>
      </c>
      <c r="C785" s="243" t="s">
        <v>87</v>
      </c>
      <c r="D785" s="244" t="s">
        <v>1390</v>
      </c>
      <c r="E785" s="249" t="s">
        <v>1391</v>
      </c>
      <c r="F785" s="244">
        <v>46139</v>
      </c>
    </row>
    <row r="786" spans="1:6" ht="28.5">
      <c r="A786" s="235" t="s">
        <v>2135</v>
      </c>
      <c r="B786" s="242" t="s">
        <v>2104</v>
      </c>
      <c r="C786" s="243" t="s">
        <v>14</v>
      </c>
      <c r="D786" s="244" t="s">
        <v>1392</v>
      </c>
      <c r="E786" s="249" t="s">
        <v>1393</v>
      </c>
      <c r="F786" s="244">
        <v>46139</v>
      </c>
    </row>
    <row r="787" spans="1:6" ht="28.5">
      <c r="A787" s="235" t="s">
        <v>2135</v>
      </c>
      <c r="B787" s="242" t="s">
        <v>2104</v>
      </c>
      <c r="C787" s="243" t="s">
        <v>14</v>
      </c>
      <c r="D787" s="244" t="s">
        <v>1394</v>
      </c>
      <c r="E787" s="245" t="s">
        <v>1395</v>
      </c>
      <c r="F787" s="246">
        <v>46139</v>
      </c>
    </row>
    <row r="788" spans="1:6" ht="28.5">
      <c r="A788" s="235" t="s">
        <v>2135</v>
      </c>
      <c r="B788" s="242" t="s">
        <v>2104</v>
      </c>
      <c r="C788" s="243" t="s">
        <v>87</v>
      </c>
      <c r="D788" s="244" t="s">
        <v>1396</v>
      </c>
      <c r="E788" s="249" t="s">
        <v>1397</v>
      </c>
      <c r="F788" s="244">
        <v>46139</v>
      </c>
    </row>
    <row r="789" spans="1:6" ht="28.5">
      <c r="A789" s="235" t="s">
        <v>2135</v>
      </c>
      <c r="B789" s="242" t="s">
        <v>2104</v>
      </c>
      <c r="C789" s="243" t="s">
        <v>87</v>
      </c>
      <c r="D789" s="244" t="s">
        <v>831</v>
      </c>
      <c r="E789" s="249" t="s">
        <v>1398</v>
      </c>
      <c r="F789" s="244">
        <v>46139</v>
      </c>
    </row>
    <row r="790" spans="1:6" ht="28.5">
      <c r="A790" s="235" t="s">
        <v>2135</v>
      </c>
      <c r="B790" s="242" t="s">
        <v>2104</v>
      </c>
      <c r="C790" s="243" t="s">
        <v>14</v>
      </c>
      <c r="D790" s="244" t="s">
        <v>1399</v>
      </c>
      <c r="E790" s="249" t="s">
        <v>1400</v>
      </c>
      <c r="F790" s="244">
        <v>46139</v>
      </c>
    </row>
    <row r="791" spans="1:6" ht="28.5">
      <c r="A791" s="235" t="s">
        <v>2135</v>
      </c>
      <c r="B791" s="242" t="s">
        <v>2104</v>
      </c>
      <c r="C791" s="243" t="s">
        <v>14</v>
      </c>
      <c r="D791" s="245" t="s">
        <v>1323</v>
      </c>
      <c r="E791" s="249" t="s">
        <v>1324</v>
      </c>
      <c r="F791" s="244">
        <v>46134</v>
      </c>
    </row>
    <row r="792" spans="1:6" ht="28.5">
      <c r="A792" s="235" t="s">
        <v>2135</v>
      </c>
      <c r="B792" s="242" t="s">
        <v>2104</v>
      </c>
      <c r="C792" s="243" t="s">
        <v>14</v>
      </c>
      <c r="D792" s="245" t="s">
        <v>1325</v>
      </c>
      <c r="E792" s="249" t="s">
        <v>1326</v>
      </c>
      <c r="F792" s="244">
        <v>46134</v>
      </c>
    </row>
    <row r="793" spans="1:6" ht="28.5">
      <c r="A793" s="235" t="s">
        <v>2135</v>
      </c>
      <c r="B793" s="242" t="s">
        <v>2104</v>
      </c>
      <c r="C793" s="243" t="s">
        <v>14</v>
      </c>
      <c r="D793" s="244" t="s">
        <v>492</v>
      </c>
      <c r="E793" s="245" t="s">
        <v>456</v>
      </c>
      <c r="F793" s="246">
        <v>45847</v>
      </c>
    </row>
    <row r="794" spans="1:6" ht="28.5">
      <c r="A794" s="235" t="s">
        <v>2135</v>
      </c>
      <c r="B794" s="242" t="s">
        <v>2104</v>
      </c>
      <c r="C794" s="243" t="s">
        <v>14</v>
      </c>
      <c r="D794" s="244" t="s">
        <v>857</v>
      </c>
      <c r="E794" s="249" t="s">
        <v>805</v>
      </c>
      <c r="F794" s="246">
        <v>45994</v>
      </c>
    </row>
    <row r="795" spans="1:6" ht="28.5">
      <c r="A795" s="235" t="s">
        <v>2135</v>
      </c>
      <c r="B795" s="242" t="s">
        <v>2104</v>
      </c>
      <c r="C795" s="243" t="s">
        <v>14</v>
      </c>
      <c r="D795" s="244" t="s">
        <v>858</v>
      </c>
      <c r="E795" s="249" t="s">
        <v>806</v>
      </c>
      <c r="F795" s="246">
        <v>45994</v>
      </c>
    </row>
    <row r="796" spans="1:6" ht="28.5">
      <c r="A796" s="235" t="s">
        <v>2135</v>
      </c>
      <c r="B796" s="242" t="s">
        <v>2104</v>
      </c>
      <c r="C796" s="243" t="s">
        <v>14</v>
      </c>
      <c r="D796" s="244" t="s">
        <v>1339</v>
      </c>
      <c r="E796" s="249" t="s">
        <v>1340</v>
      </c>
      <c r="F796" s="246">
        <v>46134</v>
      </c>
    </row>
    <row r="797" spans="1:6" ht="28.5">
      <c r="A797" s="235" t="s">
        <v>2135</v>
      </c>
      <c r="B797" s="242" t="s">
        <v>2104</v>
      </c>
      <c r="C797" s="250" t="s">
        <v>14</v>
      </c>
      <c r="D797" s="251" t="s">
        <v>2084</v>
      </c>
      <c r="E797" s="252" t="s">
        <v>2085</v>
      </c>
      <c r="F797" s="253">
        <v>46225</v>
      </c>
    </row>
    <row r="798" spans="1:6" ht="28.5">
      <c r="A798" s="235" t="s">
        <v>2135</v>
      </c>
      <c r="B798" s="242" t="s">
        <v>2104</v>
      </c>
      <c r="C798" s="243" t="s">
        <v>129</v>
      </c>
      <c r="D798" s="244" t="s">
        <v>483</v>
      </c>
      <c r="E798" s="245" t="s">
        <v>449</v>
      </c>
      <c r="F798" s="246">
        <v>45840</v>
      </c>
    </row>
    <row r="799" spans="1:6" ht="28.5">
      <c r="A799" s="235" t="s">
        <v>2135</v>
      </c>
      <c r="B799" s="242" t="s">
        <v>2104</v>
      </c>
      <c r="C799" s="243" t="s">
        <v>129</v>
      </c>
      <c r="D799" s="244" t="s">
        <v>738</v>
      </c>
      <c r="E799" s="245" t="s">
        <v>702</v>
      </c>
      <c r="F799" s="246">
        <v>45966</v>
      </c>
    </row>
    <row r="800" spans="1:6" ht="28.5">
      <c r="A800" s="235" t="s">
        <v>2135</v>
      </c>
      <c r="B800" s="242" t="s">
        <v>2104</v>
      </c>
      <c r="C800" s="243" t="s">
        <v>129</v>
      </c>
      <c r="D800" s="244" t="s">
        <v>281</v>
      </c>
      <c r="E800" s="245" t="s">
        <v>269</v>
      </c>
      <c r="F800" s="246">
        <v>45537</v>
      </c>
    </row>
    <row r="801" spans="1:6" ht="28.5">
      <c r="A801" s="235" t="s">
        <v>2135</v>
      </c>
      <c r="B801" s="242" t="s">
        <v>2104</v>
      </c>
      <c r="C801" s="243" t="s">
        <v>146</v>
      </c>
      <c r="D801" s="244" t="s">
        <v>935</v>
      </c>
      <c r="E801" s="245" t="s">
        <v>895</v>
      </c>
      <c r="F801" s="246">
        <v>45889</v>
      </c>
    </row>
    <row r="802" spans="1:6" ht="28.5">
      <c r="A802" s="235" t="s">
        <v>2135</v>
      </c>
      <c r="B802" s="242" t="s">
        <v>2104</v>
      </c>
      <c r="C802" s="243" t="s">
        <v>146</v>
      </c>
      <c r="D802" s="244" t="s">
        <v>1426</v>
      </c>
      <c r="E802" s="245" t="s">
        <v>1427</v>
      </c>
      <c r="F802" s="246">
        <v>46176</v>
      </c>
    </row>
    <row r="803" spans="1:6" ht="28.5">
      <c r="A803" s="235" t="s">
        <v>2135</v>
      </c>
      <c r="B803" s="242" t="s">
        <v>2104</v>
      </c>
      <c r="C803" s="243" t="s">
        <v>146</v>
      </c>
      <c r="D803" s="244" t="s">
        <v>1914</v>
      </c>
      <c r="E803" s="245" t="s">
        <v>1915</v>
      </c>
      <c r="F803" s="246">
        <v>46204</v>
      </c>
    </row>
    <row r="804" spans="1:6" ht="28.5">
      <c r="A804" s="235" t="s">
        <v>2135</v>
      </c>
      <c r="B804" s="242" t="s">
        <v>2104</v>
      </c>
      <c r="C804" s="243" t="s">
        <v>146</v>
      </c>
      <c r="D804" s="244" t="s">
        <v>1916</v>
      </c>
      <c r="E804" s="245" t="s">
        <v>1917</v>
      </c>
      <c r="F804" s="246">
        <v>46204</v>
      </c>
    </row>
    <row r="805" spans="1:6" ht="14.25">
      <c r="A805" s="234" t="s">
        <v>88</v>
      </c>
      <c r="B805" s="242" t="s">
        <v>2120</v>
      </c>
      <c r="C805" s="243" t="s">
        <v>81</v>
      </c>
      <c r="D805" s="244" t="s">
        <v>753</v>
      </c>
      <c r="E805" s="245" t="s">
        <v>712</v>
      </c>
      <c r="F805" s="246">
        <v>45980</v>
      </c>
    </row>
    <row r="806" spans="1:6" ht="14.25">
      <c r="A806" s="234" t="s">
        <v>2134</v>
      </c>
      <c r="B806" s="242" t="s">
        <v>2120</v>
      </c>
      <c r="C806" s="243" t="s">
        <v>81</v>
      </c>
      <c r="D806" s="244" t="s">
        <v>760</v>
      </c>
      <c r="E806" s="245" t="s">
        <v>761</v>
      </c>
      <c r="F806" s="246">
        <v>42914</v>
      </c>
    </row>
    <row r="807" spans="1:6" ht="28.5">
      <c r="A807" s="235" t="s">
        <v>2135</v>
      </c>
      <c r="B807" s="242" t="s">
        <v>2120</v>
      </c>
      <c r="C807" s="243" t="s">
        <v>13</v>
      </c>
      <c r="D807" s="244" t="s">
        <v>932</v>
      </c>
      <c r="E807" s="245" t="s">
        <v>899</v>
      </c>
      <c r="F807" s="246">
        <v>46015</v>
      </c>
    </row>
    <row r="808" spans="1:6" ht="28.5">
      <c r="A808" s="235" t="s">
        <v>2135</v>
      </c>
      <c r="B808" s="242" t="s">
        <v>2120</v>
      </c>
      <c r="C808" s="243" t="s">
        <v>81</v>
      </c>
      <c r="D808" s="244" t="s">
        <v>1266</v>
      </c>
      <c r="E808" s="249" t="s">
        <v>1267</v>
      </c>
      <c r="F808" s="244">
        <v>44755</v>
      </c>
    </row>
    <row r="809" spans="1:6" ht="28.5">
      <c r="A809" s="235" t="s">
        <v>2135</v>
      </c>
      <c r="B809" s="242" t="s">
        <v>2120</v>
      </c>
      <c r="C809" s="243" t="s">
        <v>81</v>
      </c>
      <c r="D809" s="244" t="s">
        <v>1116</v>
      </c>
      <c r="E809" s="249" t="s">
        <v>1418</v>
      </c>
      <c r="F809" s="244">
        <v>46134</v>
      </c>
    </row>
    <row r="810" spans="1:6" ht="28.5">
      <c r="A810" s="235" t="s">
        <v>2135</v>
      </c>
      <c r="B810" s="242" t="s">
        <v>2120</v>
      </c>
      <c r="C810" s="243" t="s">
        <v>81</v>
      </c>
      <c r="D810" s="244" t="s">
        <v>1544</v>
      </c>
      <c r="E810" s="249" t="s">
        <v>1545</v>
      </c>
      <c r="F810" s="244">
        <v>46169</v>
      </c>
    </row>
    <row r="811" spans="1:6" ht="28.5">
      <c r="A811" s="235" t="s">
        <v>2135</v>
      </c>
      <c r="B811" s="242" t="s">
        <v>2120</v>
      </c>
      <c r="C811" s="250" t="s">
        <v>13</v>
      </c>
      <c r="D811" s="251" t="s">
        <v>2076</v>
      </c>
      <c r="E811" s="254" t="s">
        <v>2077</v>
      </c>
      <c r="F811" s="251">
        <v>46225</v>
      </c>
    </row>
    <row r="812" spans="1:6" ht="14.25">
      <c r="A812" s="235" t="s">
        <v>1045</v>
      </c>
      <c r="B812" s="242" t="s">
        <v>2129</v>
      </c>
      <c r="C812" s="265" t="s">
        <v>146</v>
      </c>
      <c r="D812" s="244" t="s">
        <v>2092</v>
      </c>
      <c r="E812" s="249" t="s">
        <v>901</v>
      </c>
      <c r="F812" s="244">
        <v>46029</v>
      </c>
    </row>
    <row r="813" spans="1:6" ht="14.25">
      <c r="A813" s="235" t="s">
        <v>1045</v>
      </c>
      <c r="B813" s="242" t="s">
        <v>2127</v>
      </c>
      <c r="C813" s="265" t="s">
        <v>131</v>
      </c>
      <c r="D813" s="244" t="s">
        <v>169</v>
      </c>
      <c r="E813" s="249" t="s">
        <v>27</v>
      </c>
      <c r="F813" s="244">
        <v>44013</v>
      </c>
    </row>
    <row r="814" spans="1:6" ht="14.25">
      <c r="A814" s="235" t="s">
        <v>1045</v>
      </c>
      <c r="B814" s="242" t="s">
        <v>2127</v>
      </c>
      <c r="C814" s="245" t="s">
        <v>1881</v>
      </c>
      <c r="D814" s="244" t="s">
        <v>170</v>
      </c>
      <c r="E814" s="249" t="s">
        <v>26</v>
      </c>
      <c r="F814" s="244">
        <v>43935</v>
      </c>
    </row>
    <row r="815" spans="1:6" ht="14.25">
      <c r="A815" s="235" t="s">
        <v>1045</v>
      </c>
      <c r="B815" s="242" t="s">
        <v>2127</v>
      </c>
      <c r="C815" s="245" t="s">
        <v>1881</v>
      </c>
      <c r="D815" s="244" t="s">
        <v>174</v>
      </c>
      <c r="E815" s="249" t="s">
        <v>172</v>
      </c>
      <c r="F815" s="246">
        <v>45033</v>
      </c>
    </row>
    <row r="816" spans="1:6" ht="14.25">
      <c r="A816" s="235" t="s">
        <v>1045</v>
      </c>
      <c r="B816" s="242" t="s">
        <v>2127</v>
      </c>
      <c r="C816" s="265" t="s">
        <v>146</v>
      </c>
      <c r="D816" s="244" t="s">
        <v>755</v>
      </c>
      <c r="E816" s="249" t="s">
        <v>713</v>
      </c>
      <c r="F816" s="244">
        <v>45964</v>
      </c>
    </row>
    <row r="817" spans="1:6" ht="14.25">
      <c r="A817" s="235" t="s">
        <v>1045</v>
      </c>
      <c r="B817" s="242" t="s">
        <v>2127</v>
      </c>
      <c r="C817" s="245" t="s">
        <v>1881</v>
      </c>
      <c r="D817" s="244" t="s">
        <v>756</v>
      </c>
      <c r="E817" s="249" t="s">
        <v>714</v>
      </c>
      <c r="F817" s="246">
        <v>45966</v>
      </c>
    </row>
    <row r="818" spans="1:6" ht="14.25">
      <c r="A818" s="235" t="s">
        <v>1045</v>
      </c>
      <c r="B818" s="242" t="s">
        <v>2128</v>
      </c>
      <c r="C818" s="245" t="s">
        <v>1881</v>
      </c>
      <c r="D818" s="244" t="s">
        <v>758</v>
      </c>
      <c r="E818" s="249" t="s">
        <v>716</v>
      </c>
      <c r="F818" s="244">
        <v>45966</v>
      </c>
    </row>
    <row r="819" spans="1:6" ht="14.25">
      <c r="A819" s="235" t="s">
        <v>1045</v>
      </c>
      <c r="B819" s="242" t="s">
        <v>2128</v>
      </c>
      <c r="C819" s="245" t="s">
        <v>1881</v>
      </c>
      <c r="D819" s="244" t="s">
        <v>759</v>
      </c>
      <c r="E819" s="249" t="s">
        <v>717</v>
      </c>
      <c r="F819" s="244">
        <v>45971</v>
      </c>
    </row>
    <row r="820" spans="1:6" ht="14.25">
      <c r="A820" s="235" t="s">
        <v>1045</v>
      </c>
      <c r="B820" s="242" t="s">
        <v>2128</v>
      </c>
      <c r="C820" s="245" t="s">
        <v>1881</v>
      </c>
      <c r="D820" s="244" t="s">
        <v>854</v>
      </c>
      <c r="E820" s="249" t="s">
        <v>813</v>
      </c>
      <c r="F820" s="244">
        <v>44433</v>
      </c>
    </row>
    <row r="821" spans="1:6" ht="14.25">
      <c r="A821" s="235" t="s">
        <v>1045</v>
      </c>
      <c r="B821" s="242" t="s">
        <v>2128</v>
      </c>
      <c r="C821" s="245" t="s">
        <v>1881</v>
      </c>
      <c r="D821" s="247" t="s">
        <v>1550</v>
      </c>
      <c r="E821" s="247" t="s">
        <v>1551</v>
      </c>
      <c r="F821" s="248">
        <v>46181</v>
      </c>
    </row>
    <row r="822" spans="1:6" ht="14.25">
      <c r="A822" s="235" t="s">
        <v>1045</v>
      </c>
      <c r="B822" s="242" t="s">
        <v>2128</v>
      </c>
      <c r="C822" s="245" t="s">
        <v>1881</v>
      </c>
      <c r="D822" s="266" t="s">
        <v>1726</v>
      </c>
      <c r="E822" s="247" t="s">
        <v>1727</v>
      </c>
      <c r="F822" s="248">
        <v>46204</v>
      </c>
    </row>
    <row r="823" spans="1:6" ht="14.25">
      <c r="A823" s="235" t="s">
        <v>1045</v>
      </c>
      <c r="B823" s="242" t="s">
        <v>2130</v>
      </c>
      <c r="C823" s="265" t="s">
        <v>146</v>
      </c>
      <c r="D823" s="247" t="s">
        <v>1382</v>
      </c>
      <c r="E823" s="247" t="s">
        <v>1383</v>
      </c>
      <c r="F823" s="248">
        <v>46139</v>
      </c>
    </row>
    <row r="824" spans="1:6" ht="14.25">
      <c r="A824" s="235" t="s">
        <v>1045</v>
      </c>
      <c r="B824" s="242" t="s">
        <v>2130</v>
      </c>
      <c r="C824" s="265" t="s">
        <v>146</v>
      </c>
      <c r="D824" s="247" t="s">
        <v>1384</v>
      </c>
      <c r="E824" s="247" t="s">
        <v>1385</v>
      </c>
      <c r="F824" s="248">
        <v>46139</v>
      </c>
    </row>
    <row r="825" spans="1:6" ht="14.25">
      <c r="A825" s="235" t="s">
        <v>1045</v>
      </c>
      <c r="B825" s="242" t="s">
        <v>2130</v>
      </c>
      <c r="C825" s="265" t="s">
        <v>146</v>
      </c>
      <c r="D825" s="266" t="s">
        <v>1561</v>
      </c>
      <c r="E825" s="247" t="s">
        <v>1562</v>
      </c>
      <c r="F825" s="248">
        <v>46155</v>
      </c>
    </row>
    <row r="826" spans="1:6" ht="14.25">
      <c r="A826" s="235" t="s">
        <v>1045</v>
      </c>
      <c r="B826" s="242" t="s">
        <v>2130</v>
      </c>
      <c r="C826" s="265" t="s">
        <v>146</v>
      </c>
      <c r="D826" s="266" t="s">
        <v>1877</v>
      </c>
      <c r="E826" s="247" t="s">
        <v>1878</v>
      </c>
      <c r="F826" s="248">
        <v>46197</v>
      </c>
    </row>
    <row r="827" spans="1:6" ht="14.25">
      <c r="A827" s="235" t="s">
        <v>1045</v>
      </c>
      <c r="B827" s="242" t="s">
        <v>2130</v>
      </c>
      <c r="C827" s="245" t="s">
        <v>1881</v>
      </c>
      <c r="D827" s="247" t="s">
        <v>1879</v>
      </c>
      <c r="E827" s="247" t="s">
        <v>1880</v>
      </c>
      <c r="F827" s="248">
        <v>46204</v>
      </c>
    </row>
    <row r="828" spans="1:6" ht="14.25">
      <c r="A828" s="235" t="s">
        <v>1045</v>
      </c>
      <c r="B828" s="242" t="s">
        <v>2126</v>
      </c>
      <c r="C828" s="243" t="s">
        <v>154</v>
      </c>
      <c r="D828" s="244" t="s">
        <v>168</v>
      </c>
      <c r="E828" s="249" t="s">
        <v>25</v>
      </c>
      <c r="F828" s="244">
        <v>41487</v>
      </c>
    </row>
    <row r="829" spans="1:6" ht="14.25">
      <c r="A829" s="235" t="s">
        <v>1045</v>
      </c>
      <c r="B829" s="242" t="s">
        <v>2126</v>
      </c>
      <c r="C829" s="245" t="s">
        <v>1922</v>
      </c>
      <c r="D829" s="244" t="s">
        <v>152</v>
      </c>
      <c r="E829" s="249" t="s">
        <v>24</v>
      </c>
      <c r="F829" s="244">
        <v>42949</v>
      </c>
    </row>
    <row r="830" spans="1:6" ht="14.25">
      <c r="A830" s="235" t="s">
        <v>1045</v>
      </c>
      <c r="B830" s="242" t="s">
        <v>2126</v>
      </c>
      <c r="C830" s="265" t="s">
        <v>146</v>
      </c>
      <c r="D830" s="244" t="s">
        <v>173</v>
      </c>
      <c r="E830" s="249" t="s">
        <v>171</v>
      </c>
      <c r="F830" s="246">
        <v>43271</v>
      </c>
    </row>
    <row r="831" spans="1:6" ht="14.25">
      <c r="A831" s="235" t="s">
        <v>1045</v>
      </c>
      <c r="B831" s="242" t="s">
        <v>2126</v>
      </c>
      <c r="C831" s="245" t="s">
        <v>1881</v>
      </c>
      <c r="D831" s="244" t="s">
        <v>348</v>
      </c>
      <c r="E831" s="249" t="s">
        <v>342</v>
      </c>
      <c r="F831" s="244">
        <v>45642</v>
      </c>
    </row>
    <row r="832" spans="1:6" ht="14.25">
      <c r="A832" s="235" t="s">
        <v>1045</v>
      </c>
      <c r="B832" s="242" t="s">
        <v>2126</v>
      </c>
      <c r="C832" s="265" t="s">
        <v>146</v>
      </c>
      <c r="D832" s="244" t="s">
        <v>490</v>
      </c>
      <c r="E832" s="249" t="s">
        <v>459</v>
      </c>
      <c r="F832" s="244">
        <v>45847</v>
      </c>
    </row>
    <row r="833" spans="1:6" ht="14.25">
      <c r="A833" s="235" t="s">
        <v>1045</v>
      </c>
      <c r="B833" s="242" t="s">
        <v>2126</v>
      </c>
      <c r="C833" s="265" t="s">
        <v>146</v>
      </c>
      <c r="D833" s="244" t="s">
        <v>757</v>
      </c>
      <c r="E833" s="249" t="s">
        <v>715</v>
      </c>
      <c r="F833" s="244">
        <v>45959</v>
      </c>
    </row>
    <row r="834" spans="1:6" ht="14.25">
      <c r="A834" s="235" t="s">
        <v>1042</v>
      </c>
      <c r="B834" s="242" t="s">
        <v>2124</v>
      </c>
      <c r="C834" s="243" t="s">
        <v>2073</v>
      </c>
      <c r="D834" s="244" t="s">
        <v>491</v>
      </c>
      <c r="E834" s="249" t="s">
        <v>460</v>
      </c>
      <c r="F834" s="244">
        <v>45833</v>
      </c>
    </row>
    <row r="835" spans="1:6" ht="42.75">
      <c r="A835" s="235" t="s">
        <v>2137</v>
      </c>
      <c r="B835" s="242" t="s">
        <v>2124</v>
      </c>
      <c r="C835" s="243" t="s">
        <v>87</v>
      </c>
      <c r="D835" s="244" t="s">
        <v>866</v>
      </c>
      <c r="E835" s="245" t="s">
        <v>774</v>
      </c>
      <c r="F835" s="246">
        <v>44454</v>
      </c>
    </row>
    <row r="836" spans="1:6" ht="14.25">
      <c r="A836" s="235" t="s">
        <v>2137</v>
      </c>
      <c r="B836" s="242" t="s">
        <v>2124</v>
      </c>
      <c r="C836" s="243" t="s">
        <v>87</v>
      </c>
      <c r="D836" s="244" t="s">
        <v>1246</v>
      </c>
      <c r="E836" s="249" t="s">
        <v>1247</v>
      </c>
      <c r="F836" s="244">
        <v>46120</v>
      </c>
    </row>
    <row r="837" spans="1:6" ht="14.25">
      <c r="A837" s="235" t="s">
        <v>2137</v>
      </c>
      <c r="B837" s="242" t="s">
        <v>2124</v>
      </c>
      <c r="C837" s="243" t="s">
        <v>87</v>
      </c>
      <c r="D837" s="244" t="s">
        <v>1552</v>
      </c>
      <c r="E837" s="249" t="s">
        <v>1553</v>
      </c>
      <c r="F837" s="244">
        <v>46169</v>
      </c>
    </row>
    <row r="838" spans="1:6" ht="14.25">
      <c r="A838" s="235" t="s">
        <v>2137</v>
      </c>
      <c r="B838" s="242" t="s">
        <v>2124</v>
      </c>
      <c r="C838" s="243" t="s">
        <v>129</v>
      </c>
      <c r="D838" s="244" t="s">
        <v>567</v>
      </c>
      <c r="E838" s="249" t="s">
        <v>534</v>
      </c>
      <c r="F838" s="244">
        <v>45868</v>
      </c>
    </row>
    <row r="839" spans="1:6" ht="14.25">
      <c r="A839" s="235" t="s">
        <v>2137</v>
      </c>
      <c r="B839" s="242" t="s">
        <v>2124</v>
      </c>
      <c r="C839" s="265" t="s">
        <v>146</v>
      </c>
      <c r="D839" s="244" t="s">
        <v>107</v>
      </c>
      <c r="E839" s="249" t="s">
        <v>103</v>
      </c>
      <c r="F839" s="244">
        <v>45063</v>
      </c>
    </row>
    <row r="840" spans="1:6" ht="14.25">
      <c r="A840" s="235" t="s">
        <v>2137</v>
      </c>
      <c r="B840" s="242" t="s">
        <v>2124</v>
      </c>
      <c r="C840" s="265" t="s">
        <v>146</v>
      </c>
      <c r="D840" s="244" t="s">
        <v>108</v>
      </c>
      <c r="E840" s="249" t="s">
        <v>104</v>
      </c>
      <c r="F840" s="244">
        <v>45063</v>
      </c>
    </row>
    <row r="841" spans="1:6" ht="14.25">
      <c r="A841" s="235" t="s">
        <v>2137</v>
      </c>
      <c r="B841" s="242" t="s">
        <v>2124</v>
      </c>
      <c r="C841" s="265" t="s">
        <v>146</v>
      </c>
      <c r="D841" s="244" t="s">
        <v>399</v>
      </c>
      <c r="E841" s="249" t="s">
        <v>391</v>
      </c>
      <c r="F841" s="244">
        <v>45756</v>
      </c>
    </row>
    <row r="842" spans="1:6" ht="14.25">
      <c r="A842" s="235" t="s">
        <v>2137</v>
      </c>
      <c r="B842" s="242" t="s">
        <v>2124</v>
      </c>
      <c r="C842" s="265" t="s">
        <v>146</v>
      </c>
      <c r="D842" s="244" t="s">
        <v>252</v>
      </c>
      <c r="E842" s="249" t="s">
        <v>244</v>
      </c>
      <c r="F842" s="246">
        <v>43770</v>
      </c>
    </row>
    <row r="843" spans="1:6" ht="14.25">
      <c r="A843" s="235" t="s">
        <v>2137</v>
      </c>
      <c r="B843" s="242" t="s">
        <v>2124</v>
      </c>
      <c r="C843" s="265" t="s">
        <v>146</v>
      </c>
      <c r="D843" s="244" t="s">
        <v>855</v>
      </c>
      <c r="E843" s="249" t="s">
        <v>814</v>
      </c>
      <c r="F843" s="244">
        <v>44363</v>
      </c>
    </row>
    <row r="844" spans="1:6" ht="14.25">
      <c r="A844" s="235" t="s">
        <v>2137</v>
      </c>
      <c r="B844" s="242" t="s">
        <v>2124</v>
      </c>
      <c r="C844" s="265" t="s">
        <v>146</v>
      </c>
      <c r="D844" s="244" t="s">
        <v>856</v>
      </c>
      <c r="E844" s="249" t="s">
        <v>815</v>
      </c>
      <c r="F844" s="244">
        <v>45994</v>
      </c>
    </row>
    <row r="845" spans="1:6" ht="14.25">
      <c r="A845" s="235" t="s">
        <v>2137</v>
      </c>
      <c r="B845" s="242" t="s">
        <v>2124</v>
      </c>
      <c r="C845" s="265" t="s">
        <v>146</v>
      </c>
      <c r="D845" s="244" t="s">
        <v>940</v>
      </c>
      <c r="E845" s="249" t="s">
        <v>902</v>
      </c>
      <c r="F845" s="246">
        <v>46029</v>
      </c>
    </row>
    <row r="846" spans="1:6" ht="14.25">
      <c r="A846" s="235" t="s">
        <v>2137</v>
      </c>
      <c r="B846" s="242" t="s">
        <v>2124</v>
      </c>
      <c r="C846" s="265" t="s">
        <v>146</v>
      </c>
      <c r="D846" s="244" t="s">
        <v>1554</v>
      </c>
      <c r="E846" s="249" t="s">
        <v>1555</v>
      </c>
      <c r="F846" s="246">
        <v>46169</v>
      </c>
    </row>
  </sheetData>
  <autoFilter ref="A1:F846"/>
  <sortState ref="A1:F845">
    <sortCondition ref="B1"/>
  </sortState>
  <phoneticPr fontId="9" type="noConversion"/>
  <conditionalFormatting sqref="E762">
    <cfRule type="duplicateValues" dxfId="2974" priority="1410"/>
  </conditionalFormatting>
  <conditionalFormatting sqref="E81:E87 E89">
    <cfRule type="duplicateValues" dxfId="2973" priority="1409"/>
  </conditionalFormatting>
  <conditionalFormatting sqref="E174:E175">
    <cfRule type="duplicateValues" dxfId="2972" priority="1408"/>
  </conditionalFormatting>
  <conditionalFormatting sqref="E444">
    <cfRule type="duplicateValues" dxfId="2971" priority="1406"/>
  </conditionalFormatting>
  <conditionalFormatting sqref="E784">
    <cfRule type="duplicateValues" dxfId="2970" priority="1405"/>
  </conditionalFormatting>
  <conditionalFormatting sqref="E176">
    <cfRule type="duplicateValues" dxfId="2969" priority="1404"/>
  </conditionalFormatting>
  <conditionalFormatting sqref="E275">
    <cfRule type="duplicateValues" dxfId="2968" priority="1402"/>
  </conditionalFormatting>
  <conditionalFormatting sqref="E274">
    <cfRule type="duplicateValues" dxfId="2967" priority="1403"/>
  </conditionalFormatting>
  <conditionalFormatting sqref="E252">
    <cfRule type="duplicateValues" dxfId="2966" priority="1400"/>
  </conditionalFormatting>
  <conditionalFormatting sqref="E250">
    <cfRule type="duplicateValues" dxfId="2965" priority="1401"/>
  </conditionalFormatting>
  <conditionalFormatting sqref="E251">
    <cfRule type="duplicateValues" dxfId="2964" priority="1399"/>
  </conditionalFormatting>
  <conditionalFormatting sqref="E368">
    <cfRule type="duplicateValues" dxfId="2963" priority="1398"/>
  </conditionalFormatting>
  <conditionalFormatting sqref="E367">
    <cfRule type="duplicateValues" dxfId="2962" priority="1397"/>
  </conditionalFormatting>
  <conditionalFormatting sqref="E596">
    <cfRule type="duplicateValues" dxfId="2961" priority="1396"/>
  </conditionalFormatting>
  <conditionalFormatting sqref="E596">
    <cfRule type="duplicateValues" dxfId="2960" priority="1395"/>
  </conditionalFormatting>
  <conditionalFormatting sqref="E644">
    <cfRule type="duplicateValues" dxfId="2959" priority="1394"/>
  </conditionalFormatting>
  <conditionalFormatting sqref="E88">
    <cfRule type="duplicateValues" dxfId="2958" priority="1393"/>
  </conditionalFormatting>
  <conditionalFormatting sqref="E661">
    <cfRule type="duplicateValues" dxfId="2957" priority="1392"/>
  </conditionalFormatting>
  <conditionalFormatting sqref="E733">
    <cfRule type="duplicateValues" dxfId="2956" priority="1391"/>
  </conditionalFormatting>
  <conditionalFormatting sqref="E803:E804">
    <cfRule type="duplicateValues" dxfId="2955" priority="1390"/>
  </conditionalFormatting>
  <conditionalFormatting sqref="E766">
    <cfRule type="duplicateValues" dxfId="2954" priority="1411"/>
  </conditionalFormatting>
  <conditionalFormatting sqref="E680">
    <cfRule type="duplicateValues" dxfId="2953" priority="1389"/>
  </conditionalFormatting>
  <conditionalFormatting sqref="E681">
    <cfRule type="duplicateValues" dxfId="2952" priority="1388"/>
  </conditionalFormatting>
  <conditionalFormatting sqref="E460">
    <cfRule type="duplicateValues" dxfId="2951" priority="1385"/>
  </conditionalFormatting>
  <conditionalFormatting sqref="E459:E460">
    <cfRule type="duplicateValues" dxfId="2950" priority="1383"/>
    <cfRule type="duplicateValues" dxfId="2949" priority="1384"/>
  </conditionalFormatting>
  <conditionalFormatting sqref="E459">
    <cfRule type="duplicateValues" dxfId="2948" priority="1386"/>
  </conditionalFormatting>
  <conditionalFormatting sqref="E459:E460">
    <cfRule type="duplicateValues" dxfId="2947" priority="1387"/>
  </conditionalFormatting>
  <conditionalFormatting sqref="E500:E501">
    <cfRule type="duplicateValues" dxfId="2946" priority="1375"/>
    <cfRule type="duplicateValues" dxfId="2945" priority="1376"/>
  </conditionalFormatting>
  <conditionalFormatting sqref="E500:E501">
    <cfRule type="duplicateValues" dxfId="2944" priority="1377"/>
  </conditionalFormatting>
  <conditionalFormatting sqref="E500:E501">
    <cfRule type="duplicateValues" dxfId="2943" priority="1378"/>
  </conditionalFormatting>
  <conditionalFormatting sqref="E503">
    <cfRule type="duplicateValues" dxfId="2942" priority="1373"/>
  </conditionalFormatting>
  <conditionalFormatting sqref="E503">
    <cfRule type="duplicateValues" dxfId="2941" priority="1371"/>
    <cfRule type="duplicateValues" dxfId="2940" priority="1372"/>
  </conditionalFormatting>
  <conditionalFormatting sqref="E503">
    <cfRule type="duplicateValues" dxfId="2939" priority="1374"/>
  </conditionalFormatting>
  <conditionalFormatting sqref="E630">
    <cfRule type="duplicateValues" dxfId="2938" priority="1367"/>
    <cfRule type="duplicateValues" dxfId="2937" priority="1368"/>
  </conditionalFormatting>
  <conditionalFormatting sqref="E630">
    <cfRule type="duplicateValues" dxfId="2936" priority="1369"/>
  </conditionalFormatting>
  <conditionalFormatting sqref="E630">
    <cfRule type="duplicateValues" dxfId="2935" priority="1370"/>
  </conditionalFormatting>
  <conditionalFormatting sqref="E639">
    <cfRule type="duplicateValues" dxfId="2934" priority="1363"/>
    <cfRule type="duplicateValues" dxfId="2933" priority="1364"/>
  </conditionalFormatting>
  <conditionalFormatting sqref="E639">
    <cfRule type="duplicateValues" dxfId="2932" priority="1365"/>
  </conditionalFormatting>
  <conditionalFormatting sqref="E639">
    <cfRule type="duplicateValues" dxfId="2931" priority="1366"/>
  </conditionalFormatting>
  <conditionalFormatting sqref="E643">
    <cfRule type="duplicateValues" dxfId="2930" priority="1359"/>
    <cfRule type="duplicateValues" dxfId="2929" priority="1360"/>
  </conditionalFormatting>
  <conditionalFormatting sqref="E643">
    <cfRule type="duplicateValues" dxfId="2928" priority="1361"/>
  </conditionalFormatting>
  <conditionalFormatting sqref="E643">
    <cfRule type="duplicateValues" dxfId="2927" priority="1362"/>
  </conditionalFormatting>
  <conditionalFormatting sqref="E640">
    <cfRule type="duplicateValues" dxfId="2926" priority="1412"/>
    <cfRule type="duplicateValues" dxfId="2925" priority="1413"/>
  </conditionalFormatting>
  <conditionalFormatting sqref="E640">
    <cfRule type="duplicateValues" dxfId="2924" priority="1414"/>
  </conditionalFormatting>
  <conditionalFormatting sqref="E756">
    <cfRule type="duplicateValues" dxfId="2923" priority="1355"/>
  </conditionalFormatting>
  <conditionalFormatting sqref="E756">
    <cfRule type="duplicateValues" dxfId="2922" priority="1356"/>
    <cfRule type="duplicateValues" dxfId="2921" priority="1357"/>
  </conditionalFormatting>
  <conditionalFormatting sqref="E756">
    <cfRule type="duplicateValues" dxfId="2920" priority="1358"/>
  </conditionalFormatting>
  <conditionalFormatting sqref="E756">
    <cfRule type="duplicateValues" dxfId="2919" priority="1354"/>
  </conditionalFormatting>
  <conditionalFormatting sqref="E735">
    <cfRule type="duplicateValues" dxfId="2918" priority="1349"/>
  </conditionalFormatting>
  <conditionalFormatting sqref="E735">
    <cfRule type="duplicateValues" dxfId="2917" priority="1350"/>
  </conditionalFormatting>
  <conditionalFormatting sqref="E735">
    <cfRule type="duplicateValues" dxfId="2916" priority="1351"/>
    <cfRule type="duplicateValues" dxfId="2915" priority="1352"/>
  </conditionalFormatting>
  <conditionalFormatting sqref="E735">
    <cfRule type="duplicateValues" dxfId="2914" priority="1353"/>
  </conditionalFormatting>
  <conditionalFormatting sqref="E196">
    <cfRule type="duplicateValues" dxfId="2913" priority="1346"/>
  </conditionalFormatting>
  <conditionalFormatting sqref="E196">
    <cfRule type="duplicateValues" dxfId="2912" priority="1347"/>
    <cfRule type="duplicateValues" dxfId="2911" priority="1348"/>
  </conditionalFormatting>
  <conditionalFormatting sqref="E214:E217">
    <cfRule type="duplicateValues" dxfId="2910" priority="1345"/>
  </conditionalFormatting>
  <conditionalFormatting sqref="E221">
    <cfRule type="duplicateValues" dxfId="2909" priority="1343"/>
  </conditionalFormatting>
  <conditionalFormatting sqref="E221">
    <cfRule type="duplicateValues" dxfId="2908" priority="1341"/>
    <cfRule type="duplicateValues" dxfId="2907" priority="1342"/>
  </conditionalFormatting>
  <conditionalFormatting sqref="E221">
    <cfRule type="duplicateValues" dxfId="2906" priority="1344"/>
  </conditionalFormatting>
  <conditionalFormatting sqref="E221">
    <cfRule type="duplicateValues" dxfId="2905" priority="1340"/>
  </conditionalFormatting>
  <conditionalFormatting sqref="E245 E227:E229 E242">
    <cfRule type="duplicateValues" dxfId="2904" priority="1335"/>
  </conditionalFormatting>
  <conditionalFormatting sqref="E242 E227:E229">
    <cfRule type="duplicateValues" dxfId="2903" priority="1336"/>
  </conditionalFormatting>
  <conditionalFormatting sqref="E245 E227:E229 E242">
    <cfRule type="duplicateValues" dxfId="2902" priority="1337"/>
    <cfRule type="duplicateValues" dxfId="2901" priority="1338"/>
  </conditionalFormatting>
  <conditionalFormatting sqref="E227:E229">
    <cfRule type="duplicateValues" dxfId="2900" priority="1339"/>
  </conditionalFormatting>
  <conditionalFormatting sqref="E246">
    <cfRule type="duplicateValues" dxfId="2899" priority="1333"/>
  </conditionalFormatting>
  <conditionalFormatting sqref="E246">
    <cfRule type="duplicateValues" dxfId="2898" priority="1331"/>
    <cfRule type="duplicateValues" dxfId="2897" priority="1332"/>
  </conditionalFormatting>
  <conditionalFormatting sqref="E246">
    <cfRule type="duplicateValues" dxfId="2896" priority="1334"/>
  </conditionalFormatting>
  <conditionalFormatting sqref="E246">
    <cfRule type="duplicateValues" dxfId="2895" priority="1330"/>
  </conditionalFormatting>
  <conditionalFormatting sqref="E520">
    <cfRule type="duplicateValues" dxfId="2894" priority="1329"/>
  </conditionalFormatting>
  <conditionalFormatting sqref="E806">
    <cfRule type="duplicateValues" dxfId="2893" priority="1325"/>
  </conditionalFormatting>
  <conditionalFormatting sqref="E806">
    <cfRule type="duplicateValues" dxfId="2892" priority="1324"/>
  </conditionalFormatting>
  <conditionalFormatting sqref="E806">
    <cfRule type="duplicateValues" dxfId="2891" priority="1326"/>
    <cfRule type="duplicateValues" dxfId="2890" priority="1327"/>
  </conditionalFormatting>
  <conditionalFormatting sqref="E806">
    <cfRule type="duplicateValues" dxfId="2889" priority="1328"/>
  </conditionalFormatting>
  <conditionalFormatting sqref="E805">
    <cfRule type="duplicateValues" dxfId="2888" priority="1320"/>
  </conditionalFormatting>
  <conditionalFormatting sqref="E805">
    <cfRule type="duplicateValues" dxfId="2887" priority="1319"/>
  </conditionalFormatting>
  <conditionalFormatting sqref="E805">
    <cfRule type="duplicateValues" dxfId="2886" priority="1321"/>
    <cfRule type="duplicateValues" dxfId="2885" priority="1322"/>
  </conditionalFormatting>
  <conditionalFormatting sqref="E805">
    <cfRule type="duplicateValues" dxfId="2884" priority="1323"/>
  </conditionalFormatting>
  <conditionalFormatting sqref="E714">
    <cfRule type="duplicateValues" dxfId="2883" priority="1314"/>
  </conditionalFormatting>
  <conditionalFormatting sqref="E713:E715">
    <cfRule type="duplicateValues" dxfId="2882" priority="1313"/>
  </conditionalFormatting>
  <conditionalFormatting sqref="E715 E713">
    <cfRule type="duplicateValues" dxfId="2881" priority="1315"/>
  </conditionalFormatting>
  <conditionalFormatting sqref="E713:E715">
    <cfRule type="duplicateValues" dxfId="2880" priority="1316"/>
    <cfRule type="duplicateValues" dxfId="2879" priority="1317"/>
  </conditionalFormatting>
  <conditionalFormatting sqref="E713:E715">
    <cfRule type="duplicateValues" dxfId="2878" priority="1318"/>
  </conditionalFormatting>
  <conditionalFormatting sqref="E729">
    <cfRule type="duplicateValues" dxfId="2877" priority="1308"/>
  </conditionalFormatting>
  <conditionalFormatting sqref="E729:E730">
    <cfRule type="duplicateValues" dxfId="2876" priority="1307"/>
  </conditionalFormatting>
  <conditionalFormatting sqref="E729:E730">
    <cfRule type="duplicateValues" dxfId="2875" priority="1309"/>
  </conditionalFormatting>
  <conditionalFormatting sqref="E729:E730">
    <cfRule type="duplicateValues" dxfId="2874" priority="1310"/>
    <cfRule type="duplicateValues" dxfId="2873" priority="1311"/>
  </conditionalFormatting>
  <conditionalFormatting sqref="E729:E730">
    <cfRule type="duplicateValues" dxfId="2872" priority="1312"/>
  </conditionalFormatting>
  <conditionalFormatting sqref="E731">
    <cfRule type="duplicateValues" dxfId="2871" priority="1302"/>
  </conditionalFormatting>
  <conditionalFormatting sqref="E731">
    <cfRule type="duplicateValues" dxfId="2870" priority="1303"/>
  </conditionalFormatting>
  <conditionalFormatting sqref="E731">
    <cfRule type="duplicateValues" dxfId="2869" priority="1304"/>
    <cfRule type="duplicateValues" dxfId="2868" priority="1305"/>
  </conditionalFormatting>
  <conditionalFormatting sqref="E731">
    <cfRule type="duplicateValues" dxfId="2867" priority="1306"/>
  </conditionalFormatting>
  <conditionalFormatting sqref="E171">
    <cfRule type="duplicateValues" dxfId="2866" priority="1297"/>
  </conditionalFormatting>
  <conditionalFormatting sqref="E171">
    <cfRule type="duplicateValues" dxfId="2865" priority="1298"/>
  </conditionalFormatting>
  <conditionalFormatting sqref="E171">
    <cfRule type="duplicateValues" dxfId="2864" priority="1299"/>
    <cfRule type="duplicateValues" dxfId="2863" priority="1300"/>
  </conditionalFormatting>
  <conditionalFormatting sqref="E171">
    <cfRule type="duplicateValues" dxfId="2862" priority="1301"/>
  </conditionalFormatting>
  <conditionalFormatting sqref="E8">
    <cfRule type="duplicateValues" dxfId="2861" priority="1292"/>
  </conditionalFormatting>
  <conditionalFormatting sqref="E8">
    <cfRule type="duplicateValues" dxfId="2860" priority="1293"/>
  </conditionalFormatting>
  <conditionalFormatting sqref="E8">
    <cfRule type="duplicateValues" dxfId="2859" priority="1294"/>
    <cfRule type="duplicateValues" dxfId="2858" priority="1295"/>
  </conditionalFormatting>
  <conditionalFormatting sqref="E8">
    <cfRule type="duplicateValues" dxfId="2857" priority="1296"/>
  </conditionalFormatting>
  <conditionalFormatting sqref="E437">
    <cfRule type="duplicateValues" dxfId="2856" priority="1291"/>
  </conditionalFormatting>
  <conditionalFormatting sqref="E722">
    <cfRule type="duplicateValues" dxfId="2855" priority="1286"/>
  </conditionalFormatting>
  <conditionalFormatting sqref="E721:E723">
    <cfRule type="duplicateValues" dxfId="2854" priority="1285"/>
  </conditionalFormatting>
  <conditionalFormatting sqref="E723 E721">
    <cfRule type="duplicateValues" dxfId="2853" priority="1287"/>
  </conditionalFormatting>
  <conditionalFormatting sqref="E721:E723">
    <cfRule type="duplicateValues" dxfId="2852" priority="1288"/>
    <cfRule type="duplicateValues" dxfId="2851" priority="1289"/>
  </conditionalFormatting>
  <conditionalFormatting sqref="E722:E723">
    <cfRule type="duplicateValues" dxfId="2850" priority="1290"/>
  </conditionalFormatting>
  <conditionalFormatting sqref="E719">
    <cfRule type="duplicateValues" dxfId="2849" priority="1280"/>
  </conditionalFormatting>
  <conditionalFormatting sqref="E718:E720">
    <cfRule type="duplicateValues" dxfId="2848" priority="1279"/>
  </conditionalFormatting>
  <conditionalFormatting sqref="E720 E718">
    <cfRule type="duplicateValues" dxfId="2847" priority="1281"/>
  </conditionalFormatting>
  <conditionalFormatting sqref="E718:E720">
    <cfRule type="duplicateValues" dxfId="2846" priority="1282"/>
    <cfRule type="duplicateValues" dxfId="2845" priority="1283"/>
  </conditionalFormatting>
  <conditionalFormatting sqref="E718:E720">
    <cfRule type="duplicateValues" dxfId="2844" priority="1284"/>
  </conditionalFormatting>
  <conditionalFormatting sqref="E682">
    <cfRule type="duplicateValues" dxfId="2843" priority="1275"/>
  </conditionalFormatting>
  <conditionalFormatting sqref="E682">
    <cfRule type="duplicateValues" dxfId="2842" priority="1274"/>
  </conditionalFormatting>
  <conditionalFormatting sqref="E682">
    <cfRule type="duplicateValues" dxfId="2841" priority="1276"/>
    <cfRule type="duplicateValues" dxfId="2840" priority="1277"/>
  </conditionalFormatting>
  <conditionalFormatting sqref="E682">
    <cfRule type="duplicateValues" dxfId="2839" priority="1278"/>
  </conditionalFormatting>
  <conditionalFormatting sqref="E335">
    <cfRule type="duplicateValues" dxfId="2838" priority="1273"/>
  </conditionalFormatting>
  <conditionalFormatting sqref="E146">
    <cfRule type="duplicateValues" dxfId="2837" priority="1268"/>
  </conditionalFormatting>
  <conditionalFormatting sqref="E146">
    <cfRule type="duplicateValues" dxfId="2836" priority="1269"/>
  </conditionalFormatting>
  <conditionalFormatting sqref="E146">
    <cfRule type="duplicateValues" dxfId="2835" priority="1270"/>
    <cfRule type="duplicateValues" dxfId="2834" priority="1271"/>
  </conditionalFormatting>
  <conditionalFormatting sqref="E146">
    <cfRule type="duplicateValues" dxfId="2833" priority="1272"/>
  </conditionalFormatting>
  <conditionalFormatting sqref="E147">
    <cfRule type="duplicateValues" dxfId="2832" priority="1263"/>
  </conditionalFormatting>
  <conditionalFormatting sqref="E147">
    <cfRule type="duplicateValues" dxfId="2831" priority="1264"/>
  </conditionalFormatting>
  <conditionalFormatting sqref="E147">
    <cfRule type="duplicateValues" dxfId="2830" priority="1265"/>
    <cfRule type="duplicateValues" dxfId="2829" priority="1266"/>
  </conditionalFormatting>
  <conditionalFormatting sqref="E147">
    <cfRule type="duplicateValues" dxfId="2828" priority="1267"/>
  </conditionalFormatting>
  <conditionalFormatting sqref="E260:E264">
    <cfRule type="duplicateValues" dxfId="2827" priority="1415"/>
  </conditionalFormatting>
  <conditionalFormatting sqref="E40:E42">
    <cfRule type="duplicateValues" dxfId="2826" priority="1416"/>
  </conditionalFormatting>
  <conditionalFormatting sqref="E170">
    <cfRule type="duplicateValues" dxfId="2825" priority="1417"/>
  </conditionalFormatting>
  <conditionalFormatting sqref="E222:E224">
    <cfRule type="duplicateValues" dxfId="2824" priority="1258"/>
  </conditionalFormatting>
  <conditionalFormatting sqref="E222:E224">
    <cfRule type="duplicateValues" dxfId="2823" priority="1259"/>
  </conditionalFormatting>
  <conditionalFormatting sqref="E222:E224">
    <cfRule type="duplicateValues" dxfId="2822" priority="1260"/>
    <cfRule type="duplicateValues" dxfId="2821" priority="1261"/>
  </conditionalFormatting>
  <conditionalFormatting sqref="E222:E224">
    <cfRule type="duplicateValues" dxfId="2820" priority="1262"/>
  </conditionalFormatting>
  <conditionalFormatting sqref="E748">
    <cfRule type="duplicateValues" dxfId="2819" priority="1254"/>
    <cfRule type="duplicateValues" dxfId="2818" priority="1255"/>
  </conditionalFormatting>
  <conditionalFormatting sqref="E748">
    <cfRule type="duplicateValues" dxfId="2817" priority="1256"/>
  </conditionalFormatting>
  <conditionalFormatting sqref="E748">
    <cfRule type="duplicateValues" dxfId="2816" priority="1257"/>
  </conditionalFormatting>
  <conditionalFormatting sqref="E748">
    <cfRule type="duplicateValues" dxfId="2815" priority="1253"/>
  </conditionalFormatting>
  <conditionalFormatting sqref="E630">
    <cfRule type="duplicateValues" dxfId="2814" priority="1418"/>
    <cfRule type="duplicateValues" dxfId="2813" priority="1419"/>
  </conditionalFormatting>
  <conditionalFormatting sqref="E630">
    <cfRule type="duplicateValues" dxfId="2812" priority="1420"/>
  </conditionalFormatting>
  <conditionalFormatting sqref="E746">
    <cfRule type="duplicateValues" dxfId="2811" priority="1249"/>
  </conditionalFormatting>
  <conditionalFormatting sqref="E736">
    <cfRule type="duplicateValues" dxfId="2810" priority="1252"/>
  </conditionalFormatting>
  <conditionalFormatting sqref="E575:E578">
    <cfRule type="duplicateValues" dxfId="2809" priority="1421"/>
  </conditionalFormatting>
  <conditionalFormatting sqref="E575:E578">
    <cfRule type="duplicateValues" dxfId="2808" priority="1422"/>
    <cfRule type="duplicateValues" dxfId="2807" priority="1423"/>
  </conditionalFormatting>
  <conditionalFormatting sqref="E575:E578">
    <cfRule type="duplicateValues" dxfId="2806" priority="1424"/>
  </conditionalFormatting>
  <conditionalFormatting sqref="E214:E220">
    <cfRule type="duplicateValues" dxfId="2805" priority="1425"/>
  </conditionalFormatting>
  <conditionalFormatting sqref="E218:E220">
    <cfRule type="duplicateValues" dxfId="2804" priority="1426"/>
  </conditionalFormatting>
  <conditionalFormatting sqref="E214:E220">
    <cfRule type="duplicateValues" dxfId="2803" priority="1427"/>
    <cfRule type="duplicateValues" dxfId="2802" priority="1428"/>
  </conditionalFormatting>
  <conditionalFormatting sqref="E642">
    <cfRule type="duplicateValues" dxfId="2801" priority="1429"/>
  </conditionalFormatting>
  <conditionalFormatting sqref="E447">
    <cfRule type="duplicateValues" dxfId="2800" priority="1242"/>
  </conditionalFormatting>
  <conditionalFormatting sqref="E447">
    <cfRule type="duplicateValues" dxfId="2799" priority="1243"/>
  </conditionalFormatting>
  <conditionalFormatting sqref="E447">
    <cfRule type="duplicateValues" dxfId="2798" priority="1244"/>
    <cfRule type="duplicateValues" dxfId="2797" priority="1245"/>
  </conditionalFormatting>
  <conditionalFormatting sqref="E447">
    <cfRule type="duplicateValues" dxfId="2796" priority="1246"/>
  </conditionalFormatting>
  <conditionalFormatting sqref="E755">
    <cfRule type="duplicateValues" dxfId="2795" priority="1238"/>
  </conditionalFormatting>
  <conditionalFormatting sqref="E755">
    <cfRule type="duplicateValues" dxfId="2794" priority="1239"/>
    <cfRule type="duplicateValues" dxfId="2793" priority="1240"/>
  </conditionalFormatting>
  <conditionalFormatting sqref="E755">
    <cfRule type="duplicateValues" dxfId="2792" priority="1241"/>
  </conditionalFormatting>
  <conditionalFormatting sqref="E755">
    <cfRule type="duplicateValues" dxfId="2791" priority="1237"/>
  </conditionalFormatting>
  <conditionalFormatting sqref="E683">
    <cfRule type="duplicateValues" dxfId="2790" priority="1233"/>
  </conditionalFormatting>
  <conditionalFormatting sqref="E683">
    <cfRule type="duplicateValues" dxfId="2789" priority="1232"/>
  </conditionalFormatting>
  <conditionalFormatting sqref="E683">
    <cfRule type="duplicateValues" dxfId="2788" priority="1234"/>
    <cfRule type="duplicateValues" dxfId="2787" priority="1235"/>
  </conditionalFormatting>
  <conditionalFormatting sqref="E683">
    <cfRule type="duplicateValues" dxfId="2786" priority="1236"/>
  </conditionalFormatting>
  <conditionalFormatting sqref="E751">
    <cfRule type="duplicateValues" dxfId="2785" priority="1227"/>
  </conditionalFormatting>
  <conditionalFormatting sqref="E751">
    <cfRule type="duplicateValues" dxfId="2784" priority="1228"/>
  </conditionalFormatting>
  <conditionalFormatting sqref="E751">
    <cfRule type="duplicateValues" dxfId="2783" priority="1229"/>
    <cfRule type="duplicateValues" dxfId="2782" priority="1230"/>
  </conditionalFormatting>
  <conditionalFormatting sqref="E751">
    <cfRule type="duplicateValues" dxfId="2781" priority="1231"/>
  </conditionalFormatting>
  <conditionalFormatting sqref="E737:E739">
    <cfRule type="duplicateValues" dxfId="2780" priority="1226"/>
  </conditionalFormatting>
  <conditionalFormatting sqref="E740">
    <cfRule type="duplicateValues" dxfId="2779" priority="1225"/>
  </conditionalFormatting>
  <conditionalFormatting sqref="E247">
    <cfRule type="duplicateValues" dxfId="2778" priority="1220"/>
  </conditionalFormatting>
  <conditionalFormatting sqref="E247">
    <cfRule type="duplicateValues" dxfId="2777" priority="1221"/>
  </conditionalFormatting>
  <conditionalFormatting sqref="E247">
    <cfRule type="duplicateValues" dxfId="2776" priority="1222"/>
    <cfRule type="duplicateValues" dxfId="2775" priority="1223"/>
  </conditionalFormatting>
  <conditionalFormatting sqref="E247">
    <cfRule type="duplicateValues" dxfId="2774" priority="1224"/>
  </conditionalFormatting>
  <conditionalFormatting sqref="E338">
    <cfRule type="duplicateValues" dxfId="2773" priority="1219"/>
  </conditionalFormatting>
  <conditionalFormatting sqref="E343 E339">
    <cfRule type="duplicateValues" dxfId="2772" priority="1214"/>
  </conditionalFormatting>
  <conditionalFormatting sqref="E339">
    <cfRule type="duplicateValues" dxfId="2771" priority="1215"/>
  </conditionalFormatting>
  <conditionalFormatting sqref="E343 E339">
    <cfRule type="duplicateValues" dxfId="2770" priority="1216"/>
    <cfRule type="duplicateValues" dxfId="2769" priority="1217"/>
  </conditionalFormatting>
  <conditionalFormatting sqref="E339">
    <cfRule type="duplicateValues" dxfId="2768" priority="1218"/>
  </conditionalFormatting>
  <conditionalFormatting sqref="E345">
    <cfRule type="duplicateValues" dxfId="2767" priority="1212"/>
  </conditionalFormatting>
  <conditionalFormatting sqref="E345">
    <cfRule type="duplicateValues" dxfId="2766" priority="1210"/>
    <cfRule type="duplicateValues" dxfId="2765" priority="1211"/>
  </conditionalFormatting>
  <conditionalFormatting sqref="E345">
    <cfRule type="duplicateValues" dxfId="2764" priority="1213"/>
  </conditionalFormatting>
  <conditionalFormatting sqref="E345">
    <cfRule type="duplicateValues" dxfId="2763" priority="1209"/>
  </conditionalFormatting>
  <conditionalFormatting sqref="E592">
    <cfRule type="duplicateValues" dxfId="2762" priority="1204"/>
  </conditionalFormatting>
  <conditionalFormatting sqref="E593">
    <cfRule type="duplicateValues" dxfId="2761" priority="1203"/>
  </conditionalFormatting>
  <conditionalFormatting sqref="E587:E593">
    <cfRule type="duplicateValues" dxfId="2760" priority="1202"/>
  </conditionalFormatting>
  <conditionalFormatting sqref="E587:E593">
    <cfRule type="duplicateValues" dxfId="2759" priority="1205"/>
    <cfRule type="duplicateValues" dxfId="2758" priority="1206"/>
  </conditionalFormatting>
  <conditionalFormatting sqref="E587:E593">
    <cfRule type="duplicateValues" dxfId="2757" priority="1207"/>
  </conditionalFormatting>
  <conditionalFormatting sqref="E587:E591">
    <cfRule type="duplicateValues" dxfId="2756" priority="1208"/>
  </conditionalFormatting>
  <conditionalFormatting sqref="E637">
    <cfRule type="duplicateValues" dxfId="2755" priority="1194"/>
    <cfRule type="duplicateValues" dxfId="2754" priority="1195"/>
  </conditionalFormatting>
  <conditionalFormatting sqref="E637">
    <cfRule type="duplicateValues" dxfId="2753" priority="1196"/>
  </conditionalFormatting>
  <conditionalFormatting sqref="E638">
    <cfRule type="duplicateValues" dxfId="2752" priority="1197"/>
  </conditionalFormatting>
  <conditionalFormatting sqref="E638">
    <cfRule type="duplicateValues" dxfId="2751" priority="1198"/>
    <cfRule type="duplicateValues" dxfId="2750" priority="1199"/>
  </conditionalFormatting>
  <conditionalFormatting sqref="E638">
    <cfRule type="duplicateValues" dxfId="2749" priority="1200"/>
  </conditionalFormatting>
  <conditionalFormatting sqref="E639">
    <cfRule type="duplicateValues" dxfId="2748" priority="1201"/>
  </conditionalFormatting>
  <conditionalFormatting sqref="E461">
    <cfRule type="duplicateValues" dxfId="2747" priority="1190"/>
  </conditionalFormatting>
  <conditionalFormatting sqref="E461">
    <cfRule type="duplicateValues" dxfId="2746" priority="1189"/>
  </conditionalFormatting>
  <conditionalFormatting sqref="E461">
    <cfRule type="duplicateValues" dxfId="2745" priority="1191"/>
    <cfRule type="duplicateValues" dxfId="2744" priority="1192"/>
  </conditionalFormatting>
  <conditionalFormatting sqref="E461">
    <cfRule type="duplicateValues" dxfId="2743" priority="1193"/>
  </conditionalFormatting>
  <conditionalFormatting sqref="E68:E69">
    <cfRule type="duplicateValues" dxfId="2742" priority="1185"/>
  </conditionalFormatting>
  <conditionalFormatting sqref="E68:E69">
    <cfRule type="duplicateValues" dxfId="2741" priority="1184"/>
  </conditionalFormatting>
  <conditionalFormatting sqref="E68:E69">
    <cfRule type="duplicateValues" dxfId="2740" priority="1186"/>
    <cfRule type="duplicateValues" dxfId="2739" priority="1187"/>
  </conditionalFormatting>
  <conditionalFormatting sqref="E68:E69">
    <cfRule type="duplicateValues" dxfId="2738" priority="1188"/>
  </conditionalFormatting>
  <conditionalFormatting sqref="E415">
    <cfRule type="duplicateValues" dxfId="2737" priority="1179"/>
  </conditionalFormatting>
  <conditionalFormatting sqref="E415">
    <cfRule type="duplicateValues" dxfId="2736" priority="1180"/>
  </conditionalFormatting>
  <conditionalFormatting sqref="E415">
    <cfRule type="duplicateValues" dxfId="2735" priority="1181"/>
    <cfRule type="duplicateValues" dxfId="2734" priority="1182"/>
  </conditionalFormatting>
  <conditionalFormatting sqref="E415">
    <cfRule type="duplicateValues" dxfId="2733" priority="1183"/>
  </conditionalFormatting>
  <conditionalFormatting sqref="E443">
    <cfRule type="duplicateValues" dxfId="2732" priority="1175"/>
  </conditionalFormatting>
  <conditionalFormatting sqref="E443">
    <cfRule type="duplicateValues" dxfId="2731" priority="1174"/>
  </conditionalFormatting>
  <conditionalFormatting sqref="E443">
    <cfRule type="duplicateValues" dxfId="2730" priority="1176"/>
    <cfRule type="duplicateValues" dxfId="2729" priority="1177"/>
  </conditionalFormatting>
  <conditionalFormatting sqref="E443">
    <cfRule type="duplicateValues" dxfId="2728" priority="1178"/>
  </conditionalFormatting>
  <conditionalFormatting sqref="E428">
    <cfRule type="duplicateValues" dxfId="2727" priority="1169"/>
  </conditionalFormatting>
  <conditionalFormatting sqref="E427:E428">
    <cfRule type="duplicateValues" dxfId="2726" priority="1168"/>
  </conditionalFormatting>
  <conditionalFormatting sqref="E427">
    <cfRule type="duplicateValues" dxfId="2725" priority="1170"/>
  </conditionalFormatting>
  <conditionalFormatting sqref="E427:E428">
    <cfRule type="duplicateValues" dxfId="2724" priority="1171"/>
    <cfRule type="duplicateValues" dxfId="2723" priority="1172"/>
  </conditionalFormatting>
  <conditionalFormatting sqref="E427:E428">
    <cfRule type="duplicateValues" dxfId="2722" priority="1173"/>
  </conditionalFormatting>
  <conditionalFormatting sqref="E429">
    <cfRule type="duplicateValues" dxfId="2721" priority="1163"/>
  </conditionalFormatting>
  <conditionalFormatting sqref="E429">
    <cfRule type="duplicateValues" dxfId="2720" priority="1164"/>
  </conditionalFormatting>
  <conditionalFormatting sqref="E429">
    <cfRule type="duplicateValues" dxfId="2719" priority="1165"/>
    <cfRule type="duplicateValues" dxfId="2718" priority="1166"/>
  </conditionalFormatting>
  <conditionalFormatting sqref="E429">
    <cfRule type="duplicateValues" dxfId="2717" priority="1167"/>
  </conditionalFormatting>
  <conditionalFormatting sqref="E756">
    <cfRule type="duplicateValues" dxfId="2716" priority="1159"/>
  </conditionalFormatting>
  <conditionalFormatting sqref="E756">
    <cfRule type="duplicateValues" dxfId="2715" priority="1160"/>
    <cfRule type="duplicateValues" dxfId="2714" priority="1161"/>
  </conditionalFormatting>
  <conditionalFormatting sqref="E756">
    <cfRule type="duplicateValues" dxfId="2713" priority="1162"/>
  </conditionalFormatting>
  <conditionalFormatting sqref="E756">
    <cfRule type="duplicateValues" dxfId="2712" priority="1158"/>
  </conditionalFormatting>
  <conditionalFormatting sqref="E665">
    <cfRule type="duplicateValues" dxfId="2711" priority="1153"/>
  </conditionalFormatting>
  <conditionalFormatting sqref="E665">
    <cfRule type="duplicateValues" dxfId="2710" priority="1154"/>
  </conditionalFormatting>
  <conditionalFormatting sqref="E665">
    <cfRule type="duplicateValues" dxfId="2709" priority="1155"/>
    <cfRule type="duplicateValues" dxfId="2708" priority="1156"/>
  </conditionalFormatting>
  <conditionalFormatting sqref="E665">
    <cfRule type="duplicateValues" dxfId="2707" priority="1157"/>
  </conditionalFormatting>
  <conditionalFormatting sqref="E765">
    <cfRule type="duplicateValues" dxfId="2706" priority="1148"/>
  </conditionalFormatting>
  <conditionalFormatting sqref="E765">
    <cfRule type="duplicateValues" dxfId="2705" priority="1149"/>
  </conditionalFormatting>
  <conditionalFormatting sqref="E765">
    <cfRule type="duplicateValues" dxfId="2704" priority="1150"/>
    <cfRule type="duplicateValues" dxfId="2703" priority="1151"/>
  </conditionalFormatting>
  <conditionalFormatting sqref="E765">
    <cfRule type="duplicateValues" dxfId="2702" priority="1152"/>
  </conditionalFormatting>
  <conditionalFormatting sqref="E772">
    <cfRule type="duplicateValues" dxfId="2701" priority="1143"/>
  </conditionalFormatting>
  <conditionalFormatting sqref="E772">
    <cfRule type="duplicateValues" dxfId="2700" priority="1144"/>
  </conditionalFormatting>
  <conditionalFormatting sqref="E772">
    <cfRule type="duplicateValues" dxfId="2699" priority="1145"/>
    <cfRule type="duplicateValues" dxfId="2698" priority="1146"/>
  </conditionalFormatting>
  <conditionalFormatting sqref="E772">
    <cfRule type="duplicateValues" dxfId="2697" priority="1147"/>
  </conditionalFormatting>
  <conditionalFormatting sqref="E741">
    <cfRule type="duplicateValues" dxfId="2696" priority="1139"/>
  </conditionalFormatting>
  <conditionalFormatting sqref="E741">
    <cfRule type="duplicateValues" dxfId="2695" priority="1138"/>
  </conditionalFormatting>
  <conditionalFormatting sqref="E741">
    <cfRule type="duplicateValues" dxfId="2694" priority="1140"/>
    <cfRule type="duplicateValues" dxfId="2693" priority="1141"/>
  </conditionalFormatting>
  <conditionalFormatting sqref="E741">
    <cfRule type="duplicateValues" dxfId="2692" priority="1142"/>
  </conditionalFormatting>
  <conditionalFormatting sqref="E502">
    <cfRule type="duplicateValues" dxfId="2691" priority="1430"/>
  </conditionalFormatting>
  <conditionalFormatting sqref="E502">
    <cfRule type="duplicateValues" dxfId="2690" priority="1431"/>
    <cfRule type="duplicateValues" dxfId="2689" priority="1432"/>
  </conditionalFormatting>
  <conditionalFormatting sqref="E11">
    <cfRule type="duplicateValues" dxfId="2688" priority="1133"/>
  </conditionalFormatting>
  <conditionalFormatting sqref="E11">
    <cfRule type="duplicateValues" dxfId="2687" priority="1134"/>
  </conditionalFormatting>
  <conditionalFormatting sqref="E11">
    <cfRule type="duplicateValues" dxfId="2686" priority="1135"/>
    <cfRule type="duplicateValues" dxfId="2685" priority="1136"/>
  </conditionalFormatting>
  <conditionalFormatting sqref="E11">
    <cfRule type="duplicateValues" dxfId="2684" priority="1137"/>
  </conditionalFormatting>
  <conditionalFormatting sqref="E759">
    <cfRule type="duplicateValues" dxfId="2683" priority="1130"/>
  </conditionalFormatting>
  <conditionalFormatting sqref="E759">
    <cfRule type="duplicateValues" dxfId="2682" priority="1131"/>
    <cfRule type="duplicateValues" dxfId="2681" priority="1132"/>
  </conditionalFormatting>
  <conditionalFormatting sqref="E742">
    <cfRule type="duplicateValues" dxfId="2680" priority="1126"/>
  </conditionalFormatting>
  <conditionalFormatting sqref="E742">
    <cfRule type="duplicateValues" dxfId="2679" priority="1127"/>
  </conditionalFormatting>
  <conditionalFormatting sqref="E742">
    <cfRule type="duplicateValues" dxfId="2678" priority="1128"/>
    <cfRule type="duplicateValues" dxfId="2677" priority="1129"/>
  </conditionalFormatting>
  <conditionalFormatting sqref="E743">
    <cfRule type="duplicateValues" dxfId="2676" priority="1122"/>
  </conditionalFormatting>
  <conditionalFormatting sqref="E743">
    <cfRule type="duplicateValues" dxfId="2675" priority="1123"/>
  </conditionalFormatting>
  <conditionalFormatting sqref="E743">
    <cfRule type="duplicateValues" dxfId="2674" priority="1124"/>
    <cfRule type="duplicateValues" dxfId="2673" priority="1125"/>
  </conditionalFormatting>
  <conditionalFormatting sqref="E742">
    <cfRule type="duplicateValues" dxfId="2672" priority="1118"/>
  </conditionalFormatting>
  <conditionalFormatting sqref="E742">
    <cfRule type="duplicateValues" dxfId="2671" priority="1119"/>
    <cfRule type="duplicateValues" dxfId="2670" priority="1120"/>
  </conditionalFormatting>
  <conditionalFormatting sqref="E742">
    <cfRule type="duplicateValues" dxfId="2669" priority="1121"/>
  </conditionalFormatting>
  <conditionalFormatting sqref="E742">
    <cfRule type="duplicateValues" dxfId="2668" priority="1117"/>
  </conditionalFormatting>
  <conditionalFormatting sqref="E743">
    <cfRule type="duplicateValues" dxfId="2667" priority="1113"/>
  </conditionalFormatting>
  <conditionalFormatting sqref="E743">
    <cfRule type="duplicateValues" dxfId="2666" priority="1114"/>
  </conditionalFormatting>
  <conditionalFormatting sqref="E743">
    <cfRule type="duplicateValues" dxfId="2665" priority="1115"/>
    <cfRule type="duplicateValues" dxfId="2664" priority="1116"/>
  </conditionalFormatting>
  <conditionalFormatting sqref="E741">
    <cfRule type="duplicateValues" dxfId="2663" priority="1108"/>
  </conditionalFormatting>
  <conditionalFormatting sqref="E741">
    <cfRule type="duplicateValues" dxfId="2662" priority="1109"/>
  </conditionalFormatting>
  <conditionalFormatting sqref="E741">
    <cfRule type="duplicateValues" dxfId="2661" priority="1110"/>
    <cfRule type="duplicateValues" dxfId="2660" priority="1111"/>
  </conditionalFormatting>
  <conditionalFormatting sqref="E741">
    <cfRule type="duplicateValues" dxfId="2659" priority="1112"/>
  </conditionalFormatting>
  <conditionalFormatting sqref="E741">
    <cfRule type="duplicateValues" dxfId="2658" priority="1104"/>
  </conditionalFormatting>
  <conditionalFormatting sqref="E741">
    <cfRule type="duplicateValues" dxfId="2657" priority="1105"/>
    <cfRule type="duplicateValues" dxfId="2656" priority="1106"/>
  </conditionalFormatting>
  <conditionalFormatting sqref="E741">
    <cfRule type="duplicateValues" dxfId="2655" priority="1107"/>
  </conditionalFormatting>
  <conditionalFormatting sqref="E741">
    <cfRule type="duplicateValues" dxfId="2654" priority="1103"/>
  </conditionalFormatting>
  <conditionalFormatting sqref="E741">
    <cfRule type="duplicateValues" dxfId="2653" priority="1099"/>
  </conditionalFormatting>
  <conditionalFormatting sqref="E741">
    <cfRule type="duplicateValues" dxfId="2652" priority="1100"/>
    <cfRule type="duplicateValues" dxfId="2651" priority="1101"/>
  </conditionalFormatting>
  <conditionalFormatting sqref="E741">
    <cfRule type="duplicateValues" dxfId="2650" priority="1102"/>
  </conditionalFormatting>
  <conditionalFormatting sqref="E741">
    <cfRule type="duplicateValues" dxfId="2649" priority="1098"/>
  </conditionalFormatting>
  <conditionalFormatting sqref="E811">
    <cfRule type="duplicateValues" dxfId="2648" priority="1094"/>
  </conditionalFormatting>
  <conditionalFormatting sqref="E811">
    <cfRule type="duplicateValues" dxfId="2647" priority="1093"/>
  </conditionalFormatting>
  <conditionalFormatting sqref="E811">
    <cfRule type="duplicateValues" dxfId="2646" priority="1095"/>
    <cfRule type="duplicateValues" dxfId="2645" priority="1096"/>
  </conditionalFormatting>
  <conditionalFormatting sqref="E811">
    <cfRule type="duplicateValues" dxfId="2644" priority="1097"/>
  </conditionalFormatting>
  <conditionalFormatting sqref="E811">
    <cfRule type="duplicateValues" dxfId="2643" priority="1092"/>
  </conditionalFormatting>
  <conditionalFormatting sqref="E645">
    <cfRule type="duplicateValues" dxfId="2642" priority="1086"/>
  </conditionalFormatting>
  <conditionalFormatting sqref="E645">
    <cfRule type="duplicateValues" dxfId="2641" priority="1087"/>
  </conditionalFormatting>
  <conditionalFormatting sqref="E645">
    <cfRule type="duplicateValues" dxfId="2640" priority="1088"/>
  </conditionalFormatting>
  <conditionalFormatting sqref="E645">
    <cfRule type="duplicateValues" dxfId="2639" priority="1089"/>
    <cfRule type="duplicateValues" dxfId="2638" priority="1090"/>
  </conditionalFormatting>
  <conditionalFormatting sqref="E645">
    <cfRule type="duplicateValues" dxfId="2637" priority="1091"/>
  </conditionalFormatting>
  <conditionalFormatting sqref="D811 D790:D806 D195:D198 D2:D4 D145:D146 D13:D48 D68:D69 D8 D209:D229 D245:D247 D242 D325:D339 D343 D575:D584 D456:D520 D637:D662 D378 D665:D667 D751:D756 D74:D95 D250:D264 D345 D11 D269:D272 D285:D292 D349:D371 D729:D744 D150:D179 D759:D786 D274:D280 D622:D630 D412:D447 D669:D691 D71 D693:D694 D586:D593 D596 D609:D620 D696:D723 D746:D748 D97:D137">
    <cfRule type="duplicateValues" dxfId="2636" priority="1085"/>
  </conditionalFormatting>
  <conditionalFormatting sqref="E790:E806 E646:E662 E2:E4 E195:E198 E145:E146 E13:E48 E68:E69 E8 E209:E229 E245:E247 E242 E325:E339 E343 E575:E584 E456:E520 E637:E644 E378 E665:E667 E751:E756 E74:E95 E250:E264 E345 E11 E269:E272 E285:E292 E349:E371 E729:E744 E150:E179 E759:E786 E274:E280 E622:E630 E412:E447 E669:E691 E71 E693:E694 E586:E593 E596 E609:E620 E696:E723 E746:E748 E97:E137">
    <cfRule type="duplicateValues" dxfId="2635" priority="1433"/>
  </conditionalFormatting>
  <conditionalFormatting sqref="E766:E771 E661:E662 E2:E4 E197:E198 E271 E225:E226 E456:E460 E586 E579:E580 E732:E734 E172:E179 E13:E48 E444:E446 E250:E264 E639:E644 E462:E515 E74:E95 E440:E442 E666:E667 E773:E786 E360:E371 E685:E691 E646:E658 E195 E790:E804 E145 E209:E213 E269 E325:E331 E336 E378 E412:E414 E669:E681 E752:E756 E274:E280 E285:E292 E150:E170 E759:E764 E622:E630 E430:E436 E693:E694 E596 E610:E620 E696:E712 E747 E97:E137">
    <cfRule type="duplicateValues" dxfId="2634" priority="1434"/>
  </conditionalFormatting>
  <conditionalFormatting sqref="E790:E802 E2:E4 E445:E446 E646:E658 E74:E80 E360:E366 E785:E786 E269 E328:E331 E462:E499 E641 E44:E48 E662 E763:E764 E708:E712 E734 E369:E371 E90:E95 E177:E179 E197:E198 E271 E456:E458 E732 E172:E173 E13:E39 E440:E441 E150 E666:E667 E766:E771 E773:E783 E685:E691 E195 E145 E209:E213 E336 E378 E412:E414 E669:E679 E752:E756 E278:E280 E285:E286 E156:E169 E759:E761 E622:E626 E430:E436 E693:E694 E696:E703 E610:E620 E747 E97:E137">
    <cfRule type="duplicateValues" dxfId="2633" priority="1435"/>
  </conditionalFormatting>
  <conditionalFormatting sqref="E766:E771 E641:E642 E504:E515 E644 E661:E662 E2:E4 E197:E198 E271 E225:E226 E586 E456:E458 E579:E580 E732:E734 E172:E179 E13:E48 E444:E446 E250:E264 E462:E499 E74:E95 E440:E442 E666:E667 E773:E786 E360:E371 E685:E691 E646:E658 E195 E790:E804 E145 E209:E213 E269 E325:E331 E336 E378 E412:E414 E669:E681 E752:E756 E274:E280 E285:E292 E150:E170 E759:E764 E622:E629 E430:E436 E693:E694 E596 E610:E620 E696:E712 E747 E97:E137">
    <cfRule type="duplicateValues" dxfId="2632" priority="1436"/>
    <cfRule type="duplicateValues" dxfId="2631" priority="1437"/>
  </conditionalFormatting>
  <conditionalFormatting sqref="E766:E771 E641:E642 E504:E515 E644 E661:E662 E2:E4 E197:E198 E271 E225:E226 E586 E456:E458 E579:E580 E732:E734 E172:E179 E13:E48 E444:E446 E250:E264 E462:E499 E74:E95 E440:E442 E666:E667 E773:E786 E360:E371 E685:E691 E646:E658 E195 E790:E804 E145 E209:E213 E269 E325:E331 E336 E378 E412:E414 E669:E681 E752:E756 E274:E280 E285:E292 E150:E170 E759:E764 E622:E629 E430:E436 E693:E694 E596 E610:E620 E696:E712 E747 E97:E137">
    <cfRule type="duplicateValues" dxfId="2630" priority="1438"/>
  </conditionalFormatting>
  <conditionalFormatting sqref="E337:E338">
    <cfRule type="duplicateValues" dxfId="2629" priority="1439"/>
  </conditionalFormatting>
  <conditionalFormatting sqref="E337">
    <cfRule type="duplicateValues" dxfId="2628" priority="1440"/>
  </conditionalFormatting>
  <conditionalFormatting sqref="E337:E338">
    <cfRule type="duplicateValues" dxfId="2627" priority="1441"/>
    <cfRule type="duplicateValues" dxfId="2626" priority="1442"/>
  </conditionalFormatting>
  <conditionalFormatting sqref="E325:E327 E287:E292">
    <cfRule type="duplicateValues" dxfId="2625" priority="1443"/>
  </conditionalFormatting>
  <conditionalFormatting sqref="E270">
    <cfRule type="duplicateValues" dxfId="2624" priority="1444"/>
  </conditionalFormatting>
  <conditionalFormatting sqref="E270">
    <cfRule type="duplicateValues" dxfId="2623" priority="1445"/>
    <cfRule type="duplicateValues" dxfId="2622" priority="1446"/>
  </conditionalFormatting>
  <conditionalFormatting sqref="E225:E226">
    <cfRule type="duplicateValues" dxfId="2621" priority="1447"/>
  </conditionalFormatting>
  <conditionalFormatting sqref="E43">
    <cfRule type="duplicateValues" dxfId="2620" priority="1448"/>
  </conditionalFormatting>
  <conditionalFormatting sqref="E628:E629">
    <cfRule type="duplicateValues" dxfId="2619" priority="1450"/>
  </conditionalFormatting>
  <conditionalFormatting sqref="E627">
    <cfRule type="duplicateValues" dxfId="2618" priority="1451"/>
  </conditionalFormatting>
  <conditionalFormatting sqref="E637:E638">
    <cfRule type="duplicateValues" dxfId="2617" priority="1452"/>
  </conditionalFormatting>
  <conditionalFormatting sqref="E188 E180">
    <cfRule type="duplicateValues" dxfId="2616" priority="1081"/>
  </conditionalFormatting>
  <conditionalFormatting sqref="E188 E180">
    <cfRule type="duplicateValues" dxfId="2615" priority="1082"/>
    <cfRule type="duplicateValues" dxfId="2614" priority="1083"/>
  </conditionalFormatting>
  <conditionalFormatting sqref="E192">
    <cfRule type="duplicateValues" dxfId="2613" priority="1084"/>
  </conditionalFormatting>
  <conditionalFormatting sqref="E789">
    <cfRule type="duplicateValues" dxfId="2612" priority="1074"/>
  </conditionalFormatting>
  <conditionalFormatting sqref="D787:D789">
    <cfRule type="duplicateValues" dxfId="2611" priority="1073"/>
  </conditionalFormatting>
  <conditionalFormatting sqref="E787:E789">
    <cfRule type="duplicateValues" dxfId="2610" priority="1075"/>
  </conditionalFormatting>
  <conditionalFormatting sqref="E787:E789">
    <cfRule type="duplicateValues" dxfId="2609" priority="1076"/>
  </conditionalFormatting>
  <conditionalFormatting sqref="E787:E788">
    <cfRule type="duplicateValues" dxfId="2608" priority="1077"/>
  </conditionalFormatting>
  <conditionalFormatting sqref="E787:E789">
    <cfRule type="duplicateValues" dxfId="2607" priority="1078"/>
    <cfRule type="duplicateValues" dxfId="2606" priority="1079"/>
  </conditionalFormatting>
  <conditionalFormatting sqref="E787:E789">
    <cfRule type="duplicateValues" dxfId="2605" priority="1080"/>
  </conditionalFormatting>
  <conditionalFormatting sqref="E193">
    <cfRule type="duplicateValues" dxfId="2604" priority="1066"/>
  </conditionalFormatting>
  <conditionalFormatting sqref="E193">
    <cfRule type="duplicateValues" dxfId="2603" priority="1067"/>
    <cfRule type="duplicateValues" dxfId="2602" priority="1068"/>
  </conditionalFormatting>
  <conditionalFormatting sqref="E193">
    <cfRule type="duplicateValues" dxfId="2601" priority="1069"/>
  </conditionalFormatting>
  <conditionalFormatting sqref="E193">
    <cfRule type="duplicateValues" dxfId="2600" priority="1070"/>
  </conditionalFormatting>
  <conditionalFormatting sqref="D193">
    <cfRule type="duplicateValues" dxfId="2599" priority="1071"/>
  </conditionalFormatting>
  <conditionalFormatting sqref="E193">
    <cfRule type="duplicateValues" dxfId="2598" priority="1072"/>
  </conditionalFormatting>
  <conditionalFormatting sqref="E142:E143">
    <cfRule type="duplicateValues" dxfId="2597" priority="1059"/>
  </conditionalFormatting>
  <conditionalFormatting sqref="E139">
    <cfRule type="duplicateValues" dxfId="2596" priority="1054"/>
  </conditionalFormatting>
  <conditionalFormatting sqref="E139">
    <cfRule type="duplicateValues" dxfId="2595" priority="1055"/>
  </conditionalFormatting>
  <conditionalFormatting sqref="E139">
    <cfRule type="duplicateValues" dxfId="2594" priority="1056"/>
    <cfRule type="duplicateValues" dxfId="2593" priority="1057"/>
  </conditionalFormatting>
  <conditionalFormatting sqref="E139">
    <cfRule type="duplicateValues" dxfId="2592" priority="1058"/>
  </conditionalFormatting>
  <conditionalFormatting sqref="E140">
    <cfRule type="duplicateValues" dxfId="2591" priority="1049"/>
  </conditionalFormatting>
  <conditionalFormatting sqref="E140">
    <cfRule type="duplicateValues" dxfId="2590" priority="1050"/>
  </conditionalFormatting>
  <conditionalFormatting sqref="E140">
    <cfRule type="duplicateValues" dxfId="2589" priority="1051"/>
    <cfRule type="duplicateValues" dxfId="2588" priority="1052"/>
  </conditionalFormatting>
  <conditionalFormatting sqref="E140">
    <cfRule type="duplicateValues" dxfId="2587" priority="1053"/>
  </conditionalFormatting>
  <conditionalFormatting sqref="D138:D143">
    <cfRule type="duplicateValues" dxfId="2586" priority="1048"/>
  </conditionalFormatting>
  <conditionalFormatting sqref="E138:E143">
    <cfRule type="duplicateValues" dxfId="2585" priority="1060"/>
  </conditionalFormatting>
  <conditionalFormatting sqref="E141:E143 E138">
    <cfRule type="duplicateValues" dxfId="2584" priority="1061"/>
  </conditionalFormatting>
  <conditionalFormatting sqref="E141 E138">
    <cfRule type="duplicateValues" dxfId="2583" priority="1062"/>
  </conditionalFormatting>
  <conditionalFormatting sqref="E141:E143 E138">
    <cfRule type="duplicateValues" dxfId="2582" priority="1063"/>
    <cfRule type="duplicateValues" dxfId="2581" priority="1064"/>
  </conditionalFormatting>
  <conditionalFormatting sqref="E141:E143">
    <cfRule type="duplicateValues" dxfId="2580" priority="1065"/>
  </conditionalFormatting>
  <conditionalFormatting sqref="E12">
    <cfRule type="duplicateValues" dxfId="2579" priority="1047"/>
  </conditionalFormatting>
  <conditionalFormatting sqref="E65:E66">
    <cfRule type="duplicateValues" dxfId="2578" priority="1043"/>
  </conditionalFormatting>
  <conditionalFormatting sqref="E65:E66">
    <cfRule type="duplicateValues" dxfId="2577" priority="1042"/>
  </conditionalFormatting>
  <conditionalFormatting sqref="E65:E66">
    <cfRule type="duplicateValues" dxfId="2576" priority="1044"/>
    <cfRule type="duplicateValues" dxfId="2575" priority="1045"/>
  </conditionalFormatting>
  <conditionalFormatting sqref="E65:E66">
    <cfRule type="duplicateValues" dxfId="2574" priority="1046"/>
  </conditionalFormatting>
  <conditionalFormatting sqref="E51">
    <cfRule type="duplicateValues" dxfId="2573" priority="1038"/>
  </conditionalFormatting>
  <conditionalFormatting sqref="E51">
    <cfRule type="duplicateValues" dxfId="2572" priority="1037"/>
  </conditionalFormatting>
  <conditionalFormatting sqref="E51">
    <cfRule type="duplicateValues" dxfId="2571" priority="1039"/>
    <cfRule type="duplicateValues" dxfId="2570" priority="1040"/>
  </conditionalFormatting>
  <conditionalFormatting sqref="E51">
    <cfRule type="duplicateValues" dxfId="2569" priority="1041"/>
  </conditionalFormatting>
  <conditionalFormatting sqref="E49:E50">
    <cfRule type="duplicateValues" dxfId="2568" priority="1033"/>
  </conditionalFormatting>
  <conditionalFormatting sqref="E49:E50">
    <cfRule type="duplicateValues" dxfId="2567" priority="1032"/>
  </conditionalFormatting>
  <conditionalFormatting sqref="E49:E50">
    <cfRule type="duplicateValues" dxfId="2566" priority="1034"/>
    <cfRule type="duplicateValues" dxfId="2565" priority="1035"/>
  </conditionalFormatting>
  <conditionalFormatting sqref="E49:E50">
    <cfRule type="duplicateValues" dxfId="2564" priority="1036"/>
  </conditionalFormatting>
  <conditionalFormatting sqref="E5">
    <cfRule type="duplicateValues" dxfId="2563" priority="1026"/>
  </conditionalFormatting>
  <conditionalFormatting sqref="E5">
    <cfRule type="duplicateValues" dxfId="2562" priority="1027"/>
  </conditionalFormatting>
  <conditionalFormatting sqref="E5">
    <cfRule type="duplicateValues" dxfId="2561" priority="1028"/>
    <cfRule type="duplicateValues" dxfId="2560" priority="1029"/>
  </conditionalFormatting>
  <conditionalFormatting sqref="E5">
    <cfRule type="duplicateValues" dxfId="2559" priority="1030"/>
  </conditionalFormatting>
  <conditionalFormatting sqref="E6">
    <cfRule type="duplicateValues" dxfId="2558" priority="1021"/>
  </conditionalFormatting>
  <conditionalFormatting sqref="E6">
    <cfRule type="duplicateValues" dxfId="2557" priority="1022"/>
  </conditionalFormatting>
  <conditionalFormatting sqref="E6">
    <cfRule type="duplicateValues" dxfId="2556" priority="1023"/>
    <cfRule type="duplicateValues" dxfId="2555" priority="1024"/>
  </conditionalFormatting>
  <conditionalFormatting sqref="E6">
    <cfRule type="duplicateValues" dxfId="2554" priority="1025"/>
  </conditionalFormatting>
  <conditionalFormatting sqref="D5:D6">
    <cfRule type="duplicateValues" dxfId="2553" priority="1020"/>
  </conditionalFormatting>
  <conditionalFormatting sqref="E5:E6">
    <cfRule type="duplicateValues" dxfId="2552" priority="1031"/>
  </conditionalFormatting>
  <conditionalFormatting sqref="E7">
    <cfRule type="duplicateValues" dxfId="2551" priority="1014"/>
  </conditionalFormatting>
  <conditionalFormatting sqref="E7">
    <cfRule type="duplicateValues" dxfId="2550" priority="1015"/>
  </conditionalFormatting>
  <conditionalFormatting sqref="E7">
    <cfRule type="duplicateValues" dxfId="2549" priority="1016"/>
    <cfRule type="duplicateValues" dxfId="2548" priority="1017"/>
  </conditionalFormatting>
  <conditionalFormatting sqref="E7">
    <cfRule type="duplicateValues" dxfId="2547" priority="1018"/>
  </conditionalFormatting>
  <conditionalFormatting sqref="D7">
    <cfRule type="duplicateValues" dxfId="2546" priority="1013"/>
  </conditionalFormatting>
  <conditionalFormatting sqref="E7">
    <cfRule type="duplicateValues" dxfId="2545" priority="1019"/>
  </conditionalFormatting>
  <conditionalFormatting sqref="E57 E63">
    <cfRule type="duplicateValues" dxfId="2544" priority="1009"/>
  </conditionalFormatting>
  <conditionalFormatting sqref="E57">
    <cfRule type="duplicateValues" dxfId="2543" priority="1008"/>
  </conditionalFormatting>
  <conditionalFormatting sqref="E57 E63">
    <cfRule type="duplicateValues" dxfId="2542" priority="1010"/>
    <cfRule type="duplicateValues" dxfId="2541" priority="1011"/>
  </conditionalFormatting>
  <conditionalFormatting sqref="E57">
    <cfRule type="duplicateValues" dxfId="2540" priority="1012"/>
  </conditionalFormatting>
  <conditionalFormatting sqref="E55:E56">
    <cfRule type="duplicateValues" dxfId="2539" priority="1004"/>
  </conditionalFormatting>
  <conditionalFormatting sqref="E55:E56">
    <cfRule type="duplicateValues" dxfId="2538" priority="1003"/>
  </conditionalFormatting>
  <conditionalFormatting sqref="E55:E56">
    <cfRule type="duplicateValues" dxfId="2537" priority="1005"/>
    <cfRule type="duplicateValues" dxfId="2536" priority="1006"/>
  </conditionalFormatting>
  <conditionalFormatting sqref="E55:E56">
    <cfRule type="duplicateValues" dxfId="2535" priority="1007"/>
  </conditionalFormatting>
  <conditionalFormatting sqref="E52:E53">
    <cfRule type="duplicateValues" dxfId="2534" priority="999"/>
  </conditionalFormatting>
  <conditionalFormatting sqref="E52:E53">
    <cfRule type="duplicateValues" dxfId="2533" priority="998"/>
  </conditionalFormatting>
  <conditionalFormatting sqref="E52:E53">
    <cfRule type="duplicateValues" dxfId="2532" priority="1000"/>
    <cfRule type="duplicateValues" dxfId="2531" priority="1001"/>
  </conditionalFormatting>
  <conditionalFormatting sqref="E52:E53">
    <cfRule type="duplicateValues" dxfId="2530" priority="1002"/>
  </conditionalFormatting>
  <conditionalFormatting sqref="E183:E184">
    <cfRule type="duplicateValues" dxfId="2529" priority="994"/>
  </conditionalFormatting>
  <conditionalFormatting sqref="E183:E184">
    <cfRule type="duplicateValues" dxfId="2528" priority="993"/>
  </conditionalFormatting>
  <conditionalFormatting sqref="E183:E184">
    <cfRule type="duplicateValues" dxfId="2527" priority="995"/>
    <cfRule type="duplicateValues" dxfId="2526" priority="996"/>
  </conditionalFormatting>
  <conditionalFormatting sqref="E183:E184">
    <cfRule type="duplicateValues" dxfId="2525" priority="997"/>
  </conditionalFormatting>
  <conditionalFormatting sqref="E71">
    <cfRule type="duplicateValues" dxfId="2524" priority="1453"/>
  </conditionalFormatting>
  <conditionalFormatting sqref="E71">
    <cfRule type="duplicateValues" dxfId="2523" priority="1454"/>
    <cfRule type="duplicateValues" dxfId="2522" priority="1455"/>
  </conditionalFormatting>
  <conditionalFormatting sqref="E147">
    <cfRule type="duplicateValues" dxfId="2521" priority="992"/>
  </conditionalFormatting>
  <conditionalFormatting sqref="D208">
    <cfRule type="duplicateValues" dxfId="2520" priority="988"/>
  </conditionalFormatting>
  <conditionalFormatting sqref="E208">
    <cfRule type="duplicateValues" dxfId="2519" priority="989"/>
  </conditionalFormatting>
  <conditionalFormatting sqref="E208">
    <cfRule type="duplicateValues" dxfId="2518" priority="990"/>
    <cfRule type="duplicateValues" dxfId="2517" priority="991"/>
  </conditionalFormatting>
  <conditionalFormatting sqref="D206:D207">
    <cfRule type="duplicateValues" dxfId="2516" priority="981"/>
  </conditionalFormatting>
  <conditionalFormatting sqref="E206:E207">
    <cfRule type="duplicateValues" dxfId="2515" priority="982"/>
  </conditionalFormatting>
  <conditionalFormatting sqref="E206:E207">
    <cfRule type="duplicateValues" dxfId="2514" priority="983"/>
  </conditionalFormatting>
  <conditionalFormatting sqref="E206:E207">
    <cfRule type="duplicateValues" dxfId="2513" priority="984"/>
  </conditionalFormatting>
  <conditionalFormatting sqref="E206:E207">
    <cfRule type="duplicateValues" dxfId="2512" priority="985"/>
    <cfRule type="duplicateValues" dxfId="2511" priority="986"/>
  </conditionalFormatting>
  <conditionalFormatting sqref="E206:E207">
    <cfRule type="duplicateValues" dxfId="2510" priority="987"/>
  </conditionalFormatting>
  <conditionalFormatting sqref="E243">
    <cfRule type="duplicateValues" dxfId="2509" priority="976"/>
  </conditionalFormatting>
  <conditionalFormatting sqref="E243">
    <cfRule type="duplicateValues" dxfId="2508" priority="977"/>
  </conditionalFormatting>
  <conditionalFormatting sqref="E243">
    <cfRule type="duplicateValues" dxfId="2507" priority="978"/>
    <cfRule type="duplicateValues" dxfId="2506" priority="979"/>
  </conditionalFormatting>
  <conditionalFormatting sqref="E243">
    <cfRule type="duplicateValues" dxfId="2505" priority="980"/>
  </conditionalFormatting>
  <conditionalFormatting sqref="E244">
    <cfRule type="duplicateValues" dxfId="2504" priority="971"/>
  </conditionalFormatting>
  <conditionalFormatting sqref="E244">
    <cfRule type="duplicateValues" dxfId="2503" priority="972"/>
  </conditionalFormatting>
  <conditionalFormatting sqref="E244">
    <cfRule type="duplicateValues" dxfId="2502" priority="973"/>
    <cfRule type="duplicateValues" dxfId="2501" priority="974"/>
  </conditionalFormatting>
  <conditionalFormatting sqref="E244">
    <cfRule type="duplicateValues" dxfId="2500" priority="975"/>
  </conditionalFormatting>
  <conditionalFormatting sqref="E245">
    <cfRule type="duplicateValues" dxfId="2499" priority="966"/>
  </conditionalFormatting>
  <conditionalFormatting sqref="E245">
    <cfRule type="duplicateValues" dxfId="2498" priority="967"/>
  </conditionalFormatting>
  <conditionalFormatting sqref="E245">
    <cfRule type="duplicateValues" dxfId="2497" priority="968"/>
    <cfRule type="duplicateValues" dxfId="2496" priority="969"/>
  </conditionalFormatting>
  <conditionalFormatting sqref="E245">
    <cfRule type="duplicateValues" dxfId="2495" priority="970"/>
  </conditionalFormatting>
  <conditionalFormatting sqref="E267 E265">
    <cfRule type="duplicateValues" dxfId="2494" priority="958"/>
  </conditionalFormatting>
  <conditionalFormatting sqref="E265 E267">
    <cfRule type="duplicateValues" dxfId="2493" priority="959"/>
  </conditionalFormatting>
  <conditionalFormatting sqref="E267 E265">
    <cfRule type="duplicateValues" dxfId="2492" priority="960"/>
    <cfRule type="duplicateValues" dxfId="2491" priority="961"/>
  </conditionalFormatting>
  <conditionalFormatting sqref="E267">
    <cfRule type="duplicateValues" dxfId="2490" priority="962"/>
  </conditionalFormatting>
  <conditionalFormatting sqref="E266">
    <cfRule type="duplicateValues" dxfId="2489" priority="963"/>
  </conditionalFormatting>
  <conditionalFormatting sqref="E266">
    <cfRule type="duplicateValues" dxfId="2488" priority="964"/>
    <cfRule type="duplicateValues" dxfId="2487" priority="965"/>
  </conditionalFormatting>
  <conditionalFormatting sqref="E272">
    <cfRule type="duplicateValues" dxfId="2486" priority="1456"/>
  </conditionalFormatting>
  <conditionalFormatting sqref="E272">
    <cfRule type="duplicateValues" dxfId="2485" priority="1457"/>
    <cfRule type="duplicateValues" dxfId="2484" priority="1458"/>
  </conditionalFormatting>
  <conditionalFormatting sqref="E230">
    <cfRule type="duplicateValues" dxfId="2483" priority="956"/>
  </conditionalFormatting>
  <conditionalFormatting sqref="E230">
    <cfRule type="duplicateValues" dxfId="2482" priority="957"/>
  </conditionalFormatting>
  <conditionalFormatting sqref="E234">
    <cfRule type="duplicateValues" dxfId="2481" priority="954"/>
  </conditionalFormatting>
  <conditionalFormatting sqref="E234">
    <cfRule type="duplicateValues" dxfId="2480" priority="952"/>
    <cfRule type="duplicateValues" dxfId="2479" priority="953"/>
  </conditionalFormatting>
  <conditionalFormatting sqref="E234">
    <cfRule type="duplicateValues" dxfId="2478" priority="955"/>
  </conditionalFormatting>
  <conditionalFormatting sqref="E234">
    <cfRule type="duplicateValues" dxfId="2477" priority="951"/>
  </conditionalFormatting>
  <conditionalFormatting sqref="E234">
    <cfRule type="duplicateValues" dxfId="2476" priority="946"/>
  </conditionalFormatting>
  <conditionalFormatting sqref="E234">
    <cfRule type="duplicateValues" dxfId="2475" priority="947"/>
  </conditionalFormatting>
  <conditionalFormatting sqref="E234">
    <cfRule type="duplicateValues" dxfId="2474" priority="948"/>
    <cfRule type="duplicateValues" dxfId="2473" priority="949"/>
  </conditionalFormatting>
  <conditionalFormatting sqref="E234">
    <cfRule type="duplicateValues" dxfId="2472" priority="950"/>
  </conditionalFormatting>
  <conditionalFormatting sqref="E240">
    <cfRule type="duplicateValues" dxfId="2471" priority="941"/>
  </conditionalFormatting>
  <conditionalFormatting sqref="E240">
    <cfRule type="duplicateValues" dxfId="2470" priority="942"/>
  </conditionalFormatting>
  <conditionalFormatting sqref="E240">
    <cfRule type="duplicateValues" dxfId="2469" priority="943"/>
    <cfRule type="duplicateValues" dxfId="2468" priority="944"/>
  </conditionalFormatting>
  <conditionalFormatting sqref="E240">
    <cfRule type="duplicateValues" dxfId="2467" priority="945"/>
  </conditionalFormatting>
  <conditionalFormatting sqref="E230">
    <cfRule type="duplicateValues" dxfId="2466" priority="935"/>
  </conditionalFormatting>
  <conditionalFormatting sqref="E230">
    <cfRule type="duplicateValues" dxfId="2465" priority="936"/>
  </conditionalFormatting>
  <conditionalFormatting sqref="E230">
    <cfRule type="duplicateValues" dxfId="2464" priority="937"/>
    <cfRule type="duplicateValues" dxfId="2463" priority="938"/>
  </conditionalFormatting>
  <conditionalFormatting sqref="E230">
    <cfRule type="duplicateValues" dxfId="2462" priority="939"/>
  </conditionalFormatting>
  <conditionalFormatting sqref="E230">
    <cfRule type="duplicateValues" dxfId="2461" priority="933"/>
  </conditionalFormatting>
  <conditionalFormatting sqref="E230">
    <cfRule type="duplicateValues" dxfId="2460" priority="931"/>
    <cfRule type="duplicateValues" dxfId="2459" priority="932"/>
  </conditionalFormatting>
  <conditionalFormatting sqref="E230">
    <cfRule type="duplicateValues" dxfId="2458" priority="934"/>
  </conditionalFormatting>
  <conditionalFormatting sqref="E230">
    <cfRule type="duplicateValues" dxfId="2457" priority="930"/>
  </conditionalFormatting>
  <conditionalFormatting sqref="E231">
    <cfRule type="duplicateValues" dxfId="2456" priority="925"/>
  </conditionalFormatting>
  <conditionalFormatting sqref="E231">
    <cfRule type="duplicateValues" dxfId="2455" priority="926"/>
  </conditionalFormatting>
  <conditionalFormatting sqref="E231">
    <cfRule type="duplicateValues" dxfId="2454" priority="927"/>
    <cfRule type="duplicateValues" dxfId="2453" priority="928"/>
  </conditionalFormatting>
  <conditionalFormatting sqref="E231">
    <cfRule type="duplicateValues" dxfId="2452" priority="929"/>
  </conditionalFormatting>
  <conditionalFormatting sqref="E232">
    <cfRule type="duplicateValues" dxfId="2451" priority="920"/>
  </conditionalFormatting>
  <conditionalFormatting sqref="E232">
    <cfRule type="duplicateValues" dxfId="2450" priority="921"/>
  </conditionalFormatting>
  <conditionalFormatting sqref="E232">
    <cfRule type="duplicateValues" dxfId="2449" priority="922"/>
    <cfRule type="duplicateValues" dxfId="2448" priority="923"/>
  </conditionalFormatting>
  <conditionalFormatting sqref="E232">
    <cfRule type="duplicateValues" dxfId="2447" priority="924"/>
  </conditionalFormatting>
  <conditionalFormatting sqref="D230:D232">
    <cfRule type="duplicateValues" dxfId="2446" priority="919"/>
  </conditionalFormatting>
  <conditionalFormatting sqref="E230:E232">
    <cfRule type="duplicateValues" dxfId="2445" priority="940"/>
  </conditionalFormatting>
  <conditionalFormatting sqref="E321">
    <cfRule type="duplicateValues" dxfId="2444" priority="905"/>
  </conditionalFormatting>
  <conditionalFormatting sqref="E324">
    <cfRule type="duplicateValues" dxfId="2443" priority="900"/>
  </conditionalFormatting>
  <conditionalFormatting sqref="E324">
    <cfRule type="duplicateValues" dxfId="2442" priority="901"/>
  </conditionalFormatting>
  <conditionalFormatting sqref="E324">
    <cfRule type="duplicateValues" dxfId="2441" priority="902"/>
    <cfRule type="duplicateValues" dxfId="2440" priority="903"/>
  </conditionalFormatting>
  <conditionalFormatting sqref="E324">
    <cfRule type="duplicateValues" dxfId="2439" priority="904"/>
  </conditionalFormatting>
  <conditionalFormatting sqref="E308">
    <cfRule type="duplicateValues" dxfId="2438" priority="898"/>
  </conditionalFormatting>
  <conditionalFormatting sqref="E306:E308">
    <cfRule type="duplicateValues" dxfId="2437" priority="899"/>
  </conditionalFormatting>
  <conditionalFormatting sqref="E306:E307">
    <cfRule type="duplicateValues" dxfId="2436" priority="906"/>
  </conditionalFormatting>
  <conditionalFormatting sqref="E306:E308">
    <cfRule type="duplicateValues" dxfId="2435" priority="907"/>
    <cfRule type="duplicateValues" dxfId="2434" priority="908"/>
  </conditionalFormatting>
  <conditionalFormatting sqref="E314">
    <cfRule type="duplicateValues" dxfId="2433" priority="897"/>
  </conditionalFormatting>
  <conditionalFormatting sqref="E315:E316">
    <cfRule type="duplicateValues" dxfId="2432" priority="892"/>
  </conditionalFormatting>
  <conditionalFormatting sqref="E315:E316">
    <cfRule type="duplicateValues" dxfId="2431" priority="893"/>
  </conditionalFormatting>
  <conditionalFormatting sqref="E315:E316">
    <cfRule type="duplicateValues" dxfId="2430" priority="894"/>
    <cfRule type="duplicateValues" dxfId="2429" priority="895"/>
  </conditionalFormatting>
  <conditionalFormatting sqref="E315:E316">
    <cfRule type="duplicateValues" dxfId="2428" priority="896"/>
  </conditionalFormatting>
  <conditionalFormatting sqref="E317">
    <cfRule type="duplicateValues" dxfId="2427" priority="890"/>
  </conditionalFormatting>
  <conditionalFormatting sqref="E317">
    <cfRule type="duplicateValues" dxfId="2426" priority="888"/>
    <cfRule type="duplicateValues" dxfId="2425" priority="889"/>
  </conditionalFormatting>
  <conditionalFormatting sqref="E317">
    <cfRule type="duplicateValues" dxfId="2424" priority="891"/>
  </conditionalFormatting>
  <conditionalFormatting sqref="E317">
    <cfRule type="duplicateValues" dxfId="2423" priority="887"/>
  </conditionalFormatting>
  <conditionalFormatting sqref="E318">
    <cfRule type="duplicateValues" dxfId="2422" priority="884"/>
  </conditionalFormatting>
  <conditionalFormatting sqref="E318">
    <cfRule type="duplicateValues" dxfId="2421" priority="885"/>
    <cfRule type="duplicateValues" dxfId="2420" priority="886"/>
  </conditionalFormatting>
  <conditionalFormatting sqref="E318">
    <cfRule type="duplicateValues" dxfId="2419" priority="883"/>
  </conditionalFormatting>
  <conditionalFormatting sqref="E309:E312 E319:E320 E293:E303">
    <cfRule type="duplicateValues" dxfId="2418" priority="909"/>
  </conditionalFormatting>
  <conditionalFormatting sqref="E309:E312 E298:E303 E319:E320">
    <cfRule type="duplicateValues" dxfId="2417" priority="910"/>
  </conditionalFormatting>
  <conditionalFormatting sqref="E309:E312 E319:E320 E293:E303">
    <cfRule type="duplicateValues" dxfId="2416" priority="911"/>
    <cfRule type="duplicateValues" dxfId="2415" priority="912"/>
  </conditionalFormatting>
  <conditionalFormatting sqref="E309:E312">
    <cfRule type="duplicateValues" dxfId="2414" priority="913"/>
  </conditionalFormatting>
  <conditionalFormatting sqref="E313:E314">
    <cfRule type="duplicateValues" dxfId="2413" priority="914"/>
  </conditionalFormatting>
  <conditionalFormatting sqref="E313">
    <cfRule type="duplicateValues" dxfId="2412" priority="915"/>
  </conditionalFormatting>
  <conditionalFormatting sqref="E313:E314">
    <cfRule type="duplicateValues" dxfId="2411" priority="916"/>
    <cfRule type="duplicateValues" dxfId="2410" priority="917"/>
  </conditionalFormatting>
  <conditionalFormatting sqref="E293:E297">
    <cfRule type="duplicateValues" dxfId="2409" priority="918"/>
  </conditionalFormatting>
  <conditionalFormatting sqref="E321:E322">
    <cfRule type="duplicateValues" dxfId="2408" priority="877"/>
  </conditionalFormatting>
  <conditionalFormatting sqref="E321:E322">
    <cfRule type="duplicateValues" dxfId="2407" priority="878"/>
  </conditionalFormatting>
  <conditionalFormatting sqref="E321:E322">
    <cfRule type="duplicateValues" dxfId="2406" priority="879"/>
    <cfRule type="duplicateValues" dxfId="2405" priority="880"/>
  </conditionalFormatting>
  <conditionalFormatting sqref="E321:E322">
    <cfRule type="duplicateValues" dxfId="2404" priority="881"/>
  </conditionalFormatting>
  <conditionalFormatting sqref="E323">
    <cfRule type="duplicateValues" dxfId="2403" priority="875"/>
  </conditionalFormatting>
  <conditionalFormatting sqref="E323">
    <cfRule type="duplicateValues" dxfId="2402" priority="873"/>
    <cfRule type="duplicateValues" dxfId="2401" priority="874"/>
  </conditionalFormatting>
  <conditionalFormatting sqref="E323">
    <cfRule type="duplicateValues" dxfId="2400" priority="876"/>
  </conditionalFormatting>
  <conditionalFormatting sqref="E323">
    <cfRule type="duplicateValues" dxfId="2399" priority="872"/>
  </conditionalFormatting>
  <conditionalFormatting sqref="D321:D323">
    <cfRule type="duplicateValues" dxfId="2398" priority="871"/>
  </conditionalFormatting>
  <conditionalFormatting sqref="E321:E323">
    <cfRule type="duplicateValues" dxfId="2397" priority="882"/>
  </conditionalFormatting>
  <conditionalFormatting sqref="E332:E334">
    <cfRule type="duplicateValues" dxfId="2396" priority="1459"/>
  </conditionalFormatting>
  <conditionalFormatting sqref="E332:E334">
    <cfRule type="duplicateValues" dxfId="2395" priority="1460"/>
    <cfRule type="duplicateValues" dxfId="2394" priority="1461"/>
  </conditionalFormatting>
  <conditionalFormatting sqref="D341:D342">
    <cfRule type="duplicateValues" dxfId="2393" priority="864"/>
  </conditionalFormatting>
  <conditionalFormatting sqref="E341:E342">
    <cfRule type="duplicateValues" dxfId="2392" priority="865"/>
  </conditionalFormatting>
  <conditionalFormatting sqref="E341:E342">
    <cfRule type="duplicateValues" dxfId="2391" priority="866"/>
  </conditionalFormatting>
  <conditionalFormatting sqref="E341:E342">
    <cfRule type="duplicateValues" dxfId="2390" priority="867"/>
  </conditionalFormatting>
  <conditionalFormatting sqref="E341:E342">
    <cfRule type="duplicateValues" dxfId="2389" priority="868"/>
    <cfRule type="duplicateValues" dxfId="2388" priority="869"/>
  </conditionalFormatting>
  <conditionalFormatting sqref="E341:E342">
    <cfRule type="duplicateValues" dxfId="2387" priority="870"/>
  </conditionalFormatting>
  <conditionalFormatting sqref="E340">
    <cfRule type="duplicateValues" dxfId="2386" priority="861"/>
  </conditionalFormatting>
  <conditionalFormatting sqref="E340">
    <cfRule type="duplicateValues" dxfId="2385" priority="862"/>
    <cfRule type="duplicateValues" dxfId="2384" priority="863"/>
  </conditionalFormatting>
  <conditionalFormatting sqref="D340">
    <cfRule type="duplicateValues" dxfId="2383" priority="854"/>
  </conditionalFormatting>
  <conditionalFormatting sqref="E340">
    <cfRule type="duplicateValues" dxfId="2382" priority="855"/>
  </conditionalFormatting>
  <conditionalFormatting sqref="E340">
    <cfRule type="duplicateValues" dxfId="2381" priority="856"/>
  </conditionalFormatting>
  <conditionalFormatting sqref="E340">
    <cfRule type="duplicateValues" dxfId="2380" priority="857"/>
  </conditionalFormatting>
  <conditionalFormatting sqref="E340">
    <cfRule type="duplicateValues" dxfId="2379" priority="858"/>
    <cfRule type="duplicateValues" dxfId="2378" priority="859"/>
  </conditionalFormatting>
  <conditionalFormatting sqref="E340">
    <cfRule type="duplicateValues" dxfId="2377" priority="860"/>
  </conditionalFormatting>
  <conditionalFormatting sqref="E808">
    <cfRule type="duplicateValues" dxfId="2376" priority="849"/>
  </conditionalFormatting>
  <conditionalFormatting sqref="E808">
    <cfRule type="duplicateValues" dxfId="2375" priority="848"/>
  </conditionalFormatting>
  <conditionalFormatting sqref="E808">
    <cfRule type="duplicateValues" dxfId="2374" priority="850"/>
    <cfRule type="duplicateValues" dxfId="2373" priority="851"/>
  </conditionalFormatting>
  <conditionalFormatting sqref="E808">
    <cfRule type="duplicateValues" dxfId="2372" priority="852"/>
  </conditionalFormatting>
  <conditionalFormatting sqref="E807">
    <cfRule type="duplicateValues" dxfId="2371" priority="844"/>
  </conditionalFormatting>
  <conditionalFormatting sqref="E807">
    <cfRule type="duplicateValues" dxfId="2370" priority="843"/>
  </conditionalFormatting>
  <conditionalFormatting sqref="E807">
    <cfRule type="duplicateValues" dxfId="2369" priority="845"/>
    <cfRule type="duplicateValues" dxfId="2368" priority="846"/>
  </conditionalFormatting>
  <conditionalFormatting sqref="E807">
    <cfRule type="duplicateValues" dxfId="2367" priority="847"/>
  </conditionalFormatting>
  <conditionalFormatting sqref="E807">
    <cfRule type="duplicateValues" dxfId="2366" priority="842"/>
  </conditionalFormatting>
  <conditionalFormatting sqref="D807:D808">
    <cfRule type="duplicateValues" dxfId="2365" priority="841"/>
  </conditionalFormatting>
  <conditionalFormatting sqref="E808">
    <cfRule type="duplicateValues" dxfId="2364" priority="853"/>
  </conditionalFormatting>
  <conditionalFormatting sqref="E547">
    <cfRule type="duplicateValues" dxfId="2363" priority="829"/>
  </conditionalFormatting>
  <conditionalFormatting sqref="E551">
    <cfRule type="duplicateValues" dxfId="2362" priority="828"/>
  </conditionalFormatting>
  <conditionalFormatting sqref="E521">
    <cfRule type="duplicateValues" dxfId="2361" priority="827"/>
  </conditionalFormatting>
  <conditionalFormatting sqref="E522:E525">
    <cfRule type="duplicateValues" dxfId="2360" priority="830"/>
  </conditionalFormatting>
  <conditionalFormatting sqref="E522:E525">
    <cfRule type="duplicateValues" dxfId="2359" priority="831"/>
    <cfRule type="duplicateValues" dxfId="2358" priority="832"/>
  </conditionalFormatting>
  <conditionalFormatting sqref="E522:E525">
    <cfRule type="duplicateValues" dxfId="2357" priority="833"/>
  </conditionalFormatting>
  <conditionalFormatting sqref="E521">
    <cfRule type="duplicateValues" dxfId="2356" priority="834"/>
  </conditionalFormatting>
  <conditionalFormatting sqref="E539">
    <cfRule type="duplicateValues" dxfId="2355" priority="822"/>
  </conditionalFormatting>
  <conditionalFormatting sqref="E540">
    <cfRule type="duplicateValues" dxfId="2354" priority="821"/>
  </conditionalFormatting>
  <conditionalFormatting sqref="E534:E540">
    <cfRule type="duplicateValues" dxfId="2353" priority="820"/>
  </conditionalFormatting>
  <conditionalFormatting sqref="E534:E540">
    <cfRule type="duplicateValues" dxfId="2352" priority="823"/>
    <cfRule type="duplicateValues" dxfId="2351" priority="824"/>
  </conditionalFormatting>
  <conditionalFormatting sqref="E534:E540">
    <cfRule type="duplicateValues" dxfId="2350" priority="825"/>
  </conditionalFormatting>
  <conditionalFormatting sqref="E534:E538">
    <cfRule type="duplicateValues" dxfId="2349" priority="826"/>
  </conditionalFormatting>
  <conditionalFormatting sqref="E550">
    <cfRule type="duplicateValues" dxfId="2348" priority="816"/>
  </conditionalFormatting>
  <conditionalFormatting sqref="E550">
    <cfRule type="duplicateValues" dxfId="2347" priority="815"/>
  </conditionalFormatting>
  <conditionalFormatting sqref="E550">
    <cfRule type="duplicateValues" dxfId="2346" priority="817"/>
    <cfRule type="duplicateValues" dxfId="2345" priority="818"/>
  </conditionalFormatting>
  <conditionalFormatting sqref="E550">
    <cfRule type="duplicateValues" dxfId="2344" priority="819"/>
  </conditionalFormatting>
  <conditionalFormatting sqref="E541:E543">
    <cfRule type="duplicateValues" dxfId="2343" priority="810"/>
  </conditionalFormatting>
  <conditionalFormatting sqref="E541:E543">
    <cfRule type="duplicateValues" dxfId="2342" priority="811"/>
  </conditionalFormatting>
  <conditionalFormatting sqref="E541:E543">
    <cfRule type="duplicateValues" dxfId="2341" priority="812"/>
    <cfRule type="duplicateValues" dxfId="2340" priority="813"/>
  </conditionalFormatting>
  <conditionalFormatting sqref="E541:E543">
    <cfRule type="duplicateValues" dxfId="2339" priority="814"/>
  </conditionalFormatting>
  <conditionalFormatting sqref="E544">
    <cfRule type="duplicateValues" dxfId="2338" priority="806"/>
  </conditionalFormatting>
  <conditionalFormatting sqref="E544">
    <cfRule type="duplicateValues" dxfId="2337" priority="805"/>
  </conditionalFormatting>
  <conditionalFormatting sqref="E544">
    <cfRule type="duplicateValues" dxfId="2336" priority="807"/>
    <cfRule type="duplicateValues" dxfId="2335" priority="808"/>
  </conditionalFormatting>
  <conditionalFormatting sqref="E544">
    <cfRule type="duplicateValues" dxfId="2334" priority="809"/>
  </conditionalFormatting>
  <conditionalFormatting sqref="E551 E532:E533 E526 E545:E547">
    <cfRule type="duplicateValues" dxfId="2333" priority="835"/>
  </conditionalFormatting>
  <conditionalFormatting sqref="E551 E532:E533 E526 E545:E547">
    <cfRule type="duplicateValues" dxfId="2332" priority="836"/>
    <cfRule type="duplicateValues" dxfId="2331" priority="837"/>
  </conditionalFormatting>
  <conditionalFormatting sqref="E532:E533">
    <cfRule type="duplicateValues" dxfId="2330" priority="838"/>
  </conditionalFormatting>
  <conditionalFormatting sqref="E521">
    <cfRule type="duplicateValues" dxfId="2329" priority="839"/>
    <cfRule type="duplicateValues" dxfId="2328" priority="840"/>
  </conditionalFormatting>
  <conditionalFormatting sqref="E585">
    <cfRule type="duplicateValues" dxfId="2327" priority="800"/>
  </conditionalFormatting>
  <conditionalFormatting sqref="D585">
    <cfRule type="duplicateValues" dxfId="2326" priority="799"/>
  </conditionalFormatting>
  <conditionalFormatting sqref="E585">
    <cfRule type="duplicateValues" dxfId="2325" priority="801"/>
  </conditionalFormatting>
  <conditionalFormatting sqref="E585">
    <cfRule type="duplicateValues" dxfId="2324" priority="802"/>
  </conditionalFormatting>
  <conditionalFormatting sqref="E585">
    <cfRule type="duplicateValues" dxfId="2323" priority="803"/>
    <cfRule type="duplicateValues" dxfId="2322" priority="804"/>
  </conditionalFormatting>
  <conditionalFormatting sqref="D452:D453">
    <cfRule type="duplicateValues" dxfId="2321" priority="792"/>
  </conditionalFormatting>
  <conditionalFormatting sqref="E452:E453">
    <cfRule type="duplicateValues" dxfId="2320" priority="793"/>
  </conditionalFormatting>
  <conditionalFormatting sqref="E452:E453">
    <cfRule type="duplicateValues" dxfId="2319" priority="794"/>
  </conditionalFormatting>
  <conditionalFormatting sqref="E452:E453">
    <cfRule type="duplicateValues" dxfId="2318" priority="795"/>
  </conditionalFormatting>
  <conditionalFormatting sqref="E452:E453">
    <cfRule type="duplicateValues" dxfId="2317" priority="796"/>
    <cfRule type="duplicateValues" dxfId="2316" priority="797"/>
  </conditionalFormatting>
  <conditionalFormatting sqref="E452:E453">
    <cfRule type="duplicateValues" dxfId="2315" priority="798"/>
  </conditionalFormatting>
  <conditionalFormatting sqref="E452:E453">
    <cfRule type="duplicateValues" dxfId="2314" priority="791"/>
  </conditionalFormatting>
  <conditionalFormatting sqref="E634">
    <cfRule type="duplicateValues" dxfId="2313" priority="776"/>
    <cfRule type="duplicateValues" dxfId="2312" priority="777"/>
  </conditionalFormatting>
  <conditionalFormatting sqref="E634">
    <cfRule type="duplicateValues" dxfId="2311" priority="778"/>
  </conditionalFormatting>
  <conditionalFormatting sqref="E634">
    <cfRule type="duplicateValues" dxfId="2310" priority="779"/>
  </conditionalFormatting>
  <conditionalFormatting sqref="E634">
    <cfRule type="duplicateValues" dxfId="2309" priority="780"/>
    <cfRule type="duplicateValues" dxfId="2308" priority="781"/>
  </conditionalFormatting>
  <conditionalFormatting sqref="E634">
    <cfRule type="duplicateValues" dxfId="2307" priority="782"/>
  </conditionalFormatting>
  <conditionalFormatting sqref="E636">
    <cfRule type="duplicateValues" dxfId="2306" priority="783"/>
  </conditionalFormatting>
  <conditionalFormatting sqref="E631">
    <cfRule type="duplicateValues" dxfId="2305" priority="768"/>
    <cfRule type="duplicateValues" dxfId="2304" priority="769"/>
  </conditionalFormatting>
  <conditionalFormatting sqref="E631">
    <cfRule type="duplicateValues" dxfId="2303" priority="770"/>
  </conditionalFormatting>
  <conditionalFormatting sqref="E632">
    <cfRule type="duplicateValues" dxfId="2302" priority="771"/>
  </conditionalFormatting>
  <conditionalFormatting sqref="E632:E633">
    <cfRule type="duplicateValues" dxfId="2301" priority="772"/>
    <cfRule type="duplicateValues" dxfId="2300" priority="773"/>
  </conditionalFormatting>
  <conditionalFormatting sqref="E632:E633">
    <cfRule type="duplicateValues" dxfId="2299" priority="774"/>
  </conditionalFormatting>
  <conditionalFormatting sqref="E633">
    <cfRule type="duplicateValues" dxfId="2298" priority="775"/>
  </conditionalFormatting>
  <conditionalFormatting sqref="D631:D636">
    <cfRule type="duplicateValues" dxfId="2297" priority="767"/>
  </conditionalFormatting>
  <conditionalFormatting sqref="E631:E636">
    <cfRule type="duplicateValues" dxfId="2296" priority="784"/>
  </conditionalFormatting>
  <conditionalFormatting sqref="E634:E636">
    <cfRule type="duplicateValues" dxfId="2295" priority="785"/>
  </conditionalFormatting>
  <conditionalFormatting sqref="E635">
    <cfRule type="duplicateValues" dxfId="2294" priority="786"/>
  </conditionalFormatting>
  <conditionalFormatting sqref="E635:E636">
    <cfRule type="duplicateValues" dxfId="2293" priority="787"/>
    <cfRule type="duplicateValues" dxfId="2292" priority="788"/>
  </conditionalFormatting>
  <conditionalFormatting sqref="E635:E636">
    <cfRule type="duplicateValues" dxfId="2291" priority="789"/>
  </conditionalFormatting>
  <conditionalFormatting sqref="E631:E633">
    <cfRule type="duplicateValues" dxfId="2290" priority="790"/>
  </conditionalFormatting>
  <conditionalFormatting sqref="E631:E636">
    <cfRule type="duplicateValues" dxfId="2289" priority="766"/>
  </conditionalFormatting>
  <conditionalFormatting sqref="E444">
    <cfRule type="duplicateValues" dxfId="2288" priority="760"/>
  </conditionalFormatting>
  <conditionalFormatting sqref="D444">
    <cfRule type="duplicateValues" dxfId="2287" priority="759"/>
  </conditionalFormatting>
  <conditionalFormatting sqref="E444">
    <cfRule type="duplicateValues" dxfId="2286" priority="761"/>
  </conditionalFormatting>
  <conditionalFormatting sqref="E444">
    <cfRule type="duplicateValues" dxfId="2285" priority="762"/>
  </conditionalFormatting>
  <conditionalFormatting sqref="E444">
    <cfRule type="duplicateValues" dxfId="2284" priority="763"/>
    <cfRule type="duplicateValues" dxfId="2283" priority="764"/>
  </conditionalFormatting>
  <conditionalFormatting sqref="E444">
    <cfRule type="duplicateValues" dxfId="2282" priority="765"/>
  </conditionalFormatting>
  <conditionalFormatting sqref="E444">
    <cfRule type="duplicateValues" dxfId="2281" priority="758"/>
  </conditionalFormatting>
  <conditionalFormatting sqref="E375">
    <cfRule type="duplicateValues" dxfId="2280" priority="751"/>
  </conditionalFormatting>
  <conditionalFormatting sqref="E375">
    <cfRule type="duplicateValues" dxfId="2279" priority="752"/>
  </conditionalFormatting>
  <conditionalFormatting sqref="E375">
    <cfRule type="duplicateValues" dxfId="2278" priority="753"/>
    <cfRule type="duplicateValues" dxfId="2277" priority="754"/>
  </conditionalFormatting>
  <conditionalFormatting sqref="E375">
    <cfRule type="duplicateValues" dxfId="2276" priority="755"/>
  </conditionalFormatting>
  <conditionalFormatting sqref="E376:E377">
    <cfRule type="duplicateValues" dxfId="2275" priority="750"/>
  </conditionalFormatting>
  <conditionalFormatting sqref="E376:E377">
    <cfRule type="duplicateValues" dxfId="2274" priority="756"/>
    <cfRule type="duplicateValues" dxfId="2273" priority="757"/>
  </conditionalFormatting>
  <conditionalFormatting sqref="E410:E411">
    <cfRule type="duplicateValues" dxfId="2272" priority="738"/>
  </conditionalFormatting>
  <conditionalFormatting sqref="E409:E411">
    <cfRule type="duplicateValues" dxfId="2271" priority="737"/>
  </conditionalFormatting>
  <conditionalFormatting sqref="E409">
    <cfRule type="duplicateValues" dxfId="2270" priority="739"/>
  </conditionalFormatting>
  <conditionalFormatting sqref="E409:E411">
    <cfRule type="duplicateValues" dxfId="2269" priority="740"/>
    <cfRule type="duplicateValues" dxfId="2268" priority="741"/>
  </conditionalFormatting>
  <conditionalFormatting sqref="E409:E411">
    <cfRule type="duplicateValues" dxfId="2267" priority="742"/>
  </conditionalFormatting>
  <conditionalFormatting sqref="E382">
    <cfRule type="duplicateValues" dxfId="2266" priority="732"/>
  </conditionalFormatting>
  <conditionalFormatting sqref="E382">
    <cfRule type="duplicateValues" dxfId="2265" priority="733"/>
  </conditionalFormatting>
  <conditionalFormatting sqref="E382">
    <cfRule type="duplicateValues" dxfId="2264" priority="734"/>
    <cfRule type="duplicateValues" dxfId="2263" priority="735"/>
  </conditionalFormatting>
  <conditionalFormatting sqref="E382">
    <cfRule type="duplicateValues" dxfId="2262" priority="736"/>
  </conditionalFormatting>
  <conditionalFormatting sqref="E397 E383:E395">
    <cfRule type="duplicateValues" dxfId="2261" priority="731"/>
  </conditionalFormatting>
  <conditionalFormatting sqref="E396">
    <cfRule type="duplicateValues" dxfId="2260" priority="730"/>
  </conditionalFormatting>
  <conditionalFormatting sqref="E398">
    <cfRule type="duplicateValues" dxfId="2259" priority="725"/>
  </conditionalFormatting>
  <conditionalFormatting sqref="E398">
    <cfRule type="duplicateValues" dxfId="2258" priority="726"/>
  </conditionalFormatting>
  <conditionalFormatting sqref="E398">
    <cfRule type="duplicateValues" dxfId="2257" priority="727"/>
    <cfRule type="duplicateValues" dxfId="2256" priority="728"/>
  </conditionalFormatting>
  <conditionalFormatting sqref="E398">
    <cfRule type="duplicateValues" dxfId="2255" priority="729"/>
  </conditionalFormatting>
  <conditionalFormatting sqref="E412 E399:E408 E379:E381">
    <cfRule type="duplicateValues" dxfId="2254" priority="743"/>
  </conditionalFormatting>
  <conditionalFormatting sqref="E412">
    <cfRule type="duplicateValues" dxfId="2253" priority="744"/>
  </conditionalFormatting>
  <conditionalFormatting sqref="E412 E399:E408 E379:E381">
    <cfRule type="duplicateValues" dxfId="2252" priority="745"/>
    <cfRule type="duplicateValues" dxfId="2251" priority="746"/>
  </conditionalFormatting>
  <conditionalFormatting sqref="E397">
    <cfRule type="duplicateValues" dxfId="2250" priority="747"/>
  </conditionalFormatting>
  <conditionalFormatting sqref="E397 E383:E395">
    <cfRule type="duplicateValues" dxfId="2249" priority="748"/>
    <cfRule type="duplicateValues" dxfId="2248" priority="749"/>
  </conditionalFormatting>
  <conditionalFormatting sqref="E809">
    <cfRule type="duplicateValues" dxfId="2247" priority="721"/>
  </conditionalFormatting>
  <conditionalFormatting sqref="E809">
    <cfRule type="duplicateValues" dxfId="2246" priority="720"/>
  </conditionalFormatting>
  <conditionalFormatting sqref="E809">
    <cfRule type="duplicateValues" dxfId="2245" priority="722"/>
    <cfRule type="duplicateValues" dxfId="2244" priority="723"/>
  </conditionalFormatting>
  <conditionalFormatting sqref="E809">
    <cfRule type="duplicateValues" dxfId="2243" priority="724"/>
  </conditionalFormatting>
  <conditionalFormatting sqref="E809">
    <cfRule type="duplicateValues" dxfId="2242" priority="719"/>
  </conditionalFormatting>
  <conditionalFormatting sqref="D809">
    <cfRule type="duplicateValues" dxfId="2241" priority="718"/>
  </conditionalFormatting>
  <conditionalFormatting sqref="E809">
    <cfRule type="duplicateValues" dxfId="2240" priority="717"/>
  </conditionalFormatting>
  <conditionalFormatting sqref="E810">
    <cfRule type="duplicateValues" dxfId="2239" priority="712"/>
  </conditionalFormatting>
  <conditionalFormatting sqref="E810">
    <cfRule type="duplicateValues" dxfId="2238" priority="711"/>
  </conditionalFormatting>
  <conditionalFormatting sqref="E810">
    <cfRule type="duplicateValues" dxfId="2237" priority="713"/>
    <cfRule type="duplicateValues" dxfId="2236" priority="714"/>
  </conditionalFormatting>
  <conditionalFormatting sqref="E810">
    <cfRule type="duplicateValues" dxfId="2235" priority="715"/>
  </conditionalFormatting>
  <conditionalFormatting sqref="E809">
    <cfRule type="duplicateValues" dxfId="2234" priority="707"/>
  </conditionalFormatting>
  <conditionalFormatting sqref="E809">
    <cfRule type="duplicateValues" dxfId="2233" priority="706"/>
  </conditionalFormatting>
  <conditionalFormatting sqref="E809">
    <cfRule type="duplicateValues" dxfId="2232" priority="708"/>
    <cfRule type="duplicateValues" dxfId="2231" priority="709"/>
  </conditionalFormatting>
  <conditionalFormatting sqref="E809">
    <cfRule type="duplicateValues" dxfId="2230" priority="710"/>
  </conditionalFormatting>
  <conditionalFormatting sqref="E809">
    <cfRule type="duplicateValues" dxfId="2229" priority="705"/>
  </conditionalFormatting>
  <conditionalFormatting sqref="D809:D810">
    <cfRule type="duplicateValues" dxfId="2228" priority="704"/>
  </conditionalFormatting>
  <conditionalFormatting sqref="E810">
    <cfRule type="duplicateValues" dxfId="2227" priority="716"/>
  </conditionalFormatting>
  <conditionalFormatting sqref="E809:E810">
    <cfRule type="duplicateValues" dxfId="2226" priority="703"/>
  </conditionalFormatting>
  <conditionalFormatting sqref="E745">
    <cfRule type="duplicateValues" dxfId="2225" priority="702"/>
  </conditionalFormatting>
  <conditionalFormatting sqref="E663">
    <cfRule type="duplicateValues" dxfId="2224" priority="697"/>
  </conditionalFormatting>
  <conditionalFormatting sqref="E663">
    <cfRule type="duplicateValues" dxfId="2223" priority="698"/>
  </conditionalFormatting>
  <conditionalFormatting sqref="E663">
    <cfRule type="duplicateValues" dxfId="2222" priority="699"/>
    <cfRule type="duplicateValues" dxfId="2221" priority="700"/>
  </conditionalFormatting>
  <conditionalFormatting sqref="E663">
    <cfRule type="duplicateValues" dxfId="2220" priority="701"/>
  </conditionalFormatting>
  <conditionalFormatting sqref="D668">
    <cfRule type="duplicateValues" dxfId="2219" priority="690"/>
  </conditionalFormatting>
  <conditionalFormatting sqref="E668">
    <cfRule type="duplicateValues" dxfId="2218" priority="691"/>
  </conditionalFormatting>
  <conditionalFormatting sqref="E668">
    <cfRule type="duplicateValues" dxfId="2217" priority="692"/>
  </conditionalFormatting>
  <conditionalFormatting sqref="E668">
    <cfRule type="duplicateValues" dxfId="2216" priority="693"/>
  </conditionalFormatting>
  <conditionalFormatting sqref="E668">
    <cfRule type="duplicateValues" dxfId="2215" priority="694"/>
    <cfRule type="duplicateValues" dxfId="2214" priority="695"/>
  </conditionalFormatting>
  <conditionalFormatting sqref="E668">
    <cfRule type="duplicateValues" dxfId="2213" priority="696"/>
  </conditionalFormatting>
  <conditionalFormatting sqref="E668">
    <cfRule type="duplicateValues" dxfId="2212" priority="689"/>
  </conditionalFormatting>
  <conditionalFormatting sqref="D663:D664">
    <cfRule type="duplicateValues" dxfId="2211" priority="1462"/>
  </conditionalFormatting>
  <conditionalFormatting sqref="E663:E664">
    <cfRule type="duplicateValues" dxfId="2210" priority="1463"/>
  </conditionalFormatting>
  <conditionalFormatting sqref="E664">
    <cfRule type="duplicateValues" dxfId="2209" priority="1464"/>
  </conditionalFormatting>
  <conditionalFormatting sqref="E664">
    <cfRule type="duplicateValues" dxfId="2208" priority="1465"/>
    <cfRule type="duplicateValues" dxfId="2207" priority="1466"/>
  </conditionalFormatting>
  <conditionalFormatting sqref="E749">
    <cfRule type="duplicateValues" dxfId="2206" priority="678"/>
  </conditionalFormatting>
  <conditionalFormatting sqref="E749">
    <cfRule type="duplicateValues" dxfId="2205" priority="679"/>
  </conditionalFormatting>
  <conditionalFormatting sqref="E749">
    <cfRule type="duplicateValues" dxfId="2204" priority="680"/>
    <cfRule type="duplicateValues" dxfId="2203" priority="681"/>
  </conditionalFormatting>
  <conditionalFormatting sqref="E749">
    <cfRule type="duplicateValues" dxfId="2202" priority="682"/>
  </conditionalFormatting>
  <conditionalFormatting sqref="D749:D750">
    <cfRule type="duplicateValues" dxfId="2201" priority="677"/>
  </conditionalFormatting>
  <conditionalFormatting sqref="E749:E750">
    <cfRule type="duplicateValues" dxfId="2200" priority="683"/>
  </conditionalFormatting>
  <conditionalFormatting sqref="E750">
    <cfRule type="duplicateValues" dxfId="2199" priority="684"/>
  </conditionalFormatting>
  <conditionalFormatting sqref="E750">
    <cfRule type="duplicateValues" dxfId="2198" priority="685"/>
  </conditionalFormatting>
  <conditionalFormatting sqref="E750">
    <cfRule type="duplicateValues" dxfId="2197" priority="686"/>
    <cfRule type="duplicateValues" dxfId="2196" priority="687"/>
  </conditionalFormatting>
  <conditionalFormatting sqref="E750">
    <cfRule type="duplicateValues" dxfId="2195" priority="688"/>
  </conditionalFormatting>
  <conditionalFormatting sqref="E749:E750">
    <cfRule type="duplicateValues" dxfId="2194" priority="676"/>
  </conditionalFormatting>
  <conditionalFormatting sqref="E755">
    <cfRule type="duplicateValues" dxfId="2193" priority="672"/>
  </conditionalFormatting>
  <conditionalFormatting sqref="E755">
    <cfRule type="duplicateValues" dxfId="2192" priority="673"/>
    <cfRule type="duplicateValues" dxfId="2191" priority="674"/>
  </conditionalFormatting>
  <conditionalFormatting sqref="E755">
    <cfRule type="duplicateValues" dxfId="2190" priority="675"/>
  </conditionalFormatting>
  <conditionalFormatting sqref="E755">
    <cfRule type="duplicateValues" dxfId="2189" priority="671"/>
  </conditionalFormatting>
  <conditionalFormatting sqref="E754">
    <cfRule type="duplicateValues" dxfId="2188" priority="667"/>
  </conditionalFormatting>
  <conditionalFormatting sqref="E754">
    <cfRule type="duplicateValues" dxfId="2187" priority="668"/>
    <cfRule type="duplicateValues" dxfId="2186" priority="669"/>
  </conditionalFormatting>
  <conditionalFormatting sqref="E754">
    <cfRule type="duplicateValues" dxfId="2185" priority="670"/>
  </conditionalFormatting>
  <conditionalFormatting sqref="E754">
    <cfRule type="duplicateValues" dxfId="2184" priority="666"/>
  </conditionalFormatting>
  <conditionalFormatting sqref="E755">
    <cfRule type="duplicateValues" dxfId="2183" priority="662"/>
  </conditionalFormatting>
  <conditionalFormatting sqref="E755">
    <cfRule type="duplicateValues" dxfId="2182" priority="663"/>
    <cfRule type="duplicateValues" dxfId="2181" priority="664"/>
  </conditionalFormatting>
  <conditionalFormatting sqref="E755">
    <cfRule type="duplicateValues" dxfId="2180" priority="665"/>
  </conditionalFormatting>
  <conditionalFormatting sqref="E755">
    <cfRule type="duplicateValues" dxfId="2179" priority="661"/>
  </conditionalFormatting>
  <conditionalFormatting sqref="E756">
    <cfRule type="duplicateValues" dxfId="2178" priority="658"/>
  </conditionalFormatting>
  <conditionalFormatting sqref="E756">
    <cfRule type="duplicateValues" dxfId="2177" priority="659"/>
    <cfRule type="duplicateValues" dxfId="2176" priority="660"/>
  </conditionalFormatting>
  <conditionalFormatting sqref="D324 D293:D320">
    <cfRule type="duplicateValues" dxfId="2175" priority="1467"/>
  </conditionalFormatting>
  <conditionalFormatting sqref="E324 E293:E320">
    <cfRule type="duplicateValues" dxfId="2174" priority="1468"/>
  </conditionalFormatting>
  <conditionalFormatting sqref="E181">
    <cfRule type="duplicateValues" dxfId="2173" priority="655"/>
  </conditionalFormatting>
  <conditionalFormatting sqref="E181">
    <cfRule type="duplicateValues" dxfId="2172" priority="656"/>
    <cfRule type="duplicateValues" dxfId="2171" priority="657"/>
  </conditionalFormatting>
  <conditionalFormatting sqref="D183:D184 D52:D53">
    <cfRule type="duplicateValues" dxfId="2170" priority="1469"/>
  </conditionalFormatting>
  <conditionalFormatting sqref="E183:E184 E52:E53">
    <cfRule type="duplicateValues" dxfId="2169" priority="1470"/>
  </conditionalFormatting>
  <conditionalFormatting sqref="E811 E456:E547 E637:E662 E378 E665:E667 E751:E756 E2:E8 E74:E95 E234 E145:E147 E345 E550:E551 E557:E573 E206:E232 E242:E247 E250:E272 E349:E371 E11:E57 E729:E744 E150:E198 E285:E343 E759:E808 E274:E280 E622:E630 E412:E447 E669:E691 E71 E693:E694 E575:E593 E596 E63:E69 E609:E620 E240 E696:E723 E746:E748 E97:E143">
    <cfRule type="duplicateValues" dxfId="2168" priority="1471"/>
  </conditionalFormatting>
  <conditionalFormatting sqref="E64">
    <cfRule type="duplicateValues" dxfId="2167" priority="1472"/>
  </conditionalFormatting>
  <conditionalFormatting sqref="E64">
    <cfRule type="duplicateValues" dxfId="2166" priority="1473"/>
    <cfRule type="duplicateValues" dxfId="2165" priority="1474"/>
  </conditionalFormatting>
  <conditionalFormatting sqref="E73">
    <cfRule type="duplicateValues" dxfId="2164" priority="641"/>
  </conditionalFormatting>
  <conditionalFormatting sqref="E73">
    <cfRule type="duplicateValues" dxfId="2163" priority="642"/>
  </conditionalFormatting>
  <conditionalFormatting sqref="E73">
    <cfRule type="duplicateValues" dxfId="2162" priority="643"/>
    <cfRule type="duplicateValues" dxfId="2161" priority="644"/>
  </conditionalFormatting>
  <conditionalFormatting sqref="D73">
    <cfRule type="duplicateValues" dxfId="2160" priority="645"/>
  </conditionalFormatting>
  <conditionalFormatting sqref="E73">
    <cfRule type="duplicateValues" dxfId="2159" priority="646"/>
  </conditionalFormatting>
  <conditionalFormatting sqref="E180:E182 E185:E192">
    <cfRule type="duplicateValues" dxfId="2158" priority="1475"/>
  </conditionalFormatting>
  <conditionalFormatting sqref="E181:E182 E185:E192">
    <cfRule type="duplicateValues" dxfId="2157" priority="1476"/>
  </conditionalFormatting>
  <conditionalFormatting sqref="E180:E182 E185:E192">
    <cfRule type="duplicateValues" dxfId="2156" priority="1477"/>
    <cfRule type="duplicateValues" dxfId="2155" priority="1478"/>
  </conditionalFormatting>
  <conditionalFormatting sqref="D180:D182 D185:D192">
    <cfRule type="duplicateValues" dxfId="2154" priority="1479"/>
  </conditionalFormatting>
  <conditionalFormatting sqref="D243:D244">
    <cfRule type="duplicateValues" dxfId="2153" priority="1480"/>
  </conditionalFormatting>
  <conditionalFormatting sqref="E243:E244">
    <cfRule type="duplicateValues" dxfId="2152" priority="1481"/>
  </conditionalFormatting>
  <conditionalFormatting sqref="E233">
    <cfRule type="duplicateValues" dxfId="2151" priority="637"/>
  </conditionalFormatting>
  <conditionalFormatting sqref="E233">
    <cfRule type="duplicateValues" dxfId="2150" priority="635"/>
    <cfRule type="duplicateValues" dxfId="2149" priority="636"/>
  </conditionalFormatting>
  <conditionalFormatting sqref="E233">
    <cfRule type="duplicateValues" dxfId="2148" priority="638"/>
  </conditionalFormatting>
  <conditionalFormatting sqref="E233">
    <cfRule type="duplicateValues" dxfId="2147" priority="634"/>
  </conditionalFormatting>
  <conditionalFormatting sqref="D233">
    <cfRule type="duplicateValues" dxfId="2146" priority="633"/>
  </conditionalFormatting>
  <conditionalFormatting sqref="E233">
    <cfRule type="duplicateValues" dxfId="2145" priority="639"/>
  </conditionalFormatting>
  <conditionalFormatting sqref="E233">
    <cfRule type="duplicateValues" dxfId="2144" priority="640"/>
  </conditionalFormatting>
  <conditionalFormatting sqref="E598">
    <cfRule type="duplicateValues" dxfId="2143" priority="628"/>
  </conditionalFormatting>
  <conditionalFormatting sqref="E599">
    <cfRule type="duplicateValues" dxfId="2142" priority="627"/>
  </conditionalFormatting>
  <conditionalFormatting sqref="E598:E599">
    <cfRule type="duplicateValues" dxfId="2141" priority="626"/>
  </conditionalFormatting>
  <conditionalFormatting sqref="E598:E599">
    <cfRule type="duplicateValues" dxfId="2140" priority="629"/>
    <cfRule type="duplicateValues" dxfId="2139" priority="630"/>
  </conditionalFormatting>
  <conditionalFormatting sqref="D598:D599">
    <cfRule type="duplicateValues" dxfId="2138" priority="625"/>
  </conditionalFormatting>
  <conditionalFormatting sqref="E598:E599">
    <cfRule type="duplicateValues" dxfId="2137" priority="631"/>
  </conditionalFormatting>
  <conditionalFormatting sqref="E598:E599">
    <cfRule type="duplicateValues" dxfId="2136" priority="632"/>
  </conditionalFormatting>
  <conditionalFormatting sqref="E597">
    <cfRule type="duplicateValues" dxfId="2135" priority="618"/>
  </conditionalFormatting>
  <conditionalFormatting sqref="E597">
    <cfRule type="duplicateValues" dxfId="2134" priority="619"/>
  </conditionalFormatting>
  <conditionalFormatting sqref="E597">
    <cfRule type="duplicateValues" dxfId="2133" priority="620"/>
    <cfRule type="duplicateValues" dxfId="2132" priority="621"/>
  </conditionalFormatting>
  <conditionalFormatting sqref="E597">
    <cfRule type="duplicateValues" dxfId="2131" priority="622"/>
  </conditionalFormatting>
  <conditionalFormatting sqref="D597">
    <cfRule type="duplicateValues" dxfId="2130" priority="617"/>
  </conditionalFormatting>
  <conditionalFormatting sqref="E597">
    <cfRule type="duplicateValues" dxfId="2129" priority="623"/>
  </conditionalFormatting>
  <conditionalFormatting sqref="E597">
    <cfRule type="duplicateValues" dxfId="2128" priority="624"/>
  </conditionalFormatting>
  <conditionalFormatting sqref="E716:E717">
    <cfRule type="duplicateValues" dxfId="2127" priority="1482"/>
  </conditionalFormatting>
  <conditionalFormatting sqref="E716:E717">
    <cfRule type="duplicateValues" dxfId="2126" priority="1483"/>
    <cfRule type="duplicateValues" dxfId="2125" priority="1484"/>
  </conditionalFormatting>
  <conditionalFormatting sqref="E144">
    <cfRule type="duplicateValues" dxfId="2124" priority="610"/>
  </conditionalFormatting>
  <conditionalFormatting sqref="E144">
    <cfRule type="duplicateValues" dxfId="2123" priority="611"/>
  </conditionalFormatting>
  <conditionalFormatting sqref="E144">
    <cfRule type="duplicateValues" dxfId="2122" priority="612"/>
    <cfRule type="duplicateValues" dxfId="2121" priority="613"/>
  </conditionalFormatting>
  <conditionalFormatting sqref="E144">
    <cfRule type="duplicateValues" dxfId="2120" priority="614"/>
  </conditionalFormatting>
  <conditionalFormatting sqref="D144">
    <cfRule type="duplicateValues" dxfId="2119" priority="609"/>
  </conditionalFormatting>
  <conditionalFormatting sqref="E144">
    <cfRule type="duplicateValues" dxfId="2118" priority="615"/>
  </conditionalFormatting>
  <conditionalFormatting sqref="E144">
    <cfRule type="duplicateValues" dxfId="2117" priority="616"/>
  </conditionalFormatting>
  <conditionalFormatting sqref="E574">
    <cfRule type="duplicateValues" dxfId="2116" priority="603"/>
  </conditionalFormatting>
  <conditionalFormatting sqref="E574">
    <cfRule type="duplicateValues" dxfId="2115" priority="602"/>
  </conditionalFormatting>
  <conditionalFormatting sqref="E574">
    <cfRule type="duplicateValues" dxfId="2114" priority="604"/>
    <cfRule type="duplicateValues" dxfId="2113" priority="605"/>
  </conditionalFormatting>
  <conditionalFormatting sqref="E574">
    <cfRule type="duplicateValues" dxfId="2112" priority="606"/>
  </conditionalFormatting>
  <conditionalFormatting sqref="D574">
    <cfRule type="duplicateValues" dxfId="2111" priority="601"/>
  </conditionalFormatting>
  <conditionalFormatting sqref="E574">
    <cfRule type="duplicateValues" dxfId="2110" priority="607"/>
  </conditionalFormatting>
  <conditionalFormatting sqref="E574">
    <cfRule type="duplicateValues" dxfId="2109" priority="608"/>
  </conditionalFormatting>
  <conditionalFormatting sqref="E67">
    <cfRule type="duplicateValues" dxfId="2108" priority="1485"/>
  </conditionalFormatting>
  <conditionalFormatting sqref="E67">
    <cfRule type="duplicateValues" dxfId="2107" priority="1486"/>
    <cfRule type="duplicateValues" dxfId="2106" priority="1487"/>
  </conditionalFormatting>
  <conditionalFormatting sqref="D65:D67 D49:D51">
    <cfRule type="duplicateValues" dxfId="2105" priority="1488"/>
  </conditionalFormatting>
  <conditionalFormatting sqref="E65:E67 E49:E51">
    <cfRule type="duplicateValues" dxfId="2104" priority="1489"/>
  </conditionalFormatting>
  <conditionalFormatting sqref="E248">
    <cfRule type="duplicateValues" dxfId="2103" priority="597"/>
  </conditionalFormatting>
  <conditionalFormatting sqref="E248">
    <cfRule type="duplicateValues" dxfId="2102" priority="595"/>
    <cfRule type="duplicateValues" dxfId="2101" priority="596"/>
  </conditionalFormatting>
  <conditionalFormatting sqref="E248">
    <cfRule type="duplicateValues" dxfId="2100" priority="598"/>
  </conditionalFormatting>
  <conditionalFormatting sqref="E248">
    <cfRule type="duplicateValues" dxfId="2099" priority="594"/>
  </conditionalFormatting>
  <conditionalFormatting sqref="E249">
    <cfRule type="duplicateValues" dxfId="2098" priority="589"/>
  </conditionalFormatting>
  <conditionalFormatting sqref="E249">
    <cfRule type="duplicateValues" dxfId="2097" priority="590"/>
  </conditionalFormatting>
  <conditionalFormatting sqref="E249">
    <cfRule type="duplicateValues" dxfId="2096" priority="591"/>
    <cfRule type="duplicateValues" dxfId="2095" priority="592"/>
  </conditionalFormatting>
  <conditionalFormatting sqref="E249">
    <cfRule type="duplicateValues" dxfId="2094" priority="593"/>
  </conditionalFormatting>
  <conditionalFormatting sqref="D248:D249">
    <cfRule type="duplicateValues" dxfId="2093" priority="588"/>
  </conditionalFormatting>
  <conditionalFormatting sqref="E248:E249">
    <cfRule type="duplicateValues" dxfId="2092" priority="599"/>
  </conditionalFormatting>
  <conditionalFormatting sqref="E248:E249">
    <cfRule type="duplicateValues" dxfId="2091" priority="600"/>
  </conditionalFormatting>
  <conditionalFormatting sqref="E759:E811 E550:E551 E345 E2:E8 E73:E95 E206:E234 E242:E272 E452:E547 E11:E57 E150:E198 E285:E343 E274:E280 E349:E447 E622:E691 E71 E693:E694 E557:E593 E596:E599 E63:E69 E609:E620 E240 E696:E723 E729:E756 E97:E147">
    <cfRule type="duplicateValues" dxfId="2090" priority="587"/>
  </conditionalFormatting>
  <conditionalFormatting sqref="E344">
    <cfRule type="duplicateValues" dxfId="2089" priority="583"/>
  </conditionalFormatting>
  <conditionalFormatting sqref="E344">
    <cfRule type="duplicateValues" dxfId="2088" priority="581"/>
    <cfRule type="duplicateValues" dxfId="2087" priority="582"/>
  </conditionalFormatting>
  <conditionalFormatting sqref="E344">
    <cfRule type="duplicateValues" dxfId="2086" priority="584"/>
  </conditionalFormatting>
  <conditionalFormatting sqref="E344">
    <cfRule type="duplicateValues" dxfId="2085" priority="580"/>
  </conditionalFormatting>
  <conditionalFormatting sqref="D344">
    <cfRule type="duplicateValues" dxfId="2084" priority="579"/>
  </conditionalFormatting>
  <conditionalFormatting sqref="E344">
    <cfRule type="duplicateValues" dxfId="2083" priority="585"/>
  </conditionalFormatting>
  <conditionalFormatting sqref="E344">
    <cfRule type="duplicateValues" dxfId="2082" priority="586"/>
  </conditionalFormatting>
  <conditionalFormatting sqref="E344">
    <cfRule type="duplicateValues" dxfId="2081" priority="578"/>
  </conditionalFormatting>
  <conditionalFormatting sqref="E549">
    <cfRule type="duplicateValues" dxfId="2080" priority="571"/>
  </conditionalFormatting>
  <conditionalFormatting sqref="E548">
    <cfRule type="duplicateValues" dxfId="2079" priority="567"/>
  </conditionalFormatting>
  <conditionalFormatting sqref="E548">
    <cfRule type="duplicateValues" dxfId="2078" priority="566"/>
  </conditionalFormatting>
  <conditionalFormatting sqref="E548">
    <cfRule type="duplicateValues" dxfId="2077" priority="568"/>
    <cfRule type="duplicateValues" dxfId="2076" priority="569"/>
  </conditionalFormatting>
  <conditionalFormatting sqref="E548">
    <cfRule type="duplicateValues" dxfId="2075" priority="570"/>
  </conditionalFormatting>
  <conditionalFormatting sqref="E549">
    <cfRule type="duplicateValues" dxfId="2074" priority="572"/>
  </conditionalFormatting>
  <conditionalFormatting sqref="E549">
    <cfRule type="duplicateValues" dxfId="2073" priority="573"/>
    <cfRule type="duplicateValues" dxfId="2072" priority="574"/>
  </conditionalFormatting>
  <conditionalFormatting sqref="E548:E549">
    <cfRule type="duplicateValues" dxfId="2071" priority="575"/>
  </conditionalFormatting>
  <conditionalFormatting sqref="D548:D549">
    <cfRule type="duplicateValues" dxfId="2070" priority="576"/>
  </conditionalFormatting>
  <conditionalFormatting sqref="E548:E549">
    <cfRule type="duplicateValues" dxfId="2069" priority="577"/>
  </conditionalFormatting>
  <conditionalFormatting sqref="E548:E549">
    <cfRule type="duplicateValues" dxfId="2068" priority="565"/>
  </conditionalFormatting>
  <conditionalFormatting sqref="E552">
    <cfRule type="duplicateValues" dxfId="2067" priority="558"/>
  </conditionalFormatting>
  <conditionalFormatting sqref="E552">
    <cfRule type="duplicateValues" dxfId="2066" priority="559"/>
  </conditionalFormatting>
  <conditionalFormatting sqref="E552">
    <cfRule type="duplicateValues" dxfId="2065" priority="560"/>
    <cfRule type="duplicateValues" dxfId="2064" priority="561"/>
  </conditionalFormatting>
  <conditionalFormatting sqref="E552">
    <cfRule type="duplicateValues" dxfId="2063" priority="562"/>
  </conditionalFormatting>
  <conditionalFormatting sqref="D552">
    <cfRule type="duplicateValues" dxfId="2062" priority="563"/>
  </conditionalFormatting>
  <conditionalFormatting sqref="E552">
    <cfRule type="duplicateValues" dxfId="2061" priority="564"/>
  </conditionalFormatting>
  <conditionalFormatting sqref="E552">
    <cfRule type="duplicateValues" dxfId="2060" priority="557"/>
  </conditionalFormatting>
  <conditionalFormatting sqref="E230">
    <cfRule type="duplicateValues" dxfId="2059" priority="1490"/>
  </conditionalFormatting>
  <conditionalFormatting sqref="E230">
    <cfRule type="duplicateValues" dxfId="2058" priority="1491"/>
    <cfRule type="duplicateValues" dxfId="2057" priority="1492"/>
  </conditionalFormatting>
  <conditionalFormatting sqref="D234 D230 D240">
    <cfRule type="duplicateValues" dxfId="2056" priority="1493"/>
  </conditionalFormatting>
  <conditionalFormatting sqref="E234 E230 E240">
    <cfRule type="duplicateValues" dxfId="2055" priority="1494"/>
  </conditionalFormatting>
  <conditionalFormatting sqref="E9">
    <cfRule type="duplicateValues" dxfId="2054" priority="550"/>
  </conditionalFormatting>
  <conditionalFormatting sqref="E9">
    <cfRule type="duplicateValues" dxfId="2053" priority="551"/>
  </conditionalFormatting>
  <conditionalFormatting sqref="E9">
    <cfRule type="duplicateValues" dxfId="2052" priority="552"/>
    <cfRule type="duplicateValues" dxfId="2051" priority="553"/>
  </conditionalFormatting>
  <conditionalFormatting sqref="E9">
    <cfRule type="duplicateValues" dxfId="2050" priority="554"/>
  </conditionalFormatting>
  <conditionalFormatting sqref="D9">
    <cfRule type="duplicateValues" dxfId="2049" priority="549"/>
  </conditionalFormatting>
  <conditionalFormatting sqref="E9">
    <cfRule type="duplicateValues" dxfId="2048" priority="555"/>
  </conditionalFormatting>
  <conditionalFormatting sqref="E10">
    <cfRule type="duplicateValues" dxfId="2047" priority="548"/>
  </conditionalFormatting>
  <conditionalFormatting sqref="E9:E10">
    <cfRule type="duplicateValues" dxfId="2046" priority="556"/>
  </conditionalFormatting>
  <conditionalFormatting sqref="E9:E10">
    <cfRule type="duplicateValues" dxfId="2045" priority="547"/>
  </conditionalFormatting>
  <conditionalFormatting sqref="D72">
    <cfRule type="duplicateValues" dxfId="2044" priority="541"/>
  </conditionalFormatting>
  <conditionalFormatting sqref="E72">
    <cfRule type="duplicateValues" dxfId="2043" priority="542"/>
  </conditionalFormatting>
  <conditionalFormatting sqref="E72">
    <cfRule type="duplicateValues" dxfId="2042" priority="543"/>
  </conditionalFormatting>
  <conditionalFormatting sqref="E72">
    <cfRule type="duplicateValues" dxfId="2041" priority="544"/>
    <cfRule type="duplicateValues" dxfId="2040" priority="545"/>
  </conditionalFormatting>
  <conditionalFormatting sqref="E72">
    <cfRule type="duplicateValues" dxfId="2039" priority="546"/>
  </conditionalFormatting>
  <conditionalFormatting sqref="E72">
    <cfRule type="duplicateValues" dxfId="2038" priority="540"/>
  </conditionalFormatting>
  <conditionalFormatting sqref="D96">
    <cfRule type="duplicateValues" dxfId="2037" priority="532"/>
  </conditionalFormatting>
  <conditionalFormatting sqref="E96">
    <cfRule type="duplicateValues" dxfId="2036" priority="533"/>
  </conditionalFormatting>
  <conditionalFormatting sqref="E96">
    <cfRule type="duplicateValues" dxfId="2035" priority="534"/>
  </conditionalFormatting>
  <conditionalFormatting sqref="E96">
    <cfRule type="duplicateValues" dxfId="2034" priority="535"/>
  </conditionalFormatting>
  <conditionalFormatting sqref="E96">
    <cfRule type="duplicateValues" dxfId="2033" priority="536"/>
    <cfRule type="duplicateValues" dxfId="2032" priority="537"/>
  </conditionalFormatting>
  <conditionalFormatting sqref="E96">
    <cfRule type="duplicateValues" dxfId="2031" priority="538"/>
  </conditionalFormatting>
  <conditionalFormatting sqref="E96">
    <cfRule type="duplicateValues" dxfId="2030" priority="539"/>
  </conditionalFormatting>
  <conditionalFormatting sqref="E96">
    <cfRule type="duplicateValues" dxfId="2029" priority="531"/>
  </conditionalFormatting>
  <conditionalFormatting sqref="E149">
    <cfRule type="duplicateValues" dxfId="2028" priority="523"/>
  </conditionalFormatting>
  <conditionalFormatting sqref="D148:D149">
    <cfRule type="duplicateValues" dxfId="2027" priority="522"/>
  </conditionalFormatting>
  <conditionalFormatting sqref="E148:E149">
    <cfRule type="duplicateValues" dxfId="2026" priority="524"/>
  </conditionalFormatting>
  <conditionalFormatting sqref="E148:E149">
    <cfRule type="duplicateValues" dxfId="2025" priority="525"/>
  </conditionalFormatting>
  <conditionalFormatting sqref="E148">
    <cfRule type="duplicateValues" dxfId="2024" priority="526"/>
  </conditionalFormatting>
  <conditionalFormatting sqref="E148:E149">
    <cfRule type="duplicateValues" dxfId="2023" priority="527"/>
    <cfRule type="duplicateValues" dxfId="2022" priority="528"/>
  </conditionalFormatting>
  <conditionalFormatting sqref="E148:E149">
    <cfRule type="duplicateValues" dxfId="2021" priority="529"/>
  </conditionalFormatting>
  <conditionalFormatting sqref="E148:E149">
    <cfRule type="duplicateValues" dxfId="2020" priority="530"/>
  </conditionalFormatting>
  <conditionalFormatting sqref="E148:E149">
    <cfRule type="duplicateValues" dxfId="2019" priority="521"/>
  </conditionalFormatting>
  <conditionalFormatting sqref="E203">
    <cfRule type="duplicateValues" dxfId="2018" priority="511"/>
  </conditionalFormatting>
  <conditionalFormatting sqref="E203">
    <cfRule type="duplicateValues" dxfId="2017" priority="512"/>
    <cfRule type="duplicateValues" dxfId="2016" priority="513"/>
  </conditionalFormatting>
  <conditionalFormatting sqref="D202:D203">
    <cfRule type="duplicateValues" dxfId="2015" priority="510"/>
  </conditionalFormatting>
  <conditionalFormatting sqref="E202:E203">
    <cfRule type="duplicateValues" dxfId="2014" priority="514"/>
  </conditionalFormatting>
  <conditionalFormatting sqref="E202:E203">
    <cfRule type="duplicateValues" dxfId="2013" priority="515"/>
  </conditionalFormatting>
  <conditionalFormatting sqref="E202:E203">
    <cfRule type="duplicateValues" dxfId="2012" priority="516"/>
  </conditionalFormatting>
  <conditionalFormatting sqref="E202:E203">
    <cfRule type="duplicateValues" dxfId="2011" priority="517"/>
    <cfRule type="duplicateValues" dxfId="2010" priority="518"/>
  </conditionalFormatting>
  <conditionalFormatting sqref="E202:E203">
    <cfRule type="duplicateValues" dxfId="2009" priority="519"/>
  </conditionalFormatting>
  <conditionalFormatting sqref="E204">
    <cfRule type="duplicateValues" dxfId="2008" priority="501"/>
  </conditionalFormatting>
  <conditionalFormatting sqref="E204">
    <cfRule type="duplicateValues" dxfId="2007" priority="502"/>
    <cfRule type="duplicateValues" dxfId="2006" priority="503"/>
  </conditionalFormatting>
  <conditionalFormatting sqref="D204">
    <cfRule type="duplicateValues" dxfId="2005" priority="500"/>
  </conditionalFormatting>
  <conditionalFormatting sqref="E204">
    <cfRule type="duplicateValues" dxfId="2004" priority="504"/>
  </conditionalFormatting>
  <conditionalFormatting sqref="E204">
    <cfRule type="duplicateValues" dxfId="2003" priority="505"/>
  </conditionalFormatting>
  <conditionalFormatting sqref="E204">
    <cfRule type="duplicateValues" dxfId="2002" priority="506"/>
  </conditionalFormatting>
  <conditionalFormatting sqref="E204">
    <cfRule type="duplicateValues" dxfId="2001" priority="507"/>
    <cfRule type="duplicateValues" dxfId="2000" priority="508"/>
  </conditionalFormatting>
  <conditionalFormatting sqref="E204">
    <cfRule type="duplicateValues" dxfId="1999" priority="509"/>
  </conditionalFormatting>
  <conditionalFormatting sqref="E202:E204">
    <cfRule type="duplicateValues" dxfId="1998" priority="520"/>
  </conditionalFormatting>
  <conditionalFormatting sqref="E202:E204">
    <cfRule type="duplicateValues" dxfId="1997" priority="499"/>
  </conditionalFormatting>
  <conditionalFormatting sqref="E199">
    <cfRule type="duplicateValues" dxfId="1996" priority="498"/>
  </conditionalFormatting>
  <conditionalFormatting sqref="E199">
    <cfRule type="duplicateValues" dxfId="1995" priority="497"/>
  </conditionalFormatting>
  <conditionalFormatting sqref="E200">
    <cfRule type="duplicateValues" dxfId="1994" priority="496"/>
  </conditionalFormatting>
  <conditionalFormatting sqref="E200">
    <cfRule type="duplicateValues" dxfId="1993" priority="495"/>
  </conditionalFormatting>
  <conditionalFormatting sqref="E199:E200">
    <cfRule type="duplicateValues" dxfId="1992" priority="494"/>
  </conditionalFormatting>
  <conditionalFormatting sqref="E201">
    <cfRule type="duplicateValues" dxfId="1991" priority="493"/>
  </conditionalFormatting>
  <conditionalFormatting sqref="E201">
    <cfRule type="duplicateValues" dxfId="1990" priority="492"/>
  </conditionalFormatting>
  <conditionalFormatting sqref="E201">
    <cfRule type="duplicateValues" dxfId="1989" priority="491"/>
  </conditionalFormatting>
  <conditionalFormatting sqref="D205">
    <cfRule type="duplicateValues" dxfId="1988" priority="483"/>
  </conditionalFormatting>
  <conditionalFormatting sqref="E205">
    <cfRule type="duplicateValues" dxfId="1987" priority="484"/>
  </conditionalFormatting>
  <conditionalFormatting sqref="E205">
    <cfRule type="duplicateValues" dxfId="1986" priority="485"/>
  </conditionalFormatting>
  <conditionalFormatting sqref="E205">
    <cfRule type="duplicateValues" dxfId="1985" priority="486"/>
  </conditionalFormatting>
  <conditionalFormatting sqref="E205">
    <cfRule type="duplicateValues" dxfId="1984" priority="487"/>
    <cfRule type="duplicateValues" dxfId="1983" priority="488"/>
  </conditionalFormatting>
  <conditionalFormatting sqref="E205">
    <cfRule type="duplicateValues" dxfId="1982" priority="489"/>
  </conditionalFormatting>
  <conditionalFormatting sqref="E205">
    <cfRule type="duplicateValues" dxfId="1981" priority="490"/>
  </conditionalFormatting>
  <conditionalFormatting sqref="E205">
    <cfRule type="duplicateValues" dxfId="1980" priority="482"/>
  </conditionalFormatting>
  <conditionalFormatting sqref="E241">
    <cfRule type="duplicateValues" dxfId="1979" priority="476"/>
  </conditionalFormatting>
  <conditionalFormatting sqref="E241">
    <cfRule type="duplicateValues" dxfId="1978" priority="477"/>
  </conditionalFormatting>
  <conditionalFormatting sqref="E241">
    <cfRule type="duplicateValues" dxfId="1977" priority="478"/>
    <cfRule type="duplicateValues" dxfId="1976" priority="479"/>
  </conditionalFormatting>
  <conditionalFormatting sqref="D241">
    <cfRule type="duplicateValues" dxfId="1975" priority="475"/>
  </conditionalFormatting>
  <conditionalFormatting sqref="E241">
    <cfRule type="duplicateValues" dxfId="1974" priority="480"/>
  </conditionalFormatting>
  <conditionalFormatting sqref="E241">
    <cfRule type="duplicateValues" dxfId="1973" priority="481"/>
  </conditionalFormatting>
  <conditionalFormatting sqref="E241">
    <cfRule type="duplicateValues" dxfId="1972" priority="474"/>
  </conditionalFormatting>
  <conditionalFormatting sqref="E281">
    <cfRule type="duplicateValues" dxfId="1971" priority="463"/>
  </conditionalFormatting>
  <conditionalFormatting sqref="E281">
    <cfRule type="duplicateValues" dxfId="1970" priority="464"/>
  </conditionalFormatting>
  <conditionalFormatting sqref="E282">
    <cfRule type="duplicateValues" dxfId="1969" priority="461"/>
  </conditionalFormatting>
  <conditionalFormatting sqref="E282">
    <cfRule type="duplicateValues" dxfId="1968" priority="462"/>
  </conditionalFormatting>
  <conditionalFormatting sqref="E284 E281:E282">
    <cfRule type="duplicateValues" dxfId="1967" priority="460"/>
  </conditionalFormatting>
  <conditionalFormatting sqref="D346:D348">
    <cfRule type="duplicateValues" dxfId="1966" priority="457"/>
  </conditionalFormatting>
  <conditionalFormatting sqref="E346:E348">
    <cfRule type="duplicateValues" dxfId="1965" priority="458"/>
  </conditionalFormatting>
  <conditionalFormatting sqref="E346:E348">
    <cfRule type="duplicateValues" dxfId="1964" priority="459"/>
  </conditionalFormatting>
  <conditionalFormatting sqref="E346:E348">
    <cfRule type="duplicateValues" dxfId="1963" priority="456"/>
  </conditionalFormatting>
  <conditionalFormatting sqref="D448:D449">
    <cfRule type="duplicateValues" dxfId="1962" priority="449"/>
  </conditionalFormatting>
  <conditionalFormatting sqref="E448:E449">
    <cfRule type="duplicateValues" dxfId="1961" priority="450"/>
  </conditionalFormatting>
  <conditionalFormatting sqref="E448:E449">
    <cfRule type="duplicateValues" dxfId="1960" priority="451"/>
  </conditionalFormatting>
  <conditionalFormatting sqref="E448:E449">
    <cfRule type="duplicateValues" dxfId="1959" priority="452"/>
  </conditionalFormatting>
  <conditionalFormatting sqref="E448:E449">
    <cfRule type="duplicateValues" dxfId="1958" priority="453"/>
    <cfRule type="duplicateValues" dxfId="1957" priority="454"/>
  </conditionalFormatting>
  <conditionalFormatting sqref="E448:E449">
    <cfRule type="duplicateValues" dxfId="1956" priority="455"/>
  </conditionalFormatting>
  <conditionalFormatting sqref="E448:E449">
    <cfRule type="duplicateValues" dxfId="1955" priority="448"/>
  </conditionalFormatting>
  <conditionalFormatting sqref="E448:E451">
    <cfRule type="duplicateValues" dxfId="1954" priority="447"/>
  </conditionalFormatting>
  <conditionalFormatting sqref="E54">
    <cfRule type="duplicateValues" dxfId="1953" priority="1495"/>
  </conditionalFormatting>
  <conditionalFormatting sqref="E54">
    <cfRule type="duplicateValues" dxfId="1952" priority="1496"/>
    <cfRule type="duplicateValues" dxfId="1951" priority="1497"/>
  </conditionalFormatting>
  <conditionalFormatting sqref="D54:D57 D63:D64">
    <cfRule type="duplicateValues" dxfId="1950" priority="1498"/>
  </conditionalFormatting>
  <conditionalFormatting sqref="E54:E57 E63:E64">
    <cfRule type="duplicateValues" dxfId="1949" priority="1499"/>
  </conditionalFormatting>
  <conditionalFormatting sqref="E759:E811 E2:E57 E274:E282 E622:E691 E693:E694 E557:E593 E596:E599 E63:E69 E609:E620 E240:E272 E284:E552 E696:E723 E729:E756 E71:E234">
    <cfRule type="duplicateValues" dxfId="1948" priority="430"/>
  </conditionalFormatting>
  <conditionalFormatting sqref="D553:D555">
    <cfRule type="duplicateValues" dxfId="1947" priority="422"/>
  </conditionalFormatting>
  <conditionalFormatting sqref="E553:E555">
    <cfRule type="duplicateValues" dxfId="1946" priority="423"/>
  </conditionalFormatting>
  <conditionalFormatting sqref="E553:E555">
    <cfRule type="duplicateValues" dxfId="1945" priority="424"/>
  </conditionalFormatting>
  <conditionalFormatting sqref="E553:E555">
    <cfRule type="duplicateValues" dxfId="1944" priority="425"/>
  </conditionalFormatting>
  <conditionalFormatting sqref="E553:E555">
    <cfRule type="duplicateValues" dxfId="1943" priority="426"/>
    <cfRule type="duplicateValues" dxfId="1942" priority="427"/>
  </conditionalFormatting>
  <conditionalFormatting sqref="E553:E555">
    <cfRule type="duplicateValues" dxfId="1941" priority="428"/>
  </conditionalFormatting>
  <conditionalFormatting sqref="E553:E555">
    <cfRule type="duplicateValues" dxfId="1940" priority="429"/>
  </conditionalFormatting>
  <conditionalFormatting sqref="E553:E555">
    <cfRule type="duplicateValues" dxfId="1939" priority="421"/>
  </conditionalFormatting>
  <conditionalFormatting sqref="E553:E555">
    <cfRule type="duplicateValues" dxfId="1938" priority="420"/>
  </conditionalFormatting>
  <conditionalFormatting sqref="D556">
    <cfRule type="duplicateValues" dxfId="1937" priority="412"/>
  </conditionalFormatting>
  <conditionalFormatting sqref="E556">
    <cfRule type="duplicateValues" dxfId="1936" priority="413"/>
  </conditionalFormatting>
  <conditionalFormatting sqref="E556">
    <cfRule type="duplicateValues" dxfId="1935" priority="414"/>
  </conditionalFormatting>
  <conditionalFormatting sqref="E556">
    <cfRule type="duplicateValues" dxfId="1934" priority="415"/>
  </conditionalFormatting>
  <conditionalFormatting sqref="E556">
    <cfRule type="duplicateValues" dxfId="1933" priority="416"/>
    <cfRule type="duplicateValues" dxfId="1932" priority="417"/>
  </conditionalFormatting>
  <conditionalFormatting sqref="E556">
    <cfRule type="duplicateValues" dxfId="1931" priority="418"/>
  </conditionalFormatting>
  <conditionalFormatting sqref="E556">
    <cfRule type="duplicateValues" dxfId="1930" priority="419"/>
  </conditionalFormatting>
  <conditionalFormatting sqref="E556">
    <cfRule type="duplicateValues" dxfId="1929" priority="411"/>
  </conditionalFormatting>
  <conditionalFormatting sqref="E556">
    <cfRule type="duplicateValues" dxfId="1928" priority="410"/>
  </conditionalFormatting>
  <conditionalFormatting sqref="E724">
    <cfRule type="duplicateValues" dxfId="1927" priority="403"/>
  </conditionalFormatting>
  <conditionalFormatting sqref="D724">
    <cfRule type="duplicateValues" dxfId="1926" priority="402"/>
  </conditionalFormatting>
  <conditionalFormatting sqref="E724">
    <cfRule type="duplicateValues" dxfId="1925" priority="404"/>
  </conditionalFormatting>
  <conditionalFormatting sqref="E724">
    <cfRule type="duplicateValues" dxfId="1924" priority="405"/>
  </conditionalFormatting>
  <conditionalFormatting sqref="E724">
    <cfRule type="duplicateValues" dxfId="1923" priority="406"/>
    <cfRule type="duplicateValues" dxfId="1922" priority="407"/>
  </conditionalFormatting>
  <conditionalFormatting sqref="E724">
    <cfRule type="duplicateValues" dxfId="1921" priority="408"/>
  </conditionalFormatting>
  <conditionalFormatting sqref="E724">
    <cfRule type="duplicateValues" dxfId="1920" priority="409"/>
  </conditionalFormatting>
  <conditionalFormatting sqref="E724">
    <cfRule type="duplicateValues" dxfId="1919" priority="401"/>
  </conditionalFormatting>
  <conditionalFormatting sqref="E724">
    <cfRule type="duplicateValues" dxfId="1918" priority="400"/>
  </conditionalFormatting>
  <conditionalFormatting sqref="D147">
    <cfRule type="duplicateValues" dxfId="1917" priority="1500"/>
  </conditionalFormatting>
  <conditionalFormatting sqref="D607">
    <cfRule type="duplicateValues" dxfId="1916" priority="392"/>
  </conditionalFormatting>
  <conditionalFormatting sqref="E607">
    <cfRule type="duplicateValues" dxfId="1915" priority="393"/>
  </conditionalFormatting>
  <conditionalFormatting sqref="E607">
    <cfRule type="duplicateValues" dxfId="1914" priority="394"/>
  </conditionalFormatting>
  <conditionalFormatting sqref="E607">
    <cfRule type="duplicateValues" dxfId="1913" priority="395"/>
  </conditionalFormatting>
  <conditionalFormatting sqref="E607">
    <cfRule type="duplicateValues" dxfId="1912" priority="396"/>
    <cfRule type="duplicateValues" dxfId="1911" priority="397"/>
  </conditionalFormatting>
  <conditionalFormatting sqref="E607">
    <cfRule type="duplicateValues" dxfId="1910" priority="398"/>
  </conditionalFormatting>
  <conditionalFormatting sqref="E607">
    <cfRule type="duplicateValues" dxfId="1909" priority="399"/>
  </conditionalFormatting>
  <conditionalFormatting sqref="E607">
    <cfRule type="duplicateValues" dxfId="1908" priority="391"/>
  </conditionalFormatting>
  <conditionalFormatting sqref="E607">
    <cfRule type="duplicateValues" dxfId="1907" priority="390"/>
  </conditionalFormatting>
  <conditionalFormatting sqref="D605:D606">
    <cfRule type="duplicateValues" dxfId="1906" priority="382"/>
  </conditionalFormatting>
  <conditionalFormatting sqref="E605:E606">
    <cfRule type="duplicateValues" dxfId="1905" priority="383"/>
  </conditionalFormatting>
  <conditionalFormatting sqref="E605:E606">
    <cfRule type="duplicateValues" dxfId="1904" priority="384"/>
  </conditionalFormatting>
  <conditionalFormatting sqref="E605:E606">
    <cfRule type="duplicateValues" dxfId="1903" priority="385"/>
  </conditionalFormatting>
  <conditionalFormatting sqref="E605:E606">
    <cfRule type="duplicateValues" dxfId="1902" priority="386"/>
    <cfRule type="duplicateValues" dxfId="1901" priority="387"/>
  </conditionalFormatting>
  <conditionalFormatting sqref="E605:E606">
    <cfRule type="duplicateValues" dxfId="1900" priority="388"/>
  </conditionalFormatting>
  <conditionalFormatting sqref="E605:E606">
    <cfRule type="duplicateValues" dxfId="1899" priority="389"/>
  </conditionalFormatting>
  <conditionalFormatting sqref="E605:E606">
    <cfRule type="duplicateValues" dxfId="1898" priority="381"/>
  </conditionalFormatting>
  <conditionalFormatting sqref="E605:E606">
    <cfRule type="duplicateValues" dxfId="1897" priority="380"/>
  </conditionalFormatting>
  <conditionalFormatting sqref="D608">
    <cfRule type="duplicateValues" dxfId="1896" priority="372"/>
  </conditionalFormatting>
  <conditionalFormatting sqref="E608">
    <cfRule type="duplicateValues" dxfId="1895" priority="373"/>
  </conditionalFormatting>
  <conditionalFormatting sqref="E608">
    <cfRule type="duplicateValues" dxfId="1894" priority="374"/>
  </conditionalFormatting>
  <conditionalFormatting sqref="E608">
    <cfRule type="duplicateValues" dxfId="1893" priority="375"/>
  </conditionalFormatting>
  <conditionalFormatting sqref="E608">
    <cfRule type="duplicateValues" dxfId="1892" priority="376"/>
    <cfRule type="duplicateValues" dxfId="1891" priority="377"/>
  </conditionalFormatting>
  <conditionalFormatting sqref="E608">
    <cfRule type="duplicateValues" dxfId="1890" priority="378"/>
  </conditionalFormatting>
  <conditionalFormatting sqref="E608">
    <cfRule type="duplicateValues" dxfId="1889" priority="379"/>
  </conditionalFormatting>
  <conditionalFormatting sqref="E608">
    <cfRule type="duplicateValues" dxfId="1888" priority="371"/>
  </conditionalFormatting>
  <conditionalFormatting sqref="E608">
    <cfRule type="duplicateValues" dxfId="1887" priority="370"/>
  </conditionalFormatting>
  <conditionalFormatting sqref="E268">
    <cfRule type="duplicateValues" dxfId="1886" priority="1501"/>
  </conditionalFormatting>
  <conditionalFormatting sqref="E268">
    <cfRule type="duplicateValues" dxfId="1885" priority="1502"/>
    <cfRule type="duplicateValues" dxfId="1884" priority="1503"/>
  </conditionalFormatting>
  <conditionalFormatting sqref="D265:D268">
    <cfRule type="duplicateValues" dxfId="1883" priority="1504"/>
  </conditionalFormatting>
  <conditionalFormatting sqref="E265:E268">
    <cfRule type="duplicateValues" dxfId="1882" priority="1505"/>
  </conditionalFormatting>
  <conditionalFormatting sqref="E758">
    <cfRule type="duplicateValues" dxfId="1881" priority="363"/>
  </conditionalFormatting>
  <conditionalFormatting sqref="E758">
    <cfRule type="duplicateValues" dxfId="1880" priority="364"/>
  </conditionalFormatting>
  <conditionalFormatting sqref="E758">
    <cfRule type="duplicateValues" dxfId="1879" priority="365"/>
    <cfRule type="duplicateValues" dxfId="1878" priority="366"/>
  </conditionalFormatting>
  <conditionalFormatting sqref="E758">
    <cfRule type="duplicateValues" dxfId="1877" priority="367"/>
  </conditionalFormatting>
  <conditionalFormatting sqref="D758">
    <cfRule type="duplicateValues" dxfId="1876" priority="362"/>
  </conditionalFormatting>
  <conditionalFormatting sqref="E758">
    <cfRule type="duplicateValues" dxfId="1875" priority="368"/>
  </conditionalFormatting>
  <conditionalFormatting sqref="E758">
    <cfRule type="duplicateValues" dxfId="1874" priority="369"/>
  </conditionalFormatting>
  <conditionalFormatting sqref="E758">
    <cfRule type="duplicateValues" dxfId="1873" priority="361"/>
  </conditionalFormatting>
  <conditionalFormatting sqref="E758">
    <cfRule type="duplicateValues" dxfId="1872" priority="360"/>
  </conditionalFormatting>
  <conditionalFormatting sqref="E757">
    <cfRule type="duplicateValues" dxfId="1871" priority="354"/>
  </conditionalFormatting>
  <conditionalFormatting sqref="E757">
    <cfRule type="duplicateValues" dxfId="1870" priority="355"/>
    <cfRule type="duplicateValues" dxfId="1869" priority="356"/>
  </conditionalFormatting>
  <conditionalFormatting sqref="D757">
    <cfRule type="duplicateValues" dxfId="1868" priority="357"/>
  </conditionalFormatting>
  <conditionalFormatting sqref="E757">
    <cfRule type="duplicateValues" dxfId="1867" priority="358"/>
  </conditionalFormatting>
  <conditionalFormatting sqref="E757">
    <cfRule type="duplicateValues" dxfId="1866" priority="359"/>
  </conditionalFormatting>
  <conditionalFormatting sqref="E757">
    <cfRule type="duplicateValues" dxfId="1865" priority="353"/>
  </conditionalFormatting>
  <conditionalFormatting sqref="E757">
    <cfRule type="duplicateValues" dxfId="1864" priority="352"/>
  </conditionalFormatting>
  <conditionalFormatting sqref="E304:E305">
    <cfRule type="duplicateValues" dxfId="1863" priority="1506"/>
  </conditionalFormatting>
  <conditionalFormatting sqref="E304:E305">
    <cfRule type="duplicateValues" dxfId="1862" priority="1507"/>
    <cfRule type="duplicateValues" dxfId="1861" priority="1508"/>
  </conditionalFormatting>
  <conditionalFormatting sqref="E273">
    <cfRule type="duplicateValues" dxfId="1860" priority="345"/>
  </conditionalFormatting>
  <conditionalFormatting sqref="E273">
    <cfRule type="duplicateValues" dxfId="1859" priority="346"/>
  </conditionalFormatting>
  <conditionalFormatting sqref="E273">
    <cfRule type="duplicateValues" dxfId="1858" priority="347"/>
    <cfRule type="duplicateValues" dxfId="1857" priority="348"/>
  </conditionalFormatting>
  <conditionalFormatting sqref="E273">
    <cfRule type="duplicateValues" dxfId="1856" priority="349"/>
  </conditionalFormatting>
  <conditionalFormatting sqref="D273">
    <cfRule type="duplicateValues" dxfId="1855" priority="344"/>
  </conditionalFormatting>
  <conditionalFormatting sqref="E273">
    <cfRule type="duplicateValues" dxfId="1854" priority="350"/>
  </conditionalFormatting>
  <conditionalFormatting sqref="E273">
    <cfRule type="duplicateValues" dxfId="1853" priority="351"/>
  </conditionalFormatting>
  <conditionalFormatting sqref="E273">
    <cfRule type="duplicateValues" dxfId="1852" priority="343"/>
  </conditionalFormatting>
  <conditionalFormatting sqref="E273">
    <cfRule type="duplicateValues" dxfId="1851" priority="342"/>
  </conditionalFormatting>
  <conditionalFormatting sqref="E621">
    <cfRule type="duplicateValues" dxfId="1850" priority="335"/>
  </conditionalFormatting>
  <conditionalFormatting sqref="E621">
    <cfRule type="duplicateValues" dxfId="1849" priority="336"/>
  </conditionalFormatting>
  <conditionalFormatting sqref="E621">
    <cfRule type="duplicateValues" dxfId="1848" priority="337"/>
    <cfRule type="duplicateValues" dxfId="1847" priority="338"/>
  </conditionalFormatting>
  <conditionalFormatting sqref="E621">
    <cfRule type="duplicateValues" dxfId="1846" priority="339"/>
  </conditionalFormatting>
  <conditionalFormatting sqref="D621">
    <cfRule type="duplicateValues" dxfId="1845" priority="334"/>
  </conditionalFormatting>
  <conditionalFormatting sqref="E621">
    <cfRule type="duplicateValues" dxfId="1844" priority="340"/>
  </conditionalFormatting>
  <conditionalFormatting sqref="E621">
    <cfRule type="duplicateValues" dxfId="1843" priority="341"/>
  </conditionalFormatting>
  <conditionalFormatting sqref="E621">
    <cfRule type="duplicateValues" dxfId="1842" priority="333"/>
  </conditionalFormatting>
  <conditionalFormatting sqref="E621">
    <cfRule type="duplicateValues" dxfId="1841" priority="332"/>
  </conditionalFormatting>
  <conditionalFormatting sqref="E728">
    <cfRule type="duplicateValues" dxfId="1840" priority="298"/>
  </conditionalFormatting>
  <conditionalFormatting sqref="E728">
    <cfRule type="duplicateValues" dxfId="1839" priority="299"/>
  </conditionalFormatting>
  <conditionalFormatting sqref="D728">
    <cfRule type="duplicateValues" dxfId="1838" priority="300"/>
  </conditionalFormatting>
  <conditionalFormatting sqref="E728">
    <cfRule type="duplicateValues" dxfId="1837" priority="301"/>
  </conditionalFormatting>
  <conditionalFormatting sqref="E728">
    <cfRule type="duplicateValues" dxfId="1836" priority="302"/>
    <cfRule type="duplicateValues" dxfId="1835" priority="303"/>
  </conditionalFormatting>
  <conditionalFormatting sqref="E728">
    <cfRule type="duplicateValues" dxfId="1834" priority="297"/>
  </conditionalFormatting>
  <conditionalFormatting sqref="E728">
    <cfRule type="duplicateValues" dxfId="1833" priority="296"/>
  </conditionalFormatting>
  <conditionalFormatting sqref="E70">
    <cfRule type="duplicateValues" dxfId="1832" priority="289"/>
  </conditionalFormatting>
  <conditionalFormatting sqref="E70">
    <cfRule type="duplicateValues" dxfId="1831" priority="290"/>
  </conditionalFormatting>
  <conditionalFormatting sqref="E70">
    <cfRule type="duplicateValues" dxfId="1830" priority="291"/>
    <cfRule type="duplicateValues" dxfId="1829" priority="292"/>
  </conditionalFormatting>
  <conditionalFormatting sqref="E70">
    <cfRule type="duplicateValues" dxfId="1828" priority="293"/>
  </conditionalFormatting>
  <conditionalFormatting sqref="D70">
    <cfRule type="duplicateValues" dxfId="1827" priority="294"/>
  </conditionalFormatting>
  <conditionalFormatting sqref="E70">
    <cfRule type="duplicateValues" dxfId="1826" priority="295"/>
  </conditionalFormatting>
  <conditionalFormatting sqref="E70">
    <cfRule type="duplicateValues" dxfId="1825" priority="288"/>
  </conditionalFormatting>
  <conditionalFormatting sqref="E70">
    <cfRule type="duplicateValues" dxfId="1824" priority="287"/>
  </conditionalFormatting>
  <conditionalFormatting sqref="E532:E533 E526 E545:E546">
    <cfRule type="duplicateValues" dxfId="1823" priority="1509"/>
  </conditionalFormatting>
  <conditionalFormatting sqref="D692">
    <cfRule type="duplicateValues" dxfId="1822" priority="279"/>
  </conditionalFormatting>
  <conditionalFormatting sqref="E692">
    <cfRule type="duplicateValues" dxfId="1821" priority="280"/>
  </conditionalFormatting>
  <conditionalFormatting sqref="E692">
    <cfRule type="duplicateValues" dxfId="1820" priority="281"/>
  </conditionalFormatting>
  <conditionalFormatting sqref="E692">
    <cfRule type="duplicateValues" dxfId="1819" priority="282"/>
  </conditionalFormatting>
  <conditionalFormatting sqref="E692">
    <cfRule type="duplicateValues" dxfId="1818" priority="283"/>
    <cfRule type="duplicateValues" dxfId="1817" priority="284"/>
  </conditionalFormatting>
  <conditionalFormatting sqref="E692">
    <cfRule type="duplicateValues" dxfId="1816" priority="285"/>
  </conditionalFormatting>
  <conditionalFormatting sqref="E692">
    <cfRule type="duplicateValues" dxfId="1815" priority="286"/>
  </conditionalFormatting>
  <conditionalFormatting sqref="E692">
    <cfRule type="duplicateValues" dxfId="1814" priority="278"/>
  </conditionalFormatting>
  <conditionalFormatting sqref="E692">
    <cfRule type="duplicateValues" dxfId="1813" priority="277"/>
  </conditionalFormatting>
  <conditionalFormatting sqref="D695">
    <cfRule type="duplicateValues" dxfId="1812" priority="269"/>
  </conditionalFormatting>
  <conditionalFormatting sqref="E695">
    <cfRule type="duplicateValues" dxfId="1811" priority="270"/>
  </conditionalFormatting>
  <conditionalFormatting sqref="E695">
    <cfRule type="duplicateValues" dxfId="1810" priority="271"/>
  </conditionalFormatting>
  <conditionalFormatting sqref="E695">
    <cfRule type="duplicateValues" dxfId="1809" priority="272"/>
  </conditionalFormatting>
  <conditionalFormatting sqref="E695">
    <cfRule type="duplicateValues" dxfId="1808" priority="273"/>
    <cfRule type="duplicateValues" dxfId="1807" priority="274"/>
  </conditionalFormatting>
  <conditionalFormatting sqref="E695">
    <cfRule type="duplicateValues" dxfId="1806" priority="275"/>
  </conditionalFormatting>
  <conditionalFormatting sqref="E695">
    <cfRule type="duplicateValues" dxfId="1805" priority="276"/>
  </conditionalFormatting>
  <conditionalFormatting sqref="E695">
    <cfRule type="duplicateValues" dxfId="1804" priority="268"/>
  </conditionalFormatting>
  <conditionalFormatting sqref="E695">
    <cfRule type="duplicateValues" dxfId="1803" priority="267"/>
  </conditionalFormatting>
  <conditionalFormatting sqref="E725">
    <cfRule type="duplicateValues" dxfId="1802" priority="260"/>
  </conditionalFormatting>
  <conditionalFormatting sqref="E725">
    <cfRule type="duplicateValues" dxfId="1801" priority="261"/>
  </conditionalFormatting>
  <conditionalFormatting sqref="E725">
    <cfRule type="duplicateValues" dxfId="1800" priority="262"/>
    <cfRule type="duplicateValues" dxfId="1799" priority="263"/>
  </conditionalFormatting>
  <conditionalFormatting sqref="E725">
    <cfRule type="duplicateValues" dxfId="1798" priority="264"/>
  </conditionalFormatting>
  <conditionalFormatting sqref="D725">
    <cfRule type="duplicateValues" dxfId="1797" priority="259"/>
  </conditionalFormatting>
  <conditionalFormatting sqref="E725">
    <cfRule type="duplicateValues" dxfId="1796" priority="265"/>
  </conditionalFormatting>
  <conditionalFormatting sqref="E725">
    <cfRule type="duplicateValues" dxfId="1795" priority="266"/>
  </conditionalFormatting>
  <conditionalFormatting sqref="E725">
    <cfRule type="duplicateValues" dxfId="1794" priority="258"/>
  </conditionalFormatting>
  <conditionalFormatting sqref="E725">
    <cfRule type="duplicateValues" dxfId="1793" priority="257"/>
  </conditionalFormatting>
  <conditionalFormatting sqref="E727">
    <cfRule type="duplicateValues" dxfId="1792" priority="252"/>
  </conditionalFormatting>
  <conditionalFormatting sqref="E727">
    <cfRule type="duplicateValues" dxfId="1791" priority="253"/>
    <cfRule type="duplicateValues" dxfId="1790" priority="254"/>
  </conditionalFormatting>
  <conditionalFormatting sqref="D727">
    <cfRule type="duplicateValues" dxfId="1789" priority="251"/>
  </conditionalFormatting>
  <conditionalFormatting sqref="E727">
    <cfRule type="duplicateValues" dxfId="1788" priority="255"/>
  </conditionalFormatting>
  <conditionalFormatting sqref="E727">
    <cfRule type="duplicateValues" dxfId="1787" priority="256"/>
  </conditionalFormatting>
  <conditionalFormatting sqref="E727">
    <cfRule type="duplicateValues" dxfId="1786" priority="250"/>
  </conditionalFormatting>
  <conditionalFormatting sqref="E727">
    <cfRule type="duplicateValues" dxfId="1785" priority="249"/>
  </conditionalFormatting>
  <conditionalFormatting sqref="E726">
    <cfRule type="duplicateValues" dxfId="1784" priority="242"/>
  </conditionalFormatting>
  <conditionalFormatting sqref="D726">
    <cfRule type="duplicateValues" dxfId="1783" priority="241"/>
  </conditionalFormatting>
  <conditionalFormatting sqref="E726">
    <cfRule type="duplicateValues" dxfId="1782" priority="243"/>
  </conditionalFormatting>
  <conditionalFormatting sqref="E726">
    <cfRule type="duplicateValues" dxfId="1781" priority="244"/>
  </conditionalFormatting>
  <conditionalFormatting sqref="E726">
    <cfRule type="duplicateValues" dxfId="1780" priority="245"/>
    <cfRule type="duplicateValues" dxfId="1779" priority="246"/>
  </conditionalFormatting>
  <conditionalFormatting sqref="E726">
    <cfRule type="duplicateValues" dxfId="1778" priority="247"/>
  </conditionalFormatting>
  <conditionalFormatting sqref="E726">
    <cfRule type="duplicateValues" dxfId="1777" priority="248"/>
  </conditionalFormatting>
  <conditionalFormatting sqref="E726">
    <cfRule type="duplicateValues" dxfId="1776" priority="240"/>
  </conditionalFormatting>
  <conditionalFormatting sqref="E726">
    <cfRule type="duplicateValues" dxfId="1775" priority="239"/>
  </conditionalFormatting>
  <conditionalFormatting sqref="E609">
    <cfRule type="duplicateValues" dxfId="1774" priority="1513"/>
  </conditionalFormatting>
  <conditionalFormatting sqref="E609">
    <cfRule type="duplicateValues" dxfId="1773" priority="1514"/>
    <cfRule type="duplicateValues" dxfId="1772" priority="1515"/>
  </conditionalFormatting>
  <conditionalFormatting sqref="E595">
    <cfRule type="duplicateValues" dxfId="1771" priority="232"/>
  </conditionalFormatting>
  <conditionalFormatting sqref="D595">
    <cfRule type="duplicateValues" dxfId="1770" priority="231"/>
  </conditionalFormatting>
  <conditionalFormatting sqref="E595">
    <cfRule type="duplicateValues" dxfId="1769" priority="233"/>
  </conditionalFormatting>
  <conditionalFormatting sqref="E595">
    <cfRule type="duplicateValues" dxfId="1768" priority="234"/>
  </conditionalFormatting>
  <conditionalFormatting sqref="E595">
    <cfRule type="duplicateValues" dxfId="1767" priority="235"/>
    <cfRule type="duplicateValues" dxfId="1766" priority="236"/>
  </conditionalFormatting>
  <conditionalFormatting sqref="E595">
    <cfRule type="duplicateValues" dxfId="1765" priority="237"/>
  </conditionalFormatting>
  <conditionalFormatting sqref="E595">
    <cfRule type="duplicateValues" dxfId="1764" priority="238"/>
  </conditionalFormatting>
  <conditionalFormatting sqref="E595">
    <cfRule type="duplicateValues" dxfId="1763" priority="230"/>
  </conditionalFormatting>
  <conditionalFormatting sqref="E595">
    <cfRule type="duplicateValues" dxfId="1762" priority="229"/>
  </conditionalFormatting>
  <conditionalFormatting sqref="D594">
    <cfRule type="duplicateValues" dxfId="1761" priority="221"/>
  </conditionalFormatting>
  <conditionalFormatting sqref="E594">
    <cfRule type="duplicateValues" dxfId="1760" priority="222"/>
  </conditionalFormatting>
  <conditionalFormatting sqref="E594">
    <cfRule type="duplicateValues" dxfId="1759" priority="223"/>
  </conditionalFormatting>
  <conditionalFormatting sqref="E594">
    <cfRule type="duplicateValues" dxfId="1758" priority="224"/>
    <cfRule type="duplicateValues" dxfId="1757" priority="225"/>
  </conditionalFormatting>
  <conditionalFormatting sqref="E594">
    <cfRule type="duplicateValues" dxfId="1756" priority="226"/>
  </conditionalFormatting>
  <conditionalFormatting sqref="E594">
    <cfRule type="duplicateValues" dxfId="1755" priority="227"/>
  </conditionalFormatting>
  <conditionalFormatting sqref="E594">
    <cfRule type="duplicateValues" dxfId="1754" priority="220"/>
  </conditionalFormatting>
  <conditionalFormatting sqref="E594">
    <cfRule type="duplicateValues" dxfId="1753" priority="219"/>
  </conditionalFormatting>
  <conditionalFormatting sqref="E594">
    <cfRule type="duplicateValues" dxfId="1752" priority="228"/>
  </conditionalFormatting>
  <conditionalFormatting sqref="E58">
    <cfRule type="duplicateValues" dxfId="1751" priority="207"/>
  </conditionalFormatting>
  <conditionalFormatting sqref="E58">
    <cfRule type="duplicateValues" dxfId="1750" priority="208"/>
  </conditionalFormatting>
  <conditionalFormatting sqref="E59">
    <cfRule type="duplicateValues" dxfId="1749" priority="203"/>
  </conditionalFormatting>
  <conditionalFormatting sqref="E59">
    <cfRule type="duplicateValues" dxfId="1748" priority="202"/>
  </conditionalFormatting>
  <conditionalFormatting sqref="E59">
    <cfRule type="duplicateValues" dxfId="1747" priority="204"/>
    <cfRule type="duplicateValues" dxfId="1746" priority="205"/>
  </conditionalFormatting>
  <conditionalFormatting sqref="E59">
    <cfRule type="duplicateValues" dxfId="1745" priority="206"/>
  </conditionalFormatting>
  <conditionalFormatting sqref="D58:D62">
    <cfRule type="duplicateValues" dxfId="1744" priority="201"/>
  </conditionalFormatting>
  <conditionalFormatting sqref="E58:E62">
    <cfRule type="duplicateValues" dxfId="1743" priority="209"/>
  </conditionalFormatting>
  <conditionalFormatting sqref="E60:E62">
    <cfRule type="duplicateValues" dxfId="1742" priority="210"/>
  </conditionalFormatting>
  <conditionalFormatting sqref="E60:E62">
    <cfRule type="duplicateValues" dxfId="1741" priority="211"/>
    <cfRule type="duplicateValues" dxfId="1740" priority="212"/>
  </conditionalFormatting>
  <conditionalFormatting sqref="E60:E62">
    <cfRule type="duplicateValues" dxfId="1739" priority="213"/>
  </conditionalFormatting>
  <conditionalFormatting sqref="E58:E62">
    <cfRule type="duplicateValues" dxfId="1738" priority="214"/>
  </conditionalFormatting>
  <conditionalFormatting sqref="E58:E62">
    <cfRule type="duplicateValues" dxfId="1737" priority="200"/>
  </conditionalFormatting>
  <conditionalFormatting sqref="E58:E62">
    <cfRule type="duplicateValues" dxfId="1736" priority="199"/>
  </conditionalFormatting>
  <conditionalFormatting sqref="E58">
    <cfRule type="duplicateValues" dxfId="1735" priority="215"/>
  </conditionalFormatting>
  <conditionalFormatting sqref="E58">
    <cfRule type="duplicateValues" dxfId="1734" priority="216"/>
    <cfRule type="duplicateValues" dxfId="1733" priority="217"/>
  </conditionalFormatting>
  <conditionalFormatting sqref="E60:E62">
    <cfRule type="duplicateValues" dxfId="1732" priority="218"/>
  </conditionalFormatting>
  <conditionalFormatting sqref="E586 E504:E515 E579:E580">
    <cfRule type="duplicateValues" dxfId="1731" priority="1516"/>
  </conditionalFormatting>
  <conditionalFormatting sqref="D237:D238">
    <cfRule type="duplicateValues" dxfId="1730" priority="191"/>
  </conditionalFormatting>
  <conditionalFormatting sqref="E237:E238">
    <cfRule type="duplicateValues" dxfId="1729" priority="192"/>
  </conditionalFormatting>
  <conditionalFormatting sqref="E237:E238">
    <cfRule type="duplicateValues" dxfId="1728" priority="193"/>
  </conditionalFormatting>
  <conditionalFormatting sqref="E237:E238">
    <cfRule type="duplicateValues" dxfId="1727" priority="194"/>
  </conditionalFormatting>
  <conditionalFormatting sqref="E237:E238">
    <cfRule type="duplicateValues" dxfId="1726" priority="195"/>
    <cfRule type="duplicateValues" dxfId="1725" priority="196"/>
  </conditionalFormatting>
  <conditionalFormatting sqref="E237:E238">
    <cfRule type="duplicateValues" dxfId="1724" priority="197"/>
  </conditionalFormatting>
  <conditionalFormatting sqref="E237:E238">
    <cfRule type="duplicateValues" dxfId="1723" priority="198"/>
  </conditionalFormatting>
  <conditionalFormatting sqref="E237:E238">
    <cfRule type="duplicateValues" dxfId="1722" priority="190"/>
  </conditionalFormatting>
  <conditionalFormatting sqref="E237:E238">
    <cfRule type="duplicateValues" dxfId="1721" priority="189"/>
  </conditionalFormatting>
  <conditionalFormatting sqref="D236">
    <cfRule type="duplicateValues" dxfId="1720" priority="181"/>
  </conditionalFormatting>
  <conditionalFormatting sqref="E236">
    <cfRule type="duplicateValues" dxfId="1719" priority="182"/>
  </conditionalFormatting>
  <conditionalFormatting sqref="E236">
    <cfRule type="duplicateValues" dxfId="1718" priority="183"/>
  </conditionalFormatting>
  <conditionalFormatting sqref="E236">
    <cfRule type="duplicateValues" dxfId="1717" priority="184"/>
  </conditionalFormatting>
  <conditionalFormatting sqref="E236">
    <cfRule type="duplicateValues" dxfId="1716" priority="185"/>
    <cfRule type="duplicateValues" dxfId="1715" priority="186"/>
  </conditionalFormatting>
  <conditionalFormatting sqref="E236">
    <cfRule type="duplicateValues" dxfId="1714" priority="187"/>
  </conditionalFormatting>
  <conditionalFormatting sqref="E236">
    <cfRule type="duplicateValues" dxfId="1713" priority="188"/>
  </conditionalFormatting>
  <conditionalFormatting sqref="E236">
    <cfRule type="duplicateValues" dxfId="1712" priority="180"/>
  </conditionalFormatting>
  <conditionalFormatting sqref="E236">
    <cfRule type="duplicateValues" dxfId="1711" priority="179"/>
  </conditionalFormatting>
  <conditionalFormatting sqref="E235">
    <cfRule type="duplicateValues" dxfId="1710" priority="172"/>
  </conditionalFormatting>
  <conditionalFormatting sqref="E235">
    <cfRule type="duplicateValues" dxfId="1709" priority="173"/>
  </conditionalFormatting>
  <conditionalFormatting sqref="E235">
    <cfRule type="duplicateValues" dxfId="1708" priority="174"/>
    <cfRule type="duplicateValues" dxfId="1707" priority="175"/>
  </conditionalFormatting>
  <conditionalFormatting sqref="E235">
    <cfRule type="duplicateValues" dxfId="1706" priority="176"/>
  </conditionalFormatting>
  <conditionalFormatting sqref="D235">
    <cfRule type="duplicateValues" dxfId="1705" priority="171"/>
  </conditionalFormatting>
  <conditionalFormatting sqref="E235">
    <cfRule type="duplicateValues" dxfId="1704" priority="177"/>
  </conditionalFormatting>
  <conditionalFormatting sqref="E235">
    <cfRule type="duplicateValues" dxfId="1703" priority="178"/>
  </conditionalFormatting>
  <conditionalFormatting sqref="E235">
    <cfRule type="duplicateValues" dxfId="1702" priority="170"/>
  </conditionalFormatting>
  <conditionalFormatting sqref="E235">
    <cfRule type="duplicateValues" dxfId="1701" priority="169"/>
  </conditionalFormatting>
  <conditionalFormatting sqref="D239">
    <cfRule type="duplicateValues" dxfId="1700" priority="161"/>
  </conditionalFormatting>
  <conditionalFormatting sqref="E239">
    <cfRule type="duplicateValues" dxfId="1699" priority="162"/>
  </conditionalFormatting>
  <conditionalFormatting sqref="E239">
    <cfRule type="duplicateValues" dxfId="1698" priority="163"/>
  </conditionalFormatting>
  <conditionalFormatting sqref="E239">
    <cfRule type="duplicateValues" dxfId="1697" priority="164"/>
  </conditionalFormatting>
  <conditionalFormatting sqref="E239">
    <cfRule type="duplicateValues" dxfId="1696" priority="165"/>
    <cfRule type="duplicateValues" dxfId="1695" priority="166"/>
  </conditionalFormatting>
  <conditionalFormatting sqref="E239">
    <cfRule type="duplicateValues" dxfId="1694" priority="167"/>
  </conditionalFormatting>
  <conditionalFormatting sqref="E239">
    <cfRule type="duplicateValues" dxfId="1693" priority="168"/>
  </conditionalFormatting>
  <conditionalFormatting sqref="E239">
    <cfRule type="duplicateValues" dxfId="1692" priority="160"/>
  </conditionalFormatting>
  <conditionalFormatting sqref="E239">
    <cfRule type="duplicateValues" dxfId="1691" priority="159"/>
  </conditionalFormatting>
  <conditionalFormatting sqref="E283">
    <cfRule type="duplicateValues" dxfId="1690" priority="153"/>
  </conditionalFormatting>
  <conditionalFormatting sqref="E283">
    <cfRule type="duplicateValues" dxfId="1689" priority="152"/>
  </conditionalFormatting>
  <conditionalFormatting sqref="E283">
    <cfRule type="duplicateValues" dxfId="1688" priority="154"/>
    <cfRule type="duplicateValues" dxfId="1687" priority="155"/>
  </conditionalFormatting>
  <conditionalFormatting sqref="E283">
    <cfRule type="duplicateValues" dxfId="1686" priority="156"/>
  </conditionalFormatting>
  <conditionalFormatting sqref="D283">
    <cfRule type="duplicateValues" dxfId="1685" priority="151"/>
  </conditionalFormatting>
  <conditionalFormatting sqref="E283">
    <cfRule type="duplicateValues" dxfId="1684" priority="157"/>
  </conditionalFormatting>
  <conditionalFormatting sqref="E283">
    <cfRule type="duplicateValues" dxfId="1683" priority="158"/>
  </conditionalFormatting>
  <conditionalFormatting sqref="E283">
    <cfRule type="duplicateValues" dxfId="1682" priority="150"/>
  </conditionalFormatting>
  <conditionalFormatting sqref="E283">
    <cfRule type="duplicateValues" dxfId="1681" priority="149"/>
  </conditionalFormatting>
  <conditionalFormatting sqref="E600">
    <cfRule type="duplicateValues" dxfId="1680" priority="142"/>
  </conditionalFormatting>
  <conditionalFormatting sqref="D600">
    <cfRule type="duplicateValues" dxfId="1679" priority="141"/>
  </conditionalFormatting>
  <conditionalFormatting sqref="E600">
    <cfRule type="duplicateValues" dxfId="1678" priority="143"/>
  </conditionalFormatting>
  <conditionalFormatting sqref="E600">
    <cfRule type="duplicateValues" dxfId="1677" priority="144"/>
  </conditionalFormatting>
  <conditionalFormatting sqref="E600">
    <cfRule type="duplicateValues" dxfId="1676" priority="145"/>
    <cfRule type="duplicateValues" dxfId="1675" priority="146"/>
  </conditionalFormatting>
  <conditionalFormatting sqref="E600">
    <cfRule type="duplicateValues" dxfId="1674" priority="147"/>
  </conditionalFormatting>
  <conditionalFormatting sqref="E600">
    <cfRule type="duplicateValues" dxfId="1673" priority="148"/>
  </conditionalFormatting>
  <conditionalFormatting sqref="E600">
    <cfRule type="duplicateValues" dxfId="1672" priority="140"/>
  </conditionalFormatting>
  <conditionalFormatting sqref="E600">
    <cfRule type="duplicateValues" dxfId="1671" priority="139"/>
  </conditionalFormatting>
  <conditionalFormatting sqref="D601">
    <cfRule type="duplicateValues" dxfId="1670" priority="131"/>
  </conditionalFormatting>
  <conditionalFormatting sqref="E601">
    <cfRule type="duplicateValues" dxfId="1669" priority="132"/>
  </conditionalFormatting>
  <conditionalFormatting sqref="E601">
    <cfRule type="duplicateValues" dxfId="1668" priority="133"/>
  </conditionalFormatting>
  <conditionalFormatting sqref="E601">
    <cfRule type="duplicateValues" dxfId="1667" priority="134"/>
  </conditionalFormatting>
  <conditionalFormatting sqref="E601">
    <cfRule type="duplicateValues" dxfId="1666" priority="135"/>
    <cfRule type="duplicateValues" dxfId="1665" priority="136"/>
  </conditionalFormatting>
  <conditionalFormatting sqref="E601">
    <cfRule type="duplicateValues" dxfId="1664" priority="137"/>
  </conditionalFormatting>
  <conditionalFormatting sqref="E601">
    <cfRule type="duplicateValues" dxfId="1663" priority="138"/>
  </conditionalFormatting>
  <conditionalFormatting sqref="E601">
    <cfRule type="duplicateValues" dxfId="1662" priority="130"/>
  </conditionalFormatting>
  <conditionalFormatting sqref="E601">
    <cfRule type="duplicateValues" dxfId="1661" priority="129"/>
  </conditionalFormatting>
  <conditionalFormatting sqref="E602">
    <cfRule type="duplicateValues" dxfId="1660" priority="122"/>
  </conditionalFormatting>
  <conditionalFormatting sqref="D602">
    <cfRule type="duplicateValues" dxfId="1659" priority="121"/>
  </conditionalFormatting>
  <conditionalFormatting sqref="E602">
    <cfRule type="duplicateValues" dxfId="1658" priority="123"/>
  </conditionalFormatting>
  <conditionalFormatting sqref="E602">
    <cfRule type="duplicateValues" dxfId="1657" priority="124"/>
  </conditionalFormatting>
  <conditionalFormatting sqref="E602">
    <cfRule type="duplicateValues" dxfId="1656" priority="125"/>
    <cfRule type="duplicateValues" dxfId="1655" priority="126"/>
  </conditionalFormatting>
  <conditionalFormatting sqref="E602">
    <cfRule type="duplicateValues" dxfId="1654" priority="127"/>
  </conditionalFormatting>
  <conditionalFormatting sqref="E602">
    <cfRule type="duplicateValues" dxfId="1653" priority="128"/>
  </conditionalFormatting>
  <conditionalFormatting sqref="E602">
    <cfRule type="duplicateValues" dxfId="1652" priority="120"/>
  </conditionalFormatting>
  <conditionalFormatting sqref="E602">
    <cfRule type="duplicateValues" dxfId="1651" priority="119"/>
  </conditionalFormatting>
  <conditionalFormatting sqref="E704:E707">
    <cfRule type="duplicateValues" dxfId="1650" priority="1517"/>
  </conditionalFormatting>
  <conditionalFormatting sqref="E737:E740">
    <cfRule type="duplicateValues" dxfId="1649" priority="1518"/>
  </conditionalFormatting>
  <conditionalFormatting sqref="E737:E740">
    <cfRule type="duplicateValues" dxfId="1648" priority="1519"/>
    <cfRule type="duplicateValues" dxfId="1647" priority="1520"/>
  </conditionalFormatting>
  <conditionalFormatting sqref="D604">
    <cfRule type="duplicateValues" dxfId="1646" priority="111"/>
  </conditionalFormatting>
  <conditionalFormatting sqref="E604">
    <cfRule type="duplicateValues" dxfId="1645" priority="112"/>
  </conditionalFormatting>
  <conditionalFormatting sqref="E604">
    <cfRule type="duplicateValues" dxfId="1644" priority="113"/>
  </conditionalFormatting>
  <conditionalFormatting sqref="E604">
    <cfRule type="duplicateValues" dxfId="1643" priority="114"/>
  </conditionalFormatting>
  <conditionalFormatting sqref="E604">
    <cfRule type="duplicateValues" dxfId="1642" priority="115"/>
    <cfRule type="duplicateValues" dxfId="1641" priority="116"/>
  </conditionalFormatting>
  <conditionalFormatting sqref="E604">
    <cfRule type="duplicateValues" dxfId="1640" priority="117"/>
  </conditionalFormatting>
  <conditionalFormatting sqref="E604">
    <cfRule type="duplicateValues" dxfId="1639" priority="118"/>
  </conditionalFormatting>
  <conditionalFormatting sqref="E604">
    <cfRule type="duplicateValues" dxfId="1638" priority="110"/>
  </conditionalFormatting>
  <conditionalFormatting sqref="E604">
    <cfRule type="duplicateValues" dxfId="1637" priority="109"/>
  </conditionalFormatting>
  <conditionalFormatting sqref="E603">
    <cfRule type="duplicateValues" dxfId="1636" priority="103"/>
  </conditionalFormatting>
  <conditionalFormatting sqref="E603">
    <cfRule type="duplicateValues" dxfId="1635" priority="102"/>
  </conditionalFormatting>
  <conditionalFormatting sqref="E603">
    <cfRule type="duplicateValues" dxfId="1634" priority="104"/>
    <cfRule type="duplicateValues" dxfId="1633" priority="105"/>
  </conditionalFormatting>
  <conditionalFormatting sqref="E603">
    <cfRule type="duplicateValues" dxfId="1632" priority="106"/>
  </conditionalFormatting>
  <conditionalFormatting sqref="D603">
    <cfRule type="duplicateValues" dxfId="1631" priority="101"/>
  </conditionalFormatting>
  <conditionalFormatting sqref="E603">
    <cfRule type="duplicateValues" dxfId="1630" priority="107"/>
  </conditionalFormatting>
  <conditionalFormatting sqref="E603">
    <cfRule type="duplicateValues" dxfId="1629" priority="108"/>
  </conditionalFormatting>
  <conditionalFormatting sqref="E603">
    <cfRule type="duplicateValues" dxfId="1628" priority="100"/>
  </conditionalFormatting>
  <conditionalFormatting sqref="E603">
    <cfRule type="duplicateValues" dxfId="1627" priority="99"/>
  </conditionalFormatting>
  <conditionalFormatting sqref="E745">
    <cfRule type="duplicateValues" dxfId="1626" priority="1521"/>
    <cfRule type="duplicateValues" dxfId="1625" priority="1522"/>
  </conditionalFormatting>
  <conditionalFormatting sqref="D745">
    <cfRule type="duplicateValues" dxfId="1624" priority="1523"/>
  </conditionalFormatting>
  <conditionalFormatting sqref="E744 E736">
    <cfRule type="duplicateValues" dxfId="1623" priority="1524"/>
  </conditionalFormatting>
  <conditionalFormatting sqref="E659:E660">
    <cfRule type="duplicateValues" dxfId="1622" priority="1525"/>
  </conditionalFormatting>
  <conditionalFormatting sqref="E659:E660">
    <cfRule type="duplicateValues" dxfId="1621" priority="1526"/>
    <cfRule type="duplicateValues" dxfId="1620" priority="1527"/>
  </conditionalFormatting>
  <conditionalFormatting sqref="E581:E584">
    <cfRule type="duplicateValues" dxfId="1619" priority="1528"/>
  </conditionalFormatting>
  <conditionalFormatting sqref="E581:E584">
    <cfRule type="duplicateValues" dxfId="1618" priority="1529"/>
    <cfRule type="duplicateValues" dxfId="1617" priority="1530"/>
  </conditionalFormatting>
  <conditionalFormatting sqref="D550:D551 D521:D547 D557:D573">
    <cfRule type="duplicateValues" dxfId="1616" priority="1531"/>
  </conditionalFormatting>
  <conditionalFormatting sqref="E550:E551 E521:E547 E557:E573">
    <cfRule type="duplicateValues" dxfId="1615" priority="1532"/>
  </conditionalFormatting>
  <conditionalFormatting sqref="E527:E531">
    <cfRule type="duplicateValues" dxfId="1614" priority="1533"/>
  </conditionalFormatting>
  <conditionalFormatting sqref="E527:E531">
    <cfRule type="duplicateValues" dxfId="1613" priority="1534"/>
    <cfRule type="duplicateValues" dxfId="1612" priority="1535"/>
  </conditionalFormatting>
  <conditionalFormatting sqref="E442">
    <cfRule type="duplicateValues" dxfId="1611" priority="1536"/>
  </conditionalFormatting>
  <conditionalFormatting sqref="E438:E439">
    <cfRule type="duplicateValues" dxfId="1610" priority="1537"/>
  </conditionalFormatting>
  <conditionalFormatting sqref="E437:E439">
    <cfRule type="duplicateValues" dxfId="1609" priority="1538"/>
  </conditionalFormatting>
  <conditionalFormatting sqref="E437:E439">
    <cfRule type="duplicateValues" dxfId="1608" priority="1539"/>
    <cfRule type="duplicateValues" dxfId="1607" priority="1540"/>
  </conditionalFormatting>
  <conditionalFormatting sqref="E416:E426">
    <cfRule type="duplicateValues" dxfId="1606" priority="1541"/>
  </conditionalFormatting>
  <conditionalFormatting sqref="E416:E426">
    <cfRule type="duplicateValues" dxfId="1605" priority="1542"/>
    <cfRule type="duplicateValues" dxfId="1604" priority="1543"/>
  </conditionalFormatting>
  <conditionalFormatting sqref="E399:E408">
    <cfRule type="duplicateValues" dxfId="1603" priority="1544"/>
  </conditionalFormatting>
  <conditionalFormatting sqref="E396">
    <cfRule type="duplicateValues" dxfId="1602" priority="1545"/>
    <cfRule type="duplicateValues" dxfId="1601" priority="1546"/>
  </conditionalFormatting>
  <conditionalFormatting sqref="D379:D411">
    <cfRule type="duplicateValues" dxfId="1600" priority="1547"/>
  </conditionalFormatting>
  <conditionalFormatting sqref="E379:E411">
    <cfRule type="duplicateValues" dxfId="1599" priority="1548"/>
  </conditionalFormatting>
  <conditionalFormatting sqref="D372:D377">
    <cfRule type="duplicateValues" dxfId="1598" priority="1549"/>
  </conditionalFormatting>
  <conditionalFormatting sqref="E372:E377">
    <cfRule type="duplicateValues" dxfId="1597" priority="1550"/>
  </conditionalFormatting>
  <conditionalFormatting sqref="E372:E374">
    <cfRule type="duplicateValues" dxfId="1596" priority="1551"/>
  </conditionalFormatting>
  <conditionalFormatting sqref="E372:E374">
    <cfRule type="duplicateValues" dxfId="1595" priority="1552"/>
    <cfRule type="duplicateValues" dxfId="1594" priority="1553"/>
  </conditionalFormatting>
  <conditionalFormatting sqref="E335">
    <cfRule type="duplicateValues" dxfId="1593" priority="1554"/>
    <cfRule type="duplicateValues" dxfId="1592" priority="1555"/>
  </conditionalFormatting>
  <conditionalFormatting sqref="E151:E155">
    <cfRule type="duplicateValues" dxfId="1591" priority="1556"/>
  </conditionalFormatting>
  <conditionalFormatting sqref="D819:D833 D812:D817">
    <cfRule type="duplicateValues" dxfId="1590" priority="91"/>
  </conditionalFormatting>
  <conditionalFormatting sqref="E819:E833 E812:E817">
    <cfRule type="duplicateValues" dxfId="1589" priority="92"/>
  </conditionalFormatting>
  <conditionalFormatting sqref="E819:E830 E812:E817">
    <cfRule type="duplicateValues" dxfId="1588" priority="93"/>
  </conditionalFormatting>
  <conditionalFormatting sqref="E819:E825 E812:E817">
    <cfRule type="duplicateValues" dxfId="1587" priority="94"/>
  </conditionalFormatting>
  <conditionalFormatting sqref="E828:E830 E819:E826 E812:E817">
    <cfRule type="duplicateValues" dxfId="1586" priority="95"/>
    <cfRule type="duplicateValues" dxfId="1585" priority="96"/>
  </conditionalFormatting>
  <conditionalFormatting sqref="E828:E830 E819:E826 E812:E817">
    <cfRule type="duplicateValues" dxfId="1584" priority="97"/>
  </conditionalFormatting>
  <conditionalFormatting sqref="E819:E833">
    <cfRule type="duplicateValues" dxfId="1583" priority="98"/>
  </conditionalFormatting>
  <conditionalFormatting sqref="E819:E833">
    <cfRule type="duplicateValues" dxfId="1582" priority="90"/>
  </conditionalFormatting>
  <conditionalFormatting sqref="E812:E833">
    <cfRule type="duplicateValues" dxfId="1581" priority="89"/>
  </conditionalFormatting>
  <conditionalFormatting sqref="D818">
    <cfRule type="duplicateValues" dxfId="1580" priority="81"/>
  </conditionalFormatting>
  <conditionalFormatting sqref="E818">
    <cfRule type="duplicateValues" dxfId="1579" priority="82"/>
  </conditionalFormatting>
  <conditionalFormatting sqref="E818">
    <cfRule type="duplicateValues" dxfId="1578" priority="83"/>
  </conditionalFormatting>
  <conditionalFormatting sqref="E818">
    <cfRule type="duplicateValues" dxfId="1577" priority="84"/>
  </conditionalFormatting>
  <conditionalFormatting sqref="E818">
    <cfRule type="duplicateValues" dxfId="1576" priority="85"/>
    <cfRule type="duplicateValues" dxfId="1575" priority="86"/>
  </conditionalFormatting>
  <conditionalFormatting sqref="E818">
    <cfRule type="duplicateValues" dxfId="1574" priority="87"/>
  </conditionalFormatting>
  <conditionalFormatting sqref="E818">
    <cfRule type="duplicateValues" dxfId="1573" priority="88"/>
  </conditionalFormatting>
  <conditionalFormatting sqref="E818">
    <cfRule type="duplicateValues" dxfId="1572" priority="80"/>
  </conditionalFormatting>
  <conditionalFormatting sqref="E826">
    <cfRule type="duplicateValues" dxfId="1571" priority="79"/>
  </conditionalFormatting>
  <conditionalFormatting sqref="E827">
    <cfRule type="duplicateValues" dxfId="1570" priority="77"/>
  </conditionalFormatting>
  <conditionalFormatting sqref="E827">
    <cfRule type="duplicateValues" dxfId="1569" priority="75"/>
    <cfRule type="duplicateValues" dxfId="1568" priority="76"/>
  </conditionalFormatting>
  <conditionalFormatting sqref="E827">
    <cfRule type="duplicateValues" dxfId="1567" priority="78"/>
  </conditionalFormatting>
  <conditionalFormatting sqref="E831:E832">
    <cfRule type="duplicateValues" dxfId="1566" priority="67"/>
  </conditionalFormatting>
  <conditionalFormatting sqref="E831:E832">
    <cfRule type="duplicateValues" dxfId="1565" priority="68"/>
    <cfRule type="duplicateValues" dxfId="1564" priority="69"/>
  </conditionalFormatting>
  <conditionalFormatting sqref="E833">
    <cfRule type="duplicateValues" dxfId="1563" priority="70"/>
  </conditionalFormatting>
  <conditionalFormatting sqref="E833">
    <cfRule type="duplicateValues" dxfId="1562" priority="71"/>
  </conditionalFormatting>
  <conditionalFormatting sqref="E833">
    <cfRule type="duplicateValues" dxfId="1561" priority="72"/>
    <cfRule type="duplicateValues" dxfId="1560" priority="73"/>
  </conditionalFormatting>
  <conditionalFormatting sqref="E828:E830">
    <cfRule type="duplicateValues" dxfId="1559" priority="74"/>
  </conditionalFormatting>
  <conditionalFormatting sqref="E516:E519">
    <cfRule type="duplicateValues" dxfId="1558" priority="43922"/>
  </conditionalFormatting>
  <conditionalFormatting sqref="E516:E520">
    <cfRule type="duplicateValues" dxfId="1557" priority="44011"/>
  </conditionalFormatting>
  <conditionalFormatting sqref="E516:E520">
    <cfRule type="duplicateValues" dxfId="1556" priority="44012"/>
    <cfRule type="duplicateValues" dxfId="1555" priority="44013"/>
  </conditionalFormatting>
  <conditionalFormatting sqref="E834">
    <cfRule type="duplicateValues" dxfId="1554" priority="57"/>
  </conditionalFormatting>
  <conditionalFormatting sqref="E834">
    <cfRule type="duplicateValues" dxfId="1553" priority="56"/>
  </conditionalFormatting>
  <conditionalFormatting sqref="E834">
    <cfRule type="duplicateValues" dxfId="1552" priority="58"/>
    <cfRule type="duplicateValues" dxfId="1551" priority="59"/>
  </conditionalFormatting>
  <conditionalFormatting sqref="D834 D846">
    <cfRule type="duplicateValues" dxfId="1550" priority="55"/>
  </conditionalFormatting>
  <conditionalFormatting sqref="E834 E846">
    <cfRule type="duplicateValues" dxfId="1549" priority="60"/>
  </conditionalFormatting>
  <conditionalFormatting sqref="E846">
    <cfRule type="duplicateValues" dxfId="1548" priority="61"/>
  </conditionalFormatting>
  <conditionalFormatting sqref="E846">
    <cfRule type="duplicateValues" dxfId="1547" priority="62"/>
  </conditionalFormatting>
  <conditionalFormatting sqref="E846">
    <cfRule type="duplicateValues" dxfId="1546" priority="63"/>
    <cfRule type="duplicateValues" dxfId="1545" priority="64"/>
  </conditionalFormatting>
  <conditionalFormatting sqref="E846">
    <cfRule type="duplicateValues" dxfId="1544" priority="65"/>
  </conditionalFormatting>
  <conditionalFormatting sqref="E834">
    <cfRule type="duplicateValues" dxfId="1543" priority="66"/>
  </conditionalFormatting>
  <conditionalFormatting sqref="E835">
    <cfRule type="duplicateValues" dxfId="1542" priority="49"/>
  </conditionalFormatting>
  <conditionalFormatting sqref="E835">
    <cfRule type="duplicateValues" dxfId="1541" priority="48"/>
  </conditionalFormatting>
  <conditionalFormatting sqref="E835">
    <cfRule type="duplicateValues" dxfId="1540" priority="50"/>
    <cfRule type="duplicateValues" dxfId="1539" priority="51"/>
  </conditionalFormatting>
  <conditionalFormatting sqref="E835">
    <cfRule type="duplicateValues" dxfId="1538" priority="52"/>
  </conditionalFormatting>
  <conditionalFormatting sqref="D835">
    <cfRule type="duplicateValues" dxfId="1537" priority="47"/>
  </conditionalFormatting>
  <conditionalFormatting sqref="E835">
    <cfRule type="duplicateValues" dxfId="1536" priority="53"/>
  </conditionalFormatting>
  <conditionalFormatting sqref="E835">
    <cfRule type="duplicateValues" dxfId="1535" priority="54"/>
  </conditionalFormatting>
  <conditionalFormatting sqref="E834:E835 E842:E846">
    <cfRule type="duplicateValues" dxfId="1534" priority="46"/>
  </conditionalFormatting>
  <conditionalFormatting sqref="D837">
    <cfRule type="duplicateValues" dxfId="1533" priority="40"/>
  </conditionalFormatting>
  <conditionalFormatting sqref="E837">
    <cfRule type="duplicateValues" dxfId="1532" priority="41"/>
  </conditionalFormatting>
  <conditionalFormatting sqref="E837">
    <cfRule type="duplicateValues" dxfId="1531" priority="42"/>
  </conditionalFormatting>
  <conditionalFormatting sqref="E837">
    <cfRule type="duplicateValues" dxfId="1530" priority="43"/>
  </conditionalFormatting>
  <conditionalFormatting sqref="E837">
    <cfRule type="duplicateValues" dxfId="1529" priority="44"/>
    <cfRule type="duplicateValues" dxfId="1528" priority="45"/>
  </conditionalFormatting>
  <conditionalFormatting sqref="E837">
    <cfRule type="duplicateValues" dxfId="1527" priority="39"/>
  </conditionalFormatting>
  <conditionalFormatting sqref="E836">
    <cfRule type="duplicateValues" dxfId="1526" priority="32"/>
  </conditionalFormatting>
  <conditionalFormatting sqref="E836">
    <cfRule type="duplicateValues" dxfId="1525" priority="31"/>
  </conditionalFormatting>
  <conditionalFormatting sqref="E836">
    <cfRule type="duplicateValues" dxfId="1524" priority="33"/>
    <cfRule type="duplicateValues" dxfId="1523" priority="34"/>
  </conditionalFormatting>
  <conditionalFormatting sqref="E836">
    <cfRule type="duplicateValues" dxfId="1522" priority="35"/>
  </conditionalFormatting>
  <conditionalFormatting sqref="E836">
    <cfRule type="duplicateValues" dxfId="1521" priority="36"/>
  </conditionalFormatting>
  <conditionalFormatting sqref="D836">
    <cfRule type="duplicateValues" dxfId="1520" priority="37"/>
  </conditionalFormatting>
  <conditionalFormatting sqref="E836">
    <cfRule type="duplicateValues" dxfId="1519" priority="38"/>
  </conditionalFormatting>
  <conditionalFormatting sqref="E836">
    <cfRule type="duplicateValues" dxfId="1518" priority="30"/>
  </conditionalFormatting>
  <conditionalFormatting sqref="E834:E837 E842:E846">
    <cfRule type="duplicateValues" dxfId="1517" priority="29"/>
  </conditionalFormatting>
  <conditionalFormatting sqref="D839:D840">
    <cfRule type="duplicateValues" dxfId="1516" priority="21"/>
  </conditionalFormatting>
  <conditionalFormatting sqref="E839:E840">
    <cfRule type="duplicateValues" dxfId="1515" priority="22"/>
  </conditionalFormatting>
  <conditionalFormatting sqref="E839:E840">
    <cfRule type="duplicateValues" dxfId="1514" priority="23"/>
  </conditionalFormatting>
  <conditionalFormatting sqref="E839:E840">
    <cfRule type="duplicateValues" dxfId="1513" priority="24"/>
  </conditionalFormatting>
  <conditionalFormatting sqref="E839:E840">
    <cfRule type="duplicateValues" dxfId="1512" priority="25"/>
    <cfRule type="duplicateValues" dxfId="1511" priority="26"/>
  </conditionalFormatting>
  <conditionalFormatting sqref="E839:E840">
    <cfRule type="duplicateValues" dxfId="1510" priority="27"/>
  </conditionalFormatting>
  <conditionalFormatting sqref="E839:E840">
    <cfRule type="duplicateValues" dxfId="1509" priority="28"/>
  </conditionalFormatting>
  <conditionalFormatting sqref="E839:E840">
    <cfRule type="duplicateValues" dxfId="1508" priority="20"/>
  </conditionalFormatting>
  <conditionalFormatting sqref="E839:E840">
    <cfRule type="duplicateValues" dxfId="1507" priority="19"/>
  </conditionalFormatting>
  <conditionalFormatting sqref="E838">
    <cfRule type="duplicateValues" dxfId="1506" priority="13"/>
  </conditionalFormatting>
  <conditionalFormatting sqref="D838">
    <cfRule type="duplicateValues" dxfId="1505" priority="12"/>
  </conditionalFormatting>
  <conditionalFormatting sqref="E838">
    <cfRule type="duplicateValues" dxfId="1504" priority="14"/>
  </conditionalFormatting>
  <conditionalFormatting sqref="E838">
    <cfRule type="duplicateValues" dxfId="1503" priority="15"/>
  </conditionalFormatting>
  <conditionalFormatting sqref="E838">
    <cfRule type="duplicateValues" dxfId="1502" priority="16"/>
    <cfRule type="duplicateValues" dxfId="1501" priority="17"/>
  </conditionalFormatting>
  <conditionalFormatting sqref="E838">
    <cfRule type="duplicateValues" dxfId="1500" priority="18"/>
  </conditionalFormatting>
  <conditionalFormatting sqref="E838">
    <cfRule type="duplicateValues" dxfId="1499" priority="11"/>
  </conditionalFormatting>
  <conditionalFormatting sqref="E838">
    <cfRule type="duplicateValues" dxfId="1498" priority="10"/>
  </conditionalFormatting>
  <conditionalFormatting sqref="E841">
    <cfRule type="duplicateValues" dxfId="1497" priority="3"/>
  </conditionalFormatting>
  <conditionalFormatting sqref="E841">
    <cfRule type="duplicateValues" dxfId="1496" priority="4"/>
  </conditionalFormatting>
  <conditionalFormatting sqref="E841">
    <cfRule type="duplicateValues" dxfId="1495" priority="5"/>
    <cfRule type="duplicateValues" dxfId="1494" priority="6"/>
  </conditionalFormatting>
  <conditionalFormatting sqref="E841">
    <cfRule type="duplicateValues" dxfId="1493" priority="7"/>
  </conditionalFormatting>
  <conditionalFormatting sqref="D841">
    <cfRule type="duplicateValues" dxfId="1492" priority="8"/>
  </conditionalFormatting>
  <conditionalFormatting sqref="E841">
    <cfRule type="duplicateValues" dxfId="1491" priority="9"/>
  </conditionalFormatting>
  <conditionalFormatting sqref="E841">
    <cfRule type="duplicateValues" dxfId="1490" priority="2"/>
  </conditionalFormatting>
  <conditionalFormatting sqref="E841">
    <cfRule type="duplicateValues" dxfId="1489" priority="1"/>
  </conditionalFormatting>
  <conditionalFormatting sqref="E746 E736 E744">
    <cfRule type="duplicateValues" dxfId="1488" priority="44014"/>
  </conditionalFormatting>
  <conditionalFormatting sqref="E746 E736 E744">
    <cfRule type="duplicateValues" dxfId="1487" priority="44017"/>
    <cfRule type="duplicateValues" dxfId="1486" priority="44018"/>
  </conditionalFormatting>
  <dataValidations count="1">
    <dataValidation type="list" allowBlank="1" showInputMessage="1" showErrorMessage="1" sqref="C792 C794:C796 C799 C801:C803 C808 C810:C811">
      <formula1>"主管,副主管,主任,副主任,工艺组长,工程师,助工"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M32" sqref="M32"/>
    </sheetView>
  </sheetViews>
  <sheetFormatPr defaultRowHeight="13.5"/>
  <cols>
    <col min="1" max="1" width="51.25" customWidth="1"/>
  </cols>
  <sheetData>
    <row r="1" spans="1:2">
      <c r="A1" s="99" t="s">
        <v>1271</v>
      </c>
      <c r="B1" s="292" t="s">
        <v>1281</v>
      </c>
    </row>
    <row r="2" spans="1:2">
      <c r="A2" s="184" t="s">
        <v>1272</v>
      </c>
      <c r="B2" s="293"/>
    </row>
    <row r="3" spans="1:2">
      <c r="A3" s="185" t="s">
        <v>1563</v>
      </c>
      <c r="B3" s="213"/>
    </row>
    <row r="4" spans="1:2">
      <c r="A4" s="184" t="s">
        <v>1273</v>
      </c>
      <c r="B4" s="292" t="s">
        <v>1282</v>
      </c>
    </row>
    <row r="5" spans="1:2">
      <c r="A5" s="186" t="s">
        <v>1279</v>
      </c>
      <c r="B5" s="293"/>
    </row>
    <row r="6" spans="1:2">
      <c r="A6" s="184" t="s">
        <v>1274</v>
      </c>
      <c r="B6" s="80" t="s">
        <v>1283</v>
      </c>
    </row>
    <row r="7" spans="1:2">
      <c r="A7" s="99" t="s">
        <v>1275</v>
      </c>
      <c r="B7" s="80" t="s">
        <v>2103</v>
      </c>
    </row>
    <row r="8" spans="1:2">
      <c r="A8" s="184" t="s">
        <v>1276</v>
      </c>
      <c r="B8" s="80" t="s">
        <v>1284</v>
      </c>
    </row>
    <row r="9" spans="1:2">
      <c r="A9" s="184" t="s">
        <v>1277</v>
      </c>
      <c r="B9" s="80" t="s">
        <v>1287</v>
      </c>
    </row>
    <row r="10" spans="1:2">
      <c r="A10" s="186" t="s">
        <v>1422</v>
      </c>
      <c r="B10" s="79"/>
    </row>
    <row r="11" spans="1:2">
      <c r="A11" s="184" t="s">
        <v>1278</v>
      </c>
      <c r="B11" s="79"/>
    </row>
    <row r="12" spans="1:2">
      <c r="A12" s="81" t="s">
        <v>1285</v>
      </c>
      <c r="B12" s="80" t="s">
        <v>1286</v>
      </c>
    </row>
    <row r="13" spans="1:2">
      <c r="A13" s="214" t="s">
        <v>1093</v>
      </c>
      <c r="B13" s="84" t="s">
        <v>1281</v>
      </c>
    </row>
    <row r="14" spans="1:2">
      <c r="A14" s="214" t="s">
        <v>1094</v>
      </c>
      <c r="B14" s="84" t="s">
        <v>1288</v>
      </c>
    </row>
    <row r="15" spans="1:2">
      <c r="A15" s="215" t="s">
        <v>1564</v>
      </c>
      <c r="B15" s="84" t="s">
        <v>1565</v>
      </c>
    </row>
  </sheetData>
  <mergeCells count="2">
    <mergeCell ref="B1:B2"/>
    <mergeCell ref="B4:B5"/>
  </mergeCells>
  <phoneticPr fontId="49" type="noConversion"/>
  <pageMargins left="0.7" right="0.7" top="0.75" bottom="0.75" header="0.3" footer="0.3"/>
  <pageSetup paperSize="9" orientation="portrait" verticalDpi="0" r:id="rId1"/>
  <customProperties>
    <customPr name="BudgetSheetCodeNam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W849"/>
  <sheetViews>
    <sheetView topLeftCell="A656" zoomScale="80" zoomScaleNormal="80" workbookViewId="0">
      <selection activeCell="A828" sqref="A828"/>
    </sheetView>
  </sheetViews>
  <sheetFormatPr defaultColWidth="9" defaultRowHeight="21" customHeight="1" outlineLevelCol="1"/>
  <cols>
    <col min="1" max="2" width="24.75" style="41" customWidth="1"/>
    <col min="3" max="3" width="10.875" style="62" customWidth="1"/>
    <col min="4" max="4" width="10.25" style="63" customWidth="1"/>
    <col min="5" max="5" width="10.625" style="63" customWidth="1"/>
    <col min="6" max="6" width="10.5" style="63" customWidth="1"/>
    <col min="7" max="7" width="9.75" style="97" customWidth="1"/>
    <col min="8" max="8" width="8.375" style="96" hidden="1" customWidth="1" outlineLevel="1"/>
    <col min="9" max="11" width="6.75" style="96" hidden="1" customWidth="1" outlineLevel="1"/>
    <col min="12" max="12" width="9.75" style="97" customWidth="1" collapsed="1"/>
    <col min="13" max="42" width="4.75" style="53" customWidth="1"/>
    <col min="43" max="43" width="4.75" style="53" hidden="1" customWidth="1"/>
    <col min="44" max="44" width="20.125" style="53" customWidth="1"/>
    <col min="45" max="45" width="14.875" style="51" customWidth="1"/>
    <col min="46" max="47" width="12.625" style="51" customWidth="1"/>
    <col min="48" max="48" width="30.625" style="76" customWidth="1" outlineLevel="1"/>
    <col min="49" max="49" width="33.875" style="41" customWidth="1" outlineLevel="1"/>
    <col min="50" max="16384" width="9" style="41"/>
  </cols>
  <sheetData>
    <row r="1" spans="1:49" ht="21" customHeight="1">
      <c r="G1" s="222">
        <f>SUM(G4:G1467)</f>
        <v>0</v>
      </c>
    </row>
    <row r="2" spans="1:49" ht="21" customHeight="1">
      <c r="A2" s="233" t="s">
        <v>1018</v>
      </c>
      <c r="B2" s="228"/>
      <c r="C2" s="291" t="s">
        <v>670</v>
      </c>
      <c r="D2" s="290" t="s">
        <v>1019</v>
      </c>
      <c r="E2" s="287" t="s">
        <v>3</v>
      </c>
      <c r="F2" s="290" t="s">
        <v>1020</v>
      </c>
      <c r="G2" s="287" t="s">
        <v>1021</v>
      </c>
      <c r="H2" s="286" t="s">
        <v>1022</v>
      </c>
      <c r="I2" s="286" t="s">
        <v>4</v>
      </c>
      <c r="J2" s="286" t="s">
        <v>1023</v>
      </c>
      <c r="K2" s="286" t="s">
        <v>1024</v>
      </c>
      <c r="L2" s="287" t="s">
        <v>1025</v>
      </c>
      <c r="M2" s="282" t="s">
        <v>2107</v>
      </c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23"/>
      <c r="AS2" s="283" t="s">
        <v>359</v>
      </c>
      <c r="AT2" s="284"/>
      <c r="AU2" s="284"/>
    </row>
    <row r="3" spans="1:49" ht="24.75" customHeight="1">
      <c r="A3" s="233"/>
      <c r="B3" s="228"/>
      <c r="C3" s="291"/>
      <c r="D3" s="290"/>
      <c r="E3" s="287"/>
      <c r="F3" s="290"/>
      <c r="G3" s="287"/>
      <c r="H3" s="286"/>
      <c r="I3" s="286"/>
      <c r="J3" s="286"/>
      <c r="K3" s="286"/>
      <c r="L3" s="287"/>
      <c r="M3" s="42">
        <v>46266</v>
      </c>
      <c r="N3" s="42">
        <v>46267</v>
      </c>
      <c r="O3" s="42">
        <v>46268</v>
      </c>
      <c r="P3" s="42">
        <v>46269</v>
      </c>
      <c r="Q3" s="42">
        <v>46270</v>
      </c>
      <c r="R3" s="42">
        <v>46271</v>
      </c>
      <c r="S3" s="42">
        <v>46272</v>
      </c>
      <c r="T3" s="42">
        <v>46273</v>
      </c>
      <c r="U3" s="42">
        <v>46274</v>
      </c>
      <c r="V3" s="42">
        <v>46275</v>
      </c>
      <c r="W3" s="42">
        <v>46276</v>
      </c>
      <c r="X3" s="42">
        <v>46277</v>
      </c>
      <c r="Y3" s="42">
        <v>46278</v>
      </c>
      <c r="Z3" s="42">
        <v>46279</v>
      </c>
      <c r="AA3" s="42">
        <v>46280</v>
      </c>
      <c r="AB3" s="42">
        <v>46281</v>
      </c>
      <c r="AC3" s="42">
        <v>46282</v>
      </c>
      <c r="AD3" s="42">
        <v>46283</v>
      </c>
      <c r="AE3" s="42">
        <v>46284</v>
      </c>
      <c r="AF3" s="42">
        <v>46285</v>
      </c>
      <c r="AG3" s="42">
        <v>46286</v>
      </c>
      <c r="AH3" s="42">
        <v>46287</v>
      </c>
      <c r="AI3" s="42">
        <v>46288</v>
      </c>
      <c r="AJ3" s="42">
        <v>46289</v>
      </c>
      <c r="AK3" s="42">
        <v>46290</v>
      </c>
      <c r="AL3" s="42">
        <v>46291</v>
      </c>
      <c r="AM3" s="42">
        <v>46292</v>
      </c>
      <c r="AN3" s="42">
        <v>46293</v>
      </c>
      <c r="AO3" s="42">
        <v>46294</v>
      </c>
      <c r="AP3" s="42">
        <v>46295</v>
      </c>
      <c r="AQ3" s="42">
        <v>46296</v>
      </c>
      <c r="AR3" s="42" t="s">
        <v>1380</v>
      </c>
      <c r="AS3" s="225" t="s">
        <v>1026</v>
      </c>
      <c r="AT3" s="226" t="s">
        <v>1027</v>
      </c>
      <c r="AU3" s="226" t="s">
        <v>1028</v>
      </c>
      <c r="AV3" s="76" t="s">
        <v>1270</v>
      </c>
      <c r="AW3" s="76" t="s">
        <v>1269</v>
      </c>
    </row>
    <row r="4" spans="1:49" ht="21" customHeight="1">
      <c r="A4" s="234" t="s">
        <v>1029</v>
      </c>
      <c r="B4" s="229" t="s">
        <v>2108</v>
      </c>
      <c r="C4" s="45" t="s">
        <v>13</v>
      </c>
      <c r="D4" s="46" t="s">
        <v>465</v>
      </c>
      <c r="E4" s="47" t="s">
        <v>438</v>
      </c>
      <c r="F4" s="48">
        <v>45840</v>
      </c>
      <c r="G4" s="49">
        <f t="shared" ref="G4:G67" si="0">(L4+H4+I4+J4-K4)</f>
        <v>0</v>
      </c>
      <c r="H4" s="77">
        <f>SUMIF(积分汇总!$B:$B,D187,积分汇总!$E:$E)</f>
        <v>0</v>
      </c>
      <c r="I4" s="77">
        <f>SUMIF(记录巡查问题条数汇总!$B:$B,D187,记录巡查问题条数汇总!$E:$E)</f>
        <v>0</v>
      </c>
      <c r="J4" s="77"/>
      <c r="K4" s="77">
        <f>SUMIF(安全质量事故!$B:$B,D187,安全质量事故!$G:$G)</f>
        <v>0</v>
      </c>
      <c r="L4" s="72">
        <f>COUNTIF(M4:AQ4,标准数据!$A$2)*标准数据!$B$2+COUNTIF(M4:AQ4,标准数据!$A$3)*标准数据!$B$3+COUNTIF(M4:AQ4,标准数据!$A$4)*标准数据!$B$4</f>
        <v>0</v>
      </c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188"/>
      <c r="AR4" s="90" t="e">
        <f>VLOOKUP(E4,'[2]离职人员&amp;调出人员'!$C:$C,1,0)</f>
        <v>#N/A</v>
      </c>
      <c r="AS4" s="64">
        <f>COUNTIF($M$4:$AQ$92,"a")</f>
        <v>0</v>
      </c>
      <c r="AT4" s="64">
        <f>COUNTIF($M$4:$AQ$92,"b")</f>
        <v>0</v>
      </c>
      <c r="AU4" s="64">
        <f>COUNTIF($M$4:$AQ$92,"c")</f>
        <v>0</v>
      </c>
      <c r="AV4" s="76" t="str">
        <f>VLOOKUP(E4,[1]生产部!$C:$I,7,0)</f>
        <v>班组</v>
      </c>
      <c r="AW4" s="41" t="str">
        <f>VLOOKUP(E4,[1]生产部!$C:$I,6,0)</f>
        <v>4号楼1&amp;2车间</v>
      </c>
    </row>
    <row r="5" spans="1:49" ht="21" customHeight="1">
      <c r="A5" s="234" t="s">
        <v>293</v>
      </c>
      <c r="B5" s="229" t="s">
        <v>2108</v>
      </c>
      <c r="C5" s="45" t="s">
        <v>13</v>
      </c>
      <c r="D5" s="46" t="s">
        <v>744</v>
      </c>
      <c r="E5" s="47" t="s">
        <v>677</v>
      </c>
      <c r="F5" s="48">
        <v>45980</v>
      </c>
      <c r="G5" s="49">
        <f t="shared" si="0"/>
        <v>0</v>
      </c>
      <c r="H5" s="77">
        <f>SUMIF(积分汇总!$B:$B,D4,积分汇总!$E:$E)</f>
        <v>0</v>
      </c>
      <c r="I5" s="77">
        <f>SUMIF(记录巡查问题条数汇总!$B:$B,D4,记录巡查问题条数汇总!$E:$E)</f>
        <v>0</v>
      </c>
      <c r="J5" s="77"/>
      <c r="K5" s="77">
        <f>SUMIF(安全质量事故!$B:$B,D4,安全质量事故!$G:$G)</f>
        <v>0</v>
      </c>
      <c r="L5" s="72">
        <f>COUNTIF(M5:AQ5,标准数据!$A$2)*标准数据!$B$2+COUNTIF(M5:AQ5,标准数据!$A$3)*标准数据!$B$3+COUNTIF(M5:AQ5,标准数据!$A$4)*标准数据!$B$4</f>
        <v>0</v>
      </c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188"/>
      <c r="AR5" s="90"/>
      <c r="AS5" s="50" t="e">
        <f>AS4/($AS$4+$AT$4+$AU$4)</f>
        <v>#DIV/0!</v>
      </c>
      <c r="AT5" s="50" t="e">
        <f>AT4/($AS$4+$AT$4+$AU$4)</f>
        <v>#DIV/0!</v>
      </c>
      <c r="AU5" s="50" t="e">
        <f>AU4/($AS$4+$AT$4+$AU$4)</f>
        <v>#DIV/0!</v>
      </c>
      <c r="AV5" s="76" t="str">
        <f>VLOOKUP(E5,[1]生产部!$C:$I,7,0)</f>
        <v>项目组</v>
      </c>
      <c r="AW5" s="41" t="str">
        <f>VLOOKUP(E5,[1]生产部!$C:$I,6,0)</f>
        <v>4号楼1&amp;2车间</v>
      </c>
    </row>
    <row r="6" spans="1:49" ht="21" customHeight="1">
      <c r="A6" s="234" t="s">
        <v>293</v>
      </c>
      <c r="B6" s="229" t="s">
        <v>2108</v>
      </c>
      <c r="C6" s="45" t="s">
        <v>13</v>
      </c>
      <c r="D6" s="46" t="s">
        <v>972</v>
      </c>
      <c r="E6" s="47" t="s">
        <v>948</v>
      </c>
      <c r="F6" s="48">
        <v>46050</v>
      </c>
      <c r="G6" s="49">
        <f t="shared" si="0"/>
        <v>0</v>
      </c>
      <c r="H6" s="77">
        <f>SUMIF(积分汇总!$B:$B,D5,积分汇总!$E:$E)</f>
        <v>0</v>
      </c>
      <c r="I6" s="77">
        <f>SUMIF(记录巡查问题条数汇总!$B:$B,D5,记录巡查问题条数汇总!$E:$E)</f>
        <v>0</v>
      </c>
      <c r="J6" s="77"/>
      <c r="K6" s="77">
        <f>SUMIF(安全质量事故!$B:$B,D5,安全质量事故!$G:$G)</f>
        <v>0</v>
      </c>
      <c r="L6" s="72">
        <f>COUNTIF(M6:AQ6,标准数据!$A$2)*标准数据!$B$2+COUNTIF(M6:AQ6,标准数据!$A$3)*标准数据!$B$3+COUNTIF(M6:AQ6,标准数据!$A$4)*标准数据!$B$4</f>
        <v>0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188"/>
      <c r="AR6" s="90"/>
      <c r="AV6" s="76" t="str">
        <f>VLOOKUP(E6,[1]生产部!$C:$I,7,0)</f>
        <v>常白</v>
      </c>
      <c r="AW6" s="41" t="str">
        <f>VLOOKUP(E6,[1]生产部!$C:$I,6,0)</f>
        <v>4号楼1&amp;2车间</v>
      </c>
    </row>
    <row r="7" spans="1:49" ht="21" customHeight="1">
      <c r="A7" s="234" t="s">
        <v>293</v>
      </c>
      <c r="B7" s="229" t="s">
        <v>2108</v>
      </c>
      <c r="C7" s="45" t="s">
        <v>13</v>
      </c>
      <c r="D7" s="46" t="s">
        <v>1401</v>
      </c>
      <c r="E7" s="47" t="s">
        <v>1402</v>
      </c>
      <c r="F7" s="48">
        <v>46153</v>
      </c>
      <c r="G7" s="49">
        <f t="shared" si="0"/>
        <v>0</v>
      </c>
      <c r="H7" s="77">
        <f>SUMIF(积分汇总!$B:$B,D6,积分汇总!$E:$E)</f>
        <v>0</v>
      </c>
      <c r="I7" s="77">
        <f>SUMIF(记录巡查问题条数汇总!$B:$B,D6,记录巡查问题条数汇总!$E:$E)</f>
        <v>0</v>
      </c>
      <c r="J7" s="77"/>
      <c r="K7" s="77">
        <f>SUMIF(安全质量事故!$B:$B,D6,安全质量事故!$G:$G)</f>
        <v>0</v>
      </c>
      <c r="L7" s="72">
        <f>COUNTIF(M7:AQ7,标准数据!$A$2)*标准数据!$B$2+COUNTIF(M7:AQ7,标准数据!$A$3)*标准数据!$B$3+COUNTIF(M7:AQ7,标准数据!$A$4)*标准数据!$B$4</f>
        <v>0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188"/>
      <c r="AR7" s="90"/>
      <c r="AV7" s="76" t="str">
        <f>VLOOKUP(E7,[1]生产部!$C:$I,7,0)</f>
        <v>项目组</v>
      </c>
      <c r="AW7" s="41" t="str">
        <f>VLOOKUP(E7,[1]生产部!$C:$I,6,0)</f>
        <v>4号楼1&amp;2车间</v>
      </c>
    </row>
    <row r="8" spans="1:49" ht="21" customHeight="1">
      <c r="A8" s="234" t="s">
        <v>293</v>
      </c>
      <c r="B8" s="229" t="s">
        <v>2108</v>
      </c>
      <c r="C8" s="45" t="s">
        <v>13</v>
      </c>
      <c r="D8" s="46" t="s">
        <v>178</v>
      </c>
      <c r="E8" s="47" t="s">
        <v>99</v>
      </c>
      <c r="F8" s="48">
        <v>45019</v>
      </c>
      <c r="G8" s="49">
        <f t="shared" si="0"/>
        <v>0</v>
      </c>
      <c r="H8" s="77">
        <f>SUMIF(积分汇总!$B:$B,D7,积分汇总!$E:$E)</f>
        <v>0</v>
      </c>
      <c r="I8" s="77">
        <f>SUMIF(记录巡查问题条数汇总!$B:$B,D7,记录巡查问题条数汇总!$E:$E)</f>
        <v>0</v>
      </c>
      <c r="J8" s="77"/>
      <c r="K8" s="77">
        <f>SUMIF(安全质量事故!$B:$B,D7,安全质量事故!$G:$G)</f>
        <v>0</v>
      </c>
      <c r="L8" s="72">
        <f>COUNTIF(M8:AQ8,标准数据!$A$2)*标准数据!$B$2+COUNTIF(M8:AQ8,标准数据!$A$3)*标准数据!$B$3+COUNTIF(M8:AQ8,标准数据!$A$4)*标准数据!$B$4</f>
        <v>0</v>
      </c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188"/>
      <c r="AR8" s="90"/>
      <c r="AV8" s="76" t="str">
        <f>VLOOKUP(E8,[1]生产部!$C:$I,7,0)</f>
        <v>项目组</v>
      </c>
      <c r="AW8" s="41" t="str">
        <f>VLOOKUP(E8,[1]生产部!$C:$I,6,0)</f>
        <v>4号楼1&amp;2车间</v>
      </c>
    </row>
    <row r="9" spans="1:49" ht="21" customHeight="1">
      <c r="A9" s="234" t="s">
        <v>293</v>
      </c>
      <c r="B9" s="229" t="s">
        <v>2108</v>
      </c>
      <c r="C9" s="45" t="s">
        <v>13</v>
      </c>
      <c r="D9" s="46" t="s">
        <v>1602</v>
      </c>
      <c r="E9" s="47" t="s">
        <v>1579</v>
      </c>
      <c r="F9" s="48">
        <v>46208</v>
      </c>
      <c r="G9" s="49">
        <f t="shared" si="0"/>
        <v>0</v>
      </c>
      <c r="H9" s="77">
        <f>SUMIF(积分汇总!$B:$B,D8,积分汇总!$E:$E)</f>
        <v>0</v>
      </c>
      <c r="I9" s="77">
        <f>SUMIF(记录巡查问题条数汇总!$B:$B,D8,记录巡查问题条数汇总!$E:$E)</f>
        <v>0</v>
      </c>
      <c r="J9" s="77"/>
      <c r="K9" s="77">
        <f>SUMIF(安全质量事故!$B:$B,D8,安全质量事故!$G:$G)</f>
        <v>0</v>
      </c>
      <c r="L9" s="72">
        <f>COUNTIF(M9:AQ9,标准数据!$A$2)*标准数据!$B$2+COUNTIF(M9:AQ9,标准数据!$A$3)*标准数据!$B$3+COUNTIF(M9:AQ9,标准数据!$A$4)*标准数据!$B$4</f>
        <v>0</v>
      </c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188"/>
      <c r="AR9" s="90"/>
      <c r="AS9" s="41"/>
      <c r="AT9" s="41"/>
      <c r="AU9" s="41"/>
      <c r="AV9" s="76" t="str">
        <f>VLOOKUP(E9,[1]生产部!$C:$I,7,0)</f>
        <v>常白</v>
      </c>
      <c r="AW9" s="41" t="str">
        <f>VLOOKUP(E9,[1]生产部!$C:$I,6,0)</f>
        <v>4号楼1&amp;2车间</v>
      </c>
    </row>
    <row r="10" spans="1:49" ht="21" customHeight="1">
      <c r="A10" s="234" t="s">
        <v>293</v>
      </c>
      <c r="B10" s="229" t="s">
        <v>2108</v>
      </c>
      <c r="C10" s="45" t="s">
        <v>13</v>
      </c>
      <c r="D10" s="46" t="s">
        <v>1596</v>
      </c>
      <c r="E10" s="47" t="s">
        <v>1597</v>
      </c>
      <c r="F10" s="48">
        <v>46215</v>
      </c>
      <c r="G10" s="49">
        <f t="shared" si="0"/>
        <v>0</v>
      </c>
      <c r="H10" s="77">
        <f>SUMIF(积分汇总!$B:$B,D9,积分汇总!$E:$E)</f>
        <v>0</v>
      </c>
      <c r="I10" s="77">
        <f>SUMIF(记录巡查问题条数汇总!$B:$B,D9,记录巡查问题条数汇总!$E:$E)</f>
        <v>0</v>
      </c>
      <c r="J10" s="77"/>
      <c r="K10" s="77">
        <f>SUMIF(安全质量事故!$B:$B,D9,安全质量事故!$G:$G)</f>
        <v>0</v>
      </c>
      <c r="L10" s="72">
        <f>COUNTIF(M10:AQ10,标准数据!$A$2)*标准数据!$B$2+COUNTIF(M10:AQ10,标准数据!$A$3)*标准数据!$B$3+COUNTIF(M10:AQ10,标准数据!$A$4)*标准数据!$B$4</f>
        <v>0</v>
      </c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188"/>
      <c r="AR10" s="90"/>
      <c r="AS10" s="41"/>
      <c r="AT10" s="41"/>
      <c r="AU10" s="41"/>
      <c r="AV10" s="76" t="str">
        <f>VLOOKUP(E10,[1]生产部!$C:$I,7,0)</f>
        <v>常白</v>
      </c>
      <c r="AW10" s="41" t="str">
        <f>VLOOKUP(E10,[1]生产部!$C:$I,6,0)</f>
        <v>4号楼1&amp;2车间</v>
      </c>
    </row>
    <row r="11" spans="1:49" ht="21" customHeight="1">
      <c r="A11" s="234" t="s">
        <v>293</v>
      </c>
      <c r="B11" s="229" t="s">
        <v>2108</v>
      </c>
      <c r="C11" s="45" t="s">
        <v>13</v>
      </c>
      <c r="D11" s="46" t="s">
        <v>1598</v>
      </c>
      <c r="E11" s="47" t="s">
        <v>1599</v>
      </c>
      <c r="F11" s="48">
        <v>46215</v>
      </c>
      <c r="G11" s="49">
        <f t="shared" si="0"/>
        <v>0</v>
      </c>
      <c r="H11" s="77">
        <f>SUMIF(积分汇总!$B:$B,D8,积分汇总!$E:$E)</f>
        <v>0</v>
      </c>
      <c r="I11" s="77">
        <f>SUMIF(记录巡查问题条数汇总!$B:$B,D8,记录巡查问题条数汇总!$E:$E)</f>
        <v>0</v>
      </c>
      <c r="J11" s="77"/>
      <c r="K11" s="77">
        <f>SUMIF(安全质量事故!$B:$B,D8,安全质量事故!$G:$G)</f>
        <v>0</v>
      </c>
      <c r="L11" s="72">
        <f>COUNTIF(M11:AQ11,标准数据!$A$2)*标准数据!$B$2+COUNTIF(M11:AQ11,标准数据!$A$3)*标准数据!$B$3+COUNTIF(M11:AQ11,标准数据!$A$4)*标准数据!$B$4</f>
        <v>0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188"/>
      <c r="AR11" s="90"/>
      <c r="AV11" s="76" t="str">
        <f>VLOOKUP(E11,[1]生产部!$C:$I,7,0)</f>
        <v>常白</v>
      </c>
      <c r="AW11" s="41" t="str">
        <f>VLOOKUP(E11,[1]生产部!$C:$I,6,0)</f>
        <v>4号楼1&amp;2车间</v>
      </c>
    </row>
    <row r="12" spans="1:49" ht="21" customHeight="1">
      <c r="A12" s="234" t="s">
        <v>293</v>
      </c>
      <c r="B12" s="229" t="s">
        <v>2108</v>
      </c>
      <c r="C12" s="45" t="s">
        <v>13</v>
      </c>
      <c r="D12" s="47" t="s">
        <v>1600</v>
      </c>
      <c r="E12" s="86" t="s">
        <v>1601</v>
      </c>
      <c r="F12" s="85">
        <v>46215</v>
      </c>
      <c r="G12" s="49">
        <f t="shared" si="0"/>
        <v>0</v>
      </c>
      <c r="H12" s="77">
        <f>SUMIF(积分汇总!$B:$B,D11,积分汇总!$E:$E)</f>
        <v>0</v>
      </c>
      <c r="I12" s="77">
        <f>SUMIF(记录巡查问题条数汇总!$B:$B,D11,记录巡查问题条数汇总!$E:$E)</f>
        <v>0</v>
      </c>
      <c r="J12" s="77"/>
      <c r="K12" s="77">
        <f>SUMIF(安全质量事故!$B:$B,D11,安全质量事故!$G:$G)</f>
        <v>0</v>
      </c>
      <c r="L12" s="72">
        <f>COUNTIF(M12:AQ12,标准数据!$A$2)*标准数据!$B$2+COUNTIF(M12:AQ12,标准数据!$A$3)*标准数据!$B$3+COUNTIF(M12:AQ12,标准数据!$A$4)*标准数据!$B$4</f>
        <v>0</v>
      </c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188"/>
      <c r="AR12" s="90"/>
      <c r="AS12" s="41"/>
      <c r="AT12" s="41"/>
      <c r="AU12" s="41"/>
      <c r="AV12" s="76" t="str">
        <f>VLOOKUP(E12,[1]生产部!$C:$I,7,0)</f>
        <v>常白</v>
      </c>
      <c r="AW12" s="41" t="str">
        <f>VLOOKUP(E12,[1]生产部!$C:$I,6,0)</f>
        <v>4号楼1&amp;2车间</v>
      </c>
    </row>
    <row r="13" spans="1:49" ht="21" customHeight="1">
      <c r="A13" s="234" t="s">
        <v>293</v>
      </c>
      <c r="B13" s="229" t="s">
        <v>2108</v>
      </c>
      <c r="C13" s="45" t="s">
        <v>13</v>
      </c>
      <c r="D13" s="46" t="s">
        <v>405</v>
      </c>
      <c r="E13" s="47" t="s">
        <v>402</v>
      </c>
      <c r="F13" s="48">
        <v>45448</v>
      </c>
      <c r="G13" s="49">
        <f t="shared" si="0"/>
        <v>0</v>
      </c>
      <c r="H13" s="77">
        <f>SUMIF(积分汇总!$B:$B,D10,积分汇总!$E:$E)</f>
        <v>0</v>
      </c>
      <c r="I13" s="77">
        <f>SUMIF(记录巡查问题条数汇总!$B:$B,D10,记录巡查问题条数汇总!$E:$E)</f>
        <v>0</v>
      </c>
      <c r="J13" s="77"/>
      <c r="K13" s="77">
        <f>SUMIF(安全质量事故!$B:$B,D10,安全质量事故!$G:$G)</f>
        <v>0</v>
      </c>
      <c r="L13" s="72">
        <f>COUNTIF(M13:AQ13,标准数据!$A$2)*标准数据!$B$2+COUNTIF(M13:AQ13,标准数据!$A$3)*标准数据!$B$3+COUNTIF(M13:AQ13,标准数据!$A$4)*标准数据!$B$4</f>
        <v>0</v>
      </c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188"/>
      <c r="AR13" s="90"/>
      <c r="AV13" s="76" t="str">
        <f>VLOOKUP(E13,[1]生产部!$C:$I,7,0)</f>
        <v>班组</v>
      </c>
      <c r="AW13" s="41" t="str">
        <f>VLOOKUP(E13,[1]生产部!$C:$I,6,0)</f>
        <v>4号楼1&amp;2车间</v>
      </c>
    </row>
    <row r="14" spans="1:49" ht="21" customHeight="1">
      <c r="A14" s="234" t="s">
        <v>293</v>
      </c>
      <c r="B14" s="229" t="s">
        <v>2108</v>
      </c>
      <c r="C14" s="45" t="s">
        <v>13</v>
      </c>
      <c r="D14" s="47" t="s">
        <v>1097</v>
      </c>
      <c r="E14" s="86" t="s">
        <v>1098</v>
      </c>
      <c r="F14" s="85">
        <v>43237</v>
      </c>
      <c r="G14" s="49">
        <f t="shared" si="0"/>
        <v>0</v>
      </c>
      <c r="H14" s="77">
        <f>SUMIF(积分汇总!$B:$B,D13,积分汇总!$E:$E)</f>
        <v>0</v>
      </c>
      <c r="I14" s="77">
        <f>SUMIF(记录巡查问题条数汇总!$B:$B,D13,记录巡查问题条数汇总!$E:$E)</f>
        <v>0</v>
      </c>
      <c r="J14" s="77"/>
      <c r="K14" s="77">
        <f>SUMIF(安全质量事故!$B:$B,D13,安全质量事故!$G:$G)</f>
        <v>0</v>
      </c>
      <c r="L14" s="72">
        <f>COUNTIF(M14:AQ14,标准数据!$A$2)*标准数据!$B$2+COUNTIF(M14:AQ14,标准数据!$A$3)*标准数据!$B$3+COUNTIF(M14:AQ14,标准数据!$A$4)*标准数据!$B$4</f>
        <v>0</v>
      </c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188"/>
      <c r="AR14" s="90"/>
      <c r="AS14" s="41"/>
      <c r="AT14" s="41"/>
      <c r="AU14" s="41"/>
      <c r="AV14" s="76" t="str">
        <f>VLOOKUP(E14,[1]生产部!$C:$I,7,0)</f>
        <v>项目组</v>
      </c>
      <c r="AW14" s="41" t="str">
        <f>VLOOKUP(E14,[1]生产部!$C:$I,6,0)</f>
        <v>4号楼1&amp;2车间</v>
      </c>
    </row>
    <row r="15" spans="1:49" ht="21" customHeight="1">
      <c r="A15" s="234" t="s">
        <v>293</v>
      </c>
      <c r="B15" s="229" t="s">
        <v>2108</v>
      </c>
      <c r="C15" s="45" t="s">
        <v>131</v>
      </c>
      <c r="D15" s="46" t="s">
        <v>159</v>
      </c>
      <c r="E15" s="52" t="s">
        <v>84</v>
      </c>
      <c r="F15" s="46">
        <v>44732</v>
      </c>
      <c r="G15" s="49">
        <f t="shared" si="0"/>
        <v>0</v>
      </c>
      <c r="H15" s="77">
        <f>SUMIF(积分汇总!$B:$B,D14,积分汇总!$E:$E)</f>
        <v>0</v>
      </c>
      <c r="I15" s="77">
        <f>SUMIF(记录巡查问题条数汇总!$B:$B,D14,记录巡查问题条数汇总!$E:$E)</f>
        <v>0</v>
      </c>
      <c r="J15" s="77"/>
      <c r="K15" s="77">
        <f>SUMIF(安全质量事故!$B:$B,D14,安全质量事故!$G:$G)</f>
        <v>0</v>
      </c>
      <c r="L15" s="72">
        <f>COUNTIF(M15:AQ15,标准数据!$A$2)*标准数据!$B$2+COUNTIF(M15:AQ15,标准数据!$A$3)*标准数据!$B$3+COUNTIF(M15:AQ15,标准数据!$A$4)*标准数据!$B$4</f>
        <v>0</v>
      </c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188"/>
      <c r="AR15" s="90"/>
      <c r="AS15" s="41"/>
      <c r="AT15" s="41"/>
      <c r="AU15" s="41"/>
      <c r="AV15" s="76" t="str">
        <f>VLOOKUP(E15,[1]生产部!$C:$I,7,0)</f>
        <v>班组</v>
      </c>
      <c r="AW15" s="41" t="str">
        <f>VLOOKUP(E15,[1]生产部!$C:$I,6,0)</f>
        <v>4号楼1&amp;2车间</v>
      </c>
    </row>
    <row r="16" spans="1:49" ht="21" customHeight="1">
      <c r="A16" s="234" t="s">
        <v>293</v>
      </c>
      <c r="B16" s="229" t="s">
        <v>2108</v>
      </c>
      <c r="C16" s="45" t="s">
        <v>131</v>
      </c>
      <c r="D16" s="46" t="s">
        <v>157</v>
      </c>
      <c r="E16" s="47" t="s">
        <v>76</v>
      </c>
      <c r="F16" s="48">
        <v>44774</v>
      </c>
      <c r="G16" s="49">
        <f t="shared" si="0"/>
        <v>0</v>
      </c>
      <c r="H16" s="77">
        <f>SUMIF(积分汇总!$B:$B,D16,积分汇总!$E:$E)</f>
        <v>0</v>
      </c>
      <c r="I16" s="77">
        <f>SUMIF(记录巡查问题条数汇总!$B:$B,D16,记录巡查问题条数汇总!$E:$E)</f>
        <v>0</v>
      </c>
      <c r="J16" s="77"/>
      <c r="K16" s="77">
        <f>SUMIF(安全质量事故!$B:$B,D16,安全质量事故!$G:$G)</f>
        <v>0</v>
      </c>
      <c r="L16" s="72">
        <f>COUNTIF(M16:AQ16,标准数据!$A$2)*标准数据!$B$2+COUNTIF(M16:AQ16,标准数据!$A$3)*标准数据!$B$3+COUNTIF(M16:AQ16,标准数据!$A$4)*标准数据!$B$4</f>
        <v>0</v>
      </c>
      <c r="M16" s="47"/>
      <c r="N16" s="90"/>
      <c r="O16" s="91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188"/>
      <c r="AR16" s="90"/>
      <c r="AV16" s="76" t="str">
        <f>VLOOKUP(E16,[1]生产部!$C:$I,7,0)</f>
        <v>班组</v>
      </c>
      <c r="AW16" s="41" t="str">
        <f>VLOOKUP(E16,[1]生产部!$C:$I,6,0)</f>
        <v>4号楼1&amp;2车间</v>
      </c>
    </row>
    <row r="17" spans="1:49" ht="21" customHeight="1">
      <c r="A17" s="234" t="s">
        <v>293</v>
      </c>
      <c r="B17" s="229" t="s">
        <v>2108</v>
      </c>
      <c r="C17" s="45" t="s">
        <v>14</v>
      </c>
      <c r="D17" s="46" t="s">
        <v>156</v>
      </c>
      <c r="E17" s="47" t="s">
        <v>74</v>
      </c>
      <c r="F17" s="48">
        <v>44774</v>
      </c>
      <c r="G17" s="49">
        <f t="shared" si="0"/>
        <v>0</v>
      </c>
      <c r="H17" s="77">
        <f>SUMIF(积分汇总!$B:$B,D16,积分汇总!$E:$E)</f>
        <v>0</v>
      </c>
      <c r="I17" s="77">
        <f>SUMIF(记录巡查问题条数汇总!$B:$B,D16,记录巡查问题条数汇总!$E:$E)</f>
        <v>0</v>
      </c>
      <c r="J17" s="77"/>
      <c r="K17" s="77">
        <f>SUMIF(安全质量事故!$B:$B,D16,安全质量事故!$G:$G)</f>
        <v>0</v>
      </c>
      <c r="L17" s="72">
        <f>COUNTIF(M17:AQ17,标准数据!$A$2)*标准数据!$B$2+COUNTIF(M17:AQ17,标准数据!$A$3)*标准数据!$B$3+COUNTIF(M17:AQ17,标准数据!$A$4)*标准数据!$B$4</f>
        <v>0</v>
      </c>
      <c r="M17" s="47"/>
      <c r="N17" s="90"/>
      <c r="O17" s="91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188"/>
      <c r="AR17" s="90"/>
      <c r="AV17" s="76" t="str">
        <f>VLOOKUP(E17,[1]生产部!$C:$I,7,0)</f>
        <v>项目组倒班</v>
      </c>
      <c r="AW17" s="41" t="str">
        <f>VLOOKUP(E17,[1]生产部!$C:$I,6,0)</f>
        <v>4号楼1&amp;2车间</v>
      </c>
    </row>
    <row r="18" spans="1:49" ht="21" customHeight="1">
      <c r="A18" s="234" t="s">
        <v>293</v>
      </c>
      <c r="B18" s="229" t="s">
        <v>2108</v>
      </c>
      <c r="C18" s="45" t="s">
        <v>87</v>
      </c>
      <c r="D18" s="46" t="s">
        <v>867</v>
      </c>
      <c r="E18" s="52" t="s">
        <v>94</v>
      </c>
      <c r="F18" s="46">
        <v>44998</v>
      </c>
      <c r="G18" s="49">
        <f t="shared" si="0"/>
        <v>0</v>
      </c>
      <c r="H18" s="77">
        <f>SUMIF(积分汇总!$B:$B,D17,积分汇总!$E:$E)</f>
        <v>0</v>
      </c>
      <c r="I18" s="77">
        <f>SUMIF(记录巡查问题条数汇总!$B:$B,D17,记录巡查问题条数汇总!$E:$E)</f>
        <v>0</v>
      </c>
      <c r="J18" s="77"/>
      <c r="K18" s="77">
        <f>SUMIF(安全质量事故!$B:$B,D17,安全质量事故!$G:$G)</f>
        <v>0</v>
      </c>
      <c r="L18" s="72">
        <f>COUNTIF(M18:AQ18,标准数据!$A$2)*标准数据!$B$2+COUNTIF(M18:AQ18,标准数据!$A$3)*标准数据!$B$3+COUNTIF(M18:AQ18,标准数据!$A$4)*标准数据!$B$4</f>
        <v>0</v>
      </c>
      <c r="M18" s="90"/>
      <c r="N18" s="90"/>
      <c r="O18" s="91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188"/>
      <c r="AR18" s="90"/>
      <c r="AT18" s="41"/>
      <c r="AU18" s="41"/>
      <c r="AV18" s="76" t="str">
        <f>VLOOKUP(E18,[1]生产部!$C:$I,7,0)</f>
        <v>项目组倒班</v>
      </c>
      <c r="AW18" s="41" t="str">
        <f>VLOOKUP(E18,[1]生产部!$C:$I,6,0)</f>
        <v>4号楼1&amp;2车间</v>
      </c>
    </row>
    <row r="19" spans="1:49" ht="21" customHeight="1">
      <c r="A19" s="234" t="s">
        <v>293</v>
      </c>
      <c r="B19" s="229" t="s">
        <v>2108</v>
      </c>
      <c r="C19" s="45" t="s">
        <v>87</v>
      </c>
      <c r="D19" s="46" t="s">
        <v>106</v>
      </c>
      <c r="E19" s="47" t="s">
        <v>98</v>
      </c>
      <c r="F19" s="48">
        <v>45019</v>
      </c>
      <c r="G19" s="49">
        <f t="shared" si="0"/>
        <v>0</v>
      </c>
      <c r="H19" s="77">
        <f>SUMIF(积分汇总!$B:$B,D18,积分汇总!$E:$E)</f>
        <v>0</v>
      </c>
      <c r="I19" s="77">
        <f>SUMIF(记录巡查问题条数汇总!$B:$B,D18,记录巡查问题条数汇总!$E:$E)</f>
        <v>0</v>
      </c>
      <c r="J19" s="77"/>
      <c r="K19" s="77">
        <f>SUMIF(安全质量事故!$B:$B,D18,安全质量事故!$G:$G)</f>
        <v>0</v>
      </c>
      <c r="L19" s="72">
        <f>COUNTIF(M19:AQ19,标准数据!$A$2)*标准数据!$B$2+COUNTIF(M19:AQ19,标准数据!$A$3)*标准数据!$B$3+COUNTIF(M19:AQ19,标准数据!$A$4)*标准数据!$B$4</f>
        <v>0</v>
      </c>
      <c r="M19" s="92"/>
      <c r="N19" s="92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188"/>
      <c r="AR19" s="90"/>
      <c r="AT19" s="41"/>
      <c r="AU19" s="41"/>
      <c r="AV19" s="76" t="str">
        <f>VLOOKUP(E19,[1]生产部!$C:$I,7,0)</f>
        <v>常白</v>
      </c>
      <c r="AW19" s="41" t="str">
        <f>VLOOKUP(E19,[1]生产部!$C:$I,6,0)</f>
        <v>4号楼1&amp;2车间</v>
      </c>
    </row>
    <row r="20" spans="1:49" ht="21" customHeight="1">
      <c r="A20" s="234" t="s">
        <v>293</v>
      </c>
      <c r="B20" s="229" t="s">
        <v>2108</v>
      </c>
      <c r="C20" s="45" t="s">
        <v>87</v>
      </c>
      <c r="D20" s="46" t="s">
        <v>112</v>
      </c>
      <c r="E20" s="47" t="s">
        <v>111</v>
      </c>
      <c r="F20" s="48">
        <v>45138</v>
      </c>
      <c r="G20" s="49">
        <f t="shared" si="0"/>
        <v>0</v>
      </c>
      <c r="H20" s="77">
        <f>SUMIF(积分汇总!$B:$B,D19,积分汇总!$E:$E)</f>
        <v>0</v>
      </c>
      <c r="I20" s="77">
        <f>SUMIF(记录巡查问题条数汇总!$B:$B,D19,记录巡查问题条数汇总!$E:$E)</f>
        <v>0</v>
      </c>
      <c r="J20" s="77"/>
      <c r="K20" s="77">
        <f>SUMIF(安全质量事故!$B:$B,D19,安全质量事故!$G:$G)</f>
        <v>0</v>
      </c>
      <c r="L20" s="72">
        <f>COUNTIF(M20:AQ20,标准数据!$A$2)*标准数据!$B$2+COUNTIF(M20:AQ20,标准数据!$A$3)*标准数据!$B$3+COUNTIF(M20:AQ20,标准数据!$A$4)*标准数据!$B$4</f>
        <v>0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188"/>
      <c r="AR20" s="90"/>
      <c r="AT20" s="41"/>
      <c r="AU20" s="41"/>
      <c r="AV20" s="76" t="str">
        <f>VLOOKUP(E20,[1]生产部!$C:$I,7,0)</f>
        <v>班组</v>
      </c>
      <c r="AW20" s="41" t="str">
        <f>VLOOKUP(E20,[1]生产部!$C:$I,6,0)</f>
        <v>4号楼1&amp;2车间</v>
      </c>
    </row>
    <row r="21" spans="1:49" ht="21" customHeight="1">
      <c r="A21" s="234" t="s">
        <v>293</v>
      </c>
      <c r="B21" s="229" t="s">
        <v>2108</v>
      </c>
      <c r="C21" s="45" t="s">
        <v>87</v>
      </c>
      <c r="D21" s="46" t="s">
        <v>110</v>
      </c>
      <c r="E21" s="52" t="s">
        <v>93</v>
      </c>
      <c r="F21" s="46">
        <v>44998</v>
      </c>
      <c r="G21" s="49">
        <f t="shared" si="0"/>
        <v>0</v>
      </c>
      <c r="H21" s="77">
        <f>SUMIF(积分汇总!$B:$B,D20,积分汇总!$E:$E)</f>
        <v>0</v>
      </c>
      <c r="I21" s="77">
        <f>SUMIF(记录巡查问题条数汇总!$B:$B,D20,记录巡查问题条数汇总!$E:$E)</f>
        <v>0</v>
      </c>
      <c r="J21" s="77"/>
      <c r="K21" s="77">
        <f>SUMIF(安全质量事故!$B:$B,D20,安全质量事故!$G:$G)</f>
        <v>0</v>
      </c>
      <c r="L21" s="72">
        <f>COUNTIF(M21:AQ21,标准数据!$A$2)*标准数据!$B$2+COUNTIF(M21:AQ21,标准数据!$A$3)*标准数据!$B$3+COUNTIF(M21:AQ21,标准数据!$A$4)*标准数据!$B$4</f>
        <v>0</v>
      </c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188"/>
      <c r="AR21" s="90"/>
      <c r="AV21" s="76" t="str">
        <f>VLOOKUP(E21,[1]生产部!$C:$I,7,0)</f>
        <v>常白</v>
      </c>
      <c r="AW21" s="41" t="str">
        <f>VLOOKUP(E21,[1]生产部!$C:$I,6,0)</f>
        <v>4号楼1&amp;2车间</v>
      </c>
    </row>
    <row r="22" spans="1:49" ht="21" customHeight="1">
      <c r="A22" s="234" t="s">
        <v>293</v>
      </c>
      <c r="B22" s="229" t="s">
        <v>2108</v>
      </c>
      <c r="C22" s="45" t="s">
        <v>87</v>
      </c>
      <c r="D22" s="46" t="s">
        <v>120</v>
      </c>
      <c r="E22" s="47" t="s">
        <v>122</v>
      </c>
      <c r="F22" s="48">
        <v>45231</v>
      </c>
      <c r="G22" s="49">
        <f t="shared" si="0"/>
        <v>0</v>
      </c>
      <c r="H22" s="77">
        <f>SUMIF(积分汇总!$B:$B,D21,积分汇总!$E:$E)</f>
        <v>0</v>
      </c>
      <c r="I22" s="77">
        <f>SUMIF(记录巡查问题条数汇总!$B:$B,D21,记录巡查问题条数汇总!$E:$E)</f>
        <v>0</v>
      </c>
      <c r="J22" s="77"/>
      <c r="K22" s="77">
        <f>SUMIF(安全质量事故!$B:$B,D21,安全质量事故!$G:$G)</f>
        <v>0</v>
      </c>
      <c r="L22" s="72">
        <f>COUNTIF(M22:AQ22,标准数据!$A$2)*标准数据!$B$2+COUNTIF(M22:AQ22,标准数据!$A$3)*标准数据!$B$3+COUNTIF(M22:AQ22,标准数据!$A$4)*标准数据!$B$4</f>
        <v>0</v>
      </c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188"/>
      <c r="AR22" s="90"/>
      <c r="AV22" s="76" t="str">
        <f>VLOOKUP(E22,[1]生产部!$C:$I,7,0)</f>
        <v>班组</v>
      </c>
      <c r="AW22" s="41" t="str">
        <f>VLOOKUP(E22,[1]生产部!$C:$I,6,0)</f>
        <v>4号楼1&amp;2车间</v>
      </c>
    </row>
    <row r="23" spans="1:49" ht="21" customHeight="1">
      <c r="A23" s="234" t="s">
        <v>293</v>
      </c>
      <c r="B23" s="229" t="s">
        <v>2108</v>
      </c>
      <c r="C23" s="45" t="s">
        <v>14</v>
      </c>
      <c r="D23" s="46" t="s">
        <v>236</v>
      </c>
      <c r="E23" s="47" t="s">
        <v>237</v>
      </c>
      <c r="F23" s="48">
        <v>45476</v>
      </c>
      <c r="G23" s="49">
        <f t="shared" si="0"/>
        <v>0</v>
      </c>
      <c r="H23" s="77">
        <f>SUMIF(积分汇总!$B:$B,D22,积分汇总!$E:$E)</f>
        <v>0</v>
      </c>
      <c r="I23" s="77">
        <f>SUMIF(记录巡查问题条数汇总!$B:$B,D22,记录巡查问题条数汇总!$E:$E)</f>
        <v>0</v>
      </c>
      <c r="J23" s="77"/>
      <c r="K23" s="77">
        <f>SUMIF(安全质量事故!$B:$B,D22,安全质量事故!$G:$G)</f>
        <v>0</v>
      </c>
      <c r="L23" s="72">
        <f>COUNTIF(M23:AQ23,标准数据!$A$2)*标准数据!$B$2+COUNTIF(M23:AQ23,标准数据!$A$3)*标准数据!$B$3+COUNTIF(M23:AQ23,标准数据!$A$4)*标准数据!$B$4</f>
        <v>0</v>
      </c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188"/>
      <c r="AR23" s="90"/>
      <c r="AV23" s="76" t="str">
        <f>VLOOKUP(E23,[1]生产部!$C:$I,7,0)</f>
        <v>包装</v>
      </c>
      <c r="AW23" s="41" t="str">
        <f>VLOOKUP(E23,[1]生产部!$C:$I,6,0)</f>
        <v>4号楼1&amp;2车间</v>
      </c>
    </row>
    <row r="24" spans="1:49" ht="21" customHeight="1">
      <c r="A24" s="234" t="s">
        <v>293</v>
      </c>
      <c r="B24" s="229" t="s">
        <v>2108</v>
      </c>
      <c r="C24" s="45" t="s">
        <v>14</v>
      </c>
      <c r="D24" s="46" t="s">
        <v>238</v>
      </c>
      <c r="E24" s="47" t="s">
        <v>239</v>
      </c>
      <c r="F24" s="48">
        <v>45497</v>
      </c>
      <c r="G24" s="49">
        <f t="shared" si="0"/>
        <v>0</v>
      </c>
      <c r="H24" s="77">
        <f>SUMIF(积分汇总!$B:$B,D23,积分汇总!$E:$E)</f>
        <v>0</v>
      </c>
      <c r="I24" s="77">
        <f>SUMIF(记录巡查问题条数汇总!$B:$B,D23,记录巡查问题条数汇总!$E:$E)</f>
        <v>0</v>
      </c>
      <c r="J24" s="77"/>
      <c r="K24" s="77">
        <f>SUMIF(安全质量事故!$B:$B,D23,安全质量事故!$G:$G)</f>
        <v>0</v>
      </c>
      <c r="L24" s="72">
        <f>COUNTIF(M24:AQ24,标准数据!$A$2)*标准数据!$B$2+COUNTIF(M24:AQ24,标准数据!$A$3)*标准数据!$B$3+COUNTIF(M24:AQ24,标准数据!$A$4)*标准数据!$B$4</f>
        <v>0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188"/>
      <c r="AR24" s="90"/>
      <c r="AV24" s="76" t="str">
        <f>VLOOKUP(E24,[1]生产部!$C:$I,7,0)</f>
        <v>班组</v>
      </c>
      <c r="AW24" s="41" t="str">
        <f>VLOOKUP(E24,[1]生产部!$C:$I,6,0)</f>
        <v>4号楼1&amp;2车间</v>
      </c>
    </row>
    <row r="25" spans="1:49" ht="21" customHeight="1">
      <c r="A25" s="234" t="s">
        <v>293</v>
      </c>
      <c r="B25" s="229" t="s">
        <v>2108</v>
      </c>
      <c r="C25" s="45" t="s">
        <v>14</v>
      </c>
      <c r="D25" s="46" t="s">
        <v>240</v>
      </c>
      <c r="E25" s="47" t="s">
        <v>241</v>
      </c>
      <c r="F25" s="48">
        <v>45476</v>
      </c>
      <c r="G25" s="49">
        <f t="shared" si="0"/>
        <v>0</v>
      </c>
      <c r="H25" s="77">
        <f>SUMIF(积分汇总!$B:$B,D24,积分汇总!$E:$E)</f>
        <v>0</v>
      </c>
      <c r="I25" s="77">
        <f>SUMIF(记录巡查问题条数汇总!$B:$B,D24,记录巡查问题条数汇总!$E:$E)</f>
        <v>0</v>
      </c>
      <c r="J25" s="77"/>
      <c r="K25" s="77">
        <f>SUMIF(安全质量事故!$B:$B,D24,安全质量事故!$G:$G)</f>
        <v>0</v>
      </c>
      <c r="L25" s="72">
        <f>COUNTIF(M25:AQ25,标准数据!$A$2)*标准数据!$B$2+COUNTIF(M25:AQ25,标准数据!$A$3)*标准数据!$B$3+COUNTIF(M25:AQ25,标准数据!$A$4)*标准数据!$B$4</f>
        <v>0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188"/>
      <c r="AR25" s="90"/>
      <c r="AV25" s="76" t="str">
        <f>VLOOKUP(E25,[1]生产部!$C:$I,7,0)</f>
        <v>班组</v>
      </c>
      <c r="AW25" s="41" t="str">
        <f>VLOOKUP(E25,[1]生产部!$C:$I,6,0)</f>
        <v>4号楼1&amp;2车间</v>
      </c>
    </row>
    <row r="26" spans="1:49" ht="21" customHeight="1">
      <c r="A26" s="234" t="s">
        <v>293</v>
      </c>
      <c r="B26" s="229" t="s">
        <v>2108</v>
      </c>
      <c r="C26" s="45" t="s">
        <v>14</v>
      </c>
      <c r="D26" s="46" t="s">
        <v>242</v>
      </c>
      <c r="E26" s="47" t="s">
        <v>243</v>
      </c>
      <c r="F26" s="48">
        <v>45490</v>
      </c>
      <c r="G26" s="49">
        <f t="shared" si="0"/>
        <v>0</v>
      </c>
      <c r="H26" s="77">
        <f>SUMIF(积分汇总!$B:$B,D25,积分汇总!$E:$E)</f>
        <v>0</v>
      </c>
      <c r="I26" s="77">
        <f>SUMIF(记录巡查问题条数汇总!$B:$B,D25,记录巡查问题条数汇总!$E:$E)</f>
        <v>0</v>
      </c>
      <c r="J26" s="77"/>
      <c r="K26" s="77">
        <f>SUMIF(安全质量事故!$B:$B,D25,安全质量事故!$G:$G)</f>
        <v>0</v>
      </c>
      <c r="L26" s="72">
        <f>COUNTIF(M26:AQ26,标准数据!$A$2)*标准数据!$B$2+COUNTIF(M26:AQ26,标准数据!$A$3)*标准数据!$B$3+COUNTIF(M26:AQ26,标准数据!$A$4)*标准数据!$B$4</f>
        <v>0</v>
      </c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188"/>
      <c r="AR26" s="90"/>
      <c r="AV26" s="76" t="str">
        <f>VLOOKUP(E26,[1]生产部!$C:$I,7,0)</f>
        <v>项目组</v>
      </c>
      <c r="AW26" s="41" t="str">
        <f>VLOOKUP(E26,[1]生产部!$C:$I,6,0)</f>
        <v>4号楼1&amp;2车间</v>
      </c>
    </row>
    <row r="27" spans="1:49" ht="21" customHeight="1">
      <c r="A27" s="234" t="s">
        <v>293</v>
      </c>
      <c r="B27" s="229" t="s">
        <v>2108</v>
      </c>
      <c r="C27" s="45" t="s">
        <v>87</v>
      </c>
      <c r="D27" s="46" t="s">
        <v>198</v>
      </c>
      <c r="E27" s="47" t="s">
        <v>199</v>
      </c>
      <c r="F27" s="48">
        <v>44396</v>
      </c>
      <c r="G27" s="49">
        <f t="shared" si="0"/>
        <v>0</v>
      </c>
      <c r="H27" s="77">
        <f>SUMIF(积分汇总!$B:$B,D26,积分汇总!$E:$E)</f>
        <v>0</v>
      </c>
      <c r="I27" s="77">
        <f>SUMIF(记录巡查问题条数汇总!$B:$B,D26,记录巡查问题条数汇总!$E:$E)</f>
        <v>0</v>
      </c>
      <c r="J27" s="77"/>
      <c r="K27" s="77">
        <f>SUMIF(安全质量事故!$B:$B,D26,安全质量事故!$G:$G)</f>
        <v>0</v>
      </c>
      <c r="L27" s="72">
        <f>COUNTIF(M27:AQ27,标准数据!$A$2)*标准数据!$B$2+COUNTIF(M27:AQ27,标准数据!$A$3)*标准数据!$B$3+COUNTIF(M27:AQ27,标准数据!$A$4)*标准数据!$B$4</f>
        <v>0</v>
      </c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188"/>
      <c r="AR27" s="90"/>
      <c r="AV27" s="76" t="str">
        <f>VLOOKUP(E27,[1]生产部!$C:$I,7,0)</f>
        <v>项目组</v>
      </c>
      <c r="AW27" s="41" t="str">
        <f>VLOOKUP(E27,[1]生产部!$C:$I,6,0)</f>
        <v>4号楼1&amp;2车间</v>
      </c>
    </row>
    <row r="28" spans="1:49" ht="21" customHeight="1">
      <c r="A28" s="234" t="s">
        <v>293</v>
      </c>
      <c r="B28" s="229" t="s">
        <v>2108</v>
      </c>
      <c r="C28" s="45" t="s">
        <v>87</v>
      </c>
      <c r="D28" s="46" t="s">
        <v>322</v>
      </c>
      <c r="E28" s="47" t="s">
        <v>314</v>
      </c>
      <c r="F28" s="48">
        <v>45602</v>
      </c>
      <c r="G28" s="49">
        <f t="shared" si="0"/>
        <v>0</v>
      </c>
      <c r="H28" s="77">
        <f>SUMIF(积分汇总!$B:$B,D27,积分汇总!$E:$E)</f>
        <v>0</v>
      </c>
      <c r="I28" s="77">
        <f>SUMIF(记录巡查问题条数汇总!$B:$B,D27,记录巡查问题条数汇总!$E:$E)</f>
        <v>0</v>
      </c>
      <c r="J28" s="77"/>
      <c r="K28" s="77">
        <f>SUMIF(安全质量事故!$B:$B,D27,安全质量事故!$G:$G)</f>
        <v>0</v>
      </c>
      <c r="L28" s="72">
        <f>COUNTIF(M28:AQ28,标准数据!$A$2)*标准数据!$B$2+COUNTIF(M28:AQ28,标准数据!$A$3)*标准数据!$B$3+COUNTIF(M28:AQ28,标准数据!$A$4)*标准数据!$B$4</f>
        <v>0</v>
      </c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188"/>
      <c r="AR28" s="90"/>
      <c r="AV28" s="76" t="str">
        <f>VLOOKUP(E28,[1]生产部!$C:$I,7,0)</f>
        <v>班组</v>
      </c>
      <c r="AW28" s="41" t="str">
        <f>VLOOKUP(E28,[1]生产部!$C:$I,6,0)</f>
        <v>4号楼1&amp;2车间</v>
      </c>
    </row>
    <row r="29" spans="1:49" ht="21" customHeight="1">
      <c r="A29" s="234" t="s">
        <v>293</v>
      </c>
      <c r="B29" s="229" t="s">
        <v>2108</v>
      </c>
      <c r="C29" s="45" t="s">
        <v>14</v>
      </c>
      <c r="D29" s="46" t="s">
        <v>395</v>
      </c>
      <c r="E29" s="52" t="s">
        <v>385</v>
      </c>
      <c r="F29" s="48">
        <v>45756</v>
      </c>
      <c r="G29" s="49">
        <f t="shared" si="0"/>
        <v>0</v>
      </c>
      <c r="H29" s="77">
        <f>SUMIF(积分汇总!$B:$B,D28,积分汇总!$E:$E)</f>
        <v>0</v>
      </c>
      <c r="I29" s="77">
        <f>SUMIF(记录巡查问题条数汇总!$B:$B,D28,记录巡查问题条数汇总!$E:$E)</f>
        <v>0</v>
      </c>
      <c r="J29" s="77"/>
      <c r="K29" s="77">
        <f>SUMIF(安全质量事故!$B:$B,D28,安全质量事故!$G:$G)</f>
        <v>0</v>
      </c>
      <c r="L29" s="72">
        <f>COUNTIF(M29:AQ29,标准数据!$A$2)*标准数据!$B$2+COUNTIF(M29:AQ29,标准数据!$A$3)*标准数据!$B$3+COUNTIF(M29:AQ29,标准数据!$A$4)*标准数据!$B$4</f>
        <v>0</v>
      </c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188"/>
      <c r="AR29" s="90"/>
      <c r="AV29" s="76" t="str">
        <f>VLOOKUP(E29,[1]生产部!$C:$I,7,0)</f>
        <v>班组</v>
      </c>
      <c r="AW29" s="41" t="str">
        <f>VLOOKUP(E29,[1]生产部!$C:$I,6,0)</f>
        <v>4号楼1&amp;2车间</v>
      </c>
    </row>
    <row r="30" spans="1:49" ht="21" customHeight="1">
      <c r="A30" s="234" t="s">
        <v>293</v>
      </c>
      <c r="B30" s="229" t="s">
        <v>2108</v>
      </c>
      <c r="C30" s="45" t="s">
        <v>87</v>
      </c>
      <c r="D30" s="46" t="s">
        <v>181</v>
      </c>
      <c r="E30" s="52" t="s">
        <v>180</v>
      </c>
      <c r="F30" s="46">
        <v>44397</v>
      </c>
      <c r="G30" s="49">
        <f t="shared" si="0"/>
        <v>0</v>
      </c>
      <c r="H30" s="77">
        <f>SUMIF(积分汇总!$B:$B,D29,积分汇总!$E:$E)</f>
        <v>0</v>
      </c>
      <c r="I30" s="77">
        <f>SUMIF(记录巡查问题条数汇总!$B:$B,D29,记录巡查问题条数汇总!$E:$E)</f>
        <v>0</v>
      </c>
      <c r="J30" s="77"/>
      <c r="K30" s="77">
        <f>SUMIF(安全质量事故!$B:$B,D29,安全质量事故!$G:$G)</f>
        <v>0</v>
      </c>
      <c r="L30" s="72">
        <f>COUNTIF(M30:AQ30,标准数据!$A$2)*标准数据!$B$2+COUNTIF(M30:AQ30,标准数据!$A$3)*标准数据!$B$3+COUNTIF(M30:AQ30,标准数据!$A$4)*标准数据!$B$4</f>
        <v>0</v>
      </c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188"/>
      <c r="AR30" s="90"/>
      <c r="AV30" s="76" t="str">
        <f>VLOOKUP(E30,[1]生产部!$C:$I,7,0)</f>
        <v>项目组倒班</v>
      </c>
      <c r="AW30" s="41" t="str">
        <f>VLOOKUP(E30,[1]生产部!$C:$I,6,0)</f>
        <v>4号楼1&amp;2车间</v>
      </c>
    </row>
    <row r="31" spans="1:49" ht="21" customHeight="1">
      <c r="A31" s="234" t="s">
        <v>293</v>
      </c>
      <c r="B31" s="229" t="s">
        <v>2108</v>
      </c>
      <c r="C31" s="45" t="s">
        <v>87</v>
      </c>
      <c r="D31" s="46" t="s">
        <v>416</v>
      </c>
      <c r="E31" s="52" t="s">
        <v>411</v>
      </c>
      <c r="F31" s="46">
        <v>45798</v>
      </c>
      <c r="G31" s="49">
        <f t="shared" si="0"/>
        <v>0</v>
      </c>
      <c r="H31" s="77">
        <f>SUMIF(积分汇总!$B:$B,D30,积分汇总!$E:$E)</f>
        <v>0</v>
      </c>
      <c r="I31" s="77">
        <f>SUMIF(记录巡查问题条数汇总!$B:$B,D30,记录巡查问题条数汇总!$E:$E)</f>
        <v>0</v>
      </c>
      <c r="J31" s="77"/>
      <c r="K31" s="77">
        <f>SUMIF(安全质量事故!$B:$B,D30,安全质量事故!$G:$G)</f>
        <v>0</v>
      </c>
      <c r="L31" s="72">
        <f>COUNTIF(M31:AQ31,标准数据!$A$2)*标准数据!$B$2+COUNTIF(M31:AQ31,标准数据!$A$3)*标准数据!$B$3+COUNTIF(M31:AQ31,标准数据!$A$4)*标准数据!$B$4</f>
        <v>0</v>
      </c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188"/>
      <c r="AR31" s="90"/>
      <c r="AV31" s="76" t="str">
        <f>VLOOKUP(E31,[1]生产部!$C:$I,7,0)</f>
        <v>班组</v>
      </c>
      <c r="AW31" s="41" t="str">
        <f>VLOOKUP(E31,[1]生产部!$C:$I,6,0)</f>
        <v>4号楼1&amp;2车间</v>
      </c>
    </row>
    <row r="32" spans="1:49" ht="21" customHeight="1">
      <c r="A32" s="234" t="s">
        <v>293</v>
      </c>
      <c r="B32" s="229" t="s">
        <v>2108</v>
      </c>
      <c r="C32" s="45" t="s">
        <v>14</v>
      </c>
      <c r="D32" s="46" t="s">
        <v>424</v>
      </c>
      <c r="E32" s="52" t="s">
        <v>420</v>
      </c>
      <c r="F32" s="46">
        <v>45826</v>
      </c>
      <c r="G32" s="49">
        <f t="shared" si="0"/>
        <v>0</v>
      </c>
      <c r="H32" s="77">
        <f>SUMIF(积分汇总!$B:$B,D31,积分汇总!$E:$E)</f>
        <v>0</v>
      </c>
      <c r="I32" s="77">
        <f>SUMIF(记录巡查问题条数汇总!$B:$B,D31,记录巡查问题条数汇总!$E:$E)</f>
        <v>0</v>
      </c>
      <c r="J32" s="77"/>
      <c r="K32" s="77">
        <f>SUMIF(安全质量事故!$B:$B,D31,安全质量事故!$G:$G)</f>
        <v>0</v>
      </c>
      <c r="L32" s="72">
        <f>COUNTIF(M32:AQ32,标准数据!$A$2)*标准数据!$B$2+COUNTIF(M32:AQ32,标准数据!$A$3)*标准数据!$B$3+COUNTIF(M32:AQ32,标准数据!$A$4)*标准数据!$B$4</f>
        <v>0</v>
      </c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188"/>
      <c r="AR32" s="90"/>
      <c r="AV32" s="76" t="str">
        <f>VLOOKUP(E32,[1]生产部!$C:$I,7,0)</f>
        <v>班组</v>
      </c>
      <c r="AW32" s="41" t="str">
        <f>VLOOKUP(E32,[1]生产部!$C:$I,6,0)</f>
        <v>4号楼1&amp;2车间</v>
      </c>
    </row>
    <row r="33" spans="1:49" ht="21" customHeight="1">
      <c r="A33" s="234" t="s">
        <v>293</v>
      </c>
      <c r="B33" s="229" t="s">
        <v>2108</v>
      </c>
      <c r="C33" s="45" t="s">
        <v>14</v>
      </c>
      <c r="D33" s="46" t="s">
        <v>535</v>
      </c>
      <c r="E33" s="52" t="s">
        <v>509</v>
      </c>
      <c r="F33" s="46">
        <v>45889</v>
      </c>
      <c r="G33" s="49">
        <f t="shared" si="0"/>
        <v>0</v>
      </c>
      <c r="H33" s="77">
        <f>SUMIF(积分汇总!$B:$B,D32,积分汇总!$E:$E)</f>
        <v>0</v>
      </c>
      <c r="I33" s="77">
        <f>SUMIF(记录巡查问题条数汇总!$B:$B,D32,记录巡查问题条数汇总!$E:$E)</f>
        <v>0</v>
      </c>
      <c r="J33" s="77"/>
      <c r="K33" s="77">
        <f>SUMIF(安全质量事故!$B:$B,D32,安全质量事故!$G:$G)</f>
        <v>0</v>
      </c>
      <c r="L33" s="72">
        <f>COUNTIF(M33:AQ33,标准数据!$A$2)*标准数据!$B$2+COUNTIF(M33:AQ33,标准数据!$A$3)*标准数据!$B$3+COUNTIF(M33:AQ33,标准数据!$A$4)*标准数据!$B$4</f>
        <v>0</v>
      </c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188"/>
      <c r="AR33" s="90"/>
      <c r="AV33" s="76" t="str">
        <f>VLOOKUP(E33,[1]生产部!$C:$I,7,0)</f>
        <v>班组</v>
      </c>
      <c r="AW33" s="41" t="str">
        <f>VLOOKUP(E33,[1]生产部!$C:$I,6,0)</f>
        <v>4号楼1&amp;2车间</v>
      </c>
    </row>
    <row r="34" spans="1:49" ht="21" customHeight="1">
      <c r="A34" s="234" t="s">
        <v>293</v>
      </c>
      <c r="B34" s="229" t="s">
        <v>2108</v>
      </c>
      <c r="C34" s="45" t="s">
        <v>14</v>
      </c>
      <c r="D34" s="46" t="s">
        <v>612</v>
      </c>
      <c r="E34" s="52" t="s">
        <v>570</v>
      </c>
      <c r="F34" s="46">
        <v>45896</v>
      </c>
      <c r="G34" s="49">
        <f t="shared" si="0"/>
        <v>0</v>
      </c>
      <c r="H34" s="77">
        <f>SUMIF(积分汇总!$B:$B,D33,积分汇总!$E:$E)</f>
        <v>0</v>
      </c>
      <c r="I34" s="77">
        <f>SUMIF(记录巡查问题条数汇总!$B:$B,D33,记录巡查问题条数汇总!$E:$E)</f>
        <v>0</v>
      </c>
      <c r="J34" s="77"/>
      <c r="K34" s="77">
        <f>SUMIF(安全质量事故!$B:$B,D33,安全质量事故!$G:$G)</f>
        <v>0</v>
      </c>
      <c r="L34" s="72">
        <f>COUNTIF(M34:AQ34,标准数据!$A$2)*标准数据!$B$2+COUNTIF(M34:AQ34,标准数据!$A$3)*标准数据!$B$3+COUNTIF(M34:AQ34,标准数据!$A$4)*标准数据!$B$4</f>
        <v>0</v>
      </c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188"/>
      <c r="AR34" s="90"/>
      <c r="AV34" s="76" t="str">
        <f>VLOOKUP(E34,[1]生产部!$C:$I,7,0)</f>
        <v>班组</v>
      </c>
      <c r="AW34" s="41" t="str">
        <f>VLOOKUP(E34,[1]生产部!$C:$I,6,0)</f>
        <v>4号楼1&amp;2车间</v>
      </c>
    </row>
    <row r="35" spans="1:49" ht="21" customHeight="1">
      <c r="A35" s="234" t="s">
        <v>293</v>
      </c>
      <c r="B35" s="229" t="s">
        <v>2108</v>
      </c>
      <c r="C35" s="45" t="s">
        <v>14</v>
      </c>
      <c r="D35" s="46" t="s">
        <v>613</v>
      </c>
      <c r="E35" s="52" t="s">
        <v>571</v>
      </c>
      <c r="F35" s="46">
        <v>45917</v>
      </c>
      <c r="G35" s="49">
        <f t="shared" si="0"/>
        <v>0</v>
      </c>
      <c r="H35" s="77">
        <f>SUMIF(积分汇总!$B:$B,D34,积分汇总!$E:$E)</f>
        <v>0</v>
      </c>
      <c r="I35" s="77">
        <f>SUMIF(记录巡查问题条数汇总!$B:$B,D34,记录巡查问题条数汇总!$E:$E)</f>
        <v>0</v>
      </c>
      <c r="J35" s="77"/>
      <c r="K35" s="77">
        <f>SUMIF(安全质量事故!$B:$B,D34,安全质量事故!$G:$G)</f>
        <v>0</v>
      </c>
      <c r="L35" s="72">
        <f>COUNTIF(M35:AQ35,标准数据!$A$2)*标准数据!$B$2+COUNTIF(M35:AQ35,标准数据!$A$3)*标准数据!$B$3+COUNTIF(M35:AQ35,标准数据!$A$4)*标准数据!$B$4</f>
        <v>0</v>
      </c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188"/>
      <c r="AR35" s="90"/>
      <c r="AV35" s="76" t="str">
        <f>VLOOKUP(E35,[1]生产部!$C:$I,7,0)</f>
        <v>班组</v>
      </c>
      <c r="AW35" s="41" t="str">
        <f>VLOOKUP(E35,[1]生产部!$C:$I,6,0)</f>
        <v>4号楼1&amp;2车间</v>
      </c>
    </row>
    <row r="36" spans="1:49" ht="21" customHeight="1">
      <c r="A36" s="234" t="s">
        <v>293</v>
      </c>
      <c r="B36" s="229" t="s">
        <v>2108</v>
      </c>
      <c r="C36" s="45" t="s">
        <v>14</v>
      </c>
      <c r="D36" s="46" t="s">
        <v>614</v>
      </c>
      <c r="E36" s="52" t="s">
        <v>572</v>
      </c>
      <c r="F36" s="46">
        <v>45917</v>
      </c>
      <c r="G36" s="49">
        <f t="shared" si="0"/>
        <v>0</v>
      </c>
      <c r="H36" s="77">
        <f>SUMIF(积分汇总!$B:$B,D35,积分汇总!$E:$E)</f>
        <v>0</v>
      </c>
      <c r="I36" s="77">
        <f>SUMIF(记录巡查问题条数汇总!$B:$B,D35,记录巡查问题条数汇总!$E:$E)</f>
        <v>0</v>
      </c>
      <c r="J36" s="77"/>
      <c r="K36" s="77">
        <f>SUMIF(安全质量事故!$B:$B,D35,安全质量事故!$G:$G)</f>
        <v>0</v>
      </c>
      <c r="L36" s="72">
        <f>COUNTIF(M36:AQ36,标准数据!$A$2)*标准数据!$B$2+COUNTIF(M36:AQ36,标准数据!$A$3)*标准数据!$B$3+COUNTIF(M36:AQ36,标准数据!$A$4)*标准数据!$B$4</f>
        <v>0</v>
      </c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188"/>
      <c r="AR36" s="90"/>
      <c r="AV36" s="76" t="str">
        <f>VLOOKUP(E36,[1]生产部!$C:$I,7,0)</f>
        <v>班组</v>
      </c>
      <c r="AW36" s="41" t="str">
        <f>VLOOKUP(E36,[1]生产部!$C:$I,6,0)</f>
        <v>4号楼1&amp;2车间</v>
      </c>
    </row>
    <row r="37" spans="1:49" ht="21" customHeight="1">
      <c r="A37" s="234" t="s">
        <v>293</v>
      </c>
      <c r="B37" s="229" t="s">
        <v>2108</v>
      </c>
      <c r="C37" s="45" t="s">
        <v>14</v>
      </c>
      <c r="D37" s="46" t="s">
        <v>743</v>
      </c>
      <c r="E37" s="52" t="s">
        <v>679</v>
      </c>
      <c r="F37" s="46">
        <v>45971</v>
      </c>
      <c r="G37" s="49">
        <f t="shared" si="0"/>
        <v>0</v>
      </c>
      <c r="H37" s="77">
        <f>SUMIF(积分汇总!$B:$B,D36,积分汇总!$E:$E)</f>
        <v>0</v>
      </c>
      <c r="I37" s="77">
        <f>SUMIF(记录巡查问题条数汇总!$B:$B,D36,记录巡查问题条数汇总!$E:$E)</f>
        <v>0</v>
      </c>
      <c r="J37" s="77"/>
      <c r="K37" s="77">
        <f>SUMIF(安全质量事故!$B:$B,D36,安全质量事故!$G:$G)</f>
        <v>0</v>
      </c>
      <c r="L37" s="72">
        <f>COUNTIF(M37:AQ37,标准数据!$A$2)*标准数据!$B$2+COUNTIF(M37:AQ37,标准数据!$A$3)*标准数据!$B$3+COUNTIF(M37:AQ37,标准数据!$A$4)*标准数据!$B$4</f>
        <v>0</v>
      </c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188"/>
      <c r="AR37" s="90"/>
      <c r="AV37" s="76" t="str">
        <f>VLOOKUP(E37,[1]生产部!$C:$I,7,0)</f>
        <v>常白</v>
      </c>
      <c r="AW37" s="41" t="str">
        <f>VLOOKUP(E37,[1]生产部!$C:$I,6,0)</f>
        <v>4号楼1&amp;2车间</v>
      </c>
    </row>
    <row r="38" spans="1:49" ht="21" customHeight="1">
      <c r="A38" s="234" t="s">
        <v>293</v>
      </c>
      <c r="B38" s="229" t="s">
        <v>2108</v>
      </c>
      <c r="C38" s="45" t="s">
        <v>14</v>
      </c>
      <c r="D38" s="46" t="s">
        <v>917</v>
      </c>
      <c r="E38" s="52" t="s">
        <v>877</v>
      </c>
      <c r="F38" s="46">
        <v>46036</v>
      </c>
      <c r="G38" s="49">
        <f t="shared" si="0"/>
        <v>0</v>
      </c>
      <c r="H38" s="77">
        <f>SUMIF(积分汇总!$B:$B,,积分汇总!$E:$E)</f>
        <v>0</v>
      </c>
      <c r="I38" s="77">
        <f>SUMIF(记录巡查问题条数汇总!$B:$B,,记录巡查问题条数汇总!$E:$E)</f>
        <v>0</v>
      </c>
      <c r="J38" s="77"/>
      <c r="K38" s="77">
        <f>SUMIF(安全质量事故!$B:$B,,安全质量事故!$G:$G)</f>
        <v>0</v>
      </c>
      <c r="L38" s="72">
        <f>COUNTIF(M38:AQ38,标准数据!$A$2)*标准数据!$B$2+COUNTIF(M38:AQ38,标准数据!$A$3)*标准数据!$B$3+COUNTIF(M38:AQ38,标准数据!$A$4)*标准数据!$B$4</f>
        <v>0</v>
      </c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188"/>
      <c r="AR38" s="90"/>
      <c r="AV38" s="76" t="str">
        <f>VLOOKUP(E38,[1]生产部!$C:$I,7,0)</f>
        <v>班组</v>
      </c>
      <c r="AW38" s="41" t="str">
        <f>VLOOKUP(E38,[1]生产部!$C:$I,6,0)</f>
        <v>4号楼1&amp;2车间</v>
      </c>
    </row>
    <row r="39" spans="1:49" ht="21" customHeight="1">
      <c r="A39" s="234" t="s">
        <v>293</v>
      </c>
      <c r="B39" s="229" t="s">
        <v>2108</v>
      </c>
      <c r="C39" s="45" t="s">
        <v>14</v>
      </c>
      <c r="D39" s="46" t="s">
        <v>977</v>
      </c>
      <c r="E39" s="52" t="s">
        <v>949</v>
      </c>
      <c r="F39" s="46">
        <v>45728</v>
      </c>
      <c r="G39" s="49">
        <f t="shared" si="0"/>
        <v>0</v>
      </c>
      <c r="H39" s="77">
        <f>SUMIF(积分汇总!$B:$B,D38,积分汇总!$E:$E)</f>
        <v>0</v>
      </c>
      <c r="I39" s="77">
        <f>SUMIF(记录巡查问题条数汇总!$B:$B,D38,记录巡查问题条数汇总!$E:$E)</f>
        <v>0</v>
      </c>
      <c r="J39" s="77"/>
      <c r="K39" s="77">
        <f>SUMIF(安全质量事故!$B:$B,D38,安全质量事故!$G:$G)</f>
        <v>0</v>
      </c>
      <c r="L39" s="72">
        <f>COUNTIF(M39:AQ39,标准数据!$A$2)*标准数据!$B$2+COUNTIF(M39:AQ39,标准数据!$A$3)*标准数据!$B$3+COUNTIF(M39:AQ39,标准数据!$A$4)*标准数据!$B$4</f>
        <v>0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188"/>
      <c r="AR39" s="90"/>
      <c r="AV39" s="76" t="str">
        <f>VLOOKUP(E39,[1]生产部!$C:$I,7,0)</f>
        <v>班组</v>
      </c>
      <c r="AW39" s="41" t="str">
        <f>VLOOKUP(E39,[1]生产部!$C:$I,6,0)</f>
        <v>4号楼1&amp;2车间</v>
      </c>
    </row>
    <row r="40" spans="1:49" ht="21" customHeight="1">
      <c r="A40" s="234" t="s">
        <v>293</v>
      </c>
      <c r="B40" s="229" t="s">
        <v>2108</v>
      </c>
      <c r="C40" s="45" t="s">
        <v>14</v>
      </c>
      <c r="D40" s="46" t="s">
        <v>978</v>
      </c>
      <c r="E40" s="52" t="s">
        <v>950</v>
      </c>
      <c r="F40" s="46">
        <v>41828</v>
      </c>
      <c r="G40" s="49">
        <f t="shared" si="0"/>
        <v>0</v>
      </c>
      <c r="H40" s="77">
        <f>SUMIF(积分汇总!$B:$B,D39,积分汇总!$E:$E)</f>
        <v>0</v>
      </c>
      <c r="I40" s="77">
        <f>SUMIF(记录巡查问题条数汇总!$B:$B,D39,记录巡查问题条数汇总!$E:$E)</f>
        <v>0</v>
      </c>
      <c r="J40" s="77"/>
      <c r="K40" s="77">
        <f>SUMIF(安全质量事故!$B:$B,D39,安全质量事故!$G:$G)</f>
        <v>0</v>
      </c>
      <c r="L40" s="72">
        <f>COUNTIF(M40:AQ40,标准数据!$A$2)*标准数据!$B$2+COUNTIF(M40:AQ40,标准数据!$A$3)*标准数据!$B$3+COUNTIF(M40:AQ40,标准数据!$A$4)*标准数据!$B$4</f>
        <v>0</v>
      </c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188"/>
      <c r="AR40" s="90"/>
      <c r="AV40" s="76" t="str">
        <f>VLOOKUP(E40,[1]生产部!$C:$I,7,0)</f>
        <v>班组</v>
      </c>
      <c r="AW40" s="41" t="str">
        <f>VLOOKUP(E40,[1]生产部!$C:$I,6,0)</f>
        <v>4号楼1&amp;2车间</v>
      </c>
    </row>
    <row r="41" spans="1:49" ht="21" customHeight="1">
      <c r="A41" s="234" t="s">
        <v>293</v>
      </c>
      <c r="B41" s="229" t="s">
        <v>2108</v>
      </c>
      <c r="C41" s="45" t="s">
        <v>14</v>
      </c>
      <c r="D41" s="46" t="s">
        <v>979</v>
      </c>
      <c r="E41" s="52" t="s">
        <v>962</v>
      </c>
      <c r="F41" s="46">
        <v>45980</v>
      </c>
      <c r="G41" s="49">
        <f t="shared" si="0"/>
        <v>0</v>
      </c>
      <c r="H41" s="77">
        <f>SUMIF(积分汇总!$B:$B,D40,积分汇总!$E:$E)</f>
        <v>0</v>
      </c>
      <c r="I41" s="77">
        <f>SUMIF(记录巡查问题条数汇总!$B:$B,D40,记录巡查问题条数汇总!$E:$E)</f>
        <v>0</v>
      </c>
      <c r="J41" s="77"/>
      <c r="K41" s="77">
        <f>SUMIF(安全质量事故!$B:$B,D40,安全质量事故!$G:$G)</f>
        <v>0</v>
      </c>
      <c r="L41" s="72">
        <f>COUNTIF(M41:AQ41,标准数据!$A$2)*标准数据!$B$2+COUNTIF(M41:AQ41,标准数据!$A$3)*标准数据!$B$3+COUNTIF(M41:AQ41,标准数据!$A$4)*标准数据!$B$4</f>
        <v>0</v>
      </c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188"/>
      <c r="AR41" s="90"/>
      <c r="AV41" s="76" t="str">
        <f>VLOOKUP(E41,[1]生产部!$C:$I,7,0)</f>
        <v>班组</v>
      </c>
      <c r="AW41" s="41" t="str">
        <f>VLOOKUP(E41,[1]生产部!$C:$I,6,0)</f>
        <v>4号楼1&amp;2车间</v>
      </c>
    </row>
    <row r="42" spans="1:49" ht="21" customHeight="1">
      <c r="A42" s="234" t="s">
        <v>293</v>
      </c>
      <c r="B42" s="229" t="s">
        <v>2108</v>
      </c>
      <c r="C42" s="45" t="s">
        <v>14</v>
      </c>
      <c r="D42" s="46" t="s">
        <v>980</v>
      </c>
      <c r="E42" s="52" t="s">
        <v>963</v>
      </c>
      <c r="F42" s="46">
        <v>45980</v>
      </c>
      <c r="G42" s="49">
        <f t="shared" si="0"/>
        <v>0</v>
      </c>
      <c r="H42" s="77">
        <f>SUMIF(积分汇总!$B:$B,D41,积分汇总!$E:$E)</f>
        <v>0</v>
      </c>
      <c r="I42" s="77">
        <f>SUMIF(记录巡查问题条数汇总!$B:$B,D41,记录巡查问题条数汇总!$E:$E)</f>
        <v>0</v>
      </c>
      <c r="J42" s="77"/>
      <c r="K42" s="77">
        <f>SUMIF(安全质量事故!$B:$B,D41,安全质量事故!$G:$G)</f>
        <v>0</v>
      </c>
      <c r="L42" s="72">
        <f>COUNTIF(M42:AQ42,标准数据!$A$2)*标准数据!$B$2+COUNTIF(M42:AQ42,标准数据!$A$3)*标准数据!$B$3+COUNTIF(M42:AQ42,标准数据!$A$4)*标准数据!$B$4</f>
        <v>0</v>
      </c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188"/>
      <c r="AR42" s="90"/>
      <c r="AV42" s="76" t="str">
        <f>VLOOKUP(E42,[1]生产部!$C:$I,7,0)</f>
        <v>班组</v>
      </c>
      <c r="AW42" s="41" t="str">
        <f>VLOOKUP(E42,[1]生产部!$C:$I,6,0)</f>
        <v>4号楼1&amp;2车间</v>
      </c>
    </row>
    <row r="43" spans="1:49" ht="21" customHeight="1">
      <c r="A43" s="234" t="s">
        <v>293</v>
      </c>
      <c r="B43" s="229" t="s">
        <v>2108</v>
      </c>
      <c r="C43" s="45" t="s">
        <v>14</v>
      </c>
      <c r="D43" s="46" t="s">
        <v>981</v>
      </c>
      <c r="E43" s="52" t="s">
        <v>964</v>
      </c>
      <c r="F43" s="46">
        <v>45980</v>
      </c>
      <c r="G43" s="49">
        <f t="shared" si="0"/>
        <v>0</v>
      </c>
      <c r="H43" s="77">
        <f>SUMIF(积分汇总!$B:$B,D42,积分汇总!$E:$E)</f>
        <v>0</v>
      </c>
      <c r="I43" s="77">
        <f>SUMIF(记录巡查问题条数汇总!$B:$B,D42,记录巡查问题条数汇总!$E:$E)</f>
        <v>0</v>
      </c>
      <c r="J43" s="77"/>
      <c r="K43" s="77">
        <f>SUMIF(安全质量事故!$B:$B,D42,安全质量事故!$G:$G)</f>
        <v>0</v>
      </c>
      <c r="L43" s="72">
        <f>COUNTIF(M43:AQ43,标准数据!$A$2)*标准数据!$B$2+COUNTIF(M43:AQ43,标准数据!$A$3)*标准数据!$B$3+COUNTIF(M43:AQ43,标准数据!$A$4)*标准数据!$B$4</f>
        <v>0</v>
      </c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188"/>
      <c r="AR43" s="90"/>
      <c r="AV43" s="76" t="str">
        <f>VLOOKUP(E43,[1]生产部!$C:$I,7,0)</f>
        <v>班组</v>
      </c>
      <c r="AW43" s="41" t="str">
        <f>VLOOKUP(E43,[1]生产部!$C:$I,6,0)</f>
        <v>4号楼1&amp;2车间</v>
      </c>
    </row>
    <row r="44" spans="1:49" ht="21" customHeight="1">
      <c r="A44" s="234" t="s">
        <v>293</v>
      </c>
      <c r="B44" s="229" t="s">
        <v>2108</v>
      </c>
      <c r="C44" s="45" t="s">
        <v>14</v>
      </c>
      <c r="D44" s="46" t="s">
        <v>974</v>
      </c>
      <c r="E44" s="52" t="s">
        <v>954</v>
      </c>
      <c r="F44" s="46">
        <v>46006</v>
      </c>
      <c r="G44" s="49">
        <f t="shared" si="0"/>
        <v>0</v>
      </c>
      <c r="H44" s="77">
        <f>SUMIF(积分汇总!$B:$B,D43,积分汇总!$E:$E)</f>
        <v>0</v>
      </c>
      <c r="I44" s="77">
        <f>SUMIF(记录巡查问题条数汇总!$B:$B,D43,记录巡查问题条数汇总!$E:$E)</f>
        <v>0</v>
      </c>
      <c r="J44" s="77"/>
      <c r="K44" s="77">
        <f>SUMIF(安全质量事故!$B:$B,D43,安全质量事故!$G:$G)</f>
        <v>0</v>
      </c>
      <c r="L44" s="72">
        <f>COUNTIF(M44:AQ44,标准数据!$A$2)*标准数据!$B$2+COUNTIF(M44:AQ44,标准数据!$A$3)*标准数据!$B$3+COUNTIF(M44:AQ44,标准数据!$A$4)*标准数据!$B$4</f>
        <v>0</v>
      </c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188"/>
      <c r="AR44" s="90"/>
      <c r="AV44" s="76" t="str">
        <f>VLOOKUP(E44,[1]生产部!$C:$I,7,0)</f>
        <v>班组</v>
      </c>
      <c r="AW44" s="41" t="str">
        <f>VLOOKUP(E44,[1]生产部!$C:$I,6,0)</f>
        <v>4号楼1&amp;2车间</v>
      </c>
    </row>
    <row r="45" spans="1:49" ht="21" customHeight="1">
      <c r="A45" s="234" t="s">
        <v>293</v>
      </c>
      <c r="B45" s="229" t="s">
        <v>2108</v>
      </c>
      <c r="C45" s="45" t="s">
        <v>14</v>
      </c>
      <c r="D45" s="46" t="s">
        <v>1000</v>
      </c>
      <c r="E45" s="47" t="s">
        <v>1001</v>
      </c>
      <c r="F45" s="48">
        <v>46097</v>
      </c>
      <c r="G45" s="49">
        <f t="shared" si="0"/>
        <v>0</v>
      </c>
      <c r="H45" s="77">
        <f>SUMIF(积分汇总!$B:$B,D44,积分汇总!$E:$E)</f>
        <v>0</v>
      </c>
      <c r="I45" s="77">
        <f>SUMIF(记录巡查问题条数汇总!$B:$B,D44,记录巡查问题条数汇总!$E:$E)</f>
        <v>0</v>
      </c>
      <c r="J45" s="77"/>
      <c r="K45" s="77">
        <f>SUMIF(安全质量事故!$B:$B,D44,安全质量事故!$G:$G)</f>
        <v>0</v>
      </c>
      <c r="L45" s="72">
        <f>COUNTIF(M45:AQ45,标准数据!$A$2)*标准数据!$B$2+COUNTIF(M45:AQ45,标准数据!$A$3)*标准数据!$B$3+COUNTIF(M45:AQ45,标准数据!$A$4)*标准数据!$B$4</f>
        <v>0</v>
      </c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188"/>
      <c r="AR45" s="90"/>
      <c r="AV45" s="76" t="str">
        <f>VLOOKUP(E45,[1]生产部!$C:$I,7,0)</f>
        <v>班组</v>
      </c>
      <c r="AW45" s="41" t="str">
        <f>VLOOKUP(E45,[1]生产部!$C:$I,6,0)</f>
        <v>4号楼1&amp;2车间</v>
      </c>
    </row>
    <row r="46" spans="1:49" ht="21" customHeight="1">
      <c r="A46" s="234" t="s">
        <v>293</v>
      </c>
      <c r="B46" s="229" t="s">
        <v>2108</v>
      </c>
      <c r="C46" s="45" t="s">
        <v>14</v>
      </c>
      <c r="D46" s="46" t="s">
        <v>1218</v>
      </c>
      <c r="E46" s="52" t="s">
        <v>1219</v>
      </c>
      <c r="F46" s="46">
        <v>46120</v>
      </c>
      <c r="G46" s="49">
        <f t="shared" si="0"/>
        <v>0</v>
      </c>
      <c r="H46" s="77">
        <f>SUMIF(积分汇总!$B:$B,D45,积分汇总!$E:$E)</f>
        <v>0</v>
      </c>
      <c r="I46" s="77">
        <f>SUMIF(记录巡查问题条数汇总!$B:$B,D45,记录巡查问题条数汇总!$E:$E)</f>
        <v>0</v>
      </c>
      <c r="J46" s="77"/>
      <c r="K46" s="77">
        <f>SUMIF(安全质量事故!$B:$B,D45,安全质量事故!$G:$G)</f>
        <v>0</v>
      </c>
      <c r="L46" s="72">
        <f>COUNTIF(M46:AQ46,标准数据!$A$2)*标准数据!$B$2+COUNTIF(M46:AQ46,标准数据!$A$3)*标准数据!$B$3+COUNTIF(M46:AQ46,标准数据!$A$4)*标准数据!$B$4</f>
        <v>0</v>
      </c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188"/>
      <c r="AR46" s="90"/>
      <c r="AV46" s="76" t="str">
        <f>VLOOKUP(E46,[1]生产部!$C:$I,7,0)</f>
        <v>常白</v>
      </c>
      <c r="AW46" s="41" t="str">
        <f>VLOOKUP(E46,[1]生产部!$C:$I,6,0)</f>
        <v>4号楼1&amp;2车间</v>
      </c>
    </row>
    <row r="47" spans="1:49" ht="21" customHeight="1">
      <c r="A47" s="234" t="s">
        <v>293</v>
      </c>
      <c r="B47" s="229" t="s">
        <v>2108</v>
      </c>
      <c r="C47" s="45" t="s">
        <v>14</v>
      </c>
      <c r="D47" s="46" t="s">
        <v>1220</v>
      </c>
      <c r="E47" s="52" t="s">
        <v>1221</v>
      </c>
      <c r="F47" s="46">
        <v>46120</v>
      </c>
      <c r="G47" s="49">
        <f t="shared" si="0"/>
        <v>0</v>
      </c>
      <c r="H47" s="77">
        <f>SUMIF(积分汇总!$B:$B,D46,积分汇总!$E:$E)</f>
        <v>0</v>
      </c>
      <c r="I47" s="77">
        <f>SUMIF(记录巡查问题条数汇总!$B:$B,D46,记录巡查问题条数汇总!$E:$E)</f>
        <v>0</v>
      </c>
      <c r="J47" s="77"/>
      <c r="K47" s="77">
        <f>SUMIF(安全质量事故!$B:$B,D46,安全质量事故!$G:$G)</f>
        <v>0</v>
      </c>
      <c r="L47" s="72">
        <f>COUNTIF(M47:AQ47,标准数据!$A$2)*标准数据!$B$2+COUNTIF(M47:AQ47,标准数据!$A$3)*标准数据!$B$3+COUNTIF(M47:AQ47,标准数据!$A$4)*标准数据!$B$4</f>
        <v>0</v>
      </c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188"/>
      <c r="AR47" s="90"/>
      <c r="AV47" s="76" t="str">
        <f>VLOOKUP(E47,[1]生产部!$C:$I,7,0)</f>
        <v>班组</v>
      </c>
      <c r="AW47" s="41" t="str">
        <f>VLOOKUP(E47,[1]生产部!$C:$I,6,0)</f>
        <v>4号楼1&amp;2车间</v>
      </c>
    </row>
    <row r="48" spans="1:49" ht="21" customHeight="1">
      <c r="A48" s="234" t="s">
        <v>293</v>
      </c>
      <c r="B48" s="229" t="s">
        <v>2108</v>
      </c>
      <c r="C48" s="45" t="s">
        <v>14</v>
      </c>
      <c r="D48" s="46" t="s">
        <v>1222</v>
      </c>
      <c r="E48" s="52" t="s">
        <v>1223</v>
      </c>
      <c r="F48" s="46">
        <v>46120</v>
      </c>
      <c r="G48" s="49">
        <f t="shared" si="0"/>
        <v>0</v>
      </c>
      <c r="H48" s="77">
        <f>SUMIF(积分汇总!$B:$B,D47,积分汇总!$E:$E)</f>
        <v>0</v>
      </c>
      <c r="I48" s="77">
        <f>SUMIF(记录巡查问题条数汇总!$B:$B,D47,记录巡查问题条数汇总!$E:$E)</f>
        <v>0</v>
      </c>
      <c r="J48" s="77"/>
      <c r="K48" s="77">
        <f>SUMIF(安全质量事故!$B:$B,D47,安全质量事故!$G:$G)</f>
        <v>0</v>
      </c>
      <c r="L48" s="72">
        <f>COUNTIF(M48:AQ48,标准数据!$A$2)*标准数据!$B$2+COUNTIF(M48:AQ48,标准数据!$A$3)*标准数据!$B$3+COUNTIF(M48:AQ48,标准数据!$A$4)*标准数据!$B$4</f>
        <v>0</v>
      </c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188"/>
      <c r="AR48" s="90"/>
      <c r="AV48" s="76" t="str">
        <f>VLOOKUP(E48,[1]生产部!$C:$I,7,0)</f>
        <v>班组</v>
      </c>
      <c r="AW48" s="41" t="str">
        <f>VLOOKUP(E48,[1]生产部!$C:$I,6,0)</f>
        <v>4号楼1&amp;2车间</v>
      </c>
    </row>
    <row r="49" spans="1:49" ht="21" customHeight="1">
      <c r="A49" s="234" t="s">
        <v>293</v>
      </c>
      <c r="B49" s="229" t="s">
        <v>2108</v>
      </c>
      <c r="C49" s="45" t="s">
        <v>14</v>
      </c>
      <c r="D49" s="46" t="s">
        <v>1224</v>
      </c>
      <c r="E49" s="52" t="s">
        <v>1225</v>
      </c>
      <c r="F49" s="46">
        <v>46120</v>
      </c>
      <c r="G49" s="49">
        <f t="shared" si="0"/>
        <v>0</v>
      </c>
      <c r="H49" s="77">
        <f>SUMIF(积分汇总!$B:$B,D48,积分汇总!$E:$E)</f>
        <v>0</v>
      </c>
      <c r="I49" s="77">
        <f>SUMIF(记录巡查问题条数汇总!$B:$B,D48,记录巡查问题条数汇总!$E:$E)</f>
        <v>0</v>
      </c>
      <c r="J49" s="77"/>
      <c r="K49" s="77">
        <f>SUMIF(安全质量事故!$B:$B,D48,安全质量事故!$G:$G)</f>
        <v>0</v>
      </c>
      <c r="L49" s="72">
        <f>COUNTIF(M49:AQ49,标准数据!$A$2)*标准数据!$B$2+COUNTIF(M49:AQ49,标准数据!$A$3)*标准数据!$B$3+COUNTIF(M49:AQ49,标准数据!$A$4)*标准数据!$B$4</f>
        <v>0</v>
      </c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188"/>
      <c r="AR49" s="90"/>
      <c r="AV49" s="76" t="str">
        <f>VLOOKUP(E49,[1]生产部!$C:$I,7,0)</f>
        <v>常白</v>
      </c>
      <c r="AW49" s="41" t="str">
        <f>VLOOKUP(E49,[1]生产部!$C:$I,6,0)</f>
        <v>4号楼1&amp;2车间</v>
      </c>
    </row>
    <row r="50" spans="1:49" ht="21" customHeight="1">
      <c r="A50" s="234" t="s">
        <v>293</v>
      </c>
      <c r="B50" s="229" t="s">
        <v>2108</v>
      </c>
      <c r="C50" s="45" t="s">
        <v>14</v>
      </c>
      <c r="D50" s="46" t="s">
        <v>1226</v>
      </c>
      <c r="E50" s="52" t="s">
        <v>1227</v>
      </c>
      <c r="F50" s="46">
        <v>46125</v>
      </c>
      <c r="G50" s="49">
        <f t="shared" si="0"/>
        <v>0</v>
      </c>
      <c r="H50" s="77">
        <f>SUMIF(积分汇总!$B:$B,D49,积分汇总!$E:$E)</f>
        <v>0</v>
      </c>
      <c r="I50" s="77">
        <f>SUMIF(记录巡查问题条数汇总!$B:$B,D49,记录巡查问题条数汇总!$E:$E)</f>
        <v>0</v>
      </c>
      <c r="J50" s="77"/>
      <c r="K50" s="77">
        <f>SUMIF(安全质量事故!$B:$B,D49,安全质量事故!$G:$G)</f>
        <v>0</v>
      </c>
      <c r="L50" s="72">
        <f>COUNTIF(M50:AQ50,标准数据!$A$2)*标准数据!$B$2+COUNTIF(M50:AQ50,标准数据!$A$3)*标准数据!$B$3+COUNTIF(M50:AQ50,标准数据!$A$4)*标准数据!$B$4</f>
        <v>0</v>
      </c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188"/>
      <c r="AR50" s="90"/>
      <c r="AV50" s="76" t="str">
        <f>VLOOKUP(E50,[1]生产部!$C:$I,7,0)</f>
        <v>班组</v>
      </c>
      <c r="AW50" s="41" t="str">
        <f>VLOOKUP(E50,[1]生产部!$C:$I,6,0)</f>
        <v>4号楼1&amp;2车间</v>
      </c>
    </row>
    <row r="51" spans="1:49" ht="21" customHeight="1">
      <c r="A51" s="234" t="s">
        <v>293</v>
      </c>
      <c r="B51" s="229" t="s">
        <v>2108</v>
      </c>
      <c r="C51" s="45" t="s">
        <v>14</v>
      </c>
      <c r="D51" s="46" t="s">
        <v>1230</v>
      </c>
      <c r="E51" s="47" t="s">
        <v>1231</v>
      </c>
      <c r="F51" s="48">
        <v>46127</v>
      </c>
      <c r="G51" s="49">
        <f t="shared" si="0"/>
        <v>0</v>
      </c>
      <c r="H51" s="77">
        <f>SUMIF(积分汇总!$B:$B,D50,积分汇总!$E:$E)</f>
        <v>0</v>
      </c>
      <c r="I51" s="77">
        <f>SUMIF(记录巡查问题条数汇总!$B:$B,D50,记录巡查问题条数汇总!$E:$E)</f>
        <v>0</v>
      </c>
      <c r="J51" s="77"/>
      <c r="K51" s="77">
        <f>SUMIF(安全质量事故!$B:$B,D50,安全质量事故!$G:$G)</f>
        <v>0</v>
      </c>
      <c r="L51" s="72">
        <f>COUNTIF(M51:AQ51,标准数据!$A$2)*标准数据!$B$2+COUNTIF(M51:AQ51,标准数据!$A$3)*标准数据!$B$3+COUNTIF(M51:AQ51,标准数据!$A$4)*标准数据!$B$4</f>
        <v>0</v>
      </c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188"/>
      <c r="AR51" s="90"/>
      <c r="AV51" s="76" t="str">
        <f>VLOOKUP(E51,[1]生产部!$C:$I,7,0)</f>
        <v>班组</v>
      </c>
      <c r="AW51" s="41" t="str">
        <f>VLOOKUP(E51,[1]生产部!$C:$I,6,0)</f>
        <v>4号楼1&amp;2车间</v>
      </c>
    </row>
    <row r="52" spans="1:49" ht="21" customHeight="1">
      <c r="A52" s="234" t="s">
        <v>293</v>
      </c>
      <c r="B52" s="229" t="s">
        <v>2108</v>
      </c>
      <c r="C52" s="45" t="s">
        <v>14</v>
      </c>
      <c r="D52" s="46" t="s">
        <v>1232</v>
      </c>
      <c r="E52" s="47" t="s">
        <v>1233</v>
      </c>
      <c r="F52" s="48">
        <v>46127</v>
      </c>
      <c r="G52" s="49">
        <f t="shared" si="0"/>
        <v>0</v>
      </c>
      <c r="H52" s="77">
        <f>SUMIF(积分汇总!$B:$B,D51,积分汇总!$E:$E)</f>
        <v>0</v>
      </c>
      <c r="I52" s="77">
        <f>SUMIF(记录巡查问题条数汇总!$B:$B,D51,记录巡查问题条数汇总!$E:$E)</f>
        <v>0</v>
      </c>
      <c r="J52" s="77"/>
      <c r="K52" s="77">
        <f>SUMIF(安全质量事故!$B:$B,D51,安全质量事故!$G:$G)</f>
        <v>0</v>
      </c>
      <c r="L52" s="72">
        <f>COUNTIF(M52:AQ52,标准数据!$A$2)*标准数据!$B$2+COUNTIF(M52:AQ52,标准数据!$A$3)*标准数据!$B$3+COUNTIF(M52:AQ52,标准数据!$A$4)*标准数据!$B$4</f>
        <v>0</v>
      </c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188"/>
      <c r="AR52" s="90"/>
      <c r="AV52" s="76" t="str">
        <f>VLOOKUP(E52,[1]生产部!$C:$I,7,0)</f>
        <v>班组</v>
      </c>
      <c r="AW52" s="41" t="str">
        <f>VLOOKUP(E52,[1]生产部!$C:$I,6,0)</f>
        <v>4号楼1&amp;2车间</v>
      </c>
    </row>
    <row r="53" spans="1:49" ht="21" customHeight="1">
      <c r="A53" s="234" t="s">
        <v>293</v>
      </c>
      <c r="B53" s="229" t="s">
        <v>2108</v>
      </c>
      <c r="C53" s="45" t="s">
        <v>14</v>
      </c>
      <c r="D53" s="46" t="s">
        <v>1494</v>
      </c>
      <c r="E53" s="47" t="s">
        <v>1495</v>
      </c>
      <c r="F53" s="48">
        <v>46169</v>
      </c>
      <c r="G53" s="49">
        <f t="shared" si="0"/>
        <v>0</v>
      </c>
      <c r="H53" s="77">
        <f>SUMIF(积分汇总!$B:$B,D52,积分汇总!$E:$E)</f>
        <v>0</v>
      </c>
      <c r="I53" s="77">
        <f>SUMIF(记录巡查问题条数汇总!$B:$B,D52,记录巡查问题条数汇总!$E:$E)</f>
        <v>0</v>
      </c>
      <c r="J53" s="77"/>
      <c r="K53" s="77">
        <f>SUMIF(安全质量事故!$B:$B,D52,安全质量事故!$G:$G)</f>
        <v>0</v>
      </c>
      <c r="L53" s="72">
        <f>COUNTIF(M53:AQ53,标准数据!$A$2)*标准数据!$B$2+COUNTIF(M53:AQ53,标准数据!$A$3)*标准数据!$B$3+COUNTIF(M53:AQ53,标准数据!$A$4)*标准数据!$B$4</f>
        <v>0</v>
      </c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188"/>
      <c r="AR53" s="90"/>
      <c r="AV53" s="76" t="str">
        <f>VLOOKUP(E53,[1]生产部!$C:$I,7,0)</f>
        <v>常白</v>
      </c>
      <c r="AW53" s="41" t="str">
        <f>VLOOKUP(E53,[1]生产部!$C:$I,6,0)</f>
        <v>4号楼1&amp;2车间</v>
      </c>
    </row>
    <row r="54" spans="1:49" ht="21" customHeight="1">
      <c r="A54" s="234" t="s">
        <v>293</v>
      </c>
      <c r="B54" s="229" t="s">
        <v>2108</v>
      </c>
      <c r="C54" s="45" t="s">
        <v>14</v>
      </c>
      <c r="D54" s="46" t="s">
        <v>1496</v>
      </c>
      <c r="E54" s="47" t="s">
        <v>1497</v>
      </c>
      <c r="F54" s="48">
        <v>46169</v>
      </c>
      <c r="G54" s="49">
        <f t="shared" si="0"/>
        <v>0</v>
      </c>
      <c r="H54" s="77">
        <f>SUMIF(积分汇总!$B:$B,D53,积分汇总!$E:$E)</f>
        <v>0</v>
      </c>
      <c r="I54" s="77">
        <f>SUMIF(记录巡查问题条数汇总!$B:$B,D53,记录巡查问题条数汇总!$E:$E)</f>
        <v>0</v>
      </c>
      <c r="J54" s="77"/>
      <c r="K54" s="77">
        <f>SUMIF(安全质量事故!$B:$B,D53,安全质量事故!$G:$G)</f>
        <v>0</v>
      </c>
      <c r="L54" s="72">
        <f>COUNTIF(M54:AQ54,标准数据!$A$2)*标准数据!$B$2+COUNTIF(M54:AQ54,标准数据!$A$3)*标准数据!$B$3+COUNTIF(M54:AQ54,标准数据!$A$4)*标准数据!$B$4</f>
        <v>0</v>
      </c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188"/>
      <c r="AR54" s="90"/>
      <c r="AV54" s="76" t="str">
        <f>VLOOKUP(E54,[1]生产部!$C:$I,7,0)</f>
        <v>常白</v>
      </c>
      <c r="AW54" s="41" t="str">
        <f>VLOOKUP(E54,[1]生产部!$C:$I,6,0)</f>
        <v>4号楼1&amp;2车间</v>
      </c>
    </row>
    <row r="55" spans="1:49" ht="21" customHeight="1">
      <c r="A55" s="234" t="s">
        <v>293</v>
      </c>
      <c r="B55" s="229" t="s">
        <v>2108</v>
      </c>
      <c r="C55" s="45" t="s">
        <v>14</v>
      </c>
      <c r="D55" s="46" t="s">
        <v>1498</v>
      </c>
      <c r="E55" s="47" t="s">
        <v>1499</v>
      </c>
      <c r="F55" s="48">
        <v>46169</v>
      </c>
      <c r="G55" s="49">
        <f t="shared" si="0"/>
        <v>0</v>
      </c>
      <c r="H55" s="77">
        <f>SUMIF(积分汇总!$B:$B,D54,积分汇总!$E:$E)</f>
        <v>0</v>
      </c>
      <c r="I55" s="77">
        <f>SUMIF(记录巡查问题条数汇总!$B:$B,D54,记录巡查问题条数汇总!$E:$E)</f>
        <v>0</v>
      </c>
      <c r="J55" s="77"/>
      <c r="K55" s="77">
        <f>SUMIF(安全质量事故!$B:$B,D54,安全质量事故!$G:$G)</f>
        <v>0</v>
      </c>
      <c r="L55" s="72">
        <f>COUNTIF(M55:AQ55,标准数据!$A$2)*标准数据!$B$2+COUNTIF(M55:AQ55,标准数据!$A$3)*标准数据!$B$3+COUNTIF(M55:AQ55,标准数据!$A$4)*标准数据!$B$4</f>
        <v>0</v>
      </c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188"/>
      <c r="AR55" s="90"/>
      <c r="AV55" s="76" t="str">
        <f>VLOOKUP(E55,[1]生产部!$C:$I,7,0)</f>
        <v>常白</v>
      </c>
      <c r="AW55" s="41" t="str">
        <f>VLOOKUP(E55,[1]生产部!$C:$I,6,0)</f>
        <v>4号楼1&amp;2车间</v>
      </c>
    </row>
    <row r="56" spans="1:49" ht="21" customHeight="1">
      <c r="A56" s="234" t="s">
        <v>293</v>
      </c>
      <c r="B56" s="229" t="s">
        <v>2108</v>
      </c>
      <c r="C56" s="45" t="s">
        <v>14</v>
      </c>
      <c r="D56" s="46" t="s">
        <v>1580</v>
      </c>
      <c r="E56" s="47" t="s">
        <v>1581</v>
      </c>
      <c r="F56" s="48">
        <v>46197</v>
      </c>
      <c r="G56" s="49">
        <f t="shared" si="0"/>
        <v>0</v>
      </c>
      <c r="H56" s="77">
        <f>SUMIF(积分汇总!$B:$B,D55,积分汇总!$E:$E)</f>
        <v>0</v>
      </c>
      <c r="I56" s="77">
        <f>SUMIF(记录巡查问题条数汇总!$B:$B,D55,记录巡查问题条数汇总!$E:$E)</f>
        <v>0</v>
      </c>
      <c r="J56" s="77"/>
      <c r="K56" s="77">
        <f>SUMIF(安全质量事故!$B:$B,D55,安全质量事故!$G:$G)</f>
        <v>0</v>
      </c>
      <c r="L56" s="72">
        <f>COUNTIF(M56:AQ56,标准数据!$A$2)*标准数据!$B$2+COUNTIF(M56:AQ56,标准数据!$A$3)*标准数据!$B$3+COUNTIF(M56:AQ56,标准数据!$A$4)*标准数据!$B$4</f>
        <v>0</v>
      </c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188"/>
      <c r="AR56" s="90"/>
      <c r="AV56" s="76" t="str">
        <f>VLOOKUP(E56,[1]生产部!$C:$I,7,0)</f>
        <v>常白</v>
      </c>
      <c r="AW56" s="41" t="str">
        <f>VLOOKUP(E56,[1]生产部!$C:$I,6,0)</f>
        <v>4号楼1&amp;2车间</v>
      </c>
    </row>
    <row r="57" spans="1:49" ht="21" customHeight="1">
      <c r="A57" s="234" t="s">
        <v>293</v>
      </c>
      <c r="B57" s="229" t="s">
        <v>2108</v>
      </c>
      <c r="C57" s="45" t="s">
        <v>14</v>
      </c>
      <c r="D57" s="46" t="s">
        <v>1584</v>
      </c>
      <c r="E57" s="47" t="s">
        <v>1585</v>
      </c>
      <c r="F57" s="48">
        <v>46204</v>
      </c>
      <c r="G57" s="49">
        <f t="shared" si="0"/>
        <v>0</v>
      </c>
      <c r="H57" s="77">
        <f>SUMIF(积分汇总!$B:$B,,积分汇总!$E:$E)</f>
        <v>0</v>
      </c>
      <c r="I57" s="77">
        <f>SUMIF(记录巡查问题条数汇总!$B:$B,,记录巡查问题条数汇总!$E:$E)</f>
        <v>0</v>
      </c>
      <c r="J57" s="77"/>
      <c r="K57" s="77">
        <f>SUMIF(安全质量事故!$B:$B,,安全质量事故!$G:$G)</f>
        <v>0</v>
      </c>
      <c r="L57" s="72">
        <f>COUNTIF(M57:AQ57,标准数据!$A$2)*标准数据!$B$2+COUNTIF(M57:AQ57,标准数据!$A$3)*标准数据!$B$3+COUNTIF(M57:AQ57,标准数据!$A$4)*标准数据!$B$4</f>
        <v>0</v>
      </c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188"/>
      <c r="AR57" s="90"/>
      <c r="AV57" s="76" t="str">
        <f>VLOOKUP(E57,[1]生产部!$C:$I,7,0)</f>
        <v>常白</v>
      </c>
      <c r="AW57" s="41" t="str">
        <f>VLOOKUP(E57,[1]生产部!$C:$I,6,0)</f>
        <v>4号楼1&amp;2车间</v>
      </c>
    </row>
    <row r="58" spans="1:49" ht="21" customHeight="1">
      <c r="A58" s="234" t="s">
        <v>293</v>
      </c>
      <c r="B58" s="229" t="s">
        <v>2108</v>
      </c>
      <c r="C58" s="45" t="s">
        <v>14</v>
      </c>
      <c r="D58" s="46" t="s">
        <v>1586</v>
      </c>
      <c r="E58" s="47" t="s">
        <v>1587</v>
      </c>
      <c r="F58" s="48">
        <v>46204</v>
      </c>
      <c r="G58" s="49">
        <f t="shared" si="0"/>
        <v>0</v>
      </c>
      <c r="H58" s="77">
        <f>SUMIF(积分汇总!$B:$B,D57,积分汇总!$E:$E)</f>
        <v>0</v>
      </c>
      <c r="I58" s="77">
        <f>SUMIF(记录巡查问题条数汇总!$B:$B,D57,记录巡查问题条数汇总!$E:$E)</f>
        <v>0</v>
      </c>
      <c r="J58" s="77"/>
      <c r="K58" s="77">
        <f>SUMIF(安全质量事故!$B:$B,D57,安全质量事故!$G:$G)</f>
        <v>0</v>
      </c>
      <c r="L58" s="72">
        <f>COUNTIF(M58:AQ58,标准数据!$A$2)*标准数据!$B$2+COUNTIF(M58:AQ58,标准数据!$A$3)*标准数据!$B$3+COUNTIF(M58:AQ58,标准数据!$A$4)*标准数据!$B$4</f>
        <v>0</v>
      </c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188"/>
      <c r="AR58" s="90"/>
      <c r="AV58" s="76" t="str">
        <f>VLOOKUP(E58,[1]生产部!$C:$I,7,0)</f>
        <v>常白</v>
      </c>
      <c r="AW58" s="41" t="str">
        <f>VLOOKUP(E58,[1]生产部!$C:$I,6,0)</f>
        <v>4号楼1&amp;2车间</v>
      </c>
    </row>
    <row r="59" spans="1:49" ht="21" customHeight="1">
      <c r="A59" s="234" t="s">
        <v>293</v>
      </c>
      <c r="B59" s="229" t="s">
        <v>2108</v>
      </c>
      <c r="C59" s="45" t="s">
        <v>14</v>
      </c>
      <c r="D59" s="46" t="s">
        <v>1588</v>
      </c>
      <c r="E59" s="47" t="s">
        <v>1589</v>
      </c>
      <c r="F59" s="48">
        <v>46204</v>
      </c>
      <c r="G59" s="49">
        <f t="shared" si="0"/>
        <v>0</v>
      </c>
      <c r="H59" s="77">
        <f>SUMIF(积分汇总!$B:$B,D58,积分汇总!$E:$E)</f>
        <v>0</v>
      </c>
      <c r="I59" s="77">
        <f>SUMIF(记录巡查问题条数汇总!$B:$B,D58,记录巡查问题条数汇总!$E:$E)</f>
        <v>0</v>
      </c>
      <c r="J59" s="77"/>
      <c r="K59" s="77">
        <f>SUMIF(安全质量事故!$B:$B,D58,安全质量事故!$G:$G)</f>
        <v>0</v>
      </c>
      <c r="L59" s="72">
        <f>COUNTIF(M59:AQ59,标准数据!$A$2)*标准数据!$B$2+COUNTIF(M59:AQ59,标准数据!$A$3)*标准数据!$B$3+COUNTIF(M59:AQ59,标准数据!$A$4)*标准数据!$B$4</f>
        <v>0</v>
      </c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188"/>
      <c r="AR59" s="90"/>
      <c r="AV59" s="76" t="str">
        <f>VLOOKUP(E59,[1]生产部!$C:$I,7,0)</f>
        <v>常白</v>
      </c>
      <c r="AW59" s="41" t="str">
        <f>VLOOKUP(E59,[1]生产部!$C:$I,6,0)</f>
        <v>4号楼1&amp;2车间</v>
      </c>
    </row>
    <row r="60" spans="1:49" ht="21" customHeight="1">
      <c r="A60" s="234" t="s">
        <v>293</v>
      </c>
      <c r="B60" s="229" t="s">
        <v>2109</v>
      </c>
      <c r="C60" s="45" t="s">
        <v>14</v>
      </c>
      <c r="D60" s="46" t="s">
        <v>1768</v>
      </c>
      <c r="E60" s="47" t="s">
        <v>1769</v>
      </c>
      <c r="F60" s="48">
        <v>46215</v>
      </c>
      <c r="G60" s="49">
        <f t="shared" si="0"/>
        <v>0</v>
      </c>
      <c r="H60" s="77">
        <f>SUMIF(积分汇总!$B:$B,D59,积分汇总!$E:$E)</f>
        <v>0</v>
      </c>
      <c r="I60" s="77">
        <f>SUMIF(记录巡查问题条数汇总!$B:$B,D59,记录巡查问题条数汇总!$E:$E)</f>
        <v>0</v>
      </c>
      <c r="J60" s="77"/>
      <c r="K60" s="77">
        <f>SUMIF(安全质量事故!$B:$B,D59,安全质量事故!$G:$G)</f>
        <v>0</v>
      </c>
      <c r="L60" s="72">
        <f>COUNTIF(M60:AQ60,标准数据!$A$2)*标准数据!$B$2+COUNTIF(M60:AQ60,标准数据!$A$3)*标准数据!$B$3+COUNTIF(M60:AQ60,标准数据!$A$4)*标准数据!$B$4</f>
        <v>0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189"/>
      <c r="AR60" s="55"/>
      <c r="AV60" s="76" t="str">
        <f>VLOOKUP(E60,[1]生产部!$C:$I,7,0)</f>
        <v>常白</v>
      </c>
      <c r="AW60" s="41" t="str">
        <f>VLOOKUP(E60,[1]生产部!$C:$I,6,0)</f>
        <v>12号楼（4号楼委培）</v>
      </c>
    </row>
    <row r="61" spans="1:49" ht="21" customHeight="1">
      <c r="A61" s="234" t="s">
        <v>293</v>
      </c>
      <c r="B61" s="229" t="s">
        <v>2109</v>
      </c>
      <c r="C61" s="45" t="s">
        <v>14</v>
      </c>
      <c r="D61" s="46" t="s">
        <v>1772</v>
      </c>
      <c r="E61" s="47" t="s">
        <v>1773</v>
      </c>
      <c r="F61" s="48">
        <v>46215</v>
      </c>
      <c r="G61" s="49">
        <f t="shared" si="0"/>
        <v>0</v>
      </c>
      <c r="H61" s="77">
        <f>SUMIF(积分汇总!$B:$B,,积分汇总!$E:$E)</f>
        <v>0</v>
      </c>
      <c r="I61" s="77">
        <f>SUMIF(记录巡查问题条数汇总!$B:$B,,记录巡查问题条数汇总!$E:$E)</f>
        <v>0</v>
      </c>
      <c r="J61" s="77"/>
      <c r="K61" s="77">
        <f>SUMIF(安全质量事故!$B:$B,,安全质量事故!$G:$G)</f>
        <v>0</v>
      </c>
      <c r="L61" s="72">
        <f>COUNTIF(M61:AQ61,标准数据!$A$2)*标准数据!$B$2+COUNTIF(M61:AQ61,标准数据!$A$3)*标准数据!$B$3+COUNTIF(M61:AQ61,标准数据!$A$4)*标准数据!$B$4</f>
        <v>0</v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189"/>
      <c r="AR61" s="55"/>
      <c r="AV61" s="76" t="str">
        <f>VLOOKUP(E61,[1]生产部!$C:$I,7,0)</f>
        <v>常白</v>
      </c>
      <c r="AW61" s="41" t="str">
        <f>VLOOKUP(E61,[1]生产部!$C:$I,6,0)</f>
        <v>12号楼（4号楼委培）</v>
      </c>
    </row>
    <row r="62" spans="1:49" ht="21" customHeight="1">
      <c r="A62" s="234" t="s">
        <v>293</v>
      </c>
      <c r="B62" s="229" t="s">
        <v>2109</v>
      </c>
      <c r="C62" s="45" t="s">
        <v>14</v>
      </c>
      <c r="D62" s="46" t="s">
        <v>1776</v>
      </c>
      <c r="E62" s="47" t="s">
        <v>1777</v>
      </c>
      <c r="F62" s="48">
        <v>46215</v>
      </c>
      <c r="G62" s="49">
        <f t="shared" si="0"/>
        <v>0</v>
      </c>
      <c r="H62" s="77">
        <f>SUMIF(积分汇总!$B:$B,,积分汇总!$E:$E)</f>
        <v>0</v>
      </c>
      <c r="I62" s="77">
        <f>SUMIF(记录巡查问题条数汇总!$B:$B,,记录巡查问题条数汇总!$E:$E)</f>
        <v>0</v>
      </c>
      <c r="J62" s="77"/>
      <c r="K62" s="77">
        <f>SUMIF(安全质量事故!$B:$B,,安全质量事故!$G:$G)</f>
        <v>0</v>
      </c>
      <c r="L62" s="72">
        <f>COUNTIF(M62:AQ62,标准数据!$A$2)*标准数据!$B$2+COUNTIF(M62:AQ62,标准数据!$A$3)*标准数据!$B$3+COUNTIF(M62:AQ62,标准数据!$A$4)*标准数据!$B$4</f>
        <v>0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189"/>
      <c r="AR62" s="55"/>
      <c r="AV62" s="76" t="str">
        <f>VLOOKUP(E62,[1]生产部!$C:$I,7,0)</f>
        <v>常白</v>
      </c>
      <c r="AW62" s="41" t="str">
        <f>VLOOKUP(E62,[1]生产部!$C:$I,6,0)</f>
        <v>12号楼（4号楼委培）</v>
      </c>
    </row>
    <row r="63" spans="1:49" ht="21" customHeight="1">
      <c r="A63" s="234" t="s">
        <v>293</v>
      </c>
      <c r="B63" s="229" t="s">
        <v>2109</v>
      </c>
      <c r="C63" s="45" t="s">
        <v>14</v>
      </c>
      <c r="D63" s="46" t="s">
        <v>1778</v>
      </c>
      <c r="E63" s="47" t="s">
        <v>1779</v>
      </c>
      <c r="F63" s="48">
        <v>46215</v>
      </c>
      <c r="G63" s="49">
        <f t="shared" si="0"/>
        <v>0</v>
      </c>
      <c r="H63" s="77">
        <f>SUMIF(积分汇总!$B:$B,D62,积分汇总!$E:$E)</f>
        <v>0</v>
      </c>
      <c r="I63" s="77">
        <f>SUMIF(记录巡查问题条数汇总!$B:$B,D62,记录巡查问题条数汇总!$E:$E)</f>
        <v>0</v>
      </c>
      <c r="J63" s="77"/>
      <c r="K63" s="77">
        <f>SUMIF(安全质量事故!$B:$B,D62,安全质量事故!$G:$G)</f>
        <v>0</v>
      </c>
      <c r="L63" s="72">
        <f>COUNTIF(M63:AQ63,标准数据!$A$2)*标准数据!$B$2+COUNTIF(M63:AQ63,标准数据!$A$3)*标准数据!$B$3+COUNTIF(M63:AQ63,标准数据!$A$4)*标准数据!$B$4</f>
        <v>0</v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189"/>
      <c r="AR63" s="55"/>
      <c r="AV63" s="76" t="str">
        <f>VLOOKUP(E63,[1]生产部!$C:$I,7,0)</f>
        <v>常白</v>
      </c>
      <c r="AW63" s="41" t="str">
        <f>VLOOKUP(E63,[1]生产部!$C:$I,6,0)</f>
        <v>12号楼（4号楼委培）</v>
      </c>
    </row>
    <row r="64" spans="1:49" ht="21" customHeight="1">
      <c r="A64" s="234" t="s">
        <v>293</v>
      </c>
      <c r="B64" s="229" t="s">
        <v>2109</v>
      </c>
      <c r="C64" s="45" t="s">
        <v>14</v>
      </c>
      <c r="D64" s="47" t="s">
        <v>1782</v>
      </c>
      <c r="E64" s="52" t="s">
        <v>1783</v>
      </c>
      <c r="F64" s="46">
        <v>46215</v>
      </c>
      <c r="G64" s="49">
        <f t="shared" si="0"/>
        <v>0</v>
      </c>
      <c r="H64" s="77">
        <f>SUMIF(积分汇总!$B:$B,,积分汇总!$E:$E)</f>
        <v>0</v>
      </c>
      <c r="I64" s="77">
        <f>SUMIF(记录巡查问题条数汇总!$B:$B,,记录巡查问题条数汇总!$E:$E)</f>
        <v>0</v>
      </c>
      <c r="J64" s="77"/>
      <c r="K64" s="77">
        <f>SUMIF(安全质量事故!$B:$B,,安全质量事故!$G:$G)</f>
        <v>0</v>
      </c>
      <c r="L64" s="72">
        <f>COUNTIF(M64:AQ64,标准数据!$A$2)*标准数据!$B$2+COUNTIF(M64:AQ64,标准数据!$A$3)*标准数据!$B$3+COUNTIF(M64:AQ64,标准数据!$A$4)*标准数据!$B$4</f>
        <v>0</v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189"/>
      <c r="AR64" s="55"/>
      <c r="AV64" s="76" t="str">
        <f>VLOOKUP(E64,[1]生产部!$C:$I,7,0)</f>
        <v>常白</v>
      </c>
      <c r="AW64" s="41" t="str">
        <f>VLOOKUP(E64,[1]生产部!$C:$I,6,0)</f>
        <v>12号楼（4号楼委培）</v>
      </c>
    </row>
    <row r="65" spans="1:49" ht="21" customHeight="1">
      <c r="A65" s="234" t="s">
        <v>293</v>
      </c>
      <c r="B65" s="229" t="s">
        <v>2108</v>
      </c>
      <c r="C65" s="45" t="s">
        <v>14</v>
      </c>
      <c r="D65" s="46" t="s">
        <v>1590</v>
      </c>
      <c r="E65" s="47" t="s">
        <v>1591</v>
      </c>
      <c r="F65" s="48">
        <v>46208</v>
      </c>
      <c r="G65" s="49">
        <f t="shared" si="0"/>
        <v>0</v>
      </c>
      <c r="H65" s="77">
        <f>SUMIF(积分汇总!$B:$B,D59,积分汇总!$E:$E)</f>
        <v>0</v>
      </c>
      <c r="I65" s="77">
        <f>SUMIF(记录巡查问题条数汇总!$B:$B,D59,记录巡查问题条数汇总!$E:$E)</f>
        <v>0</v>
      </c>
      <c r="J65" s="77"/>
      <c r="K65" s="77">
        <f>SUMIF(安全质量事故!$B:$B,D59,安全质量事故!$G:$G)</f>
        <v>0</v>
      </c>
      <c r="L65" s="72">
        <f>COUNTIF(M65:AQ65,标准数据!$A$2)*标准数据!$B$2+COUNTIF(M65:AQ65,标准数据!$A$3)*标准数据!$B$3+COUNTIF(M65:AQ65,标准数据!$A$4)*标准数据!$B$4</f>
        <v>0</v>
      </c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188"/>
      <c r="AR65" s="90"/>
      <c r="AV65" s="76" t="str">
        <f>VLOOKUP(E65,[1]生产部!$C:$I,7,0)</f>
        <v>常白</v>
      </c>
      <c r="AW65" s="41" t="str">
        <f>VLOOKUP(E65,[1]生产部!$C:$I,6,0)</f>
        <v>4号楼1&amp;2车间</v>
      </c>
    </row>
    <row r="66" spans="1:49" ht="21" customHeight="1">
      <c r="A66" s="234" t="s">
        <v>293</v>
      </c>
      <c r="B66" s="229" t="s">
        <v>2108</v>
      </c>
      <c r="C66" s="45" t="s">
        <v>14</v>
      </c>
      <c r="D66" s="46" t="s">
        <v>1592</v>
      </c>
      <c r="E66" s="47" t="s">
        <v>1593</v>
      </c>
      <c r="F66" s="48">
        <v>46208</v>
      </c>
      <c r="G66" s="49">
        <f t="shared" si="0"/>
        <v>0</v>
      </c>
      <c r="H66" s="77">
        <f>SUMIF(积分汇总!$B:$B,D65,积分汇总!$E:$E)</f>
        <v>0</v>
      </c>
      <c r="I66" s="77">
        <f>SUMIF(记录巡查问题条数汇总!$B:$B,D65,记录巡查问题条数汇总!$E:$E)</f>
        <v>0</v>
      </c>
      <c r="J66" s="77"/>
      <c r="K66" s="77">
        <f>SUMIF(安全质量事故!$B:$B,D65,安全质量事故!$G:$G)</f>
        <v>0</v>
      </c>
      <c r="L66" s="72">
        <f>COUNTIF(M66:AQ66,标准数据!$A$2)*标准数据!$B$2+COUNTIF(M66:AQ66,标准数据!$A$3)*标准数据!$B$3+COUNTIF(M66:AQ66,标准数据!$A$4)*标准数据!$B$4</f>
        <v>0</v>
      </c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188"/>
      <c r="AR66" s="90"/>
      <c r="AV66" s="76" t="str">
        <f>VLOOKUP(E66,[1]生产部!$C:$I,7,0)</f>
        <v>常白</v>
      </c>
      <c r="AW66" s="41" t="str">
        <f>VLOOKUP(E66,[1]生产部!$C:$I,6,0)</f>
        <v>4号楼1&amp;2车间</v>
      </c>
    </row>
    <row r="67" spans="1:49" ht="21" customHeight="1">
      <c r="A67" s="234" t="s">
        <v>293</v>
      </c>
      <c r="B67" s="229" t="s">
        <v>2108</v>
      </c>
      <c r="C67" s="45" t="s">
        <v>14</v>
      </c>
      <c r="D67" s="46" t="s">
        <v>1603</v>
      </c>
      <c r="E67" s="47" t="s">
        <v>1604</v>
      </c>
      <c r="F67" s="48">
        <v>46215</v>
      </c>
      <c r="G67" s="49">
        <f t="shared" si="0"/>
        <v>0</v>
      </c>
      <c r="H67" s="77">
        <f>SUMIF(积分汇总!$B:$B,D66,积分汇总!$E:$E)</f>
        <v>0</v>
      </c>
      <c r="I67" s="77">
        <f>SUMIF(记录巡查问题条数汇总!$B:$B,D66,记录巡查问题条数汇总!$E:$E)</f>
        <v>0</v>
      </c>
      <c r="J67" s="77"/>
      <c r="K67" s="77">
        <f>SUMIF(安全质量事故!$B:$B,D66,安全质量事故!$G:$G)</f>
        <v>0</v>
      </c>
      <c r="L67" s="72">
        <f>COUNTIF(M67:AQ67,标准数据!$A$2)*标准数据!$B$2+COUNTIF(M67:AQ67,标准数据!$A$3)*标准数据!$B$3+COUNTIF(M67:AQ67,标准数据!$A$4)*标准数据!$B$4</f>
        <v>0</v>
      </c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188"/>
      <c r="AR67" s="90"/>
      <c r="AV67" s="76" t="str">
        <f>VLOOKUP(E67,[1]生产部!$C:$I,7,0)</f>
        <v>常白</v>
      </c>
      <c r="AW67" s="41" t="str">
        <f>VLOOKUP(E67,[1]生产部!$C:$I,6,0)</f>
        <v>4号楼1&amp;2车间</v>
      </c>
    </row>
    <row r="68" spans="1:49" ht="21" customHeight="1">
      <c r="A68" s="234" t="s">
        <v>293</v>
      </c>
      <c r="B68" s="229" t="s">
        <v>2108</v>
      </c>
      <c r="C68" s="45" t="s">
        <v>14</v>
      </c>
      <c r="D68" s="46" t="s">
        <v>1605</v>
      </c>
      <c r="E68" s="47" t="s">
        <v>1606</v>
      </c>
      <c r="F68" s="48">
        <v>46215</v>
      </c>
      <c r="G68" s="49">
        <f t="shared" ref="G68:G137" si="1">(L68+H68+I68+J68-K68)</f>
        <v>0</v>
      </c>
      <c r="H68" s="77">
        <f>SUMIF(积分汇总!$B:$B,D67,积分汇总!$E:$E)</f>
        <v>0</v>
      </c>
      <c r="I68" s="77">
        <f>SUMIF(记录巡查问题条数汇总!$B:$B,D67,记录巡查问题条数汇总!$E:$E)</f>
        <v>0</v>
      </c>
      <c r="J68" s="77"/>
      <c r="K68" s="77">
        <f>SUMIF(安全质量事故!$B:$B,D67,安全质量事故!$G:$G)</f>
        <v>0</v>
      </c>
      <c r="L68" s="72">
        <f>COUNTIF(M68:AQ68,标准数据!$A$2)*标准数据!$B$2+COUNTIF(M68:AQ68,标准数据!$A$3)*标准数据!$B$3+COUNTIF(M68:AQ68,标准数据!$A$4)*标准数据!$B$4</f>
        <v>0</v>
      </c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188"/>
      <c r="AR68" s="90"/>
      <c r="AV68" s="76" t="str">
        <f>VLOOKUP(E68,[1]生产部!$C:$I,7,0)</f>
        <v>常白</v>
      </c>
      <c r="AW68" s="41" t="str">
        <f>VLOOKUP(E68,[1]生产部!$C:$I,6,0)</f>
        <v>4号楼1&amp;2车间</v>
      </c>
    </row>
    <row r="69" spans="1:49" ht="21" customHeight="1">
      <c r="A69" s="234" t="s">
        <v>293</v>
      </c>
      <c r="B69" s="229" t="s">
        <v>2108</v>
      </c>
      <c r="C69" s="45" t="s">
        <v>14</v>
      </c>
      <c r="D69" s="46" t="s">
        <v>1609</v>
      </c>
      <c r="E69" s="47" t="s">
        <v>1610</v>
      </c>
      <c r="F69" s="48">
        <v>46215</v>
      </c>
      <c r="G69" s="49">
        <f t="shared" si="1"/>
        <v>0</v>
      </c>
      <c r="H69" s="77">
        <f>SUMIF(积分汇总!$B:$B,D68,积分汇总!$E:$E)</f>
        <v>0</v>
      </c>
      <c r="I69" s="77">
        <f>SUMIF(记录巡查问题条数汇总!$B:$B,D68,记录巡查问题条数汇总!$E:$E)</f>
        <v>0</v>
      </c>
      <c r="J69" s="77"/>
      <c r="K69" s="77">
        <f>SUMIF(安全质量事故!$B:$B,D68,安全质量事故!$G:$G)</f>
        <v>0</v>
      </c>
      <c r="L69" s="72">
        <f>COUNTIF(M69:AQ69,标准数据!$A$2)*标准数据!$B$2+COUNTIF(M69:AQ69,标准数据!$A$3)*标准数据!$B$3+COUNTIF(M69:AQ69,标准数据!$A$4)*标准数据!$B$4</f>
        <v>0</v>
      </c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188"/>
      <c r="AR69" s="90"/>
      <c r="AV69" s="76" t="str">
        <f>VLOOKUP(E69,[1]生产部!$C:$I,7,0)</f>
        <v>常白</v>
      </c>
      <c r="AW69" s="41" t="str">
        <f>VLOOKUP(E69,[1]生产部!$C:$I,6,0)</f>
        <v>4号楼1&amp;2车间</v>
      </c>
    </row>
    <row r="70" spans="1:49" ht="21" customHeight="1">
      <c r="A70" s="234" t="s">
        <v>293</v>
      </c>
      <c r="B70" s="229" t="s">
        <v>2108</v>
      </c>
      <c r="C70" s="45" t="s">
        <v>14</v>
      </c>
      <c r="D70" s="46" t="s">
        <v>1615</v>
      </c>
      <c r="E70" s="47" t="s">
        <v>1616</v>
      </c>
      <c r="F70" s="48">
        <v>46215</v>
      </c>
      <c r="G70" s="49">
        <f t="shared" si="1"/>
        <v>0</v>
      </c>
      <c r="H70" s="77">
        <f>SUMIF(积分汇总!$B:$B,,积分汇总!$E:$E)</f>
        <v>0</v>
      </c>
      <c r="I70" s="77">
        <f>SUMIF(记录巡查问题条数汇总!$B:$B,,记录巡查问题条数汇总!$E:$E)</f>
        <v>0</v>
      </c>
      <c r="J70" s="77"/>
      <c r="K70" s="77">
        <f>SUMIF(安全质量事故!$B:$B,,安全质量事故!$G:$G)</f>
        <v>0</v>
      </c>
      <c r="L70" s="72">
        <f>COUNTIF(M70:AQ70,标准数据!$A$2)*标准数据!$B$2+COUNTIF(M70:AQ70,标准数据!$A$3)*标准数据!$B$3+COUNTIF(M70:AQ70,标准数据!$A$4)*标准数据!$B$4</f>
        <v>0</v>
      </c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188"/>
      <c r="AR70" s="90"/>
      <c r="AV70" s="76" t="str">
        <f>VLOOKUP(E70,[1]生产部!$C:$I,7,0)</f>
        <v>常白</v>
      </c>
      <c r="AW70" s="41" t="str">
        <f>VLOOKUP(E70,[1]生产部!$C:$I,6,0)</f>
        <v>4号楼1&amp;2车间</v>
      </c>
    </row>
    <row r="71" spans="1:49" ht="21" customHeight="1">
      <c r="A71" s="234" t="s">
        <v>293</v>
      </c>
      <c r="B71" s="229" t="s">
        <v>2108</v>
      </c>
      <c r="C71" s="45" t="s">
        <v>14</v>
      </c>
      <c r="D71" s="46" t="s">
        <v>1617</v>
      </c>
      <c r="E71" s="47" t="s">
        <v>1618</v>
      </c>
      <c r="F71" s="48">
        <v>46215</v>
      </c>
      <c r="G71" s="49">
        <f t="shared" si="1"/>
        <v>0</v>
      </c>
      <c r="H71" s="77">
        <f>SUMIF(积分汇总!$B:$B,D70,积分汇总!$E:$E)</f>
        <v>0</v>
      </c>
      <c r="I71" s="77">
        <f>SUMIF(记录巡查问题条数汇总!$B:$B,D70,记录巡查问题条数汇总!$E:$E)</f>
        <v>0</v>
      </c>
      <c r="J71" s="77"/>
      <c r="K71" s="77">
        <f>SUMIF(安全质量事故!$B:$B,D70,安全质量事故!$G:$G)</f>
        <v>0</v>
      </c>
      <c r="L71" s="72">
        <f>COUNTIF(M71:AQ71,标准数据!$A$2)*标准数据!$B$2+COUNTIF(M71:AQ71,标准数据!$A$3)*标准数据!$B$3+COUNTIF(M71:AQ71,标准数据!$A$4)*标准数据!$B$4</f>
        <v>0</v>
      </c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188"/>
      <c r="AR71" s="90"/>
      <c r="AV71" s="76" t="str">
        <f>VLOOKUP(E71,[1]生产部!$C:$I,7,0)</f>
        <v>常白</v>
      </c>
      <c r="AW71" s="41" t="str">
        <f>VLOOKUP(E71,[1]生产部!$C:$I,6,0)</f>
        <v>4号楼1&amp;2车间</v>
      </c>
    </row>
    <row r="72" spans="1:49" ht="21" customHeight="1">
      <c r="A72" s="234" t="s">
        <v>293</v>
      </c>
      <c r="B72" s="229" t="s">
        <v>2109</v>
      </c>
      <c r="C72" s="45" t="s">
        <v>14</v>
      </c>
      <c r="D72" s="46" t="s">
        <v>1460</v>
      </c>
      <c r="E72" s="47" t="s">
        <v>1461</v>
      </c>
      <c r="F72" s="48">
        <v>46169</v>
      </c>
      <c r="G72" s="49">
        <f t="shared" si="1"/>
        <v>0</v>
      </c>
      <c r="H72" s="77">
        <f>SUMIF(积分汇总!$B:$B,D71,积分汇总!$E:$E)</f>
        <v>0</v>
      </c>
      <c r="I72" s="77">
        <f>SUMIF(记录巡查问题条数汇总!$B:$B,D71,记录巡查问题条数汇总!$E:$E)</f>
        <v>0</v>
      </c>
      <c r="J72" s="77"/>
      <c r="K72" s="77">
        <f>SUMIF(安全质量事故!$B:$B,D71,安全质量事故!$G:$G)</f>
        <v>0</v>
      </c>
      <c r="L72" s="72">
        <f>COUNTIF(M72:AQ72,标准数据!$A$2)*标准数据!$B$2+COUNTIF(M72:AQ72,标准数据!$A$3)*标准数据!$B$3+COUNTIF(M72:AQ72,标准数据!$A$4)*标准数据!$B$4</f>
        <v>0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189"/>
      <c r="AR72" s="55"/>
      <c r="AV72" s="76" t="str">
        <f>VLOOKUP(E72,[1]生产部!$C:$I,7,0)</f>
        <v>常白</v>
      </c>
      <c r="AW72" s="41" t="str">
        <f>VLOOKUP(E72,[1]生产部!$C:$I,6,0)</f>
        <v>12号楼（4号楼委培）</v>
      </c>
    </row>
    <row r="73" spans="1:49" ht="21" customHeight="1">
      <c r="A73" s="234" t="s">
        <v>293</v>
      </c>
      <c r="B73" s="229" t="s">
        <v>2109</v>
      </c>
      <c r="C73" s="45" t="s">
        <v>14</v>
      </c>
      <c r="D73" s="46" t="s">
        <v>1619</v>
      </c>
      <c r="E73" s="47" t="s">
        <v>1620</v>
      </c>
      <c r="F73" s="48">
        <v>46215</v>
      </c>
      <c r="G73" s="49">
        <f t="shared" si="1"/>
        <v>0</v>
      </c>
      <c r="H73" s="77">
        <f>SUMIF(积分汇总!$B:$B,D71,积分汇总!$E:$E)</f>
        <v>0</v>
      </c>
      <c r="I73" s="77">
        <f>SUMIF(记录巡查问题条数汇总!$B:$B,D71,记录巡查问题条数汇总!$E:$E)</f>
        <v>0</v>
      </c>
      <c r="J73" s="77"/>
      <c r="K73" s="77">
        <f>SUMIF(安全质量事故!$B:$B,D71,安全质量事故!$G:$G)</f>
        <v>0</v>
      </c>
      <c r="L73" s="72">
        <f>COUNTIF(M73:AQ73,标准数据!$A$2)*标准数据!$B$2+COUNTIF(M73:AQ73,标准数据!$A$3)*标准数据!$B$3+COUNTIF(M73:AQ73,标准数据!$A$4)*标准数据!$B$4</f>
        <v>0</v>
      </c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188"/>
      <c r="AR73" s="90"/>
      <c r="AV73" s="76" t="str">
        <f>VLOOKUP(E73,[1]生产部!$C:$I,7,0)</f>
        <v>常白</v>
      </c>
      <c r="AW73" s="41" t="str">
        <f>VLOOKUP(E73,[1]生产部!$C:$I,6,0)</f>
        <v>4号楼3&amp;4车间</v>
      </c>
    </row>
    <row r="74" spans="1:49" ht="21" customHeight="1">
      <c r="A74" s="234" t="s">
        <v>293</v>
      </c>
      <c r="B74" s="229" t="s">
        <v>2108</v>
      </c>
      <c r="C74" s="45" t="s">
        <v>14</v>
      </c>
      <c r="D74" s="46" t="s">
        <v>1892</v>
      </c>
      <c r="E74" s="47" t="s">
        <v>1893</v>
      </c>
      <c r="F74" s="48">
        <v>46208</v>
      </c>
      <c r="G74" s="49">
        <f t="shared" si="1"/>
        <v>0</v>
      </c>
      <c r="H74" s="77">
        <f>SUMIF(积分汇总!$B:$B,D73,积分汇总!$E:$E)</f>
        <v>0</v>
      </c>
      <c r="I74" s="77">
        <f>SUMIF(记录巡查问题条数汇总!$B:$B,D73,记录巡查问题条数汇总!$E:$E)</f>
        <v>0</v>
      </c>
      <c r="J74" s="77"/>
      <c r="K74" s="77">
        <f>SUMIF(安全质量事故!$B:$B,D73,安全质量事故!$G:$G)</f>
        <v>0</v>
      </c>
      <c r="L74" s="72">
        <f>COUNTIF(M74:AQ74,标准数据!$A$2)*标准数据!$B$2+COUNTIF(M74:AQ74,标准数据!$A$3)*标准数据!$B$3+COUNTIF(M74:AQ74,标准数据!$A$4)*标准数据!$B$4</f>
        <v>0</v>
      </c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188"/>
      <c r="AR74" s="90"/>
      <c r="AV74" s="76" t="str">
        <f>VLOOKUP(E74,[1]生产部!$C:$I,7,0)</f>
        <v>项目组</v>
      </c>
      <c r="AW74" s="41" t="str">
        <f>VLOOKUP(E74,[1]生产部!$C:$I,6,0)</f>
        <v>4号楼1&amp;2车间</v>
      </c>
    </row>
    <row r="75" spans="1:49" ht="21" customHeight="1">
      <c r="A75" s="234" t="s">
        <v>293</v>
      </c>
      <c r="B75" s="229" t="s">
        <v>2108</v>
      </c>
      <c r="C75" s="45" t="s">
        <v>14</v>
      </c>
      <c r="D75" s="75" t="s">
        <v>973</v>
      </c>
      <c r="E75" s="74" t="s">
        <v>953</v>
      </c>
      <c r="F75" s="78">
        <v>46027</v>
      </c>
      <c r="G75" s="49">
        <f t="shared" si="1"/>
        <v>0</v>
      </c>
      <c r="H75" s="77">
        <f>SUMIF(积分汇总!$B:$B,D73,积分汇总!$E:$E)</f>
        <v>0</v>
      </c>
      <c r="I75" s="77">
        <f>SUMIF(记录巡查问题条数汇总!$B:$B,D73,记录巡查问题条数汇总!$E:$E)</f>
        <v>0</v>
      </c>
      <c r="J75" s="77"/>
      <c r="K75" s="77">
        <f>SUMIF(安全质量事故!$B:$B,D73,安全质量事故!$G:$G)</f>
        <v>0</v>
      </c>
      <c r="L75" s="72">
        <f>COUNTIF(M75:AQ75,标准数据!$A$2)*标准数据!$B$2+COUNTIF(M75:AQ75,标准数据!$A$3)*标准数据!$B$3+COUNTIF(M75:AQ75,标准数据!$A$4)*标准数据!$B$4</f>
        <v>0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189"/>
      <c r="AR75" s="55"/>
      <c r="AS75" s="183"/>
      <c r="AT75" s="183"/>
      <c r="AU75" s="183"/>
      <c r="AV75" s="76" t="str">
        <f>VLOOKUP(E75,[1]生产部!$C:$I,7,0)</f>
        <v>退库</v>
      </c>
      <c r="AW75" s="41" t="str">
        <f>VLOOKUP(E75,[1]生产部!$C:$I,6,0)</f>
        <v>4号楼1&amp;2车间</v>
      </c>
    </row>
    <row r="76" spans="1:49" ht="21" customHeight="1">
      <c r="A76" s="234" t="s">
        <v>293</v>
      </c>
      <c r="B76" s="229" t="s">
        <v>2108</v>
      </c>
      <c r="C76" s="45" t="s">
        <v>129</v>
      </c>
      <c r="D76" s="46" t="s">
        <v>200</v>
      </c>
      <c r="E76" s="47" t="s">
        <v>201</v>
      </c>
      <c r="F76" s="48">
        <v>44979</v>
      </c>
      <c r="G76" s="49">
        <f t="shared" si="1"/>
        <v>0</v>
      </c>
      <c r="H76" s="77">
        <f>SUMIF(积分汇总!$B:$B,D75,积分汇总!$E:$E)</f>
        <v>0</v>
      </c>
      <c r="I76" s="77">
        <f>SUMIF(记录巡查问题条数汇总!$B:$B,D75,记录巡查问题条数汇总!$E:$E)</f>
        <v>0</v>
      </c>
      <c r="J76" s="77"/>
      <c r="K76" s="77">
        <f>SUMIF(安全质量事故!$B:$B,D75,安全质量事故!$G:$G)</f>
        <v>0</v>
      </c>
      <c r="L76" s="72">
        <f>COUNTIF(M76:AQ76,标准数据!$A$2)*标准数据!$B$2+COUNTIF(M76:AQ76,标准数据!$A$3)*标准数据!$B$3+COUNTIF(M76:AQ76,标准数据!$A$4)*标准数据!$B$4</f>
        <v>0</v>
      </c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188"/>
      <c r="AR76" s="90"/>
      <c r="AV76" s="76" t="str">
        <f>VLOOKUP(E76,[1]生产部!$C:$I,7,0)</f>
        <v>班组</v>
      </c>
      <c r="AW76" s="41" t="str">
        <f>VLOOKUP(E76,[1]生产部!$C:$I,6,0)</f>
        <v>4号楼1&amp;2车间</v>
      </c>
    </row>
    <row r="77" spans="1:49" ht="21" customHeight="1">
      <c r="A77" s="234" t="s">
        <v>293</v>
      </c>
      <c r="B77" s="229" t="s">
        <v>2108</v>
      </c>
      <c r="C77" s="45" t="s">
        <v>129</v>
      </c>
      <c r="D77" s="46" t="s">
        <v>995</v>
      </c>
      <c r="E77" s="47" t="s">
        <v>994</v>
      </c>
      <c r="F77" s="48">
        <v>45609</v>
      </c>
      <c r="G77" s="49">
        <f t="shared" si="1"/>
        <v>0</v>
      </c>
      <c r="H77" s="77">
        <f>SUMIF(积分汇总!$B:$B,D76,积分汇总!$E:$E)</f>
        <v>0</v>
      </c>
      <c r="I77" s="77">
        <f>SUMIF(记录巡查问题条数汇总!$B:$B,D76,记录巡查问题条数汇总!$E:$E)</f>
        <v>0</v>
      </c>
      <c r="J77" s="77"/>
      <c r="K77" s="77">
        <f>SUMIF(安全质量事故!$B:$B,D76,安全质量事故!$G:$G)</f>
        <v>0</v>
      </c>
      <c r="L77" s="72">
        <f>COUNTIF(M77:AQ77,标准数据!$A$2)*标准数据!$B$2+COUNTIF(M77:AQ77,标准数据!$A$3)*标准数据!$B$3+COUNTIF(M77:AQ77,标准数据!$A$4)*标准数据!$B$4</f>
        <v>0</v>
      </c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188"/>
      <c r="AR77" s="90"/>
      <c r="AV77" s="76" t="str">
        <f>VLOOKUP(E77,[1]生产部!$C:$I,7,0)</f>
        <v>班组</v>
      </c>
      <c r="AW77" s="41" t="str">
        <f>VLOOKUP(E77,[1]生产部!$C:$I,6,0)</f>
        <v>4号楼1&amp;2车间</v>
      </c>
    </row>
    <row r="78" spans="1:49" ht="21" customHeight="1">
      <c r="A78" s="234" t="s">
        <v>293</v>
      </c>
      <c r="B78" s="229" t="s">
        <v>2108</v>
      </c>
      <c r="C78" s="45" t="s">
        <v>129</v>
      </c>
      <c r="D78" s="46" t="s">
        <v>378</v>
      </c>
      <c r="E78" s="47" t="s">
        <v>376</v>
      </c>
      <c r="F78" s="48">
        <v>45742</v>
      </c>
      <c r="G78" s="49">
        <f t="shared" si="1"/>
        <v>0</v>
      </c>
      <c r="H78" s="77">
        <f>SUMIF(积分汇总!$B:$B,D77,积分汇总!$E:$E)</f>
        <v>0</v>
      </c>
      <c r="I78" s="77">
        <f>SUMIF(记录巡查问题条数汇总!$B:$B,D77,记录巡查问题条数汇总!$E:$E)</f>
        <v>0</v>
      </c>
      <c r="J78" s="77"/>
      <c r="K78" s="77">
        <f>SUMIF(安全质量事故!$B:$B,D77,安全质量事故!$G:$G)</f>
        <v>0</v>
      </c>
      <c r="L78" s="72">
        <f>COUNTIF(M78:AQ78,标准数据!$A$2)*标准数据!$B$2+COUNTIF(M78:AQ78,标准数据!$A$3)*标准数据!$B$3+COUNTIF(M78:AQ78,标准数据!$A$4)*标准数据!$B$4</f>
        <v>0</v>
      </c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188"/>
      <c r="AR78" s="90"/>
      <c r="AV78" s="76" t="str">
        <f>VLOOKUP(E78,[1]生产部!$C:$I,7,0)</f>
        <v>包装</v>
      </c>
      <c r="AW78" s="41" t="str">
        <f>VLOOKUP(E78,[1]生产部!$C:$I,6,0)</f>
        <v>4号楼1&amp;2车间</v>
      </c>
    </row>
    <row r="79" spans="1:49" ht="21" customHeight="1">
      <c r="A79" s="234" t="s">
        <v>293</v>
      </c>
      <c r="B79" s="229" t="s">
        <v>2108</v>
      </c>
      <c r="C79" s="45" t="s">
        <v>129</v>
      </c>
      <c r="D79" s="46" t="s">
        <v>396</v>
      </c>
      <c r="E79" s="47" t="s">
        <v>386</v>
      </c>
      <c r="F79" s="48">
        <v>45756</v>
      </c>
      <c r="G79" s="49">
        <f t="shared" si="1"/>
        <v>0</v>
      </c>
      <c r="H79" s="77">
        <f>SUMIF(积分汇总!$B:$B,D78,积分汇总!$E:$E)</f>
        <v>0</v>
      </c>
      <c r="I79" s="77">
        <f>SUMIF(记录巡查问题条数汇总!$B:$B,D78,记录巡查问题条数汇总!$E:$E)</f>
        <v>0</v>
      </c>
      <c r="J79" s="77"/>
      <c r="K79" s="77">
        <f>SUMIF(安全质量事故!$B:$B,D78,安全质量事故!$G:$G)</f>
        <v>0</v>
      </c>
      <c r="L79" s="72">
        <f>COUNTIF(M79:AQ79,标准数据!$A$2)*标准数据!$B$2+COUNTIF(M79:AQ79,标准数据!$A$3)*标准数据!$B$3+COUNTIF(M79:AQ79,标准数据!$A$4)*标准数据!$B$4</f>
        <v>0</v>
      </c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188"/>
      <c r="AR79" s="90"/>
      <c r="AV79" s="76" t="str">
        <f>VLOOKUP(E79,[1]生产部!$C:$I,7,0)</f>
        <v>班组</v>
      </c>
      <c r="AW79" s="41" t="str">
        <f>VLOOKUP(E79,[1]生产部!$C:$I,6,0)</f>
        <v>4号楼1&amp;2车间</v>
      </c>
    </row>
    <row r="80" spans="1:49" ht="21" customHeight="1">
      <c r="A80" s="234" t="s">
        <v>293</v>
      </c>
      <c r="B80" s="229" t="s">
        <v>2108</v>
      </c>
      <c r="C80" s="45" t="s">
        <v>129</v>
      </c>
      <c r="D80" s="46" t="s">
        <v>417</v>
      </c>
      <c r="E80" s="47" t="s">
        <v>412</v>
      </c>
      <c r="F80" s="48">
        <v>45798</v>
      </c>
      <c r="G80" s="49">
        <f t="shared" si="1"/>
        <v>0</v>
      </c>
      <c r="H80" s="77">
        <f>SUMIF(积分汇总!$B:$B,D79,积分汇总!$E:$E)</f>
        <v>0</v>
      </c>
      <c r="I80" s="77">
        <f>SUMIF(记录巡查问题条数汇总!$B:$B,D79,记录巡查问题条数汇总!$E:$E)</f>
        <v>0</v>
      </c>
      <c r="J80" s="77"/>
      <c r="K80" s="77">
        <f>SUMIF(安全质量事故!$B:$B,D79,安全质量事故!$G:$G)</f>
        <v>0</v>
      </c>
      <c r="L80" s="72">
        <f>COUNTIF(M80:AQ80,标准数据!$A$2)*标准数据!$B$2+COUNTIF(M80:AQ80,标准数据!$A$3)*标准数据!$B$3+COUNTIF(M80:AQ80,标准数据!$A$4)*标准数据!$B$4</f>
        <v>0</v>
      </c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188"/>
      <c r="AR80" s="90"/>
      <c r="AV80" s="76" t="str">
        <f>VLOOKUP(E80,[1]生产部!$C:$I,7,0)</f>
        <v>班组</v>
      </c>
      <c r="AW80" s="41" t="str">
        <f>VLOOKUP(E80,[1]生产部!$C:$I,6,0)</f>
        <v>4号楼1&amp;2车间</v>
      </c>
    </row>
    <row r="81" spans="1:49" ht="21" customHeight="1">
      <c r="A81" s="234" t="s">
        <v>293</v>
      </c>
      <c r="B81" s="229" t="s">
        <v>2108</v>
      </c>
      <c r="C81" s="45" t="s">
        <v>129</v>
      </c>
      <c r="D81" s="46" t="s">
        <v>466</v>
      </c>
      <c r="E81" s="47" t="s">
        <v>437</v>
      </c>
      <c r="F81" s="48">
        <v>45854</v>
      </c>
      <c r="G81" s="49">
        <f t="shared" si="1"/>
        <v>0</v>
      </c>
      <c r="H81" s="77">
        <f>SUMIF(积分汇总!$B:$B,D80,积分汇总!$E:$E)</f>
        <v>0</v>
      </c>
      <c r="I81" s="77">
        <f>SUMIF(记录巡查问题条数汇总!$B:$B,D80,记录巡查问题条数汇总!$E:$E)</f>
        <v>0</v>
      </c>
      <c r="J81" s="77"/>
      <c r="K81" s="77">
        <f>SUMIF(安全质量事故!$B:$B,D80,安全质量事故!$G:$G)</f>
        <v>0</v>
      </c>
      <c r="L81" s="72">
        <f>COUNTIF(M81:AQ81,标准数据!$A$2)*标准数据!$B$2+COUNTIF(M81:AQ81,标准数据!$A$3)*标准数据!$B$3+COUNTIF(M81:AQ81,标准数据!$A$4)*标准数据!$B$4</f>
        <v>0</v>
      </c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188"/>
      <c r="AR81" s="90"/>
      <c r="AV81" s="76" t="str">
        <f>VLOOKUP(E81,[1]生产部!$C:$I,7,0)</f>
        <v>班组</v>
      </c>
      <c r="AW81" s="41" t="str">
        <f>VLOOKUP(E81,[1]生产部!$C:$I,6,0)</f>
        <v>4号楼1&amp;2车间</v>
      </c>
    </row>
    <row r="82" spans="1:49" ht="21" customHeight="1">
      <c r="A82" s="234" t="s">
        <v>293</v>
      </c>
      <c r="B82" s="229" t="s">
        <v>2108</v>
      </c>
      <c r="C82" s="45" t="s">
        <v>129</v>
      </c>
      <c r="D82" s="46" t="s">
        <v>536</v>
      </c>
      <c r="E82" s="47" t="s">
        <v>510</v>
      </c>
      <c r="F82" s="48">
        <v>45889</v>
      </c>
      <c r="G82" s="49">
        <f t="shared" si="1"/>
        <v>0</v>
      </c>
      <c r="H82" s="77">
        <f>SUMIF(积分汇总!$B:$B,D81,积分汇总!$E:$E)</f>
        <v>0</v>
      </c>
      <c r="I82" s="77">
        <f>SUMIF(记录巡查问题条数汇总!$B:$B,D81,记录巡查问题条数汇总!$E:$E)</f>
        <v>0</v>
      </c>
      <c r="J82" s="77"/>
      <c r="K82" s="77">
        <f>SUMIF(安全质量事故!$B:$B,D81,安全质量事故!$G:$G)</f>
        <v>0</v>
      </c>
      <c r="L82" s="72">
        <f>COUNTIF(M82:AQ82,标准数据!$A$2)*标准数据!$B$2+COUNTIF(M82:AQ82,标准数据!$A$3)*标准数据!$B$3+COUNTIF(M82:AQ82,标准数据!$A$4)*标准数据!$B$4</f>
        <v>0</v>
      </c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188"/>
      <c r="AR82" s="90"/>
      <c r="AV82" s="76" t="str">
        <f>VLOOKUP(E82,[1]生产部!$C:$I,7,0)</f>
        <v>班组</v>
      </c>
      <c r="AW82" s="41" t="str">
        <f>VLOOKUP(E82,[1]生产部!$C:$I,6,0)</f>
        <v>4号楼1&amp;2车间</v>
      </c>
    </row>
    <row r="83" spans="1:49" ht="21" customHeight="1">
      <c r="A83" s="234" t="s">
        <v>293</v>
      </c>
      <c r="B83" s="229" t="s">
        <v>2108</v>
      </c>
      <c r="C83" s="45" t="s">
        <v>129</v>
      </c>
      <c r="D83" s="46" t="s">
        <v>537</v>
      </c>
      <c r="E83" s="47" t="s">
        <v>511</v>
      </c>
      <c r="F83" s="48">
        <v>45882</v>
      </c>
      <c r="G83" s="49">
        <f t="shared" si="1"/>
        <v>0</v>
      </c>
      <c r="H83" s="77">
        <f>SUMIF(积分汇总!$B:$B,D82,积分汇总!$E:$E)</f>
        <v>0</v>
      </c>
      <c r="I83" s="77">
        <f>SUMIF(记录巡查问题条数汇总!$B:$B,D82,记录巡查问题条数汇总!$E:$E)</f>
        <v>0</v>
      </c>
      <c r="J83" s="77"/>
      <c r="K83" s="77">
        <f>SUMIF(安全质量事故!$B:$B,D82,安全质量事故!$G:$G)</f>
        <v>0</v>
      </c>
      <c r="L83" s="72">
        <f>COUNTIF(M83:AQ83,标准数据!$A$2)*标准数据!$B$2+COUNTIF(M83:AQ83,标准数据!$A$3)*标准数据!$B$3+COUNTIF(M83:AQ83,标准数据!$A$4)*标准数据!$B$4</f>
        <v>0</v>
      </c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188"/>
      <c r="AR83" s="90"/>
      <c r="AV83" s="76" t="str">
        <f>VLOOKUP(E83,[1]生产部!$C:$I,7,0)</f>
        <v>班组</v>
      </c>
      <c r="AW83" s="41" t="str">
        <f>VLOOKUP(E83,[1]生产部!$C:$I,6,0)</f>
        <v>4号楼1&amp;2车间</v>
      </c>
    </row>
    <row r="84" spans="1:49" ht="21" customHeight="1">
      <c r="A84" s="234" t="s">
        <v>293</v>
      </c>
      <c r="B84" s="229" t="s">
        <v>2108</v>
      </c>
      <c r="C84" s="45" t="s">
        <v>129</v>
      </c>
      <c r="D84" s="46" t="s">
        <v>615</v>
      </c>
      <c r="E84" s="47" t="s">
        <v>573</v>
      </c>
      <c r="F84" s="48">
        <v>45910</v>
      </c>
      <c r="G84" s="49">
        <f t="shared" si="1"/>
        <v>0</v>
      </c>
      <c r="H84" s="77">
        <f>SUMIF(积分汇总!$B:$B,D83,积分汇总!$E:$E)</f>
        <v>0</v>
      </c>
      <c r="I84" s="77">
        <f>SUMIF(记录巡查问题条数汇总!$B:$B,D83,记录巡查问题条数汇总!$E:$E)</f>
        <v>0</v>
      </c>
      <c r="J84" s="77"/>
      <c r="K84" s="77">
        <f>SUMIF(安全质量事故!$B:$B,D83,安全质量事故!$G:$G)</f>
        <v>0</v>
      </c>
      <c r="L84" s="72">
        <f>COUNTIF(M84:AQ84,标准数据!$A$2)*标准数据!$B$2+COUNTIF(M84:AQ84,标准数据!$A$3)*标准数据!$B$3+COUNTIF(M84:AQ84,标准数据!$A$4)*标准数据!$B$4</f>
        <v>0</v>
      </c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188"/>
      <c r="AR84" s="90"/>
      <c r="AV84" s="76" t="str">
        <f>VLOOKUP(E84,[1]生产部!$C:$I,7,0)</f>
        <v>班组</v>
      </c>
      <c r="AW84" s="41" t="str">
        <f>VLOOKUP(E84,[1]生产部!$C:$I,6,0)</f>
        <v>4号楼1&amp;2车间</v>
      </c>
    </row>
    <row r="85" spans="1:49" ht="21" customHeight="1">
      <c r="A85" s="234" t="s">
        <v>293</v>
      </c>
      <c r="B85" s="229" t="s">
        <v>2108</v>
      </c>
      <c r="C85" s="45" t="s">
        <v>129</v>
      </c>
      <c r="D85" s="46" t="s">
        <v>671</v>
      </c>
      <c r="E85" s="47" t="s">
        <v>672</v>
      </c>
      <c r="F85" s="48">
        <v>45854</v>
      </c>
      <c r="G85" s="49">
        <f t="shared" si="1"/>
        <v>0</v>
      </c>
      <c r="H85" s="77">
        <f>SUMIF(积分汇总!$B:$B,D84,积分汇总!$E:$E)</f>
        <v>0</v>
      </c>
      <c r="I85" s="77">
        <f>SUMIF(记录巡查问题条数汇总!$B:$B,D84,记录巡查问题条数汇总!$E:$E)</f>
        <v>0</v>
      </c>
      <c r="J85" s="77"/>
      <c r="K85" s="77">
        <f>SUMIF(安全质量事故!$B:$B,D84,安全质量事故!$G:$G)</f>
        <v>0</v>
      </c>
      <c r="L85" s="72">
        <f>COUNTIF(M85:AQ85,标准数据!$A$2)*标准数据!$B$2+COUNTIF(M85:AQ85,标准数据!$A$3)*标准数据!$B$3+COUNTIF(M85:AQ85,标准数据!$A$4)*标准数据!$B$4</f>
        <v>0</v>
      </c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188"/>
      <c r="AR85" s="90"/>
      <c r="AV85" s="76" t="str">
        <f>VLOOKUP(E85,[1]生产部!$C:$I,7,0)</f>
        <v>班组</v>
      </c>
      <c r="AW85" s="41" t="str">
        <f>VLOOKUP(E85,[1]生产部!$C:$I,6,0)</f>
        <v>4号楼1&amp;2车间</v>
      </c>
    </row>
    <row r="86" spans="1:49" ht="21" customHeight="1">
      <c r="A86" s="234" t="s">
        <v>293</v>
      </c>
      <c r="B86" s="229" t="s">
        <v>2108</v>
      </c>
      <c r="C86" s="45" t="s">
        <v>129</v>
      </c>
      <c r="D86" s="46" t="s">
        <v>745</v>
      </c>
      <c r="E86" s="47" t="s">
        <v>680</v>
      </c>
      <c r="F86" s="48">
        <v>45973</v>
      </c>
      <c r="G86" s="49">
        <f t="shared" si="1"/>
        <v>0</v>
      </c>
      <c r="H86" s="77">
        <f>SUMIF(积分汇总!$B:$B,D85,积分汇总!$E:$E)</f>
        <v>0</v>
      </c>
      <c r="I86" s="77">
        <f>SUMIF(记录巡查问题条数汇总!$B:$B,D85,记录巡查问题条数汇总!$E:$E)</f>
        <v>0</v>
      </c>
      <c r="J86" s="77"/>
      <c r="K86" s="77">
        <f>SUMIF(安全质量事故!$B:$B,D85,安全质量事故!$G:$G)</f>
        <v>0</v>
      </c>
      <c r="L86" s="72">
        <f>COUNTIF(M86:AQ86,标准数据!$A$2)*标准数据!$B$2+COUNTIF(M86:AQ86,标准数据!$A$3)*标准数据!$B$3+COUNTIF(M86:AQ86,标准数据!$A$4)*标准数据!$B$4</f>
        <v>0</v>
      </c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188"/>
      <c r="AR86" s="90"/>
      <c r="AV86" s="76" t="str">
        <f>VLOOKUP(E86,[1]生产部!$C:$I,7,0)</f>
        <v>常白</v>
      </c>
      <c r="AW86" s="41" t="str">
        <f>VLOOKUP(E86,[1]生产部!$C:$I,6,0)</f>
        <v>4号楼1&amp;2车间</v>
      </c>
    </row>
    <row r="87" spans="1:49" ht="21" customHeight="1">
      <c r="A87" s="234" t="s">
        <v>293</v>
      </c>
      <c r="B87" s="229" t="s">
        <v>2108</v>
      </c>
      <c r="C87" s="45" t="s">
        <v>129</v>
      </c>
      <c r="D87" s="46" t="s">
        <v>997</v>
      </c>
      <c r="E87" s="47" t="s">
        <v>996</v>
      </c>
      <c r="F87" s="48">
        <v>46057</v>
      </c>
      <c r="G87" s="49">
        <f t="shared" si="1"/>
        <v>0</v>
      </c>
      <c r="H87" s="77">
        <f>SUMIF(积分汇总!$B:$B,D86,积分汇总!$E:$E)</f>
        <v>0</v>
      </c>
      <c r="I87" s="77">
        <f>SUMIF(记录巡查问题条数汇总!$B:$B,D86,记录巡查问题条数汇总!$E:$E)</f>
        <v>0</v>
      </c>
      <c r="J87" s="77"/>
      <c r="K87" s="77">
        <f>SUMIF(安全质量事故!$B:$B,D86,安全质量事故!$G:$G)</f>
        <v>0</v>
      </c>
      <c r="L87" s="72">
        <f>COUNTIF(M87:AQ87,标准数据!$A$2)*标准数据!$B$2+COUNTIF(M87:AQ87,标准数据!$A$3)*标准数据!$B$3+COUNTIF(M87:AQ87,标准数据!$A$4)*标准数据!$B$4</f>
        <v>0</v>
      </c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188"/>
      <c r="AR87" s="90"/>
      <c r="AV87" s="76" t="str">
        <f>VLOOKUP(E87,[1]生产部!$C:$I,7,0)</f>
        <v>常白</v>
      </c>
      <c r="AW87" s="41" t="str">
        <f>VLOOKUP(E87,[1]生产部!$C:$I,6,0)</f>
        <v>4号楼1&amp;2车间</v>
      </c>
    </row>
    <row r="88" spans="1:49" ht="21" customHeight="1">
      <c r="A88" s="234" t="s">
        <v>293</v>
      </c>
      <c r="B88" s="229" t="s">
        <v>2108</v>
      </c>
      <c r="C88" s="45" t="s">
        <v>129</v>
      </c>
      <c r="D88" s="46" t="s">
        <v>990</v>
      </c>
      <c r="E88" s="47" t="s">
        <v>965</v>
      </c>
      <c r="F88" s="48">
        <v>45980</v>
      </c>
      <c r="G88" s="49">
        <f t="shared" si="1"/>
        <v>0</v>
      </c>
      <c r="H88" s="77">
        <f>SUMIF(积分汇总!$B:$B,D87,积分汇总!$E:$E)</f>
        <v>0</v>
      </c>
      <c r="I88" s="77">
        <f>SUMIF(记录巡查问题条数汇总!$B:$B,D87,记录巡查问题条数汇总!$E:$E)</f>
        <v>0</v>
      </c>
      <c r="J88" s="77"/>
      <c r="K88" s="77">
        <f>SUMIF(安全质量事故!$B:$B,D87,安全质量事故!$G:$G)</f>
        <v>0</v>
      </c>
      <c r="L88" s="72">
        <f>COUNTIF(M88:AQ88,标准数据!$A$2)*标准数据!$B$2+COUNTIF(M88:AQ88,标准数据!$A$3)*标准数据!$B$3+COUNTIF(M88:AQ88,标准数据!$A$4)*标准数据!$B$4</f>
        <v>0</v>
      </c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188"/>
      <c r="AR88" s="90"/>
      <c r="AV88" s="76" t="str">
        <f>VLOOKUP(E88,[1]生产部!$C:$I,7,0)</f>
        <v>班组</v>
      </c>
      <c r="AW88" s="41" t="str">
        <f>VLOOKUP(E88,[1]生产部!$C:$I,6,0)</f>
        <v>4号楼1&amp;2车间</v>
      </c>
    </row>
    <row r="89" spans="1:49" ht="21" customHeight="1">
      <c r="A89" s="234" t="s">
        <v>293</v>
      </c>
      <c r="B89" s="229" t="s">
        <v>2108</v>
      </c>
      <c r="C89" s="45" t="s">
        <v>129</v>
      </c>
      <c r="D89" s="46" t="s">
        <v>991</v>
      </c>
      <c r="E89" s="47" t="s">
        <v>966</v>
      </c>
      <c r="F89" s="48">
        <v>45980</v>
      </c>
      <c r="G89" s="49">
        <f t="shared" si="1"/>
        <v>0</v>
      </c>
      <c r="H89" s="77">
        <f>SUMIF(积分汇总!$B:$B,D88,积分汇总!$E:$E)</f>
        <v>0</v>
      </c>
      <c r="I89" s="77">
        <f>SUMIF(记录巡查问题条数汇总!$B:$B,D88,记录巡查问题条数汇总!$E:$E)</f>
        <v>0</v>
      </c>
      <c r="J89" s="77"/>
      <c r="K89" s="77">
        <f>SUMIF(安全质量事故!$B:$B,D88,安全质量事故!$G:$G)</f>
        <v>0</v>
      </c>
      <c r="L89" s="72">
        <f>COUNTIF(M89:AQ89,标准数据!$A$2)*标准数据!$B$2+COUNTIF(M89:AQ89,标准数据!$A$3)*标准数据!$B$3+COUNTIF(M89:AQ89,标准数据!$A$4)*标准数据!$B$4</f>
        <v>0</v>
      </c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188"/>
      <c r="AR89" s="90"/>
      <c r="AV89" s="76" t="str">
        <f>VLOOKUP(E89,[1]生产部!$C:$I,7,0)</f>
        <v>班组</v>
      </c>
      <c r="AW89" s="41" t="str">
        <f>VLOOKUP(E89,[1]生产部!$C:$I,6,0)</f>
        <v>4号楼1&amp;2车间</v>
      </c>
    </row>
    <row r="90" spans="1:49" ht="21" customHeight="1">
      <c r="A90" s="234" t="s">
        <v>293</v>
      </c>
      <c r="B90" s="229" t="s">
        <v>2108</v>
      </c>
      <c r="C90" s="45" t="s">
        <v>129</v>
      </c>
      <c r="D90" s="46" t="s">
        <v>992</v>
      </c>
      <c r="E90" s="47" t="s">
        <v>967</v>
      </c>
      <c r="F90" s="48">
        <v>45987</v>
      </c>
      <c r="G90" s="49">
        <f t="shared" si="1"/>
        <v>0</v>
      </c>
      <c r="H90" s="77">
        <f>SUMIF(积分汇总!$B:$B,D89,积分汇总!$E:$E)</f>
        <v>0</v>
      </c>
      <c r="I90" s="77">
        <f>SUMIF(记录巡查问题条数汇总!$B:$B,D89,记录巡查问题条数汇总!$E:$E)</f>
        <v>0</v>
      </c>
      <c r="J90" s="77"/>
      <c r="K90" s="77">
        <f>SUMIF(安全质量事故!$B:$B,D89,安全质量事故!$G:$G)</f>
        <v>0</v>
      </c>
      <c r="L90" s="72">
        <f>COUNTIF(M90:AQ90,标准数据!$A$2)*标准数据!$B$2+COUNTIF(M90:AQ90,标准数据!$A$3)*标准数据!$B$3+COUNTIF(M90:AQ90,标准数据!$A$4)*标准数据!$B$4</f>
        <v>0</v>
      </c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188"/>
      <c r="AR90" s="90"/>
      <c r="AV90" s="76" t="str">
        <f>VLOOKUP(E90,[1]生产部!$C:$I,7,0)</f>
        <v>班组</v>
      </c>
      <c r="AW90" s="41" t="str">
        <f>VLOOKUP(E90,[1]生产部!$C:$I,6,0)</f>
        <v>4号楼1&amp;2车间</v>
      </c>
    </row>
    <row r="91" spans="1:49" ht="21" customHeight="1">
      <c r="A91" s="234" t="s">
        <v>293</v>
      </c>
      <c r="B91" s="229" t="s">
        <v>2109</v>
      </c>
      <c r="C91" s="45" t="s">
        <v>129</v>
      </c>
      <c r="D91" s="46" t="s">
        <v>1234</v>
      </c>
      <c r="E91" s="47" t="s">
        <v>1235</v>
      </c>
      <c r="F91" s="48">
        <v>46127</v>
      </c>
      <c r="G91" s="49">
        <f t="shared" si="1"/>
        <v>0</v>
      </c>
      <c r="H91" s="77">
        <f>SUMIF(积分汇总!$B:$B,D90,积分汇总!$E:$E)</f>
        <v>0</v>
      </c>
      <c r="I91" s="77">
        <f>SUMIF(记录巡查问题条数汇总!$B:$B,D90,记录巡查问题条数汇总!$E:$E)</f>
        <v>0</v>
      </c>
      <c r="J91" s="77"/>
      <c r="K91" s="77">
        <f>SUMIF(安全质量事故!$B:$B,D90,安全质量事故!$G:$G)</f>
        <v>0</v>
      </c>
      <c r="L91" s="72">
        <f>COUNTIF(M91:AQ91,标准数据!$A$2)*标准数据!$B$2+COUNTIF(M91:AQ91,标准数据!$A$3)*标准数据!$B$3+COUNTIF(M91:AQ91,标准数据!$A$4)*标准数据!$B$4</f>
        <v>0</v>
      </c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188"/>
      <c r="AR91" s="90"/>
      <c r="AV91" s="76" t="str">
        <f>VLOOKUP(E91,[1]生产部!$C:$I,7,0)</f>
        <v>班组</v>
      </c>
      <c r="AW91" s="41" t="str">
        <f>VLOOKUP(E91,[1]生产部!$C:$I,6,0)</f>
        <v>4号楼3&amp;4车间</v>
      </c>
    </row>
    <row r="92" spans="1:49" ht="21" customHeight="1">
      <c r="A92" s="234" t="s">
        <v>293</v>
      </c>
      <c r="B92" s="229" t="s">
        <v>2108</v>
      </c>
      <c r="C92" s="45" t="s">
        <v>146</v>
      </c>
      <c r="D92" s="54" t="s">
        <v>1002</v>
      </c>
      <c r="E92" s="47" t="s">
        <v>1003</v>
      </c>
      <c r="F92" s="48">
        <v>45980</v>
      </c>
      <c r="G92" s="49">
        <f t="shared" si="1"/>
        <v>0</v>
      </c>
      <c r="H92" s="77">
        <f>SUMIF(积分汇总!$B:$B,D91,积分汇总!$E:$E)</f>
        <v>0</v>
      </c>
      <c r="I92" s="77">
        <f>SUMIF(记录巡查问题条数汇总!$B:$B,D91,记录巡查问题条数汇总!$E:$E)</f>
        <v>0</v>
      </c>
      <c r="J92" s="77"/>
      <c r="K92" s="77">
        <f>SUMIF(安全质量事故!$B:$B,D91,安全质量事故!$G:$G)</f>
        <v>0</v>
      </c>
      <c r="L92" s="72">
        <f>COUNTIF(M92:AQ92,标准数据!$A$2)*标准数据!$B$2+COUNTIF(M92:AQ92,标准数据!$A$3)*标准数据!$B$3+COUNTIF(M92:AQ92,标准数据!$A$4)*标准数据!$B$4</f>
        <v>0</v>
      </c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188"/>
      <c r="AR92" s="90"/>
      <c r="AV92" s="76" t="str">
        <f>VLOOKUP(E92,[1]生产部!$C:$I,7,0)</f>
        <v>班组</v>
      </c>
      <c r="AW92" s="41" t="str">
        <f>VLOOKUP(E92,[1]生产部!$C:$I,6,0)</f>
        <v>4号楼1&amp;2车间</v>
      </c>
    </row>
    <row r="93" spans="1:49" ht="21" customHeight="1">
      <c r="A93" s="235" t="s">
        <v>1030</v>
      </c>
      <c r="B93" s="229" t="s">
        <v>2109</v>
      </c>
      <c r="C93" s="45" t="s">
        <v>13</v>
      </c>
      <c r="D93" s="46" t="s">
        <v>245</v>
      </c>
      <c r="E93" s="47" t="s">
        <v>233</v>
      </c>
      <c r="F93" s="46">
        <v>44752</v>
      </c>
      <c r="G93" s="49">
        <f t="shared" si="1"/>
        <v>0</v>
      </c>
      <c r="H93" s="77">
        <f>SUMIF(积分汇总!$B:$B,D92,积分汇总!$E:$E)</f>
        <v>0</v>
      </c>
      <c r="I93" s="77">
        <f>SUMIF(记录巡查问题条数汇总!$B:$B,D92,记录巡查问题条数汇总!$E:$E)</f>
        <v>0</v>
      </c>
      <c r="J93" s="77"/>
      <c r="K93" s="77">
        <f>SUMIF(安全质量事故!$B:$B,D92,安全质量事故!$G:$G)</f>
        <v>0</v>
      </c>
      <c r="L93" s="72">
        <f>COUNTIF(M93:AQ93,标准数据!$A$2)*标准数据!$B$2+COUNTIF(M93:AQ93,标准数据!$A$3)*标准数据!$B$3+COUNTIF(M93:AQ93,标准数据!$A$4)*标准数据!$B$4</f>
        <v>0</v>
      </c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188"/>
      <c r="AR93" s="90"/>
      <c r="AS93" s="283" t="s">
        <v>360</v>
      </c>
      <c r="AT93" s="284"/>
      <c r="AU93" s="284"/>
      <c r="AV93" s="76" t="str">
        <f>VLOOKUP(E93,[1]生产部!$C:$I,7,0)</f>
        <v>项目组</v>
      </c>
      <c r="AW93" s="41" t="str">
        <f>VLOOKUP(E93,[1]生产部!$C:$I,6,0)</f>
        <v>4号楼3&amp;4车间</v>
      </c>
    </row>
    <row r="94" spans="1:49" ht="21" customHeight="1">
      <c r="A94" s="235" t="s">
        <v>294</v>
      </c>
      <c r="B94" s="229" t="s">
        <v>2109</v>
      </c>
      <c r="C94" s="45" t="s">
        <v>13</v>
      </c>
      <c r="D94" s="46" t="s">
        <v>204</v>
      </c>
      <c r="E94" s="47" t="s">
        <v>205</v>
      </c>
      <c r="F94" s="48">
        <v>43677</v>
      </c>
      <c r="G94" s="49">
        <f t="shared" si="1"/>
        <v>0</v>
      </c>
      <c r="H94" s="77">
        <f>SUMIF(积分汇总!$B:$B,D93,积分汇总!$E:$E)</f>
        <v>0</v>
      </c>
      <c r="I94" s="77">
        <f>SUMIF(记录巡查问题条数汇总!$B:$B,D93,记录巡查问题条数汇总!$E:$E)</f>
        <v>0</v>
      </c>
      <c r="J94" s="77"/>
      <c r="K94" s="77">
        <f>SUMIF(安全质量事故!$B:$B,D93,安全质量事故!$G:$G)</f>
        <v>0</v>
      </c>
      <c r="L94" s="72">
        <f>COUNTIF(M94:AQ94,标准数据!$A$2)*标准数据!$B$2+COUNTIF(M94:AQ94,标准数据!$A$3)*标准数据!$B$3+COUNTIF(M94:AQ94,标准数据!$A$4)*标准数据!$B$4</f>
        <v>0</v>
      </c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188"/>
      <c r="AR94" s="90"/>
      <c r="AS94" s="225" t="s">
        <v>1031</v>
      </c>
      <c r="AT94" s="226" t="s">
        <v>1027</v>
      </c>
      <c r="AU94" s="226" t="s">
        <v>1028</v>
      </c>
      <c r="AV94" s="76" t="str">
        <f>VLOOKUP(E94,[1]生产部!$C:$I,7,0)</f>
        <v>班组</v>
      </c>
      <c r="AW94" s="41" t="str">
        <f>VLOOKUP(E94,[1]生产部!$C:$I,6,0)</f>
        <v>4号楼3&amp;4车间</v>
      </c>
    </row>
    <row r="95" spans="1:49" ht="21" customHeight="1">
      <c r="A95" s="235" t="s">
        <v>294</v>
      </c>
      <c r="B95" s="229" t="s">
        <v>2109</v>
      </c>
      <c r="C95" s="45" t="s">
        <v>13</v>
      </c>
      <c r="D95" s="46" t="s">
        <v>368</v>
      </c>
      <c r="E95" s="47" t="s">
        <v>361</v>
      </c>
      <c r="F95" s="48">
        <v>43977</v>
      </c>
      <c r="G95" s="49">
        <f t="shared" si="1"/>
        <v>0</v>
      </c>
      <c r="H95" s="77">
        <f>SUMIF(积分汇总!$B:$B,D94,积分汇总!$E:$E)</f>
        <v>0</v>
      </c>
      <c r="I95" s="77">
        <f>SUMIF(记录巡查问题条数汇总!$B:$B,D94,记录巡查问题条数汇总!$E:$E)</f>
        <v>0</v>
      </c>
      <c r="J95" s="77"/>
      <c r="K95" s="77">
        <f>SUMIF(安全质量事故!$B:$B,D94,安全质量事故!$G:$G)</f>
        <v>0</v>
      </c>
      <c r="L95" s="72">
        <f>COUNTIF(M95:AQ95,标准数据!$A$2)*标准数据!$B$2+COUNTIF(M95:AQ95,标准数据!$A$3)*标准数据!$B$3+COUNTIF(M95:AQ95,标准数据!$A$4)*标准数据!$B$4</f>
        <v>0</v>
      </c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188"/>
      <c r="AR95" s="90"/>
      <c r="AS95" s="64">
        <f>COUNTIF($M$93:$AQ$186,"a")</f>
        <v>0</v>
      </c>
      <c r="AT95" s="64">
        <f>COUNTIF($M$93:$AQ$186,"b")</f>
        <v>0</v>
      </c>
      <c r="AU95" s="64">
        <f>COUNTIF($M$93:$AQ$186,"c")</f>
        <v>0</v>
      </c>
      <c r="AV95" s="76" t="str">
        <f>VLOOKUP(E95,[1]生产部!$C:$I,7,0)</f>
        <v>常白</v>
      </c>
      <c r="AW95" s="41" t="str">
        <f>VLOOKUP(E95,[1]生产部!$C:$I,6,0)</f>
        <v>4号楼3&amp;4车间</v>
      </c>
    </row>
    <row r="96" spans="1:49" ht="21" customHeight="1">
      <c r="A96" s="235" t="s">
        <v>294</v>
      </c>
      <c r="B96" s="229" t="s">
        <v>2109</v>
      </c>
      <c r="C96" s="45" t="s">
        <v>13</v>
      </c>
      <c r="D96" s="46" t="s">
        <v>392</v>
      </c>
      <c r="E96" s="47" t="s">
        <v>383</v>
      </c>
      <c r="F96" s="48">
        <v>44389</v>
      </c>
      <c r="G96" s="49">
        <f t="shared" si="1"/>
        <v>0</v>
      </c>
      <c r="H96" s="77">
        <f>SUMIF(积分汇总!$B:$B,D95,积分汇总!$E:$E)</f>
        <v>0</v>
      </c>
      <c r="I96" s="77">
        <f>SUMIF(记录巡查问题条数汇总!$B:$B,D95,记录巡查问题条数汇总!$E:$E)</f>
        <v>0</v>
      </c>
      <c r="J96" s="77"/>
      <c r="K96" s="77">
        <f>SUMIF(安全质量事故!$B:$B,D95,安全质量事故!$G:$G)</f>
        <v>0</v>
      </c>
      <c r="L96" s="72">
        <f>COUNTIF(M96:AQ96,标准数据!$A$2)*标准数据!$B$2+COUNTIF(M96:AQ96,标准数据!$A$3)*标准数据!$B$3+COUNTIF(M96:AQ96,标准数据!$A$4)*标准数据!$B$4</f>
        <v>0</v>
      </c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188"/>
      <c r="AR96" s="90"/>
      <c r="AS96" s="50" t="e">
        <f>AS95/($AS$95+$AT$95+$AU$95)</f>
        <v>#DIV/0!</v>
      </c>
      <c r="AT96" s="50" t="e">
        <f>AT95/($AS$95+$AT$95+$AU$95)</f>
        <v>#DIV/0!</v>
      </c>
      <c r="AU96" s="50" t="e">
        <f>AU95/($AS$95+$AT$95+$AU$95)</f>
        <v>#DIV/0!</v>
      </c>
      <c r="AV96" s="76" t="str">
        <f>VLOOKUP(E96,[1]生产部!$C:$I,7,0)</f>
        <v>项目组</v>
      </c>
      <c r="AW96" s="41" t="str">
        <f>VLOOKUP(E96,[1]生产部!$C:$I,6,0)</f>
        <v>4号楼3&amp;4车间</v>
      </c>
    </row>
    <row r="97" spans="1:49" ht="21" customHeight="1">
      <c r="A97" s="235" t="s">
        <v>294</v>
      </c>
      <c r="B97" s="229" t="s">
        <v>2109</v>
      </c>
      <c r="C97" s="45" t="s">
        <v>13</v>
      </c>
      <c r="D97" s="46" t="s">
        <v>468</v>
      </c>
      <c r="E97" s="47" t="s">
        <v>434</v>
      </c>
      <c r="F97" s="48">
        <v>45847</v>
      </c>
      <c r="G97" s="49">
        <f t="shared" si="1"/>
        <v>0</v>
      </c>
      <c r="H97" s="77">
        <f>SUMIF(积分汇总!$B:$B,D96,积分汇总!$E:$E)</f>
        <v>0</v>
      </c>
      <c r="I97" s="77">
        <f>SUMIF(记录巡查问题条数汇总!$B:$B,D96,记录巡查问题条数汇总!$E:$E)</f>
        <v>0</v>
      </c>
      <c r="J97" s="77"/>
      <c r="K97" s="77">
        <f>SUMIF(安全质量事故!$B:$B,D96,安全质量事故!$G:$G)</f>
        <v>0</v>
      </c>
      <c r="L97" s="72">
        <f>COUNTIF(M97:AQ97,标准数据!$A$2)*标准数据!$B$2+COUNTIF(M97:AQ97,标准数据!$A$3)*标准数据!$B$3+COUNTIF(M97:AQ97,标准数据!$A$4)*标准数据!$B$4</f>
        <v>0</v>
      </c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188"/>
      <c r="AR97" s="90"/>
      <c r="AV97" s="76" t="str">
        <f>VLOOKUP(E97,[1]生产部!$C:$I,7,0)</f>
        <v>项目组</v>
      </c>
      <c r="AW97" s="41" t="str">
        <f>VLOOKUP(E97,[1]生产部!$C:$I,6,0)</f>
        <v>4号楼3&amp;4车间</v>
      </c>
    </row>
    <row r="98" spans="1:49" ht="21" customHeight="1">
      <c r="A98" s="235" t="s">
        <v>294</v>
      </c>
      <c r="B98" s="229" t="s">
        <v>2109</v>
      </c>
      <c r="C98" s="45" t="s">
        <v>13</v>
      </c>
      <c r="D98" s="46" t="s">
        <v>1500</v>
      </c>
      <c r="E98" s="47" t="s">
        <v>1501</v>
      </c>
      <c r="F98" s="48">
        <v>46169</v>
      </c>
      <c r="G98" s="49">
        <f t="shared" si="1"/>
        <v>0</v>
      </c>
      <c r="H98" s="77">
        <f>SUMIF(积分汇总!$B:$B,D97,积分汇总!$E:$E)</f>
        <v>0</v>
      </c>
      <c r="I98" s="77">
        <f>SUMIF(记录巡查问题条数汇总!$B:$B,D97,记录巡查问题条数汇总!$E:$E)</f>
        <v>0</v>
      </c>
      <c r="J98" s="77"/>
      <c r="K98" s="77">
        <f>SUMIF(安全质量事故!$B:$B,D97,安全质量事故!$G:$G)</f>
        <v>0</v>
      </c>
      <c r="L98" s="72">
        <f>COUNTIF(M98:AQ98,标准数据!$A$2)*标准数据!$B$2+COUNTIF(M98:AQ98,标准数据!$A$3)*标准数据!$B$3+COUNTIF(M98:AQ98,标准数据!$A$4)*标准数据!$B$4</f>
        <v>0</v>
      </c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188"/>
      <c r="AR98" s="90"/>
      <c r="AV98" s="76" t="str">
        <f>VLOOKUP(E98,[1]生产部!$C:$I,7,0)</f>
        <v>项目组</v>
      </c>
      <c r="AW98" s="41" t="str">
        <f>VLOOKUP(E98,[1]生产部!$C:$I,6,0)</f>
        <v>4号楼3&amp;4车间</v>
      </c>
    </row>
    <row r="99" spans="1:49" ht="21" customHeight="1">
      <c r="A99" s="235" t="s">
        <v>294</v>
      </c>
      <c r="B99" s="229" t="s">
        <v>2108</v>
      </c>
      <c r="C99" s="204" t="s">
        <v>13</v>
      </c>
      <c r="D99" s="202" t="s">
        <v>1960</v>
      </c>
      <c r="E99" s="201" t="s">
        <v>1961</v>
      </c>
      <c r="F99" s="203">
        <v>46253</v>
      </c>
      <c r="G99" s="49">
        <f t="shared" si="1"/>
        <v>0</v>
      </c>
      <c r="H99" s="77">
        <f>SUMIF(积分汇总!$B:$B,D97,积分汇总!$E:$E)</f>
        <v>0</v>
      </c>
      <c r="I99" s="77">
        <f>SUMIF(记录巡查问题条数汇总!$B:$B,D97,记录巡查问题条数汇总!$E:$E)</f>
        <v>0</v>
      </c>
      <c r="J99" s="77"/>
      <c r="K99" s="77">
        <f>SUMIF(安全质量事故!$B:$B,D97,安全质量事故!$G:$G)</f>
        <v>0</v>
      </c>
      <c r="L99" s="72">
        <f>COUNTIF(M99:AQ99,标准数据!$A$2)*标准数据!$B$2+COUNTIF(M99:AQ99,标准数据!$A$3)*标准数据!$B$3+COUNTIF(M99:AQ99,标准数据!$A$4)*标准数据!$B$4</f>
        <v>0</v>
      </c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188"/>
      <c r="AR99" s="90"/>
      <c r="AV99" s="76" t="str">
        <f>VLOOKUP(E99,[1]生产部!$C:$I,7,0)</f>
        <v>常白</v>
      </c>
      <c r="AW99" s="41" t="str">
        <f>VLOOKUP(E99,[1]生产部!$C:$I,6,0)</f>
        <v>4号楼</v>
      </c>
    </row>
    <row r="100" spans="1:49" ht="21" customHeight="1">
      <c r="A100" s="235" t="s">
        <v>294</v>
      </c>
      <c r="B100" s="229" t="s">
        <v>2108</v>
      </c>
      <c r="C100" s="204" t="s">
        <v>13</v>
      </c>
      <c r="D100" s="202" t="s">
        <v>1962</v>
      </c>
      <c r="E100" s="201" t="s">
        <v>1963</v>
      </c>
      <c r="F100" s="203">
        <v>46251</v>
      </c>
      <c r="G100" s="49">
        <f t="shared" si="1"/>
        <v>0</v>
      </c>
      <c r="H100" s="77">
        <f>SUMIF(积分汇总!$B:$B,D99,积分汇总!$E:$E)</f>
        <v>0</v>
      </c>
      <c r="I100" s="77">
        <f>SUMIF(记录巡查问题条数汇总!$B:$B,D99,记录巡查问题条数汇总!$E:$E)</f>
        <v>0</v>
      </c>
      <c r="J100" s="77"/>
      <c r="K100" s="77">
        <f>SUMIF(安全质量事故!$B:$B,D99,安全质量事故!$G:$G)</f>
        <v>0</v>
      </c>
      <c r="L100" s="72">
        <f>COUNTIF(M100:AQ100,标准数据!$A$2)*标准数据!$B$2+COUNTIF(M100:AQ100,标准数据!$A$3)*标准数据!$B$3+COUNTIF(M100:AQ100,标准数据!$A$4)*标准数据!$B$4</f>
        <v>0</v>
      </c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188"/>
      <c r="AR100" s="90"/>
      <c r="AV100" s="76" t="str">
        <f>VLOOKUP(E100,[1]生产部!$C:$I,7,0)</f>
        <v>常白</v>
      </c>
      <c r="AW100" s="41" t="str">
        <f>VLOOKUP(E100,[1]生产部!$C:$I,6,0)</f>
        <v>4号楼</v>
      </c>
    </row>
    <row r="101" spans="1:49" ht="21" customHeight="1">
      <c r="A101" s="235" t="s">
        <v>294</v>
      </c>
      <c r="B101" s="229" t="s">
        <v>2109</v>
      </c>
      <c r="C101" s="45" t="s">
        <v>154</v>
      </c>
      <c r="D101" s="45" t="s">
        <v>153</v>
      </c>
      <c r="E101" s="52" t="s">
        <v>43</v>
      </c>
      <c r="F101" s="46">
        <v>43817</v>
      </c>
      <c r="G101" s="49">
        <f t="shared" si="1"/>
        <v>0</v>
      </c>
      <c r="H101" s="77">
        <f>SUMIF(积分汇总!$B:$B,D100,积分汇总!$E:$E)</f>
        <v>0</v>
      </c>
      <c r="I101" s="77">
        <f>SUMIF(记录巡查问题条数汇总!$B:$B,D100,记录巡查问题条数汇总!$E:$E)</f>
        <v>0</v>
      </c>
      <c r="J101" s="77"/>
      <c r="K101" s="77">
        <f>SUMIF(安全质量事故!$B:$B,D100,安全质量事故!$G:$G)</f>
        <v>0</v>
      </c>
      <c r="L101" s="72">
        <f>COUNTIF(M101:AQ101,标准数据!$A$2)*标准数据!$B$2+COUNTIF(M101:AQ101,标准数据!$A$3)*标准数据!$B$3+COUNTIF(M101:AQ101,标准数据!$A$4)*标准数据!$B$4</f>
        <v>0</v>
      </c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188"/>
      <c r="AR101" s="90"/>
      <c r="AV101" s="76" t="str">
        <f>VLOOKUP(E101,[1]生产部!$C:$I,7,0)</f>
        <v>常白</v>
      </c>
      <c r="AW101" s="41" t="str">
        <f>VLOOKUP(E101,[1]生产部!$C:$I,6,0)</f>
        <v>4号楼3&amp;4车间</v>
      </c>
    </row>
    <row r="102" spans="1:49" ht="21" customHeight="1">
      <c r="A102" s="235" t="s">
        <v>294</v>
      </c>
      <c r="B102" s="229" t="s">
        <v>2109</v>
      </c>
      <c r="C102" s="45" t="s">
        <v>131</v>
      </c>
      <c r="D102" s="46" t="s">
        <v>134</v>
      </c>
      <c r="E102" s="47" t="s">
        <v>61</v>
      </c>
      <c r="F102" s="48">
        <v>44734</v>
      </c>
      <c r="G102" s="49">
        <f t="shared" si="1"/>
        <v>0</v>
      </c>
      <c r="H102" s="77">
        <f>SUMIF(积分汇总!$B:$B,D101,积分汇总!$E:$E)</f>
        <v>0</v>
      </c>
      <c r="I102" s="77">
        <f>SUMIF(记录巡查问题条数汇总!$B:$B,D101,记录巡查问题条数汇总!$E:$E)</f>
        <v>0</v>
      </c>
      <c r="J102" s="77"/>
      <c r="K102" s="77">
        <f>SUMIF(安全质量事故!$B:$B,D101,安全质量事故!$G:$G)</f>
        <v>0</v>
      </c>
      <c r="L102" s="72">
        <f>COUNTIF(M102:AQ102,标准数据!$A$2)*标准数据!$B$2+COUNTIF(M102:AQ102,标准数据!$A$3)*标准数据!$B$3+COUNTIF(M102:AQ102,标准数据!$A$4)*标准数据!$B$4</f>
        <v>0</v>
      </c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188"/>
      <c r="AR102" s="90"/>
      <c r="AV102" s="76" t="str">
        <f>VLOOKUP(E102,[1]生产部!$C:$I,7,0)</f>
        <v>班组</v>
      </c>
      <c r="AW102" s="41" t="str">
        <f>VLOOKUP(E102,[1]生产部!$C:$I,6,0)</f>
        <v>4号楼3&amp;4车间</v>
      </c>
    </row>
    <row r="103" spans="1:49" ht="21" customHeight="1">
      <c r="A103" s="235" t="s">
        <v>294</v>
      </c>
      <c r="B103" s="229" t="s">
        <v>2109</v>
      </c>
      <c r="C103" s="45" t="s">
        <v>131</v>
      </c>
      <c r="D103" s="46" t="s">
        <v>137</v>
      </c>
      <c r="E103" s="47" t="s">
        <v>69</v>
      </c>
      <c r="F103" s="48">
        <v>44755</v>
      </c>
      <c r="G103" s="49">
        <f t="shared" si="1"/>
        <v>0</v>
      </c>
      <c r="H103" s="77">
        <f>SUMIF(积分汇总!$B:$B,D102,积分汇总!$E:$E)</f>
        <v>0</v>
      </c>
      <c r="I103" s="77">
        <f>SUMIF(记录巡查问题条数汇总!$B:$B,D102,记录巡查问题条数汇总!$E:$E)</f>
        <v>0</v>
      </c>
      <c r="J103" s="77"/>
      <c r="K103" s="77">
        <f>SUMIF(安全质量事故!$B:$B,D102,安全质量事故!$G:$G)</f>
        <v>0</v>
      </c>
      <c r="L103" s="72">
        <f>COUNTIF(M103:AQ103,标准数据!$A$2)*标准数据!$B$2+COUNTIF(M103:AQ103,标准数据!$A$3)*标准数据!$B$3+COUNTIF(M103:AQ103,标准数据!$A$4)*标准数据!$B$4</f>
        <v>0</v>
      </c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188"/>
      <c r="AR103" s="90"/>
      <c r="AV103" s="76" t="str">
        <f>VLOOKUP(E103,[1]生产部!$C:$I,7,0)</f>
        <v>倒班</v>
      </c>
      <c r="AW103" s="41" t="str">
        <f>VLOOKUP(E103,[1]生产部!$C:$I,6,0)</f>
        <v>4号楼3&amp;4车间</v>
      </c>
    </row>
    <row r="104" spans="1:49" ht="21" customHeight="1">
      <c r="A104" s="235" t="s">
        <v>294</v>
      </c>
      <c r="B104" s="229" t="s">
        <v>2109</v>
      </c>
      <c r="C104" s="45" t="s">
        <v>131</v>
      </c>
      <c r="D104" s="46" t="s">
        <v>139</v>
      </c>
      <c r="E104" s="52" t="s">
        <v>100</v>
      </c>
      <c r="F104" s="46">
        <v>45056</v>
      </c>
      <c r="G104" s="49">
        <f t="shared" si="1"/>
        <v>0</v>
      </c>
      <c r="H104" s="77">
        <f>SUMIF(积分汇总!$B:$B,D103,积分汇总!$E:$E)</f>
        <v>0</v>
      </c>
      <c r="I104" s="77">
        <f>SUMIF(记录巡查问题条数汇总!$B:$B,D103,记录巡查问题条数汇总!$E:$E)</f>
        <v>0</v>
      </c>
      <c r="J104" s="77"/>
      <c r="K104" s="77">
        <f>SUMIF(安全质量事故!$B:$B,D103,安全质量事故!$G:$G)</f>
        <v>0</v>
      </c>
      <c r="L104" s="72">
        <f>COUNTIF(M104:AQ104,标准数据!$A$2)*标准数据!$B$2+COUNTIF(M104:AQ104,标准数据!$A$3)*标准数据!$B$3+COUNTIF(M104:AQ104,标准数据!$A$4)*标准数据!$B$4</f>
        <v>0</v>
      </c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188"/>
      <c r="AR104" s="90"/>
      <c r="AV104" s="76" t="str">
        <f>VLOOKUP(E104,[1]生产部!$C:$I,7,0)</f>
        <v>班组</v>
      </c>
      <c r="AW104" s="41" t="str">
        <f>VLOOKUP(E104,[1]生产部!$C:$I,6,0)</f>
        <v>4号楼3&amp;4车间</v>
      </c>
    </row>
    <row r="105" spans="1:49" ht="21" customHeight="1">
      <c r="A105" s="235" t="s">
        <v>294</v>
      </c>
      <c r="B105" s="229" t="s">
        <v>2109</v>
      </c>
      <c r="C105" s="45" t="s">
        <v>131</v>
      </c>
      <c r="D105" s="46" t="s">
        <v>210</v>
      </c>
      <c r="E105" s="52" t="s">
        <v>211</v>
      </c>
      <c r="F105" s="48">
        <v>44755</v>
      </c>
      <c r="G105" s="49">
        <f t="shared" si="1"/>
        <v>0</v>
      </c>
      <c r="H105" s="77">
        <f>SUMIF(积分汇总!$B:$B,D104,积分汇总!$E:$E)</f>
        <v>0</v>
      </c>
      <c r="I105" s="77">
        <f>SUMIF(记录巡查问题条数汇总!$B:$B,D104,记录巡查问题条数汇总!$E:$E)</f>
        <v>0</v>
      </c>
      <c r="J105" s="77"/>
      <c r="K105" s="77">
        <f>SUMIF(安全质量事故!$B:$B,D104,安全质量事故!$G:$G)</f>
        <v>0</v>
      </c>
      <c r="L105" s="72">
        <f>COUNTIF(M105:AQ105,标准数据!$A$2)*标准数据!$B$2+COUNTIF(M105:AQ105,标准数据!$A$3)*标准数据!$B$3+COUNTIF(M105:AQ105,标准数据!$A$4)*标准数据!$B$4</f>
        <v>0</v>
      </c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188"/>
      <c r="AR105" s="90"/>
      <c r="AS105" s="41"/>
      <c r="AT105" s="41"/>
      <c r="AU105" s="41"/>
      <c r="AV105" s="76" t="str">
        <f>VLOOKUP(E105,[1]生产部!$C:$I,7,0)</f>
        <v>班组</v>
      </c>
      <c r="AW105" s="41" t="str">
        <f>VLOOKUP(E105,[1]生产部!$C:$I,6,0)</f>
        <v>4号楼3&amp;4车间</v>
      </c>
    </row>
    <row r="106" spans="1:49" ht="21" customHeight="1">
      <c r="A106" s="235" t="s">
        <v>294</v>
      </c>
      <c r="B106" s="229" t="s">
        <v>2109</v>
      </c>
      <c r="C106" s="45" t="s">
        <v>154</v>
      </c>
      <c r="D106" s="46" t="s">
        <v>148</v>
      </c>
      <c r="E106" s="47" t="s">
        <v>55</v>
      </c>
      <c r="F106" s="48">
        <v>44454</v>
      </c>
      <c r="G106" s="49">
        <f t="shared" si="1"/>
        <v>0</v>
      </c>
      <c r="H106" s="77">
        <f>SUMIF(积分汇总!$B:$B,D105,积分汇总!$E:$E)</f>
        <v>0</v>
      </c>
      <c r="I106" s="77">
        <f>SUMIF(记录巡查问题条数汇总!$B:$B,D105,记录巡查问题条数汇总!$E:$E)</f>
        <v>0</v>
      </c>
      <c r="J106" s="77"/>
      <c r="K106" s="77">
        <f>SUMIF(安全质量事故!$B:$B,D105,安全质量事故!$G:$G)</f>
        <v>0</v>
      </c>
      <c r="L106" s="72">
        <f>COUNTIF(M106:AQ106,标准数据!$A$2)*标准数据!$B$2+COUNTIF(M106:AQ106,标准数据!$A$3)*标准数据!$B$3+COUNTIF(M106:AQ106,标准数据!$A$4)*标准数据!$B$4</f>
        <v>0</v>
      </c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188"/>
      <c r="AR106" s="90"/>
      <c r="AS106" s="41"/>
      <c r="AT106" s="41"/>
      <c r="AU106" s="41"/>
      <c r="AV106" s="76" t="str">
        <f>VLOOKUP(E106,[1]生产部!$C:$I,7,0)</f>
        <v>班组</v>
      </c>
      <c r="AW106" s="41" t="str">
        <f>VLOOKUP(E106,[1]生产部!$C:$I,6,0)</f>
        <v>4号楼3&amp;4车间</v>
      </c>
    </row>
    <row r="107" spans="1:49" ht="21" customHeight="1">
      <c r="A107" s="235" t="s">
        <v>294</v>
      </c>
      <c r="B107" s="229" t="s">
        <v>2109</v>
      </c>
      <c r="C107" s="45" t="s">
        <v>14</v>
      </c>
      <c r="D107" s="46" t="s">
        <v>138</v>
      </c>
      <c r="E107" s="47" t="s">
        <v>77</v>
      </c>
      <c r="F107" s="48">
        <v>44774</v>
      </c>
      <c r="G107" s="49">
        <f t="shared" si="1"/>
        <v>0</v>
      </c>
      <c r="H107" s="77">
        <f>SUMIF(积分汇总!$B:$B,D106,积分汇总!$E:$E)</f>
        <v>0</v>
      </c>
      <c r="I107" s="77">
        <f>SUMIF(记录巡查问题条数汇总!$B:$B,D106,记录巡查问题条数汇总!$E:$E)</f>
        <v>0</v>
      </c>
      <c r="J107" s="77"/>
      <c r="K107" s="77">
        <f>SUMIF(安全质量事故!$B:$B,D106,安全质量事故!$G:$G)</f>
        <v>0</v>
      </c>
      <c r="L107" s="72">
        <f>COUNTIF(M107:AQ107,标准数据!$A$2)*标准数据!$B$2+COUNTIF(M107:AQ107,标准数据!$A$3)*标准数据!$B$3+COUNTIF(M107:AQ107,标准数据!$A$4)*标准数据!$B$4</f>
        <v>0</v>
      </c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188"/>
      <c r="AR107" s="90"/>
      <c r="AS107" s="41"/>
      <c r="AT107" s="41"/>
      <c r="AU107" s="41"/>
      <c r="AV107" s="76" t="str">
        <f>VLOOKUP(E107,[1]生产部!$C:$I,7,0)</f>
        <v>项目组</v>
      </c>
      <c r="AW107" s="41" t="str">
        <f>VLOOKUP(E107,[1]生产部!$C:$I,6,0)</f>
        <v>4号楼3&amp;4车间</v>
      </c>
    </row>
    <row r="108" spans="1:49" ht="21" customHeight="1">
      <c r="A108" s="235" t="s">
        <v>294</v>
      </c>
      <c r="B108" s="229" t="s">
        <v>2109</v>
      </c>
      <c r="C108" s="45" t="s">
        <v>14</v>
      </c>
      <c r="D108" s="46" t="s">
        <v>140</v>
      </c>
      <c r="E108" s="47" t="s">
        <v>65</v>
      </c>
      <c r="F108" s="48">
        <v>44734</v>
      </c>
      <c r="G108" s="49">
        <f t="shared" si="1"/>
        <v>0</v>
      </c>
      <c r="H108" s="77">
        <f>SUMIF(积分汇总!$B:$B,D107,积分汇总!$E:$E)</f>
        <v>0</v>
      </c>
      <c r="I108" s="77">
        <f>SUMIF(记录巡查问题条数汇总!$B:$B,D107,记录巡查问题条数汇总!$E:$E)</f>
        <v>0</v>
      </c>
      <c r="J108" s="77"/>
      <c r="K108" s="77">
        <f>SUMIF(安全质量事故!$B:$B,D107,安全质量事故!$G:$G)</f>
        <v>0</v>
      </c>
      <c r="L108" s="72">
        <f>COUNTIF(M108:AQ108,标准数据!$A$2)*标准数据!$B$2+COUNTIF(M108:AQ108,标准数据!$A$3)*标准数据!$B$3+COUNTIF(M108:AQ108,标准数据!$A$4)*标准数据!$B$4</f>
        <v>0</v>
      </c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188"/>
      <c r="AR108" s="90"/>
      <c r="AV108" s="76" t="str">
        <f>VLOOKUP(E108,[1]生产部!$C:$I,7,0)</f>
        <v>班组</v>
      </c>
      <c r="AW108" s="41" t="str">
        <f>VLOOKUP(E108,[1]生产部!$C:$I,6,0)</f>
        <v>4号楼3&amp;4车间</v>
      </c>
    </row>
    <row r="109" spans="1:49" ht="21" customHeight="1">
      <c r="A109" s="235" t="s">
        <v>294</v>
      </c>
      <c r="B109" s="229" t="s">
        <v>2109</v>
      </c>
      <c r="C109" s="45" t="s">
        <v>14</v>
      </c>
      <c r="D109" s="46" t="s">
        <v>141</v>
      </c>
      <c r="E109" s="47" t="s">
        <v>59</v>
      </c>
      <c r="F109" s="48">
        <v>44734</v>
      </c>
      <c r="G109" s="49">
        <f t="shared" si="1"/>
        <v>0</v>
      </c>
      <c r="H109" s="77">
        <f>SUMIF(积分汇总!$B:$B,D108,积分汇总!$E:$E)</f>
        <v>0</v>
      </c>
      <c r="I109" s="77">
        <f>SUMIF(记录巡查问题条数汇总!$B:$B,D108,记录巡查问题条数汇总!$E:$E)</f>
        <v>0</v>
      </c>
      <c r="J109" s="77"/>
      <c r="K109" s="77">
        <f>SUMIF(安全质量事故!$B:$B,D108,安全质量事故!$G:$G)</f>
        <v>0</v>
      </c>
      <c r="L109" s="72">
        <f>COUNTIF(M109:AQ109,标准数据!$A$2)*标准数据!$B$2+COUNTIF(M109:AQ109,标准数据!$A$3)*标准数据!$B$3+COUNTIF(M109:AQ109,标准数据!$A$4)*标准数据!$B$4</f>
        <v>0</v>
      </c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188"/>
      <c r="AR109" s="90"/>
      <c r="AV109" s="76" t="str">
        <f>VLOOKUP(E109,[1]生产部!$C:$I,7,0)</f>
        <v>班组</v>
      </c>
      <c r="AW109" s="41" t="str">
        <f>VLOOKUP(E109,[1]生产部!$C:$I,6,0)</f>
        <v>4号楼3&amp;4车间</v>
      </c>
    </row>
    <row r="110" spans="1:49" ht="21" customHeight="1">
      <c r="A110" s="235" t="s">
        <v>294</v>
      </c>
      <c r="B110" s="229" t="s">
        <v>2109</v>
      </c>
      <c r="C110" s="45" t="s">
        <v>14</v>
      </c>
      <c r="D110" s="46" t="s">
        <v>144</v>
      </c>
      <c r="E110" s="47" t="s">
        <v>62</v>
      </c>
      <c r="F110" s="48">
        <v>44734</v>
      </c>
      <c r="G110" s="49">
        <f t="shared" si="1"/>
        <v>0</v>
      </c>
      <c r="H110" s="77">
        <f>SUMIF(积分汇总!$B:$B,D109,积分汇总!$E:$E)</f>
        <v>0</v>
      </c>
      <c r="I110" s="77">
        <f>SUMIF(记录巡查问题条数汇总!$B:$B,D109,记录巡查问题条数汇总!$E:$E)</f>
        <v>0</v>
      </c>
      <c r="J110" s="77"/>
      <c r="K110" s="77">
        <f>SUMIF(安全质量事故!$B:$B,D109,安全质量事故!$G:$G)</f>
        <v>0</v>
      </c>
      <c r="L110" s="72">
        <f>COUNTIF(M110:AQ110,标准数据!$A$2)*标准数据!$B$2+COUNTIF(M110:AQ110,标准数据!$A$3)*标准数据!$B$3+COUNTIF(M110:AQ110,标准数据!$A$4)*标准数据!$B$4</f>
        <v>0</v>
      </c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188"/>
      <c r="AR110" s="90"/>
      <c r="AV110" s="76" t="str">
        <f>VLOOKUP(E110,[1]生产部!$C:$I,7,0)</f>
        <v>班组</v>
      </c>
      <c r="AW110" s="41" t="str">
        <f>VLOOKUP(E110,[1]生产部!$C:$I,6,0)</f>
        <v>4号楼3&amp;4车间</v>
      </c>
    </row>
    <row r="111" spans="1:49" ht="21" customHeight="1">
      <c r="A111" s="235" t="s">
        <v>294</v>
      </c>
      <c r="B111" s="229" t="s">
        <v>2109</v>
      </c>
      <c r="C111" s="45" t="s">
        <v>14</v>
      </c>
      <c r="D111" s="46" t="s">
        <v>187</v>
      </c>
      <c r="E111" s="52" t="s">
        <v>183</v>
      </c>
      <c r="F111" s="46">
        <v>44774</v>
      </c>
      <c r="G111" s="49">
        <f t="shared" si="1"/>
        <v>0</v>
      </c>
      <c r="H111" s="77">
        <f>SUMIF(积分汇总!$B:$B,D110,积分汇总!$E:$E)</f>
        <v>0</v>
      </c>
      <c r="I111" s="77">
        <f>SUMIF(记录巡查问题条数汇总!$B:$B,D110,记录巡查问题条数汇总!$E:$E)</f>
        <v>0</v>
      </c>
      <c r="J111" s="77"/>
      <c r="K111" s="77">
        <f>SUMIF(安全质量事故!$B:$B,D110,安全质量事故!$G:$G)</f>
        <v>0</v>
      </c>
      <c r="L111" s="72">
        <f>COUNTIF(M111:AQ111,标准数据!$A$2)*标准数据!$B$2+COUNTIF(M111:AQ111,标准数据!$A$3)*标准数据!$B$3+COUNTIF(M111:AQ111,标准数据!$A$4)*标准数据!$B$4</f>
        <v>0</v>
      </c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188"/>
      <c r="AR111" s="90"/>
      <c r="AS111" s="41"/>
      <c r="AT111" s="41"/>
      <c r="AU111" s="41"/>
      <c r="AV111" s="76" t="str">
        <f>VLOOKUP(E111,[1]生产部!$C:$I,7,0)</f>
        <v>项目组倒班</v>
      </c>
      <c r="AW111" s="41" t="str">
        <f>VLOOKUP(E111,[1]生产部!$C:$I,6,0)</f>
        <v>4号楼3&amp;4车间</v>
      </c>
    </row>
    <row r="112" spans="1:49" ht="21" customHeight="1">
      <c r="A112" s="235" t="s">
        <v>294</v>
      </c>
      <c r="B112" s="229" t="s">
        <v>2109</v>
      </c>
      <c r="C112" s="45" t="s">
        <v>14</v>
      </c>
      <c r="D112" s="46" t="s">
        <v>188</v>
      </c>
      <c r="E112" s="52" t="s">
        <v>184</v>
      </c>
      <c r="F112" s="46">
        <v>44774</v>
      </c>
      <c r="G112" s="49">
        <f t="shared" si="1"/>
        <v>0</v>
      </c>
      <c r="H112" s="77">
        <f>SUMIF(积分汇总!$B:$B,D111,积分汇总!$E:$E)</f>
        <v>0</v>
      </c>
      <c r="I112" s="77">
        <f>SUMIF(记录巡查问题条数汇总!$B:$B,D111,记录巡查问题条数汇总!$E:$E)</f>
        <v>0</v>
      </c>
      <c r="J112" s="77"/>
      <c r="K112" s="77">
        <f>SUMIF(安全质量事故!$B:$B,D111,安全质量事故!$G:$G)</f>
        <v>0</v>
      </c>
      <c r="L112" s="72">
        <f>COUNTIF(M112:AQ112,标准数据!$A$2)*标准数据!$B$2+COUNTIF(M112:AQ112,标准数据!$A$3)*标准数据!$B$3+COUNTIF(M112:AQ112,标准数据!$A$4)*标准数据!$B$4</f>
        <v>0</v>
      </c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188"/>
      <c r="AR112" s="90"/>
      <c r="AS112" s="41"/>
      <c r="AT112" s="41"/>
      <c r="AU112" s="41"/>
      <c r="AV112" s="76" t="str">
        <f>VLOOKUP(E112,[1]生产部!$C:$I,7,0)</f>
        <v>项目组</v>
      </c>
      <c r="AW112" s="41" t="str">
        <f>VLOOKUP(E112,[1]生产部!$C:$I,6,0)</f>
        <v>4号楼3&amp;4车间</v>
      </c>
    </row>
    <row r="113" spans="1:49" ht="21" customHeight="1">
      <c r="A113" s="235" t="s">
        <v>294</v>
      </c>
      <c r="B113" s="229" t="s">
        <v>2109</v>
      </c>
      <c r="C113" s="45" t="s">
        <v>14</v>
      </c>
      <c r="D113" s="46" t="s">
        <v>115</v>
      </c>
      <c r="E113" s="52" t="s">
        <v>113</v>
      </c>
      <c r="F113" s="46">
        <v>45194</v>
      </c>
      <c r="G113" s="49">
        <f t="shared" si="1"/>
        <v>0</v>
      </c>
      <c r="H113" s="77">
        <f>SUMIF(积分汇总!$B:$B,D112,积分汇总!$E:$E)</f>
        <v>0</v>
      </c>
      <c r="I113" s="77">
        <f>SUMIF(记录巡查问题条数汇总!$B:$B,D112,记录巡查问题条数汇总!$E:$E)</f>
        <v>0</v>
      </c>
      <c r="J113" s="77"/>
      <c r="K113" s="77">
        <f>SUMIF(安全质量事故!$B:$B,D112,安全质量事故!$G:$G)</f>
        <v>0</v>
      </c>
      <c r="L113" s="72">
        <f>COUNTIF(M113:AQ113,标准数据!$A$2)*标准数据!$B$2+COUNTIF(M113:AQ113,标准数据!$A$3)*标准数据!$B$3+COUNTIF(M113:AQ113,标准数据!$A$4)*标准数据!$B$4</f>
        <v>0</v>
      </c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188"/>
      <c r="AR113" s="90"/>
      <c r="AS113" s="41"/>
      <c r="AT113" s="41"/>
      <c r="AU113" s="41"/>
      <c r="AV113" s="76" t="str">
        <f>VLOOKUP(E113,[1]生产部!$C:$I,7,0)</f>
        <v>班组</v>
      </c>
      <c r="AW113" s="41" t="str">
        <f>VLOOKUP(E113,[1]生产部!$C:$I,6,0)</f>
        <v>4号楼3&amp;4车间</v>
      </c>
    </row>
    <row r="114" spans="1:49" ht="21" customHeight="1">
      <c r="A114" s="235" t="s">
        <v>294</v>
      </c>
      <c r="B114" s="229" t="s">
        <v>2109</v>
      </c>
      <c r="C114" s="45" t="s">
        <v>14</v>
      </c>
      <c r="D114" s="46" t="s">
        <v>117</v>
      </c>
      <c r="E114" s="52" t="s">
        <v>114</v>
      </c>
      <c r="F114" s="46">
        <v>45194</v>
      </c>
      <c r="G114" s="49">
        <f t="shared" si="1"/>
        <v>0</v>
      </c>
      <c r="H114" s="77">
        <f>SUMIF(积分汇总!$B:$B,D113,积分汇总!$E:$E)</f>
        <v>0</v>
      </c>
      <c r="I114" s="77">
        <f>SUMIF(记录巡查问题条数汇总!$B:$B,D113,记录巡查问题条数汇总!$E:$E)</f>
        <v>0</v>
      </c>
      <c r="J114" s="77"/>
      <c r="K114" s="77">
        <f>SUMIF(安全质量事故!$B:$B,D113,安全质量事故!$G:$G)</f>
        <v>0</v>
      </c>
      <c r="L114" s="72">
        <f>COUNTIF(M114:AQ114,标准数据!$A$2)*标准数据!$B$2+COUNTIF(M114:AQ114,标准数据!$A$3)*标准数据!$B$3+COUNTIF(M114:AQ114,标准数据!$A$4)*标准数据!$B$4</f>
        <v>0</v>
      </c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188"/>
      <c r="AR114" s="90"/>
      <c r="AS114" s="41"/>
      <c r="AT114" s="41"/>
      <c r="AU114" s="41"/>
      <c r="AV114" s="76" t="str">
        <f>VLOOKUP(E114,[1]生产部!$C:$I,7,0)</f>
        <v>项目组</v>
      </c>
      <c r="AW114" s="41" t="str">
        <f>VLOOKUP(E114,[1]生产部!$C:$I,6,0)</f>
        <v>4号楼3&amp;4车间</v>
      </c>
    </row>
    <row r="115" spans="1:49" ht="21" customHeight="1">
      <c r="A115" s="235" t="s">
        <v>294</v>
      </c>
      <c r="B115" s="229" t="s">
        <v>2109</v>
      </c>
      <c r="C115" s="45" t="s">
        <v>87</v>
      </c>
      <c r="D115" s="46" t="s">
        <v>195</v>
      </c>
      <c r="E115" s="47" t="s">
        <v>253</v>
      </c>
      <c r="F115" s="48">
        <v>44734</v>
      </c>
      <c r="G115" s="49">
        <f t="shared" si="1"/>
        <v>0</v>
      </c>
      <c r="H115" s="77">
        <f>SUMIF(积分汇总!$B:$B,D114,积分汇总!$E:$E)</f>
        <v>0</v>
      </c>
      <c r="I115" s="77">
        <f>SUMIF(记录巡查问题条数汇总!$B:$B,D114,记录巡查问题条数汇总!$E:$E)</f>
        <v>0</v>
      </c>
      <c r="J115" s="77"/>
      <c r="K115" s="77">
        <f>SUMIF(安全质量事故!$B:$B,D114,安全质量事故!$G:$G)</f>
        <v>0</v>
      </c>
      <c r="L115" s="72">
        <f>COUNTIF(M115:AQ115,标准数据!$A$2)*标准数据!$B$2+COUNTIF(M115:AQ115,标准数据!$A$3)*标准数据!$B$3+COUNTIF(M115:AQ115,标准数据!$A$4)*标准数据!$B$4</f>
        <v>0</v>
      </c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188"/>
      <c r="AR115" s="90"/>
      <c r="AS115" s="41"/>
      <c r="AT115" s="41"/>
      <c r="AU115" s="41"/>
      <c r="AV115" s="76" t="str">
        <f>VLOOKUP(E115,[1]生产部!$C:$I,7,0)</f>
        <v>项目组</v>
      </c>
      <c r="AW115" s="41" t="str">
        <f>VLOOKUP(E115,[1]生产部!$C:$I,6,0)</f>
        <v>4号楼3&amp;4车间</v>
      </c>
    </row>
    <row r="116" spans="1:49" ht="21" customHeight="1">
      <c r="A116" s="235" t="s">
        <v>294</v>
      </c>
      <c r="B116" s="229" t="s">
        <v>2109</v>
      </c>
      <c r="C116" s="45" t="s">
        <v>14</v>
      </c>
      <c r="D116" s="46" t="s">
        <v>97</v>
      </c>
      <c r="E116" s="52" t="s">
        <v>96</v>
      </c>
      <c r="F116" s="48">
        <v>44998</v>
      </c>
      <c r="G116" s="49">
        <f t="shared" si="1"/>
        <v>0</v>
      </c>
      <c r="H116" s="77">
        <f>SUMIF(积分汇总!$B:$B,D115,积分汇总!$E:$E)</f>
        <v>0</v>
      </c>
      <c r="I116" s="77">
        <f>SUMIF(记录巡查问题条数汇总!$B:$B,D115,记录巡查问题条数汇总!$E:$E)</f>
        <v>0</v>
      </c>
      <c r="J116" s="77"/>
      <c r="K116" s="77">
        <f>SUMIF(安全质量事故!$B:$B,D115,安全质量事故!$G:$G)</f>
        <v>0</v>
      </c>
      <c r="L116" s="72">
        <f>COUNTIF(M116:AQ116,标准数据!$A$2)*标准数据!$B$2+COUNTIF(M116:AQ116,标准数据!$A$3)*标准数据!$B$3+COUNTIF(M116:AQ116,标准数据!$A$4)*标准数据!$B$4</f>
        <v>0</v>
      </c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188"/>
      <c r="AR116" s="90"/>
      <c r="AS116" s="41"/>
      <c r="AT116" s="41"/>
      <c r="AU116" s="41"/>
      <c r="AV116" s="76" t="str">
        <f>VLOOKUP(E116,[1]生产部!$C:$I,7,0)</f>
        <v>班组</v>
      </c>
      <c r="AW116" s="41" t="str">
        <f>VLOOKUP(E116,[1]生产部!$C:$I,6,0)</f>
        <v>4号楼3&amp;4车间</v>
      </c>
    </row>
    <row r="117" spans="1:49" ht="21" customHeight="1">
      <c r="A117" s="235" t="s">
        <v>294</v>
      </c>
      <c r="B117" s="229" t="s">
        <v>2109</v>
      </c>
      <c r="C117" s="45" t="s">
        <v>14</v>
      </c>
      <c r="D117" s="46" t="s">
        <v>193</v>
      </c>
      <c r="E117" s="52" t="s">
        <v>123</v>
      </c>
      <c r="F117" s="46">
        <v>45231</v>
      </c>
      <c r="G117" s="49">
        <f t="shared" si="1"/>
        <v>0</v>
      </c>
      <c r="H117" s="77">
        <f>SUMIF(积分汇总!$B:$B,D116,积分汇总!$E:$E)</f>
        <v>0</v>
      </c>
      <c r="I117" s="77">
        <f>SUMIF(记录巡查问题条数汇总!$B:$B,D116,记录巡查问题条数汇总!$E:$E)</f>
        <v>0</v>
      </c>
      <c r="J117" s="77"/>
      <c r="K117" s="77">
        <f>SUMIF(安全质量事故!$B:$B,D116,安全质量事故!$G:$G)</f>
        <v>0</v>
      </c>
      <c r="L117" s="72">
        <f>COUNTIF(M117:AQ117,标准数据!$A$2)*标准数据!$B$2+COUNTIF(M117:AQ117,标准数据!$A$3)*标准数据!$B$3+COUNTIF(M117:AQ117,标准数据!$A$4)*标准数据!$B$4</f>
        <v>0</v>
      </c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188"/>
      <c r="AR117" s="90"/>
      <c r="AS117" s="41"/>
      <c r="AT117" s="41"/>
      <c r="AU117" s="41"/>
      <c r="AV117" s="76" t="str">
        <f>VLOOKUP(E117,[1]生产部!$C:$I,7,0)</f>
        <v>班组</v>
      </c>
      <c r="AW117" s="41" t="str">
        <f>VLOOKUP(E117,[1]生产部!$C:$I,6,0)</f>
        <v>4号楼3&amp;4车间</v>
      </c>
    </row>
    <row r="118" spans="1:49" ht="21" customHeight="1">
      <c r="A118" s="235" t="s">
        <v>294</v>
      </c>
      <c r="B118" s="229" t="s">
        <v>2109</v>
      </c>
      <c r="C118" s="45" t="s">
        <v>14</v>
      </c>
      <c r="D118" s="46" t="s">
        <v>206</v>
      </c>
      <c r="E118" s="52" t="s">
        <v>207</v>
      </c>
      <c r="F118" s="48">
        <v>45469</v>
      </c>
      <c r="G118" s="49">
        <f t="shared" si="1"/>
        <v>0</v>
      </c>
      <c r="H118" s="77">
        <f>SUMIF(积分汇总!$B:$B,D117,积分汇总!$E:$E)</f>
        <v>0</v>
      </c>
      <c r="I118" s="77">
        <f>SUMIF(记录巡查问题条数汇总!$B:$B,D117,记录巡查问题条数汇总!$E:$E)</f>
        <v>0</v>
      </c>
      <c r="J118" s="77"/>
      <c r="K118" s="77">
        <f>SUMIF(安全质量事故!$B:$B,D117,安全质量事故!$G:$G)</f>
        <v>0</v>
      </c>
      <c r="L118" s="72">
        <f>COUNTIF(M118:AQ118,标准数据!$A$2)*标准数据!$B$2+COUNTIF(M118:AQ118,标准数据!$A$3)*标准数据!$B$3+COUNTIF(M118:AQ118,标准数据!$A$4)*标准数据!$B$4</f>
        <v>0</v>
      </c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188"/>
      <c r="AR118" s="90"/>
      <c r="AS118" s="41"/>
      <c r="AT118" s="41"/>
      <c r="AU118" s="41"/>
      <c r="AV118" s="76" t="str">
        <f>VLOOKUP(E118,[1]生产部!$C:$I,7,0)</f>
        <v>班组</v>
      </c>
      <c r="AW118" s="41" t="str">
        <f>VLOOKUP(E118,[1]生产部!$C:$I,6,0)</f>
        <v>4号楼3&amp;4车间</v>
      </c>
    </row>
    <row r="119" spans="1:49" ht="21" customHeight="1">
      <c r="A119" s="235" t="s">
        <v>294</v>
      </c>
      <c r="B119" s="229" t="s">
        <v>2109</v>
      </c>
      <c r="C119" s="45" t="s">
        <v>14</v>
      </c>
      <c r="D119" s="46" t="s">
        <v>208</v>
      </c>
      <c r="E119" s="52" t="s">
        <v>209</v>
      </c>
      <c r="F119" s="48">
        <v>45194</v>
      </c>
      <c r="G119" s="49">
        <f t="shared" si="1"/>
        <v>0</v>
      </c>
      <c r="H119" s="77">
        <f>SUMIF(积分汇总!$B:$B,D118,积分汇总!$E:$E)</f>
        <v>0</v>
      </c>
      <c r="I119" s="77">
        <f>SUMIF(记录巡查问题条数汇总!$B:$B,D118,记录巡查问题条数汇总!$E:$E)</f>
        <v>0</v>
      </c>
      <c r="J119" s="77"/>
      <c r="K119" s="77">
        <f>SUMIF(安全质量事故!$B:$B,D118,安全质量事故!$G:$G)</f>
        <v>0</v>
      </c>
      <c r="L119" s="72">
        <f>COUNTIF(M119:AQ119,标准数据!$A$2)*标准数据!$B$2+COUNTIF(M119:AQ119,标准数据!$A$3)*标准数据!$B$3+COUNTIF(M119:AQ119,标准数据!$A$4)*标准数据!$B$4</f>
        <v>0</v>
      </c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188"/>
      <c r="AR119" s="90"/>
      <c r="AS119" s="41"/>
      <c r="AT119" s="41"/>
      <c r="AU119" s="41"/>
      <c r="AV119" s="76" t="str">
        <f>VLOOKUP(E119,[1]生产部!$C:$I,7,0)</f>
        <v>班组</v>
      </c>
      <c r="AW119" s="41" t="str">
        <f>VLOOKUP(E119,[1]生产部!$C:$I,6,0)</f>
        <v>4号楼3&amp;4车间</v>
      </c>
    </row>
    <row r="120" spans="1:49" ht="21" customHeight="1">
      <c r="A120" s="235" t="s">
        <v>294</v>
      </c>
      <c r="B120" s="229" t="s">
        <v>2104</v>
      </c>
      <c r="C120" s="45" t="s">
        <v>14</v>
      </c>
      <c r="D120" s="46" t="s">
        <v>265</v>
      </c>
      <c r="E120" s="52" t="s">
        <v>261</v>
      </c>
      <c r="F120" s="48">
        <v>45525</v>
      </c>
      <c r="G120" s="49">
        <f t="shared" si="1"/>
        <v>0</v>
      </c>
      <c r="H120" s="77">
        <f>SUMIF(积分汇总!$B:$B,D119,积分汇总!$E:$E)</f>
        <v>0</v>
      </c>
      <c r="I120" s="77">
        <f>SUMIF(记录巡查问题条数汇总!$B:$B,D119,记录巡查问题条数汇总!$E:$E)</f>
        <v>0</v>
      </c>
      <c r="J120" s="77"/>
      <c r="K120" s="77">
        <f>SUMIF(安全质量事故!$B:$B,D119,安全质量事故!$G:$G)</f>
        <v>0</v>
      </c>
      <c r="L120" s="72">
        <f>COUNTIF(M120:AQ120,标准数据!$A$2)*标准数据!$B$2+COUNTIF(M120:AQ120,标准数据!$A$3)*标准数据!$B$3+COUNTIF(M120:AQ120,标准数据!$A$4)*标准数据!$B$4</f>
        <v>0</v>
      </c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188"/>
      <c r="AR120" s="90"/>
      <c r="AS120" s="41"/>
      <c r="AT120" s="41"/>
      <c r="AU120" s="41"/>
      <c r="AV120" s="76" t="str">
        <f>VLOOKUP(E120,[1]生产部!$C:$I,7,0)</f>
        <v>常白</v>
      </c>
      <c r="AW120" s="41" t="str">
        <f>VLOOKUP(E120,[1]生产部!$C:$I,6,0)</f>
        <v>4号楼3&amp;4车间</v>
      </c>
    </row>
    <row r="121" spans="1:49" ht="21" customHeight="1">
      <c r="A121" s="235" t="s">
        <v>294</v>
      </c>
      <c r="B121" s="229" t="s">
        <v>2109</v>
      </c>
      <c r="C121" s="45" t="s">
        <v>14</v>
      </c>
      <c r="D121" s="46" t="s">
        <v>296</v>
      </c>
      <c r="E121" s="52" t="s">
        <v>289</v>
      </c>
      <c r="F121" s="48">
        <v>45574</v>
      </c>
      <c r="G121" s="49">
        <f t="shared" si="1"/>
        <v>0</v>
      </c>
      <c r="H121" s="77">
        <f>SUMIF(积分汇总!$B:$B,D120,积分汇总!$E:$E)</f>
        <v>0</v>
      </c>
      <c r="I121" s="77">
        <f>SUMIF(记录巡查问题条数汇总!$B:$B,D120,记录巡查问题条数汇总!$E:$E)</f>
        <v>0</v>
      </c>
      <c r="J121" s="77"/>
      <c r="K121" s="77">
        <f>SUMIF(安全质量事故!$B:$B,D120,安全质量事故!$G:$G)</f>
        <v>0</v>
      </c>
      <c r="L121" s="72">
        <f>COUNTIF(M121:AQ121,标准数据!$A$2)*标准数据!$B$2+COUNTIF(M121:AQ121,标准数据!$A$3)*标准数据!$B$3+COUNTIF(M121:AQ121,标准数据!$A$4)*标准数据!$B$4</f>
        <v>0</v>
      </c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188"/>
      <c r="AR121" s="90"/>
      <c r="AS121" s="41"/>
      <c r="AT121" s="41"/>
      <c r="AU121" s="41"/>
      <c r="AV121" s="76" t="str">
        <f>VLOOKUP(E121,[1]生产部!$C:$I,7,0)</f>
        <v>项目组</v>
      </c>
      <c r="AW121" s="41" t="str">
        <f>VLOOKUP(E121,[1]生产部!$C:$I,6,0)</f>
        <v>4号楼3&amp;4车间</v>
      </c>
    </row>
    <row r="122" spans="1:49" ht="21" customHeight="1">
      <c r="A122" s="235" t="s">
        <v>294</v>
      </c>
      <c r="B122" s="229" t="s">
        <v>2109</v>
      </c>
      <c r="C122" s="45" t="s">
        <v>14</v>
      </c>
      <c r="D122" s="46" t="s">
        <v>323</v>
      </c>
      <c r="E122" s="52" t="s">
        <v>308</v>
      </c>
      <c r="F122" s="48">
        <v>45602</v>
      </c>
      <c r="G122" s="49">
        <f t="shared" si="1"/>
        <v>0</v>
      </c>
      <c r="H122" s="77">
        <f>SUMIF(积分汇总!$B:$B,D121,积分汇总!$E:$E)</f>
        <v>0</v>
      </c>
      <c r="I122" s="77">
        <f>SUMIF(记录巡查问题条数汇总!$B:$B,D121,记录巡查问题条数汇总!$E:$E)</f>
        <v>0</v>
      </c>
      <c r="J122" s="77"/>
      <c r="K122" s="77">
        <f>SUMIF(安全质量事故!$B:$B,D121,安全质量事故!$G:$G)</f>
        <v>0</v>
      </c>
      <c r="L122" s="72">
        <f>COUNTIF(M122:AQ122,标准数据!$A$2)*标准数据!$B$2+COUNTIF(M122:AQ122,标准数据!$A$3)*标准数据!$B$3+COUNTIF(M122:AQ122,标准数据!$A$4)*标准数据!$B$4</f>
        <v>0</v>
      </c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188"/>
      <c r="AR122" s="90"/>
      <c r="AS122" s="41"/>
      <c r="AT122" s="41"/>
      <c r="AU122" s="41"/>
      <c r="AV122" s="76" t="str">
        <f>VLOOKUP(E122,[1]生产部!$C:$I,7,0)</f>
        <v>班组</v>
      </c>
      <c r="AW122" s="41" t="str">
        <f>VLOOKUP(E122,[1]生产部!$C:$I,6,0)</f>
        <v>4号楼3&amp;4车间</v>
      </c>
    </row>
    <row r="123" spans="1:49" ht="21" customHeight="1">
      <c r="A123" s="235" t="s">
        <v>294</v>
      </c>
      <c r="B123" s="229" t="s">
        <v>2109</v>
      </c>
      <c r="C123" s="45" t="s">
        <v>14</v>
      </c>
      <c r="D123" s="46" t="s">
        <v>324</v>
      </c>
      <c r="E123" s="52" t="s">
        <v>309</v>
      </c>
      <c r="F123" s="48">
        <v>45602</v>
      </c>
      <c r="G123" s="49">
        <f t="shared" si="1"/>
        <v>0</v>
      </c>
      <c r="H123" s="77">
        <f>SUMIF(积分汇总!$B:$B,D122,积分汇总!$E:$E)</f>
        <v>0</v>
      </c>
      <c r="I123" s="77">
        <f>SUMIF(记录巡查问题条数汇总!$B:$B,D122,记录巡查问题条数汇总!$E:$E)</f>
        <v>0</v>
      </c>
      <c r="J123" s="77"/>
      <c r="K123" s="77">
        <f>SUMIF(安全质量事故!$B:$B,D122,安全质量事故!$G:$G)</f>
        <v>0</v>
      </c>
      <c r="L123" s="72">
        <f>COUNTIF(M123:AQ123,标准数据!$A$2)*标准数据!$B$2+COUNTIF(M123:AQ123,标准数据!$A$3)*标准数据!$B$3+COUNTIF(M123:AQ123,标准数据!$A$4)*标准数据!$B$4</f>
        <v>0</v>
      </c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188"/>
      <c r="AR123" s="90"/>
      <c r="AS123" s="41"/>
      <c r="AT123" s="41"/>
      <c r="AU123" s="41"/>
      <c r="AV123" s="76" t="str">
        <f>VLOOKUP(E123,[1]生产部!$C:$I,7,0)</f>
        <v>常白</v>
      </c>
      <c r="AW123" s="41" t="str">
        <f>VLOOKUP(E123,[1]生产部!$C:$I,6,0)</f>
        <v>4号楼3&amp;4车间</v>
      </c>
    </row>
    <row r="124" spans="1:49" ht="21" customHeight="1">
      <c r="A124" s="235" t="s">
        <v>294</v>
      </c>
      <c r="B124" s="229" t="s">
        <v>2109</v>
      </c>
      <c r="C124" s="45" t="s">
        <v>14</v>
      </c>
      <c r="D124" s="46" t="s">
        <v>325</v>
      </c>
      <c r="E124" s="52" t="s">
        <v>310</v>
      </c>
      <c r="F124" s="48">
        <v>45623</v>
      </c>
      <c r="G124" s="49">
        <f t="shared" si="1"/>
        <v>0</v>
      </c>
      <c r="H124" s="77">
        <f>SUMIF(积分汇总!$B:$B,D123,积分汇总!$E:$E)</f>
        <v>0</v>
      </c>
      <c r="I124" s="77">
        <f>SUMIF(记录巡查问题条数汇总!$B:$B,D123,记录巡查问题条数汇总!$E:$E)</f>
        <v>0</v>
      </c>
      <c r="J124" s="77"/>
      <c r="K124" s="77">
        <f>SUMIF(安全质量事故!$B:$B,D123,安全质量事故!$G:$G)</f>
        <v>0</v>
      </c>
      <c r="L124" s="72">
        <f>COUNTIF(M124:AQ124,标准数据!$A$2)*标准数据!$B$2+COUNTIF(M124:AQ124,标准数据!$A$3)*标准数据!$B$3+COUNTIF(M124:AQ124,标准数据!$A$4)*标准数据!$B$4</f>
        <v>0</v>
      </c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188"/>
      <c r="AR124" s="90"/>
      <c r="AS124" s="41"/>
      <c r="AT124" s="41"/>
      <c r="AU124" s="41"/>
      <c r="AV124" s="76" t="str">
        <f>VLOOKUP(E124,[1]生产部!$C:$I,7,0)</f>
        <v>班组</v>
      </c>
      <c r="AW124" s="41" t="str">
        <f>VLOOKUP(E124,[1]生产部!$C:$I,6,0)</f>
        <v>4号楼3&amp;4车间</v>
      </c>
    </row>
    <row r="125" spans="1:49" ht="21" customHeight="1">
      <c r="A125" s="235" t="s">
        <v>294</v>
      </c>
      <c r="B125" s="229" t="s">
        <v>2109</v>
      </c>
      <c r="C125" s="45" t="s">
        <v>14</v>
      </c>
      <c r="D125" s="46" t="s">
        <v>326</v>
      </c>
      <c r="E125" s="52" t="s">
        <v>312</v>
      </c>
      <c r="F125" s="48">
        <v>45607</v>
      </c>
      <c r="G125" s="49">
        <f t="shared" si="1"/>
        <v>0</v>
      </c>
      <c r="H125" s="77">
        <f>SUMIF(积分汇总!$B:$B,D124,积分汇总!$E:$E)</f>
        <v>0</v>
      </c>
      <c r="I125" s="77">
        <f>SUMIF(记录巡查问题条数汇总!$B:$B,D124,记录巡查问题条数汇总!$E:$E)</f>
        <v>0</v>
      </c>
      <c r="J125" s="77"/>
      <c r="K125" s="77">
        <f>SUMIF(安全质量事故!$B:$B,D124,安全质量事故!$G:$G)</f>
        <v>0</v>
      </c>
      <c r="L125" s="72">
        <f>COUNTIF(M125:AQ125,标准数据!$A$2)*标准数据!$B$2+COUNTIF(M125:AQ125,标准数据!$A$3)*标准数据!$B$3+COUNTIF(M125:AQ125,标准数据!$A$4)*标准数据!$B$4</f>
        <v>0</v>
      </c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188"/>
      <c r="AR125" s="90"/>
      <c r="AS125" s="41"/>
      <c r="AT125" s="41"/>
      <c r="AU125" s="41"/>
      <c r="AV125" s="76" t="str">
        <f>VLOOKUP(E125,[1]生产部!$C:$I,7,0)</f>
        <v>班组</v>
      </c>
      <c r="AW125" s="41" t="str">
        <f>VLOOKUP(E125,[1]生产部!$C:$I,6,0)</f>
        <v>4号楼3&amp;4车间</v>
      </c>
    </row>
    <row r="126" spans="1:49" ht="21" customHeight="1">
      <c r="A126" s="235" t="s">
        <v>294</v>
      </c>
      <c r="B126" s="229" t="s">
        <v>2109</v>
      </c>
      <c r="C126" s="45" t="s">
        <v>14</v>
      </c>
      <c r="D126" s="46" t="s">
        <v>327</v>
      </c>
      <c r="E126" s="52" t="s">
        <v>313</v>
      </c>
      <c r="F126" s="48">
        <v>45607</v>
      </c>
      <c r="G126" s="49">
        <f t="shared" si="1"/>
        <v>0</v>
      </c>
      <c r="H126" s="77">
        <f>SUMIF(积分汇总!$B:$B,D125,积分汇总!$E:$E)</f>
        <v>0</v>
      </c>
      <c r="I126" s="77">
        <f>SUMIF(记录巡查问题条数汇总!$B:$B,D125,记录巡查问题条数汇总!$E:$E)</f>
        <v>0</v>
      </c>
      <c r="J126" s="77"/>
      <c r="K126" s="77">
        <f>SUMIF(安全质量事故!$B:$B,D125,安全质量事故!$G:$G)</f>
        <v>0</v>
      </c>
      <c r="L126" s="72">
        <f>COUNTIF(M126:AQ126,标准数据!$A$2)*标准数据!$B$2+COUNTIF(M126:AQ126,标准数据!$A$3)*标准数据!$B$3+COUNTIF(M126:AQ126,标准数据!$A$4)*标准数据!$B$4</f>
        <v>0</v>
      </c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188"/>
      <c r="AR126" s="90"/>
      <c r="AS126" s="41"/>
      <c r="AT126" s="41"/>
      <c r="AU126" s="41"/>
      <c r="AV126" s="76" t="str">
        <f>VLOOKUP(E126,[1]生产部!$C:$I,7,0)</f>
        <v>班组</v>
      </c>
      <c r="AW126" s="41" t="str">
        <f>VLOOKUP(E126,[1]生产部!$C:$I,6,0)</f>
        <v>4号楼3&amp;4车间</v>
      </c>
    </row>
    <row r="127" spans="1:49" ht="21" customHeight="1">
      <c r="A127" s="235" t="s">
        <v>294</v>
      </c>
      <c r="B127" s="229" t="s">
        <v>2109</v>
      </c>
      <c r="C127" s="45" t="s">
        <v>14</v>
      </c>
      <c r="D127" s="46" t="s">
        <v>352</v>
      </c>
      <c r="E127" s="52" t="s">
        <v>339</v>
      </c>
      <c r="F127" s="48">
        <v>45628</v>
      </c>
      <c r="G127" s="49">
        <f t="shared" si="1"/>
        <v>0</v>
      </c>
      <c r="H127" s="77">
        <f>SUMIF(积分汇总!$B:$B,D126,积分汇总!$E:$E)</f>
        <v>0</v>
      </c>
      <c r="I127" s="77">
        <f>SUMIF(记录巡查问题条数汇总!$B:$B,D126,记录巡查问题条数汇总!$E:$E)</f>
        <v>0</v>
      </c>
      <c r="J127" s="77"/>
      <c r="K127" s="77">
        <f>SUMIF(安全质量事故!$B:$B,D126,安全质量事故!$G:$G)</f>
        <v>0</v>
      </c>
      <c r="L127" s="72">
        <f>COUNTIF(M127:AQ127,标准数据!$A$2)*标准数据!$B$2+COUNTIF(M127:AQ127,标准数据!$A$3)*标准数据!$B$3+COUNTIF(M127:AQ127,标准数据!$A$4)*标准数据!$B$4</f>
        <v>0</v>
      </c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188"/>
      <c r="AR127" s="90"/>
      <c r="AS127" s="41"/>
      <c r="AT127" s="41"/>
      <c r="AU127" s="41"/>
      <c r="AV127" s="76" t="str">
        <f>VLOOKUP(E127,[1]生产部!$C:$I,7,0)</f>
        <v>班组</v>
      </c>
      <c r="AW127" s="41" t="str">
        <f>VLOOKUP(E127,[1]生产部!$C:$I,6,0)</f>
        <v>4号楼3&amp;4车间</v>
      </c>
    </row>
    <row r="128" spans="1:49" ht="21" customHeight="1">
      <c r="A128" s="235" t="s">
        <v>294</v>
      </c>
      <c r="B128" s="229" t="s">
        <v>2109</v>
      </c>
      <c r="C128" s="45" t="s">
        <v>14</v>
      </c>
      <c r="D128" s="46" t="s">
        <v>358</v>
      </c>
      <c r="E128" s="52" t="s">
        <v>353</v>
      </c>
      <c r="F128" s="48">
        <v>45649</v>
      </c>
      <c r="G128" s="49">
        <f t="shared" si="1"/>
        <v>0</v>
      </c>
      <c r="H128" s="77">
        <f>SUMIF(积分汇总!$B:$B,D127,积分汇总!$E:$E)</f>
        <v>0</v>
      </c>
      <c r="I128" s="77">
        <f>SUMIF(记录巡查问题条数汇总!$B:$B,D127,记录巡查问题条数汇总!$E:$E)</f>
        <v>0</v>
      </c>
      <c r="J128" s="77"/>
      <c r="K128" s="77">
        <f>SUMIF(安全质量事故!$B:$B,D127,安全质量事故!$G:$G)</f>
        <v>0</v>
      </c>
      <c r="L128" s="72">
        <f>COUNTIF(M128:AQ128,标准数据!$A$2)*标准数据!$B$2+COUNTIF(M128:AQ128,标准数据!$A$3)*标准数据!$B$3+COUNTIF(M128:AQ128,标准数据!$A$4)*标准数据!$B$4</f>
        <v>0</v>
      </c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188"/>
      <c r="AR128" s="90"/>
      <c r="AS128" s="41"/>
      <c r="AT128" s="41"/>
      <c r="AU128" s="41"/>
      <c r="AV128" s="76" t="str">
        <f>VLOOKUP(E128,[1]生产部!$C:$I,7,0)</f>
        <v>班组</v>
      </c>
      <c r="AW128" s="41" t="str">
        <f>VLOOKUP(E128,[1]生产部!$C:$I,6,0)</f>
        <v>4号楼3&amp;4车间</v>
      </c>
    </row>
    <row r="129" spans="1:49" ht="21" customHeight="1">
      <c r="A129" s="235" t="s">
        <v>294</v>
      </c>
      <c r="B129" s="229" t="s">
        <v>2109</v>
      </c>
      <c r="C129" s="45" t="s">
        <v>14</v>
      </c>
      <c r="D129" s="46" t="s">
        <v>280</v>
      </c>
      <c r="E129" s="47" t="s">
        <v>271</v>
      </c>
      <c r="F129" s="48">
        <v>45546</v>
      </c>
      <c r="G129" s="49">
        <f t="shared" si="1"/>
        <v>0</v>
      </c>
      <c r="H129" s="77">
        <f>SUMIF(积分汇总!$B:$B,D128,积分汇总!$E:$E)</f>
        <v>0</v>
      </c>
      <c r="I129" s="77">
        <f>SUMIF(记录巡查问题条数汇总!$B:$B,D128,记录巡查问题条数汇总!$E:$E)</f>
        <v>0</v>
      </c>
      <c r="J129" s="77"/>
      <c r="K129" s="77">
        <f>SUMIF(安全质量事故!$B:$B,D128,安全质量事故!$G:$G)</f>
        <v>0</v>
      </c>
      <c r="L129" s="72">
        <f>COUNTIF(M129:AQ129,标准数据!$A$2)*标准数据!$B$2+COUNTIF(M129:AQ129,标准数据!$A$3)*标准数据!$B$3+COUNTIF(M129:AQ129,标准数据!$A$4)*标准数据!$B$4</f>
        <v>0</v>
      </c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188"/>
      <c r="AR129" s="90"/>
      <c r="AS129" s="41"/>
      <c r="AT129" s="41"/>
      <c r="AU129" s="41"/>
      <c r="AV129" s="76" t="str">
        <f>VLOOKUP(E129,[1]生产部!$C:$I,7,0)</f>
        <v>班组</v>
      </c>
      <c r="AW129" s="41" t="str">
        <f>VLOOKUP(E129,[1]生产部!$C:$I,6,0)</f>
        <v>4号楼3&amp;4车间</v>
      </c>
    </row>
    <row r="130" spans="1:49" ht="21" customHeight="1">
      <c r="A130" s="235" t="s">
        <v>294</v>
      </c>
      <c r="B130" s="229" t="s">
        <v>2109</v>
      </c>
      <c r="C130" s="45" t="s">
        <v>14</v>
      </c>
      <c r="D130" s="46" t="s">
        <v>370</v>
      </c>
      <c r="E130" s="52" t="s">
        <v>363</v>
      </c>
      <c r="F130" s="48">
        <v>45700</v>
      </c>
      <c r="G130" s="49">
        <f t="shared" si="1"/>
        <v>0</v>
      </c>
      <c r="H130" s="77">
        <f>SUMIF(积分汇总!$B:$B,D129,积分汇总!$E:$E)</f>
        <v>0</v>
      </c>
      <c r="I130" s="77">
        <f>SUMIF(记录巡查问题条数汇总!$B:$B,D129,记录巡查问题条数汇总!$E:$E)</f>
        <v>0</v>
      </c>
      <c r="J130" s="77"/>
      <c r="K130" s="77">
        <f>SUMIF(安全质量事故!$B:$B,D129,安全质量事故!$G:$G)</f>
        <v>0</v>
      </c>
      <c r="L130" s="72">
        <f>COUNTIF(M130:AQ130,标准数据!$A$2)*标准数据!$B$2+COUNTIF(M130:AQ130,标准数据!$A$3)*标准数据!$B$3+COUNTIF(M130:AQ130,标准数据!$A$4)*标准数据!$B$4</f>
        <v>0</v>
      </c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188"/>
      <c r="AR130" s="90"/>
      <c r="AS130" s="41"/>
      <c r="AT130" s="41"/>
      <c r="AU130" s="41"/>
      <c r="AV130" s="76" t="str">
        <f>VLOOKUP(E130,[1]生产部!$C:$I,7,0)</f>
        <v>班组</v>
      </c>
      <c r="AW130" s="41" t="str">
        <f>VLOOKUP(E130,[1]生产部!$C:$I,6,0)</f>
        <v>4号楼3&amp;4车间</v>
      </c>
    </row>
    <row r="131" spans="1:49" ht="21" customHeight="1">
      <c r="A131" s="235" t="s">
        <v>294</v>
      </c>
      <c r="B131" s="229" t="s">
        <v>2109</v>
      </c>
      <c r="C131" s="45" t="s">
        <v>14</v>
      </c>
      <c r="D131" s="46" t="s">
        <v>371</v>
      </c>
      <c r="E131" s="52" t="s">
        <v>365</v>
      </c>
      <c r="F131" s="48">
        <v>45700</v>
      </c>
      <c r="G131" s="49">
        <f t="shared" si="1"/>
        <v>0</v>
      </c>
      <c r="H131" s="77">
        <f>SUMIF(积分汇总!$B:$B,D130,积分汇总!$E:$E)</f>
        <v>0</v>
      </c>
      <c r="I131" s="77">
        <f>SUMIF(记录巡查问题条数汇总!$B:$B,D130,记录巡查问题条数汇总!$E:$E)</f>
        <v>0</v>
      </c>
      <c r="J131" s="77"/>
      <c r="K131" s="77">
        <f>SUMIF(安全质量事故!$B:$B,D130,安全质量事故!$G:$G)</f>
        <v>0</v>
      </c>
      <c r="L131" s="72">
        <f>COUNTIF(M131:AQ131,标准数据!$A$2)*标准数据!$B$2+COUNTIF(M131:AQ131,标准数据!$A$3)*标准数据!$B$3+COUNTIF(M131:AQ131,标准数据!$A$4)*标准数据!$B$4</f>
        <v>0</v>
      </c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188"/>
      <c r="AR131" s="90"/>
      <c r="AS131" s="41"/>
      <c r="AT131" s="41"/>
      <c r="AU131" s="41"/>
      <c r="AV131" s="76" t="str">
        <f>VLOOKUP(E131,[1]生产部!$C:$I,7,0)</f>
        <v>班组</v>
      </c>
      <c r="AW131" s="41" t="str">
        <f>VLOOKUP(E131,[1]生产部!$C:$I,6,0)</f>
        <v>4号楼3&amp;4车间</v>
      </c>
    </row>
    <row r="132" spans="1:49" ht="21" customHeight="1">
      <c r="A132" s="235" t="s">
        <v>294</v>
      </c>
      <c r="B132" s="229" t="s">
        <v>2109</v>
      </c>
      <c r="C132" s="45" t="s">
        <v>14</v>
      </c>
      <c r="D132" s="46" t="s">
        <v>372</v>
      </c>
      <c r="E132" s="52" t="s">
        <v>366</v>
      </c>
      <c r="F132" s="48">
        <v>45700</v>
      </c>
      <c r="G132" s="49">
        <f t="shared" si="1"/>
        <v>0</v>
      </c>
      <c r="H132" s="77">
        <f>SUMIF(积分汇总!$B:$B,D131,积分汇总!$E:$E)</f>
        <v>0</v>
      </c>
      <c r="I132" s="77">
        <f>SUMIF(记录巡查问题条数汇总!$B:$B,D131,记录巡查问题条数汇总!$E:$E)</f>
        <v>0</v>
      </c>
      <c r="J132" s="77"/>
      <c r="K132" s="77">
        <f>SUMIF(安全质量事故!$B:$B,D131,安全质量事故!$G:$G)</f>
        <v>0</v>
      </c>
      <c r="L132" s="72">
        <f>COUNTIF(M132:AQ132,标准数据!$A$2)*标准数据!$B$2+COUNTIF(M132:AQ132,标准数据!$A$3)*标准数据!$B$3+COUNTIF(M132:AQ132,标准数据!$A$4)*标准数据!$B$4</f>
        <v>0</v>
      </c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188"/>
      <c r="AR132" s="90"/>
      <c r="AS132" s="41"/>
      <c r="AT132" s="41"/>
      <c r="AU132" s="41"/>
      <c r="AV132" s="76" t="str">
        <f>VLOOKUP(E132,[1]生产部!$C:$I,7,0)</f>
        <v>班组</v>
      </c>
      <c r="AW132" s="41" t="str">
        <f>VLOOKUP(E132,[1]生产部!$C:$I,6,0)</f>
        <v>4号楼3&amp;4车间</v>
      </c>
    </row>
    <row r="133" spans="1:49" ht="21" customHeight="1">
      <c r="A133" s="235" t="s">
        <v>294</v>
      </c>
      <c r="B133" s="229" t="s">
        <v>2109</v>
      </c>
      <c r="C133" s="45" t="s">
        <v>14</v>
      </c>
      <c r="D133" s="46" t="s">
        <v>373</v>
      </c>
      <c r="E133" s="52" t="s">
        <v>367</v>
      </c>
      <c r="F133" s="48">
        <v>45700</v>
      </c>
      <c r="G133" s="49">
        <f t="shared" si="1"/>
        <v>0</v>
      </c>
      <c r="H133" s="77">
        <f>SUMIF(积分汇总!$B:$B,D132,积分汇总!$E:$E)</f>
        <v>0</v>
      </c>
      <c r="I133" s="77">
        <f>SUMIF(记录巡查问题条数汇总!$B:$B,D132,记录巡查问题条数汇总!$E:$E)</f>
        <v>0</v>
      </c>
      <c r="J133" s="77"/>
      <c r="K133" s="77">
        <f>SUMIF(安全质量事故!$B:$B,D132,安全质量事故!$G:$G)</f>
        <v>0</v>
      </c>
      <c r="L133" s="72">
        <f>COUNTIF(M133:AQ133,标准数据!$A$2)*标准数据!$B$2+COUNTIF(M133:AQ133,标准数据!$A$3)*标准数据!$B$3+COUNTIF(M133:AQ133,标准数据!$A$4)*标准数据!$B$4</f>
        <v>0</v>
      </c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188"/>
      <c r="AR133" s="90"/>
      <c r="AS133" s="41"/>
      <c r="AT133" s="41"/>
      <c r="AU133" s="41"/>
      <c r="AV133" s="76" t="str">
        <f>VLOOKUP(E133,[1]生产部!$C:$I,7,0)</f>
        <v>班组</v>
      </c>
      <c r="AW133" s="41" t="str">
        <f>VLOOKUP(E133,[1]生产部!$C:$I,6,0)</f>
        <v>4号楼3&amp;4车间</v>
      </c>
    </row>
    <row r="134" spans="1:49" ht="21" customHeight="1">
      <c r="A134" s="235" t="s">
        <v>294</v>
      </c>
      <c r="B134" s="229" t="s">
        <v>2109</v>
      </c>
      <c r="C134" s="45" t="s">
        <v>14</v>
      </c>
      <c r="D134" s="46" t="s">
        <v>397</v>
      </c>
      <c r="E134" s="52" t="s">
        <v>384</v>
      </c>
      <c r="F134" s="48">
        <v>45770</v>
      </c>
      <c r="G134" s="49">
        <f t="shared" si="1"/>
        <v>0</v>
      </c>
      <c r="H134" s="77">
        <f>SUMIF(积分汇总!$B:$B,D133,积分汇总!$E:$E)</f>
        <v>0</v>
      </c>
      <c r="I134" s="77">
        <f>SUMIF(记录巡查问题条数汇总!$B:$B,D133,记录巡查问题条数汇总!$E:$E)</f>
        <v>0</v>
      </c>
      <c r="J134" s="77"/>
      <c r="K134" s="77">
        <f>SUMIF(安全质量事故!$B:$B,D133,安全质量事故!$G:$G)</f>
        <v>0</v>
      </c>
      <c r="L134" s="72">
        <f>COUNTIF(M134:AQ134,标准数据!$A$2)*标准数据!$B$2+COUNTIF(M134:AQ134,标准数据!$A$3)*标准数据!$B$3+COUNTIF(M134:AQ134,标准数据!$A$4)*标准数据!$B$4</f>
        <v>0</v>
      </c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188"/>
      <c r="AR134" s="90"/>
      <c r="AS134" s="41"/>
      <c r="AT134" s="41"/>
      <c r="AU134" s="41"/>
      <c r="AV134" s="76" t="str">
        <f>VLOOKUP(E134,[1]生产部!$C:$I,7,0)</f>
        <v>班组</v>
      </c>
      <c r="AW134" s="41" t="str">
        <f>VLOOKUP(E134,[1]生产部!$C:$I,6,0)</f>
        <v>4号楼3&amp;4车间</v>
      </c>
    </row>
    <row r="135" spans="1:49" ht="21" customHeight="1">
      <c r="A135" s="235" t="s">
        <v>294</v>
      </c>
      <c r="B135" s="229" t="s">
        <v>2109</v>
      </c>
      <c r="C135" s="45" t="s">
        <v>14</v>
      </c>
      <c r="D135" s="46" t="s">
        <v>277</v>
      </c>
      <c r="E135" s="52" t="s">
        <v>273</v>
      </c>
      <c r="F135" s="46">
        <v>44389</v>
      </c>
      <c r="G135" s="49">
        <f t="shared" si="1"/>
        <v>0</v>
      </c>
      <c r="H135" s="77">
        <f>SUMIF(积分汇总!$B:$B,,积分汇总!$E:$E)</f>
        <v>0</v>
      </c>
      <c r="I135" s="77">
        <f>SUMIF(记录巡查问题条数汇总!$B:$B,,记录巡查问题条数汇总!$E:$E)</f>
        <v>0</v>
      </c>
      <c r="J135" s="77"/>
      <c r="K135" s="77">
        <f>SUMIF(安全质量事故!$B:$B,,安全质量事故!$G:$G)</f>
        <v>0</v>
      </c>
      <c r="L135" s="72">
        <f>COUNTIF(M135:AQ135,标准数据!$A$2)*标准数据!$B$2+COUNTIF(M135:AQ135,标准数据!$A$3)*标准数据!$B$3+COUNTIF(M135:AQ135,标准数据!$A$4)*标准数据!$B$4</f>
        <v>0</v>
      </c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188"/>
      <c r="AR135" s="90"/>
      <c r="AS135" s="41"/>
      <c r="AT135" s="41"/>
      <c r="AU135" s="41"/>
      <c r="AV135" s="76" t="str">
        <f>VLOOKUP(E135,[1]生产部!$C:$I,7,0)</f>
        <v>班组</v>
      </c>
      <c r="AW135" s="41" t="str">
        <f>VLOOKUP(E135,[1]生产部!$C:$I,6,0)</f>
        <v>4号楼3&amp;4车间</v>
      </c>
    </row>
    <row r="136" spans="1:49" ht="21" customHeight="1">
      <c r="A136" s="235" t="s">
        <v>294</v>
      </c>
      <c r="B136" s="229" t="s">
        <v>2109</v>
      </c>
      <c r="C136" s="45" t="s">
        <v>14</v>
      </c>
      <c r="D136" s="46" t="s">
        <v>191</v>
      </c>
      <c r="E136" s="52" t="s">
        <v>95</v>
      </c>
      <c r="F136" s="48">
        <v>44753</v>
      </c>
      <c r="G136" s="49">
        <f t="shared" si="1"/>
        <v>0</v>
      </c>
      <c r="H136" s="77">
        <f>SUMIF(积分汇总!$B:$B,D135,积分汇总!$E:$E)</f>
        <v>0</v>
      </c>
      <c r="I136" s="77">
        <f>SUMIF(记录巡查问题条数汇总!$B:$B,D135,记录巡查问题条数汇总!$E:$E)</f>
        <v>0</v>
      </c>
      <c r="J136" s="77"/>
      <c r="K136" s="77">
        <f>SUMIF(安全质量事故!$B:$B,D135,安全质量事故!$G:$G)</f>
        <v>0</v>
      </c>
      <c r="L136" s="72">
        <f>COUNTIF(M136:AQ136,标准数据!$A$2)*标准数据!$B$2+COUNTIF(M136:AQ136,标准数据!$A$3)*标准数据!$B$3+COUNTIF(M136:AQ136,标准数据!$A$4)*标准数据!$B$4</f>
        <v>0</v>
      </c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188"/>
      <c r="AR136" s="90"/>
      <c r="AS136" s="41"/>
      <c r="AT136" s="41"/>
      <c r="AU136" s="41"/>
      <c r="AV136" s="76" t="str">
        <f>VLOOKUP(E136,[1]生产部!$C:$I,7,0)</f>
        <v>项目组</v>
      </c>
      <c r="AW136" s="41" t="str">
        <f>VLOOKUP(E136,[1]生产部!$C:$I,6,0)</f>
        <v>4号楼3&amp;4车间</v>
      </c>
    </row>
    <row r="137" spans="1:49" ht="21" customHeight="1">
      <c r="A137" s="235" t="s">
        <v>294</v>
      </c>
      <c r="B137" s="229" t="s">
        <v>2109</v>
      </c>
      <c r="C137" s="45" t="s">
        <v>14</v>
      </c>
      <c r="D137" s="46" t="s">
        <v>406</v>
      </c>
      <c r="E137" s="47" t="s">
        <v>401</v>
      </c>
      <c r="F137" s="48">
        <v>45791</v>
      </c>
      <c r="G137" s="49">
        <f t="shared" si="1"/>
        <v>0</v>
      </c>
      <c r="H137" s="77">
        <f>SUMIF(积分汇总!$B:$B,D136,积分汇总!$E:$E)</f>
        <v>0</v>
      </c>
      <c r="I137" s="77">
        <f>SUMIF(记录巡查问题条数汇总!$B:$B,D136,记录巡查问题条数汇总!$E:$E)</f>
        <v>0</v>
      </c>
      <c r="J137" s="77"/>
      <c r="K137" s="77">
        <f>SUMIF(安全质量事故!$B:$B,D136,安全质量事故!$G:$G)</f>
        <v>0</v>
      </c>
      <c r="L137" s="72">
        <f>COUNTIF(M137:AQ137,标准数据!$A$2)*标准数据!$B$2+COUNTIF(M137:AQ137,标准数据!$A$3)*标准数据!$B$3+COUNTIF(M137:AQ137,标准数据!$A$4)*标准数据!$B$4</f>
        <v>0</v>
      </c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188"/>
      <c r="AR137" s="90"/>
      <c r="AS137" s="41"/>
      <c r="AT137" s="41"/>
      <c r="AU137" s="41"/>
      <c r="AV137" s="76" t="str">
        <f>VLOOKUP(E137,[1]生产部!$C:$I,7,0)</f>
        <v>班组</v>
      </c>
      <c r="AW137" s="41" t="str">
        <f>VLOOKUP(E137,[1]生产部!$C:$I,6,0)</f>
        <v>4号楼3&amp;4车间</v>
      </c>
    </row>
    <row r="138" spans="1:49" ht="21" customHeight="1">
      <c r="A138" s="235" t="s">
        <v>294</v>
      </c>
      <c r="B138" s="229" t="s">
        <v>2109</v>
      </c>
      <c r="C138" s="45" t="s">
        <v>14</v>
      </c>
      <c r="D138" s="46" t="s">
        <v>425</v>
      </c>
      <c r="E138" s="47" t="s">
        <v>418</v>
      </c>
      <c r="F138" s="48">
        <v>45819</v>
      </c>
      <c r="G138" s="49">
        <f t="shared" ref="G138:G201" si="2">(L138+H138+I138+J138-K138)</f>
        <v>0</v>
      </c>
      <c r="H138" s="77">
        <f>SUMIF(积分汇总!$B:$B,D137,积分汇总!$E:$E)</f>
        <v>0</v>
      </c>
      <c r="I138" s="77">
        <f>SUMIF(记录巡查问题条数汇总!$B:$B,D137,记录巡查问题条数汇总!$E:$E)</f>
        <v>0</v>
      </c>
      <c r="J138" s="77"/>
      <c r="K138" s="77">
        <f>SUMIF(安全质量事故!$B:$B,D137,安全质量事故!$G:$G)</f>
        <v>0</v>
      </c>
      <c r="L138" s="72">
        <f>COUNTIF(M138:AQ138,标准数据!$A$2)*标准数据!$B$2+COUNTIF(M138:AQ138,标准数据!$A$3)*标准数据!$B$3+COUNTIF(M138:AQ138,标准数据!$A$4)*标准数据!$B$4</f>
        <v>0</v>
      </c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188"/>
      <c r="AR138" s="90"/>
      <c r="AS138" s="41"/>
      <c r="AT138" s="41"/>
      <c r="AU138" s="41"/>
      <c r="AV138" s="76" t="str">
        <f>VLOOKUP(E138,[1]生产部!$C:$I,7,0)</f>
        <v>班组</v>
      </c>
      <c r="AW138" s="41" t="str">
        <f>VLOOKUP(E138,[1]生产部!$C:$I,6,0)</f>
        <v>4号楼3&amp;4车间</v>
      </c>
    </row>
    <row r="139" spans="1:49" ht="21" customHeight="1">
      <c r="A139" s="235" t="s">
        <v>294</v>
      </c>
      <c r="B139" s="229" t="s">
        <v>2109</v>
      </c>
      <c r="C139" s="45" t="s">
        <v>14</v>
      </c>
      <c r="D139" s="46" t="s">
        <v>426</v>
      </c>
      <c r="E139" s="47" t="s">
        <v>419</v>
      </c>
      <c r="F139" s="48">
        <v>45826</v>
      </c>
      <c r="G139" s="49">
        <f t="shared" si="2"/>
        <v>0</v>
      </c>
      <c r="H139" s="77">
        <f>SUMIF(积分汇总!$B:$B,D138,积分汇总!$E:$E)</f>
        <v>0</v>
      </c>
      <c r="I139" s="77">
        <f>SUMIF(记录巡查问题条数汇总!$B:$B,D138,记录巡查问题条数汇总!$E:$E)</f>
        <v>0</v>
      </c>
      <c r="J139" s="77"/>
      <c r="K139" s="77">
        <f>SUMIF(安全质量事故!$B:$B,D138,安全质量事故!$G:$G)</f>
        <v>0</v>
      </c>
      <c r="L139" s="72">
        <f>COUNTIF(M139:AQ139,标准数据!$A$2)*标准数据!$B$2+COUNTIF(M139:AQ139,标准数据!$A$3)*标准数据!$B$3+COUNTIF(M139:AQ139,标准数据!$A$4)*标准数据!$B$4</f>
        <v>0</v>
      </c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188"/>
      <c r="AR139" s="90"/>
      <c r="AS139" s="41"/>
      <c r="AT139" s="41"/>
      <c r="AU139" s="41"/>
      <c r="AV139" s="76" t="str">
        <f>VLOOKUP(E139,[1]生产部!$C:$I,7,0)</f>
        <v>班组</v>
      </c>
      <c r="AW139" s="41" t="str">
        <f>VLOOKUP(E139,[1]生产部!$C:$I,6,0)</f>
        <v>4号楼3&amp;4车间</v>
      </c>
    </row>
    <row r="140" spans="1:49" ht="21" customHeight="1">
      <c r="A140" s="235" t="s">
        <v>294</v>
      </c>
      <c r="B140" s="229" t="s">
        <v>2109</v>
      </c>
      <c r="C140" s="45" t="s">
        <v>14</v>
      </c>
      <c r="D140" s="46" t="s">
        <v>469</v>
      </c>
      <c r="E140" s="47" t="s">
        <v>429</v>
      </c>
      <c r="F140" s="48">
        <v>45840</v>
      </c>
      <c r="G140" s="49">
        <f t="shared" si="2"/>
        <v>0</v>
      </c>
      <c r="H140" s="77">
        <f>SUMIF(积分汇总!$B:$B,D139,积分汇总!$E:$E)</f>
        <v>0</v>
      </c>
      <c r="I140" s="77">
        <f>SUMIF(记录巡查问题条数汇总!$B:$B,D139,记录巡查问题条数汇总!$E:$E)</f>
        <v>0</v>
      </c>
      <c r="J140" s="77"/>
      <c r="K140" s="77">
        <f>SUMIF(安全质量事故!$B:$B,D139,安全质量事故!$G:$G)</f>
        <v>0</v>
      </c>
      <c r="L140" s="72">
        <f>COUNTIF(M140:AQ140,标准数据!$A$2)*标准数据!$B$2+COUNTIF(M140:AQ140,标准数据!$A$3)*标准数据!$B$3+COUNTIF(M140:AQ140,标准数据!$A$4)*标准数据!$B$4</f>
        <v>0</v>
      </c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188"/>
      <c r="AR140" s="90"/>
      <c r="AS140" s="41"/>
      <c r="AT140" s="41"/>
      <c r="AU140" s="41"/>
      <c r="AV140" s="76" t="str">
        <f>VLOOKUP(E140,[1]生产部!$C:$I,7,0)</f>
        <v>班组</v>
      </c>
      <c r="AW140" s="41" t="str">
        <f>VLOOKUP(E140,[1]生产部!$C:$I,6,0)</f>
        <v>4号楼3&amp;4车间</v>
      </c>
    </row>
    <row r="141" spans="1:49" ht="21" customHeight="1">
      <c r="A141" s="235" t="s">
        <v>294</v>
      </c>
      <c r="B141" s="229" t="s">
        <v>2109</v>
      </c>
      <c r="C141" s="45" t="s">
        <v>14</v>
      </c>
      <c r="D141" s="46" t="s">
        <v>539</v>
      </c>
      <c r="E141" s="47" t="s">
        <v>503</v>
      </c>
      <c r="F141" s="48">
        <v>45882</v>
      </c>
      <c r="G141" s="49">
        <f t="shared" si="2"/>
        <v>0</v>
      </c>
      <c r="H141" s="77">
        <f>SUMIF(积分汇总!$B:$B,,积分汇总!$E:$E)</f>
        <v>0</v>
      </c>
      <c r="I141" s="77">
        <f>SUMIF(记录巡查问题条数汇总!$B:$B,,记录巡查问题条数汇总!$E:$E)</f>
        <v>0</v>
      </c>
      <c r="J141" s="77"/>
      <c r="K141" s="77">
        <f>SUMIF(安全质量事故!$B:$B,,安全质量事故!$G:$G)</f>
        <v>0</v>
      </c>
      <c r="L141" s="72">
        <f>COUNTIF(M141:AQ141,标准数据!$A$2)*标准数据!$B$2+COUNTIF(M141:AQ141,标准数据!$A$3)*标准数据!$B$3+COUNTIF(M141:AQ141,标准数据!$A$4)*标准数据!$B$4</f>
        <v>0</v>
      </c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188"/>
      <c r="AR141" s="90"/>
      <c r="AS141" s="41"/>
      <c r="AT141" s="41"/>
      <c r="AU141" s="41"/>
      <c r="AV141" s="76" t="str">
        <f>VLOOKUP(E141,[1]生产部!$C:$I,7,0)</f>
        <v>班组</v>
      </c>
      <c r="AW141" s="41" t="str">
        <f>VLOOKUP(E141,[1]生产部!$C:$I,6,0)</f>
        <v>4号楼3&amp;4车间</v>
      </c>
    </row>
    <row r="142" spans="1:49" ht="21" customHeight="1">
      <c r="A142" s="235" t="s">
        <v>294</v>
      </c>
      <c r="B142" s="229" t="s">
        <v>2109</v>
      </c>
      <c r="C142" s="45" t="s">
        <v>14</v>
      </c>
      <c r="D142" s="46" t="s">
        <v>540</v>
      </c>
      <c r="E142" s="47" t="s">
        <v>505</v>
      </c>
      <c r="F142" s="48">
        <v>45875</v>
      </c>
      <c r="G142" s="49">
        <f t="shared" si="2"/>
        <v>0</v>
      </c>
      <c r="H142" s="77">
        <f>SUMIF(积分汇总!$B:$B,D141,积分汇总!$E:$E)</f>
        <v>0</v>
      </c>
      <c r="I142" s="77">
        <f>SUMIF(记录巡查问题条数汇总!$B:$B,D141,记录巡查问题条数汇总!$E:$E)</f>
        <v>0</v>
      </c>
      <c r="J142" s="77"/>
      <c r="K142" s="77">
        <f>SUMIF(安全质量事故!$B:$B,D141,安全质量事故!$G:$G)</f>
        <v>0</v>
      </c>
      <c r="L142" s="72">
        <f>COUNTIF(M142:AQ142,标准数据!$A$2)*标准数据!$B$2+COUNTIF(M142:AQ142,标准数据!$A$3)*标准数据!$B$3+COUNTIF(M142:AQ142,标准数据!$A$4)*标准数据!$B$4</f>
        <v>0</v>
      </c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188"/>
      <c r="AR142" s="90"/>
      <c r="AS142" s="41"/>
      <c r="AT142" s="41"/>
      <c r="AU142" s="41"/>
      <c r="AV142" s="76" t="str">
        <f>VLOOKUP(E142,[1]生产部!$C:$I,7,0)</f>
        <v>常白</v>
      </c>
      <c r="AW142" s="41" t="str">
        <f>VLOOKUP(E142,[1]生产部!$C:$I,6,0)</f>
        <v>4号楼3&amp;4车间</v>
      </c>
    </row>
    <row r="143" spans="1:49" ht="21" customHeight="1">
      <c r="A143" s="235" t="s">
        <v>294</v>
      </c>
      <c r="B143" s="229" t="s">
        <v>2109</v>
      </c>
      <c r="C143" s="45" t="s">
        <v>14</v>
      </c>
      <c r="D143" s="46" t="s">
        <v>541</v>
      </c>
      <c r="E143" s="47" t="s">
        <v>506</v>
      </c>
      <c r="F143" s="48">
        <v>45875</v>
      </c>
      <c r="G143" s="49">
        <f t="shared" si="2"/>
        <v>0</v>
      </c>
      <c r="H143" s="77">
        <f>SUMIF(积分汇总!$B:$B,D142,积分汇总!$E:$E)</f>
        <v>0</v>
      </c>
      <c r="I143" s="77">
        <f>SUMIF(记录巡查问题条数汇总!$B:$B,D142,记录巡查问题条数汇总!$E:$E)</f>
        <v>0</v>
      </c>
      <c r="J143" s="77"/>
      <c r="K143" s="77">
        <f>SUMIF(安全质量事故!$B:$B,D142,安全质量事故!$G:$G)</f>
        <v>0</v>
      </c>
      <c r="L143" s="72">
        <f>COUNTIF(M143:AQ143,标准数据!$A$2)*标准数据!$B$2+COUNTIF(M143:AQ143,标准数据!$A$3)*标准数据!$B$3+COUNTIF(M143:AQ143,标准数据!$A$4)*标准数据!$B$4</f>
        <v>0</v>
      </c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188"/>
      <c r="AR143" s="90"/>
      <c r="AS143" s="41"/>
      <c r="AT143" s="41"/>
      <c r="AU143" s="41"/>
      <c r="AV143" s="76" t="str">
        <f>VLOOKUP(E143,[1]生产部!$C:$I,7,0)</f>
        <v>班组</v>
      </c>
      <c r="AW143" s="41" t="str">
        <f>VLOOKUP(E143,[1]生产部!$C:$I,6,0)</f>
        <v>4号楼3&amp;4车间</v>
      </c>
    </row>
    <row r="144" spans="1:49" ht="21" customHeight="1">
      <c r="A144" s="235" t="s">
        <v>294</v>
      </c>
      <c r="B144" s="229" t="s">
        <v>2109</v>
      </c>
      <c r="C144" s="45" t="s">
        <v>14</v>
      </c>
      <c r="D144" s="46" t="s">
        <v>847</v>
      </c>
      <c r="E144" s="47" t="s">
        <v>764</v>
      </c>
      <c r="F144" s="48">
        <v>45392</v>
      </c>
      <c r="G144" s="49">
        <f t="shared" si="2"/>
        <v>0</v>
      </c>
      <c r="H144" s="77">
        <f>SUMIF(积分汇总!$B:$B,,积分汇总!$E:$E)</f>
        <v>0</v>
      </c>
      <c r="I144" s="77">
        <f>SUMIF(记录巡查问题条数汇总!$B:$B,,记录巡查问题条数汇总!$E:$E)</f>
        <v>0</v>
      </c>
      <c r="J144" s="77"/>
      <c r="K144" s="77">
        <f>SUMIF(安全质量事故!$B:$B,,安全质量事故!$G:$G)</f>
        <v>0</v>
      </c>
      <c r="L144" s="72">
        <f>COUNTIF(M144:AQ144,标准数据!$A$2)*标准数据!$B$2+COUNTIF(M144:AQ144,标准数据!$A$3)*标准数据!$B$3+COUNTIF(M144:AQ144,标准数据!$A$4)*标准数据!$B$4</f>
        <v>0</v>
      </c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188"/>
      <c r="AR144" s="90"/>
      <c r="AS144" s="41"/>
      <c r="AT144" s="41"/>
      <c r="AU144" s="41"/>
      <c r="AV144" s="76" t="str">
        <f>VLOOKUP(E144,[1]生产部!$C:$I,7,0)</f>
        <v>班组</v>
      </c>
      <c r="AW144" s="41" t="str">
        <f>VLOOKUP(E144,[1]生产部!$C:$I,6,0)</f>
        <v>4号楼3&amp;4车间</v>
      </c>
    </row>
    <row r="145" spans="1:49" ht="21" customHeight="1">
      <c r="A145" s="235" t="s">
        <v>294</v>
      </c>
      <c r="B145" s="229" t="s">
        <v>2109</v>
      </c>
      <c r="C145" s="45" t="s">
        <v>14</v>
      </c>
      <c r="D145" s="46" t="s">
        <v>848</v>
      </c>
      <c r="E145" s="47" t="s">
        <v>766</v>
      </c>
      <c r="F145" s="48">
        <v>45889</v>
      </c>
      <c r="G145" s="49">
        <f t="shared" si="2"/>
        <v>0</v>
      </c>
      <c r="H145" s="77">
        <f>SUMIF(积分汇总!$B:$B,D144,积分汇总!$E:$E)</f>
        <v>0</v>
      </c>
      <c r="I145" s="77">
        <f>SUMIF(记录巡查问题条数汇总!$B:$B,D144,记录巡查问题条数汇总!$E:$E)</f>
        <v>0</v>
      </c>
      <c r="J145" s="77"/>
      <c r="K145" s="77">
        <f>SUMIF(安全质量事故!$B:$B,D144,安全质量事故!$G:$G)</f>
        <v>0</v>
      </c>
      <c r="L145" s="72">
        <f>COUNTIF(M145:AQ145,标准数据!$A$2)*标准数据!$B$2+COUNTIF(M145:AQ145,标准数据!$A$3)*标准数据!$B$3+COUNTIF(M145:AQ145,标准数据!$A$4)*标准数据!$B$4</f>
        <v>0</v>
      </c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188"/>
      <c r="AR145" s="90"/>
      <c r="AS145" s="41"/>
      <c r="AT145" s="41"/>
      <c r="AU145" s="41"/>
      <c r="AV145" s="76" t="str">
        <f>VLOOKUP(E145,[1]生产部!$C:$I,7,0)</f>
        <v>班组</v>
      </c>
      <c r="AW145" s="41" t="str">
        <f>VLOOKUP(E145,[1]生产部!$C:$I,6,0)</f>
        <v>4号楼3&amp;4车间</v>
      </c>
    </row>
    <row r="146" spans="1:49" ht="21" customHeight="1">
      <c r="A146" s="235" t="s">
        <v>294</v>
      </c>
      <c r="B146" s="229" t="s">
        <v>2109</v>
      </c>
      <c r="C146" s="45" t="s">
        <v>14</v>
      </c>
      <c r="D146" s="46" t="s">
        <v>742</v>
      </c>
      <c r="E146" s="52" t="s">
        <v>678</v>
      </c>
      <c r="F146" s="46">
        <v>45959</v>
      </c>
      <c r="G146" s="49">
        <f t="shared" si="2"/>
        <v>0</v>
      </c>
      <c r="H146" s="77">
        <f>SUMIF(积分汇总!$B:$B,D145,积分汇总!$E:$E)</f>
        <v>0</v>
      </c>
      <c r="I146" s="77">
        <f>SUMIF(记录巡查问题条数汇总!$B:$B,D145,记录巡查问题条数汇总!$E:$E)</f>
        <v>0</v>
      </c>
      <c r="J146" s="77"/>
      <c r="K146" s="77">
        <f>SUMIF(安全质量事故!$B:$B,D145,安全质量事故!$G:$G)</f>
        <v>0</v>
      </c>
      <c r="L146" s="72">
        <f>COUNTIF(M146:AQ146,标准数据!$A$2)*标准数据!$B$2+COUNTIF(M146:AQ146,标准数据!$A$3)*标准数据!$B$3+COUNTIF(M146:AQ146,标准数据!$A$4)*标准数据!$B$4</f>
        <v>0</v>
      </c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188"/>
      <c r="AR146" s="90"/>
      <c r="AV146" s="76" t="str">
        <f>VLOOKUP(E146,[1]生产部!$C:$I,7,0)</f>
        <v>常白</v>
      </c>
      <c r="AW146" s="41" t="str">
        <f>VLOOKUP(E146,[1]生产部!$C:$I,6,0)</f>
        <v>4号楼3&amp;4车间</v>
      </c>
    </row>
    <row r="147" spans="1:49" ht="21" customHeight="1">
      <c r="A147" s="235" t="s">
        <v>294</v>
      </c>
      <c r="B147" s="229" t="s">
        <v>2109</v>
      </c>
      <c r="C147" s="45" t="s">
        <v>14</v>
      </c>
      <c r="D147" s="46" t="s">
        <v>918</v>
      </c>
      <c r="E147" s="47" t="s">
        <v>870</v>
      </c>
      <c r="F147" s="48">
        <v>46029</v>
      </c>
      <c r="G147" s="49">
        <f t="shared" si="2"/>
        <v>0</v>
      </c>
      <c r="H147" s="77">
        <f>SUMIF(积分汇总!$B:$B,D146,积分汇总!$E:$E)</f>
        <v>0</v>
      </c>
      <c r="I147" s="77">
        <f>SUMIF(记录巡查问题条数汇总!$B:$B,D146,记录巡查问题条数汇总!$E:$E)</f>
        <v>0</v>
      </c>
      <c r="J147" s="77"/>
      <c r="K147" s="77">
        <f>SUMIF(安全质量事故!$B:$B,D146,安全质量事故!$G:$G)</f>
        <v>0</v>
      </c>
      <c r="L147" s="72">
        <f>COUNTIF(M147:AQ147,标准数据!$A$2)*标准数据!$B$2+COUNTIF(M147:AQ147,标准数据!$A$3)*标准数据!$B$3+COUNTIF(M147:AQ147,标准数据!$A$4)*标准数据!$B$4</f>
        <v>0</v>
      </c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188"/>
      <c r="AR147" s="90"/>
      <c r="AS147" s="41"/>
      <c r="AT147" s="41"/>
      <c r="AU147" s="41"/>
      <c r="AV147" s="76" t="str">
        <f>VLOOKUP(E147,[1]生产部!$C:$I,7,0)</f>
        <v>常白</v>
      </c>
      <c r="AW147" s="41" t="str">
        <f>VLOOKUP(E147,[1]生产部!$C:$I,6,0)</f>
        <v>4号楼3&amp;4车间</v>
      </c>
    </row>
    <row r="148" spans="1:49" ht="21" customHeight="1">
      <c r="A148" s="235" t="s">
        <v>294</v>
      </c>
      <c r="B148" s="229" t="s">
        <v>2109</v>
      </c>
      <c r="C148" s="45" t="s">
        <v>14</v>
      </c>
      <c r="D148" s="46" t="s">
        <v>920</v>
      </c>
      <c r="E148" s="47" t="s">
        <v>872</v>
      </c>
      <c r="F148" s="48">
        <v>46029</v>
      </c>
      <c r="G148" s="49">
        <f t="shared" si="2"/>
        <v>0</v>
      </c>
      <c r="H148" s="77">
        <f>SUMIF(积分汇总!$B:$B,D147,积分汇总!$E:$E)</f>
        <v>0</v>
      </c>
      <c r="I148" s="77">
        <f>SUMIF(记录巡查问题条数汇总!$B:$B,D147,记录巡查问题条数汇总!$E:$E)</f>
        <v>0</v>
      </c>
      <c r="J148" s="77"/>
      <c r="K148" s="77">
        <f>SUMIF(安全质量事故!$B:$B,D147,安全质量事故!$G:$G)</f>
        <v>0</v>
      </c>
      <c r="L148" s="72">
        <f>COUNTIF(M148:AQ148,标准数据!$A$2)*标准数据!$B$2+COUNTIF(M148:AQ148,标准数据!$A$3)*标准数据!$B$3+COUNTIF(M148:AQ148,标准数据!$A$4)*标准数据!$B$4</f>
        <v>0</v>
      </c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188"/>
      <c r="AR148" s="90"/>
      <c r="AS148" s="41"/>
      <c r="AT148" s="41"/>
      <c r="AU148" s="41"/>
      <c r="AV148" s="76" t="str">
        <f>VLOOKUP(E148,[1]生产部!$C:$I,7,0)</f>
        <v>班组</v>
      </c>
      <c r="AW148" s="41" t="str">
        <f>VLOOKUP(E148,[1]生产部!$C:$I,6,0)</f>
        <v>4号楼3&amp;4车间</v>
      </c>
    </row>
    <row r="149" spans="1:49" ht="21" customHeight="1">
      <c r="A149" s="235" t="s">
        <v>294</v>
      </c>
      <c r="B149" s="229" t="s">
        <v>2109</v>
      </c>
      <c r="C149" s="45" t="s">
        <v>14</v>
      </c>
      <c r="D149" s="46" t="s">
        <v>982</v>
      </c>
      <c r="E149" s="47" t="s">
        <v>961</v>
      </c>
      <c r="F149" s="48">
        <v>45973</v>
      </c>
      <c r="G149" s="49">
        <f t="shared" si="2"/>
        <v>0</v>
      </c>
      <c r="H149" s="77">
        <f>SUMIF(积分汇总!$B:$B,D148,积分汇总!$E:$E)</f>
        <v>0</v>
      </c>
      <c r="I149" s="77">
        <f>SUMIF(记录巡查问题条数汇总!$B:$B,D148,记录巡查问题条数汇总!$E:$E)</f>
        <v>0</v>
      </c>
      <c r="J149" s="77"/>
      <c r="K149" s="77">
        <f>SUMIF(安全质量事故!$B:$B,D148,安全质量事故!$G:$G)</f>
        <v>0</v>
      </c>
      <c r="L149" s="72">
        <f>COUNTIF(M149:AQ149,标准数据!$A$2)*标准数据!$B$2+COUNTIF(M149:AQ149,标准数据!$A$3)*标准数据!$B$3+COUNTIF(M149:AQ149,标准数据!$A$4)*标准数据!$B$4</f>
        <v>0</v>
      </c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188"/>
      <c r="AR149" s="90"/>
      <c r="AS149" s="41"/>
      <c r="AT149" s="41"/>
      <c r="AU149" s="41"/>
      <c r="AV149" s="76" t="str">
        <f>VLOOKUP(E149,[1]生产部!$C:$I,7,0)</f>
        <v>班组</v>
      </c>
      <c r="AW149" s="41" t="str">
        <f>VLOOKUP(E149,[1]生产部!$C:$I,6,0)</f>
        <v>4号楼3&amp;4车间</v>
      </c>
    </row>
    <row r="150" spans="1:49" ht="21" customHeight="1">
      <c r="A150" s="235" t="s">
        <v>294</v>
      </c>
      <c r="B150" s="229" t="s">
        <v>2109</v>
      </c>
      <c r="C150" s="45" t="s">
        <v>14</v>
      </c>
      <c r="D150" s="46" t="s">
        <v>983</v>
      </c>
      <c r="E150" s="47" t="s">
        <v>968</v>
      </c>
      <c r="F150" s="48">
        <v>45987</v>
      </c>
      <c r="G150" s="49">
        <f t="shared" si="2"/>
        <v>0</v>
      </c>
      <c r="H150" s="77">
        <f>SUMIF(积分汇总!$B:$B,D149,积分汇总!$E:$E)</f>
        <v>0</v>
      </c>
      <c r="I150" s="77">
        <f>SUMIF(记录巡查问题条数汇总!$B:$B,D149,记录巡查问题条数汇总!$E:$E)</f>
        <v>0</v>
      </c>
      <c r="J150" s="77"/>
      <c r="K150" s="77">
        <f>SUMIF(安全质量事故!$B:$B,D149,安全质量事故!$G:$G)</f>
        <v>0</v>
      </c>
      <c r="L150" s="72">
        <f>COUNTIF(M150:AQ150,标准数据!$A$2)*标准数据!$B$2+COUNTIF(M150:AQ150,标准数据!$A$3)*标准数据!$B$3+COUNTIF(M150:AQ150,标准数据!$A$4)*标准数据!$B$4</f>
        <v>0</v>
      </c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188"/>
      <c r="AR150" s="90"/>
      <c r="AS150" s="41"/>
      <c r="AT150" s="41"/>
      <c r="AU150" s="41"/>
      <c r="AV150" s="76" t="str">
        <f>VLOOKUP(E150,[1]生产部!$C:$I,7,0)</f>
        <v>班组</v>
      </c>
      <c r="AW150" s="41" t="str">
        <f>VLOOKUP(E150,[1]生产部!$C:$I,6,0)</f>
        <v>4号楼3&amp;4车间</v>
      </c>
    </row>
    <row r="151" spans="1:49" ht="21" customHeight="1">
      <c r="A151" s="235" t="s">
        <v>294</v>
      </c>
      <c r="B151" s="229" t="s">
        <v>2109</v>
      </c>
      <c r="C151" s="45" t="s">
        <v>14</v>
      </c>
      <c r="D151" s="46" t="s">
        <v>984</v>
      </c>
      <c r="E151" s="52" t="s">
        <v>969</v>
      </c>
      <c r="F151" s="46">
        <v>45987</v>
      </c>
      <c r="G151" s="49">
        <f t="shared" si="2"/>
        <v>0</v>
      </c>
      <c r="H151" s="77">
        <f>SUMIF(积分汇总!$B:$B,D150,积分汇总!$E:$E)</f>
        <v>0</v>
      </c>
      <c r="I151" s="77">
        <f>SUMIF(记录巡查问题条数汇总!$B:$B,D150,记录巡查问题条数汇总!$E:$E)</f>
        <v>0</v>
      </c>
      <c r="J151" s="77"/>
      <c r="K151" s="77">
        <f>SUMIF(安全质量事故!$B:$B,D150,安全质量事故!$G:$G)</f>
        <v>0</v>
      </c>
      <c r="L151" s="72">
        <f>COUNTIF(M151:AQ151,标准数据!$A$2)*标准数据!$B$2+COUNTIF(M151:AQ151,标准数据!$A$3)*标准数据!$B$3+COUNTIF(M151:AQ151,标准数据!$A$4)*标准数据!$B$4</f>
        <v>0</v>
      </c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188"/>
      <c r="AR151" s="90"/>
      <c r="AV151" s="76" t="str">
        <f>VLOOKUP(E151,[1]生产部!$C:$I,7,0)</f>
        <v>常白</v>
      </c>
      <c r="AW151" s="41" t="str">
        <f>VLOOKUP(E151,[1]生产部!$C:$I,6,0)</f>
        <v>4号楼3&amp;4车间</v>
      </c>
    </row>
    <row r="152" spans="1:49" ht="21" customHeight="1">
      <c r="A152" s="235" t="s">
        <v>294</v>
      </c>
      <c r="B152" s="229" t="s">
        <v>2104</v>
      </c>
      <c r="C152" s="45" t="s">
        <v>14</v>
      </c>
      <c r="D152" s="46" t="s">
        <v>1228</v>
      </c>
      <c r="E152" s="52" t="s">
        <v>1229</v>
      </c>
      <c r="F152" s="46">
        <v>46125</v>
      </c>
      <c r="G152" s="49">
        <f t="shared" si="2"/>
        <v>0</v>
      </c>
      <c r="H152" s="77">
        <f>SUMIF(积分汇总!$B:$B,D151,积分汇总!$E:$E)</f>
        <v>0</v>
      </c>
      <c r="I152" s="77">
        <f>SUMIF(记录巡查问题条数汇总!$B:$B,D151,记录巡查问题条数汇总!$E:$E)</f>
        <v>0</v>
      </c>
      <c r="J152" s="77"/>
      <c r="K152" s="77">
        <f>SUMIF(安全质量事故!$B:$B,D151,安全质量事故!$G:$G)</f>
        <v>0</v>
      </c>
      <c r="L152" s="72">
        <f>COUNTIF(M152:AQ152,标准数据!$A$2)*标准数据!$B$2+COUNTIF(M152:AQ152,标准数据!$A$3)*标准数据!$B$3+COUNTIF(M152:AQ152,标准数据!$A$4)*标准数据!$B$4</f>
        <v>0</v>
      </c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188"/>
      <c r="AR152" s="90"/>
      <c r="AV152" s="76" t="str">
        <f>VLOOKUP(E152,[1]生产部!$C:$I,7,0)</f>
        <v>常白</v>
      </c>
      <c r="AW152" s="41" t="str">
        <f>VLOOKUP(E152,[1]生产部!$C:$I,6,0)</f>
        <v>4号楼1&amp;2车间</v>
      </c>
    </row>
    <row r="153" spans="1:49" ht="21" customHeight="1">
      <c r="A153" s="235" t="s">
        <v>294</v>
      </c>
      <c r="B153" s="229" t="s">
        <v>2109</v>
      </c>
      <c r="C153" s="45" t="s">
        <v>14</v>
      </c>
      <c r="D153" s="46" t="s">
        <v>1569</v>
      </c>
      <c r="E153" s="52" t="s">
        <v>1570</v>
      </c>
      <c r="F153" s="46">
        <v>46197</v>
      </c>
      <c r="G153" s="49">
        <f t="shared" si="2"/>
        <v>0</v>
      </c>
      <c r="H153" s="77">
        <f>SUMIF(积分汇总!$B:$B,,积分汇总!$E:$E)</f>
        <v>0</v>
      </c>
      <c r="I153" s="77">
        <f>SUMIF(记录巡查问题条数汇总!$B:$B,,记录巡查问题条数汇总!$E:$E)</f>
        <v>0</v>
      </c>
      <c r="J153" s="77"/>
      <c r="K153" s="77">
        <f>SUMIF(安全质量事故!$B:$B,,安全质量事故!$G:$G)</f>
        <v>0</v>
      </c>
      <c r="L153" s="72">
        <f>COUNTIF(M153:AQ153,标准数据!$A$2)*标准数据!$B$2+COUNTIF(M153:AQ153,标准数据!$A$3)*标准数据!$B$3+COUNTIF(M153:AQ153,标准数据!$A$4)*标准数据!$B$4</f>
        <v>0</v>
      </c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188"/>
      <c r="AR153" s="90"/>
      <c r="AV153" s="76" t="str">
        <f>VLOOKUP(E153,[1]生产部!$C:$I,7,0)</f>
        <v>班组</v>
      </c>
      <c r="AW153" s="41" t="str">
        <f>VLOOKUP(E153,[1]生产部!$C:$I,6,0)</f>
        <v>4号楼3&amp;4车间</v>
      </c>
    </row>
    <row r="154" spans="1:49" ht="21" customHeight="1">
      <c r="A154" s="235" t="s">
        <v>294</v>
      </c>
      <c r="B154" s="229" t="s">
        <v>2109</v>
      </c>
      <c r="C154" s="45" t="s">
        <v>14</v>
      </c>
      <c r="D154" s="46" t="s">
        <v>1571</v>
      </c>
      <c r="E154" s="47" t="s">
        <v>1572</v>
      </c>
      <c r="F154" s="48">
        <v>46197</v>
      </c>
      <c r="G154" s="49">
        <f t="shared" si="2"/>
        <v>0</v>
      </c>
      <c r="H154" s="77">
        <f>SUMIF(积分汇总!$B:$B,D153,积分汇总!$E:$E)</f>
        <v>0</v>
      </c>
      <c r="I154" s="77">
        <f>SUMIF(记录巡查问题条数汇总!$B:$B,D153,记录巡查问题条数汇总!$E:$E)</f>
        <v>0</v>
      </c>
      <c r="J154" s="77"/>
      <c r="K154" s="77">
        <f>SUMIF(安全质量事故!$B:$B,D153,安全质量事故!$G:$G)</f>
        <v>0</v>
      </c>
      <c r="L154" s="72">
        <f>COUNTIF(M154:AQ154,标准数据!$A$2)*标准数据!$B$2+COUNTIF(M154:AQ154,标准数据!$A$3)*标准数据!$B$3+COUNTIF(M154:AQ154,标准数据!$A$4)*标准数据!$B$4</f>
        <v>0</v>
      </c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188"/>
      <c r="AR154" s="90"/>
      <c r="AS154" s="41"/>
      <c r="AT154" s="41"/>
      <c r="AU154" s="41"/>
      <c r="AV154" s="76" t="str">
        <f>VLOOKUP(E154,[1]生产部!$C:$I,7,0)</f>
        <v>班组</v>
      </c>
      <c r="AW154" s="41" t="str">
        <f>VLOOKUP(E154,[1]生产部!$C:$I,6,0)</f>
        <v>4号楼3&amp;4车间</v>
      </c>
    </row>
    <row r="155" spans="1:49" ht="21" customHeight="1">
      <c r="A155" s="235" t="s">
        <v>294</v>
      </c>
      <c r="B155" s="229" t="s">
        <v>2109</v>
      </c>
      <c r="C155" s="45" t="s">
        <v>14</v>
      </c>
      <c r="D155" s="46" t="s">
        <v>1573</v>
      </c>
      <c r="E155" s="47" t="s">
        <v>1574</v>
      </c>
      <c r="F155" s="48">
        <v>46195</v>
      </c>
      <c r="G155" s="49">
        <f t="shared" si="2"/>
        <v>0</v>
      </c>
      <c r="H155" s="77">
        <f>SUMIF(积分汇总!$B:$B,D154,积分汇总!$E:$E)</f>
        <v>0</v>
      </c>
      <c r="I155" s="77">
        <f>SUMIF(记录巡查问题条数汇总!$B:$B,D154,记录巡查问题条数汇总!$E:$E)</f>
        <v>0</v>
      </c>
      <c r="J155" s="77"/>
      <c r="K155" s="77">
        <f>SUMIF(安全质量事故!$B:$B,D154,安全质量事故!$G:$G)</f>
        <v>0</v>
      </c>
      <c r="L155" s="72">
        <f>COUNTIF(M155:AQ155,标准数据!$A$2)*标准数据!$B$2+COUNTIF(M155:AQ155,标准数据!$A$3)*标准数据!$B$3+COUNTIF(M155:AQ155,标准数据!$A$4)*标准数据!$B$4</f>
        <v>0</v>
      </c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188"/>
      <c r="AR155" s="90"/>
      <c r="AS155" s="41"/>
      <c r="AT155" s="41"/>
      <c r="AU155" s="41"/>
      <c r="AV155" s="76" t="str">
        <f>VLOOKUP(E155,[1]生产部!$C:$I,7,0)</f>
        <v>班组</v>
      </c>
      <c r="AW155" s="41" t="str">
        <f>VLOOKUP(E155,[1]生产部!$C:$I,6,0)</f>
        <v>4号楼3&amp;4车间</v>
      </c>
    </row>
    <row r="156" spans="1:49" ht="21" customHeight="1">
      <c r="A156" s="235" t="s">
        <v>294</v>
      </c>
      <c r="B156" s="229" t="s">
        <v>2109</v>
      </c>
      <c r="C156" s="45" t="s">
        <v>14</v>
      </c>
      <c r="D156" s="46" t="s">
        <v>1095</v>
      </c>
      <c r="E156" s="47" t="s">
        <v>1096</v>
      </c>
      <c r="F156" s="48">
        <v>44389</v>
      </c>
      <c r="G156" s="49">
        <f t="shared" si="2"/>
        <v>0</v>
      </c>
      <c r="H156" s="77">
        <f>SUMIF(积分汇总!$B:$B,D154,积分汇总!$E:$E)</f>
        <v>0</v>
      </c>
      <c r="I156" s="77">
        <f>SUMIF(记录巡查问题条数汇总!$B:$B,D154,记录巡查问题条数汇总!$E:$E)</f>
        <v>0</v>
      </c>
      <c r="J156" s="77"/>
      <c r="K156" s="77">
        <f>SUMIF(安全质量事故!$B:$B,D154,安全质量事故!$G:$G)</f>
        <v>0</v>
      </c>
      <c r="L156" s="72">
        <f>COUNTIF(M156:AQ156,标准数据!$A$2)*标准数据!$B$2+COUNTIF(M156:AQ156,标准数据!$A$3)*标准数据!$B$3+COUNTIF(M156:AQ156,标准数据!$A$4)*标准数据!$B$4</f>
        <v>0</v>
      </c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188"/>
      <c r="AR156" s="90"/>
      <c r="AS156" s="41"/>
      <c r="AT156" s="41"/>
      <c r="AU156" s="41"/>
      <c r="AV156" s="76" t="str">
        <f>VLOOKUP(E156,[1]生产部!$C:$I,7,0)</f>
        <v>项目组</v>
      </c>
      <c r="AW156" s="41" t="str">
        <f>VLOOKUP(E156,[1]生产部!$C:$I,6,0)</f>
        <v>4号楼3&amp;4车间</v>
      </c>
    </row>
    <row r="157" spans="1:49" ht="21" customHeight="1">
      <c r="A157" s="235" t="s">
        <v>294</v>
      </c>
      <c r="B157" s="229" t="s">
        <v>2109</v>
      </c>
      <c r="C157" s="45" t="s">
        <v>14</v>
      </c>
      <c r="D157" s="46" t="s">
        <v>1502</v>
      </c>
      <c r="E157" s="52" t="s">
        <v>1503</v>
      </c>
      <c r="F157" s="46">
        <v>46160</v>
      </c>
      <c r="G157" s="49">
        <f t="shared" si="2"/>
        <v>0</v>
      </c>
      <c r="H157" s="77">
        <f>SUMIF(积分汇总!$B:$B,D156,积分汇总!$E:$E)</f>
        <v>0</v>
      </c>
      <c r="I157" s="77">
        <f>SUMIF(记录巡查问题条数汇总!$B:$B,D156,记录巡查问题条数汇总!$E:$E)</f>
        <v>0</v>
      </c>
      <c r="J157" s="77"/>
      <c r="K157" s="77">
        <f>SUMIF(安全质量事故!$B:$B,D156,安全质量事故!$G:$G)</f>
        <v>0</v>
      </c>
      <c r="L157" s="72">
        <f>COUNTIF(M157:AQ157,标准数据!$A$2)*标准数据!$B$2+COUNTIF(M157:AQ157,标准数据!$A$3)*标准数据!$B$3+COUNTIF(M157:AQ157,标准数据!$A$4)*标准数据!$B$4</f>
        <v>0</v>
      </c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188"/>
      <c r="AR157" s="90"/>
      <c r="AV157" s="76" t="str">
        <f>VLOOKUP(E157,[1]生产部!$C:$I,7,0)</f>
        <v>项目组</v>
      </c>
      <c r="AW157" s="41" t="str">
        <f>VLOOKUP(E157,[1]生产部!$C:$I,6,0)</f>
        <v>4号楼3&amp;4车间</v>
      </c>
    </row>
    <row r="158" spans="1:49" ht="21" customHeight="1">
      <c r="A158" s="235" t="s">
        <v>294</v>
      </c>
      <c r="B158" s="229" t="s">
        <v>2109</v>
      </c>
      <c r="C158" s="45" t="s">
        <v>14</v>
      </c>
      <c r="D158" s="46" t="s">
        <v>1621</v>
      </c>
      <c r="E158" s="47" t="s">
        <v>1622</v>
      </c>
      <c r="F158" s="48">
        <v>46215</v>
      </c>
      <c r="G158" s="49">
        <f t="shared" si="2"/>
        <v>0</v>
      </c>
      <c r="H158" s="77">
        <f>SUMIF(积分汇总!$B:$B,,积分汇总!$E:$E)</f>
        <v>0</v>
      </c>
      <c r="I158" s="77">
        <f>SUMIF(记录巡查问题条数汇总!$B:$B,,记录巡查问题条数汇总!$E:$E)</f>
        <v>0</v>
      </c>
      <c r="J158" s="77"/>
      <c r="K158" s="77">
        <f>SUMIF(安全质量事故!$B:$B,,安全质量事故!$G:$G)</f>
        <v>0</v>
      </c>
      <c r="L158" s="72">
        <f>COUNTIF(M158:AQ158,标准数据!$A$2)*标准数据!$B$2+COUNTIF(M158:AQ158,标准数据!$A$3)*标准数据!$B$3+COUNTIF(M158:AQ158,标准数据!$A$4)*标准数据!$B$4</f>
        <v>0</v>
      </c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188"/>
      <c r="AR158" s="90"/>
      <c r="AS158" s="41"/>
      <c r="AT158" s="41"/>
      <c r="AU158" s="41"/>
      <c r="AV158" s="76" t="str">
        <f>VLOOKUP(E158,[1]生产部!$C:$I,7,0)</f>
        <v>常白</v>
      </c>
      <c r="AW158" s="41" t="str">
        <f>VLOOKUP(E158,[1]生产部!$C:$I,6,0)</f>
        <v>4号楼3&amp;4车间</v>
      </c>
    </row>
    <row r="159" spans="1:49" ht="21" customHeight="1">
      <c r="A159" s="235" t="s">
        <v>294</v>
      </c>
      <c r="B159" s="229" t="s">
        <v>2109</v>
      </c>
      <c r="C159" s="45" t="s">
        <v>14</v>
      </c>
      <c r="D159" s="46" t="s">
        <v>1623</v>
      </c>
      <c r="E159" s="52" t="s">
        <v>1624</v>
      </c>
      <c r="F159" s="46">
        <v>46215</v>
      </c>
      <c r="G159" s="49">
        <f t="shared" si="2"/>
        <v>0</v>
      </c>
      <c r="H159" s="77">
        <f>SUMIF(积分汇总!$B:$B,D158,积分汇总!$E:$E)</f>
        <v>0</v>
      </c>
      <c r="I159" s="77">
        <f>SUMIF(记录巡查问题条数汇总!$B:$B,D158,记录巡查问题条数汇总!$E:$E)</f>
        <v>0</v>
      </c>
      <c r="J159" s="77"/>
      <c r="K159" s="77">
        <f>SUMIF(安全质量事故!$B:$B,D158,安全质量事故!$G:$G)</f>
        <v>0</v>
      </c>
      <c r="L159" s="72">
        <f>COUNTIF(M159:AQ159,标准数据!$A$2)*标准数据!$B$2+COUNTIF(M159:AQ159,标准数据!$A$3)*标准数据!$B$3+COUNTIF(M159:AQ159,标准数据!$A$4)*标准数据!$B$4</f>
        <v>0</v>
      </c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188"/>
      <c r="AR159" s="90"/>
      <c r="AV159" s="76" t="str">
        <f>VLOOKUP(E159,[1]生产部!$C:$I,7,0)</f>
        <v>常白</v>
      </c>
      <c r="AW159" s="41" t="str">
        <f>VLOOKUP(E159,[1]生产部!$C:$I,6,0)</f>
        <v>4号楼3&amp;4车间</v>
      </c>
    </row>
    <row r="160" spans="1:49" ht="21" customHeight="1">
      <c r="A160" s="235" t="s">
        <v>294</v>
      </c>
      <c r="B160" s="229" t="s">
        <v>2109</v>
      </c>
      <c r="C160" s="204" t="s">
        <v>14</v>
      </c>
      <c r="D160" s="202" t="s">
        <v>1964</v>
      </c>
      <c r="E160" s="205" t="s">
        <v>1965</v>
      </c>
      <c r="F160" s="202">
        <v>46239</v>
      </c>
      <c r="G160" s="49">
        <f t="shared" si="2"/>
        <v>0</v>
      </c>
      <c r="H160" s="77">
        <f>SUMIF(积分汇总!$B:$B,,积分汇总!$E:$E)</f>
        <v>0</v>
      </c>
      <c r="I160" s="77">
        <f>SUMIF(记录巡查问题条数汇总!$B:$B,,记录巡查问题条数汇总!$E:$E)</f>
        <v>0</v>
      </c>
      <c r="J160" s="77"/>
      <c r="K160" s="77">
        <f>SUMIF(安全质量事故!$B:$B,,安全质量事故!$G:$G)</f>
        <v>0</v>
      </c>
      <c r="L160" s="72">
        <f>COUNTIF(M160:AQ160,标准数据!$A$2)*标准数据!$B$2+COUNTIF(M160:AQ160,标准数据!$A$3)*标准数据!$B$3+COUNTIF(M160:AQ160,标准数据!$A$4)*标准数据!$B$4</f>
        <v>0</v>
      </c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188"/>
      <c r="AR160" s="90"/>
      <c r="AV160" s="76" t="str">
        <f>VLOOKUP(E160,[1]生产部!$C:$I,7,0)</f>
        <v>项目组</v>
      </c>
      <c r="AW160" s="41" t="str">
        <f>VLOOKUP(E160,[1]生产部!$C:$I,6,0)</f>
        <v>4号楼3&amp;4车间</v>
      </c>
    </row>
    <row r="161" spans="1:49" ht="21" customHeight="1">
      <c r="A161" s="235" t="s">
        <v>294</v>
      </c>
      <c r="B161" s="229" t="s">
        <v>2109</v>
      </c>
      <c r="C161" s="204" t="s">
        <v>14</v>
      </c>
      <c r="D161" s="202" t="s">
        <v>1966</v>
      </c>
      <c r="E161" s="205" t="s">
        <v>1967</v>
      </c>
      <c r="F161" s="202">
        <v>46232</v>
      </c>
      <c r="G161" s="49">
        <f t="shared" si="2"/>
        <v>0</v>
      </c>
      <c r="H161" s="77">
        <f>SUMIF(积分汇总!$B:$B,D160,积分汇总!$E:$E)</f>
        <v>0</v>
      </c>
      <c r="I161" s="77">
        <f>SUMIF(记录巡查问题条数汇总!$B:$B,D160,记录巡查问题条数汇总!$E:$E)</f>
        <v>0</v>
      </c>
      <c r="J161" s="77"/>
      <c r="K161" s="77">
        <f>SUMIF(安全质量事故!$B:$B,D160,安全质量事故!$G:$G)</f>
        <v>0</v>
      </c>
      <c r="L161" s="72">
        <f>COUNTIF(M161:AQ161,标准数据!$A$2)*标准数据!$B$2+COUNTIF(M161:AQ161,标准数据!$A$3)*标准数据!$B$3+COUNTIF(M161:AQ161,标准数据!$A$4)*标准数据!$B$4</f>
        <v>0</v>
      </c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188"/>
      <c r="AR161" s="90"/>
      <c r="AV161" s="76" t="str">
        <f>VLOOKUP(E161,[1]生产部!$C:$I,7,0)</f>
        <v>常白</v>
      </c>
      <c r="AW161" s="41" t="str">
        <f>VLOOKUP(E161,[1]生产部!$C:$I,6,0)</f>
        <v>4号楼3&amp;4车间</v>
      </c>
    </row>
    <row r="162" spans="1:49" ht="21" customHeight="1">
      <c r="A162" s="235" t="s">
        <v>294</v>
      </c>
      <c r="B162" s="229" t="s">
        <v>2109</v>
      </c>
      <c r="C162" s="204" t="s">
        <v>14</v>
      </c>
      <c r="D162" s="202" t="s">
        <v>1968</v>
      </c>
      <c r="E162" s="205" t="s">
        <v>1969</v>
      </c>
      <c r="F162" s="202">
        <v>46232</v>
      </c>
      <c r="G162" s="49">
        <f t="shared" si="2"/>
        <v>0</v>
      </c>
      <c r="H162" s="77">
        <f>SUMIF(积分汇总!$B:$B,D161,积分汇总!$E:$E)</f>
        <v>0</v>
      </c>
      <c r="I162" s="77">
        <f>SUMIF(记录巡查问题条数汇总!$B:$B,D161,记录巡查问题条数汇总!$E:$E)</f>
        <v>0</v>
      </c>
      <c r="J162" s="77"/>
      <c r="K162" s="77">
        <f>SUMIF(安全质量事故!$B:$B,D161,安全质量事故!$G:$G)</f>
        <v>0</v>
      </c>
      <c r="L162" s="72">
        <f>COUNTIF(M162:AQ162,标准数据!$A$2)*标准数据!$B$2+COUNTIF(M162:AQ162,标准数据!$A$3)*标准数据!$B$3+COUNTIF(M162:AQ162,标准数据!$A$4)*标准数据!$B$4</f>
        <v>0</v>
      </c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188"/>
      <c r="AR162" s="90"/>
      <c r="AV162" s="76" t="str">
        <f>VLOOKUP(E162,[1]生产部!$C:$I,7,0)</f>
        <v>常白</v>
      </c>
      <c r="AW162" s="41" t="str">
        <f>VLOOKUP(E162,[1]生产部!$C:$I,6,0)</f>
        <v>4号楼3&amp;4车间</v>
      </c>
    </row>
    <row r="163" spans="1:49" ht="21" customHeight="1">
      <c r="A163" s="235" t="s">
        <v>294</v>
      </c>
      <c r="B163" s="229" t="s">
        <v>2109</v>
      </c>
      <c r="C163" s="204" t="s">
        <v>14</v>
      </c>
      <c r="D163" s="202" t="s">
        <v>1970</v>
      </c>
      <c r="E163" s="205" t="s">
        <v>1971</v>
      </c>
      <c r="F163" s="202">
        <v>46232</v>
      </c>
      <c r="G163" s="49">
        <f t="shared" si="2"/>
        <v>0</v>
      </c>
      <c r="H163" s="77">
        <f>SUMIF(积分汇总!$B:$B,D162,积分汇总!$E:$E)</f>
        <v>0</v>
      </c>
      <c r="I163" s="77">
        <f>SUMIF(记录巡查问题条数汇总!$B:$B,D162,记录巡查问题条数汇总!$E:$E)</f>
        <v>0</v>
      </c>
      <c r="J163" s="77"/>
      <c r="K163" s="77">
        <f>SUMIF(安全质量事故!$B:$B,D162,安全质量事故!$G:$G)</f>
        <v>0</v>
      </c>
      <c r="L163" s="72">
        <f>COUNTIF(M163:AQ163,标准数据!$A$2)*标准数据!$B$2+COUNTIF(M163:AQ163,标准数据!$A$3)*标准数据!$B$3+COUNTIF(M163:AQ163,标准数据!$A$4)*标准数据!$B$4</f>
        <v>0</v>
      </c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188"/>
      <c r="AR163" s="90"/>
      <c r="AV163" s="76" t="str">
        <f>VLOOKUP(E163,[1]生产部!$C:$I,7,0)</f>
        <v>常白</v>
      </c>
      <c r="AW163" s="41" t="str">
        <f>VLOOKUP(E163,[1]生产部!$C:$I,6,0)</f>
        <v>4号楼3&amp;4车间</v>
      </c>
    </row>
    <row r="164" spans="1:49" ht="21" customHeight="1">
      <c r="A164" s="235" t="s">
        <v>294</v>
      </c>
      <c r="B164" s="229" t="s">
        <v>2109</v>
      </c>
      <c r="C164" s="45" t="s">
        <v>146</v>
      </c>
      <c r="D164" s="46" t="s">
        <v>190</v>
      </c>
      <c r="E164" s="47" t="s">
        <v>147</v>
      </c>
      <c r="F164" s="48">
        <v>44620</v>
      </c>
      <c r="G164" s="49">
        <f t="shared" si="2"/>
        <v>0</v>
      </c>
      <c r="H164" s="77">
        <f>SUMIF(积分汇总!$B:$B,D163,积分汇总!$E:$E)</f>
        <v>0</v>
      </c>
      <c r="I164" s="77">
        <f>SUMIF(记录巡查问题条数汇总!$B:$B,D163,记录巡查问题条数汇总!$E:$E)</f>
        <v>0</v>
      </c>
      <c r="J164" s="77"/>
      <c r="K164" s="77">
        <f>SUMIF(安全质量事故!$B:$B,D163,安全质量事故!$G:$G)</f>
        <v>0</v>
      </c>
      <c r="L164" s="72">
        <f>COUNTIF(M164:AQ164,标准数据!$A$2)*标准数据!$B$2+COUNTIF(M164:AQ164,标准数据!$A$3)*标准数据!$B$3+COUNTIF(M164:AQ164,标准数据!$A$4)*标准数据!$B$4</f>
        <v>0</v>
      </c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188"/>
      <c r="AR164" s="90"/>
      <c r="AS164" s="41"/>
      <c r="AT164" s="41"/>
      <c r="AU164" s="41"/>
      <c r="AV164" s="76" t="str">
        <f>VLOOKUP(E164,[1]生产部!$C:$I,7,0)</f>
        <v>班组</v>
      </c>
      <c r="AW164" s="41" t="str">
        <f>VLOOKUP(E164,[1]生产部!$C:$I,6,0)</f>
        <v>4号楼3&amp;4车间</v>
      </c>
    </row>
    <row r="165" spans="1:49" ht="21" customHeight="1">
      <c r="A165" s="235" t="s">
        <v>294</v>
      </c>
      <c r="B165" s="229" t="s">
        <v>2109</v>
      </c>
      <c r="C165" s="45" t="s">
        <v>146</v>
      </c>
      <c r="D165" s="46" t="s">
        <v>234</v>
      </c>
      <c r="E165" s="47" t="s">
        <v>235</v>
      </c>
      <c r="F165" s="48">
        <v>45476</v>
      </c>
      <c r="G165" s="49">
        <f t="shared" si="2"/>
        <v>0</v>
      </c>
      <c r="H165" s="77">
        <f>SUMIF(积分汇总!$B:$B,D164,积分汇总!$E:$E)</f>
        <v>0</v>
      </c>
      <c r="I165" s="77">
        <f>SUMIF(记录巡查问题条数汇总!$B:$B,D164,记录巡查问题条数汇总!$E:$E)</f>
        <v>0</v>
      </c>
      <c r="J165" s="77"/>
      <c r="K165" s="77">
        <f>SUMIF(安全质量事故!$B:$B,D164,安全质量事故!$G:$G)</f>
        <v>0</v>
      </c>
      <c r="L165" s="72">
        <f>COUNTIF(M165:AQ165,标准数据!$A$2)*标准数据!$B$2+COUNTIF(M165:AQ165,标准数据!$A$3)*标准数据!$B$3+COUNTIF(M165:AQ165,标准数据!$A$4)*标准数据!$B$4</f>
        <v>0</v>
      </c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188"/>
      <c r="AR165" s="90"/>
      <c r="AS165" s="41"/>
      <c r="AT165" s="41"/>
      <c r="AU165" s="41"/>
      <c r="AV165" s="76" t="str">
        <f>VLOOKUP(E165,[1]生产部!$C:$I,7,0)</f>
        <v>常白</v>
      </c>
      <c r="AW165" s="41" t="str">
        <f>VLOOKUP(E165,[1]生产部!$C:$I,6,0)</f>
        <v>4号楼3&amp;4车间</v>
      </c>
    </row>
    <row r="166" spans="1:49" ht="21" customHeight="1">
      <c r="A166" s="235" t="s">
        <v>294</v>
      </c>
      <c r="B166" s="229" t="s">
        <v>2109</v>
      </c>
      <c r="C166" s="45" t="s">
        <v>146</v>
      </c>
      <c r="D166" s="46" t="s">
        <v>297</v>
      </c>
      <c r="E166" s="47" t="s">
        <v>290</v>
      </c>
      <c r="F166" s="48">
        <v>45574</v>
      </c>
      <c r="G166" s="49">
        <f t="shared" si="2"/>
        <v>0</v>
      </c>
      <c r="H166" s="77">
        <f>SUMIF(积分汇总!$B:$B,D165,积分汇总!$E:$E)</f>
        <v>0</v>
      </c>
      <c r="I166" s="77">
        <f>SUMIF(记录巡查问题条数汇总!$B:$B,D165,记录巡查问题条数汇总!$E:$E)</f>
        <v>0</v>
      </c>
      <c r="J166" s="77"/>
      <c r="K166" s="77">
        <f>SUMIF(安全质量事故!$B:$B,D165,安全质量事故!$G:$G)</f>
        <v>0</v>
      </c>
      <c r="L166" s="72">
        <f>COUNTIF(M166:AQ166,标准数据!$A$2)*标准数据!$B$2+COUNTIF(M166:AQ166,标准数据!$A$3)*标准数据!$B$3+COUNTIF(M166:AQ166,标准数据!$A$4)*标准数据!$B$4</f>
        <v>0</v>
      </c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188"/>
      <c r="AR166" s="90"/>
      <c r="AS166" s="41"/>
      <c r="AT166" s="41"/>
      <c r="AU166" s="41"/>
      <c r="AV166" s="76" t="str">
        <f>VLOOKUP(E166,[1]生产部!$C:$I,7,0)</f>
        <v>班组</v>
      </c>
      <c r="AW166" s="41" t="str">
        <f>VLOOKUP(E166,[1]生产部!$C:$I,6,0)</f>
        <v>4号楼3&amp;4车间</v>
      </c>
    </row>
    <row r="167" spans="1:49" ht="21" customHeight="1">
      <c r="A167" s="235" t="s">
        <v>294</v>
      </c>
      <c r="B167" s="229" t="s">
        <v>2109</v>
      </c>
      <c r="C167" s="45" t="s">
        <v>146</v>
      </c>
      <c r="D167" s="46" t="s">
        <v>330</v>
      </c>
      <c r="E167" s="47" t="s">
        <v>311</v>
      </c>
      <c r="F167" s="48">
        <v>45616</v>
      </c>
      <c r="G167" s="49">
        <f t="shared" si="2"/>
        <v>0</v>
      </c>
      <c r="H167" s="77">
        <f>SUMIF(积分汇总!$B:$B,D166,积分汇总!$E:$E)</f>
        <v>0</v>
      </c>
      <c r="I167" s="77">
        <f>SUMIF(记录巡查问题条数汇总!$B:$B,D166,记录巡查问题条数汇总!$E:$E)</f>
        <v>0</v>
      </c>
      <c r="J167" s="77"/>
      <c r="K167" s="77">
        <f>SUMIF(安全质量事故!$B:$B,D166,安全质量事故!$G:$G)</f>
        <v>0</v>
      </c>
      <c r="L167" s="72">
        <f>COUNTIF(M167:AQ167,标准数据!$A$2)*标准数据!$B$2+COUNTIF(M167:AQ167,标准数据!$A$3)*标准数据!$B$3+COUNTIF(M167:AQ167,标准数据!$A$4)*标准数据!$B$4</f>
        <v>0</v>
      </c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188"/>
      <c r="AR167" s="90"/>
      <c r="AS167" s="41"/>
      <c r="AT167" s="41"/>
      <c r="AU167" s="41"/>
      <c r="AV167" s="76" t="str">
        <f>VLOOKUP(E167,[1]生产部!$C:$I,7,0)</f>
        <v>班组</v>
      </c>
      <c r="AW167" s="41" t="str">
        <f>VLOOKUP(E167,[1]生产部!$C:$I,6,0)</f>
        <v>4号楼3&amp;4车间</v>
      </c>
    </row>
    <row r="168" spans="1:49" ht="21" customHeight="1">
      <c r="A168" s="235" t="s">
        <v>294</v>
      </c>
      <c r="B168" s="229" t="s">
        <v>2109</v>
      </c>
      <c r="C168" s="45" t="s">
        <v>129</v>
      </c>
      <c r="D168" s="46" t="s">
        <v>374</v>
      </c>
      <c r="E168" s="47" t="s">
        <v>364</v>
      </c>
      <c r="F168" s="48">
        <v>45700</v>
      </c>
      <c r="G168" s="49">
        <f t="shared" si="2"/>
        <v>0</v>
      </c>
      <c r="H168" s="77">
        <f>SUMIF(积分汇总!$B:$B,D167,积分汇总!$E:$E)</f>
        <v>0</v>
      </c>
      <c r="I168" s="77">
        <f>SUMIF(记录巡查问题条数汇总!$B:$B,D167,记录巡查问题条数汇总!$E:$E)</f>
        <v>0</v>
      </c>
      <c r="J168" s="77"/>
      <c r="K168" s="77">
        <f>SUMIF(安全质量事故!$B:$B,D167,安全质量事故!$G:$G)</f>
        <v>0</v>
      </c>
      <c r="L168" s="72">
        <f>COUNTIF(M168:AQ168,标准数据!$A$2)*标准数据!$B$2+COUNTIF(M168:AQ168,标准数据!$A$3)*标准数据!$B$3+COUNTIF(M168:AQ168,标准数据!$A$4)*标准数据!$B$4</f>
        <v>0</v>
      </c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188"/>
      <c r="AR168" s="90"/>
      <c r="AV168" s="76" t="str">
        <f>VLOOKUP(E168,[1]生产部!$C:$I,7,0)</f>
        <v>班组</v>
      </c>
      <c r="AW168" s="41" t="str">
        <f>VLOOKUP(E168,[1]生产部!$C:$I,6,0)</f>
        <v>4号楼3&amp;4车间</v>
      </c>
    </row>
    <row r="169" spans="1:49" ht="21" customHeight="1">
      <c r="A169" s="235" t="s">
        <v>294</v>
      </c>
      <c r="B169" s="229" t="s">
        <v>2109</v>
      </c>
      <c r="C169" s="45" t="s">
        <v>129</v>
      </c>
      <c r="D169" s="46" t="s">
        <v>379</v>
      </c>
      <c r="E169" s="47" t="s">
        <v>375</v>
      </c>
      <c r="F169" s="48">
        <v>45735</v>
      </c>
      <c r="G169" s="49">
        <f t="shared" si="2"/>
        <v>0</v>
      </c>
      <c r="H169" s="77">
        <f>SUMIF(积分汇总!$B:$B,D168,积分汇总!$E:$E)</f>
        <v>0</v>
      </c>
      <c r="I169" s="77">
        <f>SUMIF(记录巡查问题条数汇总!$B:$B,D168,记录巡查问题条数汇总!$E:$E)</f>
        <v>0</v>
      </c>
      <c r="J169" s="77"/>
      <c r="K169" s="77">
        <f>SUMIF(安全质量事故!$B:$B,D168,安全质量事故!$G:$G)</f>
        <v>0</v>
      </c>
      <c r="L169" s="72">
        <f>COUNTIF(M169:AQ169,标准数据!$A$2)*标准数据!$B$2+COUNTIF(M169:AQ169,标准数据!$A$3)*标准数据!$B$3+COUNTIF(M169:AQ169,标准数据!$A$4)*标准数据!$B$4</f>
        <v>0</v>
      </c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188"/>
      <c r="AR169" s="90"/>
      <c r="AV169" s="76" t="str">
        <f>VLOOKUP(E169,[1]生产部!$C:$I,7,0)</f>
        <v>班组</v>
      </c>
      <c r="AW169" s="41" t="str">
        <f>VLOOKUP(E169,[1]生产部!$C:$I,6,0)</f>
        <v>4号楼3&amp;4车间</v>
      </c>
    </row>
    <row r="170" spans="1:49" ht="21" customHeight="1">
      <c r="A170" s="235" t="s">
        <v>294</v>
      </c>
      <c r="B170" s="229" t="s">
        <v>2109</v>
      </c>
      <c r="C170" s="45" t="s">
        <v>129</v>
      </c>
      <c r="D170" s="46" t="s">
        <v>343</v>
      </c>
      <c r="E170" s="47" t="s">
        <v>336</v>
      </c>
      <c r="F170" s="48">
        <v>45630</v>
      </c>
      <c r="G170" s="49">
        <f t="shared" si="2"/>
        <v>0</v>
      </c>
      <c r="H170" s="77">
        <f>SUMIF(积分汇总!$B:$B,D169,积分汇总!$E:$E)</f>
        <v>0</v>
      </c>
      <c r="I170" s="77">
        <f>SUMIF(记录巡查问题条数汇总!$B:$B,D169,记录巡查问题条数汇总!$E:$E)</f>
        <v>0</v>
      </c>
      <c r="J170" s="77"/>
      <c r="K170" s="77">
        <f>SUMIF(安全质量事故!$B:$B,D169,安全质量事故!$G:$G)</f>
        <v>0</v>
      </c>
      <c r="L170" s="72">
        <f>COUNTIF(M170:AQ170,标准数据!$A$2)*标准数据!$B$2+COUNTIF(M170:AQ170,标准数据!$A$3)*标准数据!$B$3+COUNTIF(M170:AQ170,标准数据!$A$4)*标准数据!$B$4</f>
        <v>0</v>
      </c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188"/>
      <c r="AR170" s="90"/>
      <c r="AV170" s="76" t="str">
        <f>VLOOKUP(E170,[1]生产部!$C:$I,7,0)</f>
        <v>班组</v>
      </c>
      <c r="AW170" s="41" t="str">
        <f>VLOOKUP(E170,[1]生产部!$C:$I,6,0)</f>
        <v>4号楼3&amp;4车间</v>
      </c>
    </row>
    <row r="171" spans="1:49" ht="21" customHeight="1">
      <c r="A171" s="235" t="s">
        <v>294</v>
      </c>
      <c r="B171" s="229" t="s">
        <v>2109</v>
      </c>
      <c r="C171" s="45" t="s">
        <v>129</v>
      </c>
      <c r="D171" s="46" t="s">
        <v>475</v>
      </c>
      <c r="E171" s="47" t="s">
        <v>436</v>
      </c>
      <c r="F171" s="48">
        <v>45812</v>
      </c>
      <c r="G171" s="49">
        <f t="shared" si="2"/>
        <v>0</v>
      </c>
      <c r="H171" s="77">
        <f>SUMIF(积分汇总!$B:$B,,积分汇总!$E:$E)</f>
        <v>0</v>
      </c>
      <c r="I171" s="77">
        <f>SUMIF(记录巡查问题条数汇总!$B:$B,,记录巡查问题条数汇总!$E:$E)</f>
        <v>0</v>
      </c>
      <c r="J171" s="77"/>
      <c r="K171" s="77">
        <f>SUMIF(安全质量事故!$B:$B,,安全质量事故!$G:$G)</f>
        <v>0</v>
      </c>
      <c r="L171" s="72">
        <f>COUNTIF(M171:AQ171,标准数据!$A$2)*标准数据!$B$2+COUNTIF(M171:AQ171,标准数据!$A$3)*标准数据!$B$3+COUNTIF(M171:AQ171,标准数据!$A$4)*标准数据!$B$4</f>
        <v>0</v>
      </c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188"/>
      <c r="AR171" s="90"/>
      <c r="AV171" s="76" t="str">
        <f>VLOOKUP(E171,[1]生产部!$C:$I,7,0)</f>
        <v>班组</v>
      </c>
      <c r="AW171" s="41" t="str">
        <f>VLOOKUP(E171,[1]生产部!$C:$I,6,0)</f>
        <v>4号楼3&amp;4车间</v>
      </c>
    </row>
    <row r="172" spans="1:49" ht="21" customHeight="1">
      <c r="A172" s="235" t="s">
        <v>294</v>
      </c>
      <c r="B172" s="229" t="s">
        <v>2109</v>
      </c>
      <c r="C172" s="45" t="s">
        <v>129</v>
      </c>
      <c r="D172" s="46" t="s">
        <v>543</v>
      </c>
      <c r="E172" s="47" t="s">
        <v>504</v>
      </c>
      <c r="F172" s="48">
        <v>45875</v>
      </c>
      <c r="G172" s="49">
        <f t="shared" si="2"/>
        <v>0</v>
      </c>
      <c r="H172" s="77">
        <f>SUMIF(积分汇总!$B:$B,D171,积分汇总!$E:$E)</f>
        <v>0</v>
      </c>
      <c r="I172" s="77">
        <f>SUMIF(记录巡查问题条数汇总!$B:$B,D171,记录巡查问题条数汇总!$E:$E)</f>
        <v>0</v>
      </c>
      <c r="J172" s="77"/>
      <c r="K172" s="77">
        <f>SUMIF(安全质量事故!$B:$B,D171,安全质量事故!$G:$G)</f>
        <v>0</v>
      </c>
      <c r="L172" s="72">
        <f>COUNTIF(M172:AQ172,标准数据!$A$2)*标准数据!$B$2+COUNTIF(M172:AQ172,标准数据!$A$3)*标准数据!$B$3+COUNTIF(M172:AQ172,标准数据!$A$4)*标准数据!$B$4</f>
        <v>0</v>
      </c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188"/>
      <c r="AR172" s="90"/>
      <c r="AV172" s="76" t="str">
        <f>VLOOKUP(E172,[1]生产部!$C:$I,7,0)</f>
        <v>常白</v>
      </c>
      <c r="AW172" s="41" t="str">
        <f>VLOOKUP(E172,[1]生产部!$C:$I,6,0)</f>
        <v>4号楼3&amp;4车间</v>
      </c>
    </row>
    <row r="173" spans="1:49" ht="21" customHeight="1">
      <c r="A173" s="235" t="s">
        <v>294</v>
      </c>
      <c r="B173" s="229" t="s">
        <v>2109</v>
      </c>
      <c r="C173" s="45" t="s">
        <v>129</v>
      </c>
      <c r="D173" s="46" t="s">
        <v>544</v>
      </c>
      <c r="E173" s="47" t="s">
        <v>507</v>
      </c>
      <c r="F173" s="48">
        <v>45875</v>
      </c>
      <c r="G173" s="49">
        <f t="shared" si="2"/>
        <v>0</v>
      </c>
      <c r="H173" s="77">
        <f>SUMIF(积分汇总!$B:$B,D172,积分汇总!$E:$E)</f>
        <v>0</v>
      </c>
      <c r="I173" s="77">
        <f>SUMIF(记录巡查问题条数汇总!$B:$B,D172,记录巡查问题条数汇总!$E:$E)</f>
        <v>0</v>
      </c>
      <c r="J173" s="77"/>
      <c r="K173" s="77">
        <f>SUMIF(安全质量事故!$B:$B,D172,安全质量事故!$G:$G)</f>
        <v>0</v>
      </c>
      <c r="L173" s="72">
        <f>COUNTIF(M173:AQ173,标准数据!$A$2)*标准数据!$B$2+COUNTIF(M173:AQ173,标准数据!$A$3)*标准数据!$B$3+COUNTIF(M173:AQ173,标准数据!$A$4)*标准数据!$B$4</f>
        <v>0</v>
      </c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188"/>
      <c r="AR173" s="90"/>
      <c r="AV173" s="76" t="str">
        <f>VLOOKUP(E173,[1]生产部!$C:$I,7,0)</f>
        <v>班组</v>
      </c>
      <c r="AW173" s="41" t="str">
        <f>VLOOKUP(E173,[1]生产部!$C:$I,6,0)</f>
        <v>4号楼3&amp;4车间</v>
      </c>
    </row>
    <row r="174" spans="1:49" ht="21" customHeight="1">
      <c r="A174" s="235" t="s">
        <v>294</v>
      </c>
      <c r="B174" s="229" t="s">
        <v>2109</v>
      </c>
      <c r="C174" s="45" t="s">
        <v>129</v>
      </c>
      <c r="D174" s="46" t="s">
        <v>616</v>
      </c>
      <c r="E174" s="47" t="s">
        <v>569</v>
      </c>
      <c r="F174" s="48">
        <v>45896</v>
      </c>
      <c r="G174" s="49">
        <f t="shared" si="2"/>
        <v>0</v>
      </c>
      <c r="H174" s="77">
        <f>SUMIF(积分汇总!$B:$B,,积分汇总!$E:$E)</f>
        <v>0</v>
      </c>
      <c r="I174" s="77">
        <f>SUMIF(记录巡查问题条数汇总!$B:$B,,记录巡查问题条数汇总!$E:$E)</f>
        <v>0</v>
      </c>
      <c r="J174" s="77"/>
      <c r="K174" s="77">
        <f>SUMIF(安全质量事故!$B:$B,,安全质量事故!$G:$G)</f>
        <v>0</v>
      </c>
      <c r="L174" s="72">
        <f>COUNTIF(M174:AQ174,标准数据!$A$2)*标准数据!$B$2+COUNTIF(M174:AQ174,标准数据!$A$3)*标准数据!$B$3+COUNTIF(M174:AQ174,标准数据!$A$4)*标准数据!$B$4</f>
        <v>0</v>
      </c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188"/>
      <c r="AR174" s="90"/>
      <c r="AV174" s="76" t="str">
        <f>VLOOKUP(E174,[1]生产部!$C:$I,7,0)</f>
        <v>常白</v>
      </c>
      <c r="AW174" s="41" t="str">
        <f>VLOOKUP(E174,[1]生产部!$C:$I,6,0)</f>
        <v>4号楼3&amp;4车间</v>
      </c>
    </row>
    <row r="175" spans="1:49" ht="21" customHeight="1">
      <c r="A175" s="235" t="s">
        <v>294</v>
      </c>
      <c r="B175" s="229" t="s">
        <v>2109</v>
      </c>
      <c r="C175" s="45" t="s">
        <v>129</v>
      </c>
      <c r="D175" s="46" t="s">
        <v>849</v>
      </c>
      <c r="E175" s="47" t="s">
        <v>765</v>
      </c>
      <c r="F175" s="48">
        <v>45575</v>
      </c>
      <c r="G175" s="49">
        <f t="shared" si="2"/>
        <v>0</v>
      </c>
      <c r="H175" s="77">
        <f>SUMIF(积分汇总!$B:$B,D174,积分汇总!$E:$E)</f>
        <v>0</v>
      </c>
      <c r="I175" s="77">
        <f>SUMIF(记录巡查问题条数汇总!$B:$B,D174,记录巡查问题条数汇总!$E:$E)</f>
        <v>0</v>
      </c>
      <c r="J175" s="77"/>
      <c r="K175" s="77">
        <f>SUMIF(安全质量事故!$B:$B,D174,安全质量事故!$G:$G)</f>
        <v>0</v>
      </c>
      <c r="L175" s="72">
        <f>COUNTIF(M175:AQ175,标准数据!$A$2)*标准数据!$B$2+COUNTIF(M175:AQ175,标准数据!$A$3)*标准数据!$B$3+COUNTIF(M175:AQ175,标准数据!$A$4)*标准数据!$B$4</f>
        <v>0</v>
      </c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188"/>
      <c r="AR175" s="90"/>
      <c r="AV175" s="76" t="str">
        <f>VLOOKUP(E175,[1]生产部!$C:$I,7,0)</f>
        <v>项目组</v>
      </c>
      <c r="AW175" s="41" t="str">
        <f>VLOOKUP(E175,[1]生产部!$C:$I,6,0)</f>
        <v>4号楼3&amp;4车间</v>
      </c>
    </row>
    <row r="176" spans="1:49" ht="21" customHeight="1">
      <c r="A176" s="235" t="s">
        <v>294</v>
      </c>
      <c r="B176" s="229" t="s">
        <v>2109</v>
      </c>
      <c r="C176" s="45" t="s">
        <v>129</v>
      </c>
      <c r="D176" s="46" t="s">
        <v>851</v>
      </c>
      <c r="E176" s="47" t="s">
        <v>768</v>
      </c>
      <c r="F176" s="48">
        <v>45763</v>
      </c>
      <c r="G176" s="49">
        <f t="shared" si="2"/>
        <v>0</v>
      </c>
      <c r="H176" s="77">
        <f>SUMIF(积分汇总!$B:$B,,积分汇总!$E:$E)</f>
        <v>0</v>
      </c>
      <c r="I176" s="77">
        <f>SUMIF(记录巡查问题条数汇总!$B:$B,,记录巡查问题条数汇总!$E:$E)</f>
        <v>0</v>
      </c>
      <c r="J176" s="77"/>
      <c r="K176" s="77">
        <f>SUMIF(安全质量事故!$B:$B,,安全质量事故!$G:$G)</f>
        <v>0</v>
      </c>
      <c r="L176" s="72">
        <f>COUNTIF(M176:AQ176,标准数据!$A$2)*标准数据!$B$2+COUNTIF(M176:AQ176,标准数据!$A$3)*标准数据!$B$3+COUNTIF(M176:AQ176,标准数据!$A$4)*标准数据!$B$4</f>
        <v>0</v>
      </c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188"/>
      <c r="AR176" s="90"/>
      <c r="AV176" s="76" t="str">
        <f>VLOOKUP(E176,[1]生产部!$C:$I,7,0)</f>
        <v>班组</v>
      </c>
      <c r="AW176" s="41" t="str">
        <f>VLOOKUP(E176,[1]生产部!$C:$I,6,0)</f>
        <v>4号楼3&amp;4车间</v>
      </c>
    </row>
    <row r="177" spans="1:49" ht="21" customHeight="1">
      <c r="A177" s="235" t="s">
        <v>294</v>
      </c>
      <c r="B177" s="229" t="s">
        <v>2109</v>
      </c>
      <c r="C177" s="45" t="s">
        <v>129</v>
      </c>
      <c r="D177" s="46" t="s">
        <v>852</v>
      </c>
      <c r="E177" s="47" t="s">
        <v>769</v>
      </c>
      <c r="F177" s="48">
        <v>45896</v>
      </c>
      <c r="G177" s="49">
        <f t="shared" si="2"/>
        <v>0</v>
      </c>
      <c r="H177" s="77">
        <f>SUMIF(积分汇总!$B:$B,D176,积分汇总!$E:$E)</f>
        <v>0</v>
      </c>
      <c r="I177" s="77">
        <f>SUMIF(记录巡查问题条数汇总!$B:$B,D176,记录巡查问题条数汇总!$E:$E)</f>
        <v>0</v>
      </c>
      <c r="J177" s="77"/>
      <c r="K177" s="77">
        <f>SUMIF(安全质量事故!$B:$B,D176,安全质量事故!$G:$G)</f>
        <v>0</v>
      </c>
      <c r="L177" s="72">
        <f>COUNTIF(M177:AQ177,标准数据!$A$2)*标准数据!$B$2+COUNTIF(M177:AQ177,标准数据!$A$3)*标准数据!$B$3+COUNTIF(M177:AQ177,标准数据!$A$4)*标准数据!$B$4</f>
        <v>0</v>
      </c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188"/>
      <c r="AR177" s="90"/>
      <c r="AV177" s="76" t="str">
        <f>VLOOKUP(E177,[1]生产部!$C:$I,7,0)</f>
        <v>班组</v>
      </c>
      <c r="AW177" s="41" t="str">
        <f>VLOOKUP(E177,[1]生产部!$C:$I,6,0)</f>
        <v>4号楼3&amp;4车间</v>
      </c>
    </row>
    <row r="178" spans="1:49" ht="21" customHeight="1">
      <c r="A178" s="235" t="s">
        <v>294</v>
      </c>
      <c r="B178" s="229" t="s">
        <v>2109</v>
      </c>
      <c r="C178" s="45" t="s">
        <v>129</v>
      </c>
      <c r="D178" s="46" t="s">
        <v>993</v>
      </c>
      <c r="E178" s="47" t="s">
        <v>960</v>
      </c>
      <c r="F178" s="48">
        <v>45973</v>
      </c>
      <c r="G178" s="49">
        <f t="shared" si="2"/>
        <v>0</v>
      </c>
      <c r="H178" s="77">
        <f>SUMIF(积分汇总!$B:$B,D177,积分汇总!$E:$E)</f>
        <v>0</v>
      </c>
      <c r="I178" s="77">
        <f>SUMIF(记录巡查问题条数汇总!$B:$B,D177,记录巡查问题条数汇总!$E:$E)</f>
        <v>0</v>
      </c>
      <c r="J178" s="77"/>
      <c r="K178" s="77">
        <f>SUMIF(安全质量事故!$B:$B,D177,安全质量事故!$G:$G)</f>
        <v>0</v>
      </c>
      <c r="L178" s="72">
        <f>COUNTIF(M178:AQ178,标准数据!$A$2)*标准数据!$B$2+COUNTIF(M178:AQ178,标准数据!$A$3)*标准数据!$B$3+COUNTIF(M178:AQ178,标准数据!$A$4)*标准数据!$B$4</f>
        <v>0</v>
      </c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188"/>
      <c r="AR178" s="90"/>
      <c r="AV178" s="76" t="str">
        <f>VLOOKUP(E178,[1]生产部!$C:$I,7,0)</f>
        <v>班组</v>
      </c>
      <c r="AW178" s="41" t="str">
        <f>VLOOKUP(E178,[1]生产部!$C:$I,6,0)</f>
        <v>4号楼3&amp;4车间</v>
      </c>
    </row>
    <row r="179" spans="1:49" ht="21" customHeight="1">
      <c r="A179" s="235" t="s">
        <v>294</v>
      </c>
      <c r="B179" s="229" t="s">
        <v>2109</v>
      </c>
      <c r="C179" s="45" t="s">
        <v>129</v>
      </c>
      <c r="D179" s="46" t="s">
        <v>1240</v>
      </c>
      <c r="E179" s="47" t="s">
        <v>1241</v>
      </c>
      <c r="F179" s="48">
        <v>46127</v>
      </c>
      <c r="G179" s="49">
        <f t="shared" si="2"/>
        <v>0</v>
      </c>
      <c r="H179" s="77">
        <f>SUMIF(积分汇总!$B:$B,,积分汇总!$E:$E)</f>
        <v>0</v>
      </c>
      <c r="I179" s="77">
        <f>SUMIF(记录巡查问题条数汇总!$B:$B,,记录巡查问题条数汇总!$E:$E)</f>
        <v>0</v>
      </c>
      <c r="J179" s="77"/>
      <c r="K179" s="77">
        <f>SUMIF(安全质量事故!$B:$B,,安全质量事故!$G:$G)</f>
        <v>0</v>
      </c>
      <c r="L179" s="72">
        <f>COUNTIF(M179:AQ179,标准数据!$A$2)*标准数据!$B$2+COUNTIF(M179:AQ179,标准数据!$A$3)*标准数据!$B$3+COUNTIF(M179:AQ179,标准数据!$A$4)*标准数据!$B$4</f>
        <v>0</v>
      </c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188"/>
      <c r="AR179" s="90"/>
      <c r="AV179" s="76" t="str">
        <f>VLOOKUP(E179,[1]生产部!$C:$I,7,0)</f>
        <v>常白</v>
      </c>
      <c r="AW179" s="41" t="str">
        <f>VLOOKUP(E179,[1]生产部!$C:$I,6,0)</f>
        <v>4号楼3&amp;4车间</v>
      </c>
    </row>
    <row r="180" spans="1:49" ht="21" customHeight="1">
      <c r="A180" s="235" t="s">
        <v>294</v>
      </c>
      <c r="B180" s="229" t="s">
        <v>2108</v>
      </c>
      <c r="C180" s="45" t="s">
        <v>129</v>
      </c>
      <c r="D180" s="54" t="s">
        <v>746</v>
      </c>
      <c r="E180" s="47" t="s">
        <v>673</v>
      </c>
      <c r="F180" s="48">
        <v>45840</v>
      </c>
      <c r="G180" s="49">
        <f t="shared" si="2"/>
        <v>0</v>
      </c>
      <c r="H180" s="77">
        <f>SUMIF(积分汇总!$B:$B,D179,积分汇总!$E:$E)</f>
        <v>0</v>
      </c>
      <c r="I180" s="77">
        <f>SUMIF(记录巡查问题条数汇总!$B:$B,D179,记录巡查问题条数汇总!$E:$E)</f>
        <v>0</v>
      </c>
      <c r="J180" s="77"/>
      <c r="K180" s="77">
        <f>SUMIF(安全质量事故!$B:$B,D179,安全质量事故!$G:$G)</f>
        <v>0</v>
      </c>
      <c r="L180" s="72">
        <f>COUNTIF(M180:AQ180,标准数据!$A$2)*标准数据!$B$2+COUNTIF(M180:AQ180,标准数据!$A$3)*标准数据!$B$3+COUNTIF(M180:AQ180,标准数据!$A$4)*标准数据!$B$4</f>
        <v>0</v>
      </c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188"/>
      <c r="AR180" s="90"/>
      <c r="AV180" s="76" t="str">
        <f>VLOOKUP(E180,[1]生产部!$C:$I,7,0)</f>
        <v>退库</v>
      </c>
      <c r="AW180" s="41" t="str">
        <f>VLOOKUP(E180,[1]生产部!$C:$I,6,0)</f>
        <v>4号楼1&amp;2车间</v>
      </c>
    </row>
    <row r="181" spans="1:49" ht="21" customHeight="1">
      <c r="A181" s="235" t="s">
        <v>294</v>
      </c>
      <c r="B181" s="229" t="s">
        <v>2109</v>
      </c>
      <c r="C181" s="45" t="s">
        <v>129</v>
      </c>
      <c r="D181" s="54" t="s">
        <v>747</v>
      </c>
      <c r="E181" s="47" t="s">
        <v>674</v>
      </c>
      <c r="F181" s="48">
        <v>45847</v>
      </c>
      <c r="G181" s="49">
        <f t="shared" si="2"/>
        <v>0</v>
      </c>
      <c r="H181" s="77">
        <f>SUMIF(积分汇总!$B:$B,D180,积分汇总!$E:$E)</f>
        <v>0</v>
      </c>
      <c r="I181" s="77">
        <f>SUMIF(记录巡查问题条数汇总!$B:$B,D180,记录巡查问题条数汇总!$E:$E)</f>
        <v>0</v>
      </c>
      <c r="J181" s="77"/>
      <c r="K181" s="77">
        <f>SUMIF(安全质量事故!$B:$B,D180,安全质量事故!$G:$G)</f>
        <v>0</v>
      </c>
      <c r="L181" s="72">
        <f>COUNTIF(M181:AQ181,标准数据!$A$2)*标准数据!$B$2+COUNTIF(M181:AQ181,标准数据!$A$3)*标准数据!$B$3+COUNTIF(M181:AQ181,标准数据!$A$4)*标准数据!$B$4</f>
        <v>0</v>
      </c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188"/>
      <c r="AR181" s="90"/>
      <c r="AV181" s="76" t="str">
        <f>VLOOKUP(E181,[1]生产部!$C:$I,7,0)</f>
        <v>班组</v>
      </c>
      <c r="AW181" s="41" t="str">
        <f>VLOOKUP(E181,[1]生产部!$C:$I,6,0)</f>
        <v>4号楼3&amp;4车间</v>
      </c>
    </row>
    <row r="182" spans="1:49" ht="21" customHeight="1">
      <c r="A182" s="235" t="s">
        <v>294</v>
      </c>
      <c r="B182" s="229" t="s">
        <v>2109</v>
      </c>
      <c r="C182" s="45" t="s">
        <v>129</v>
      </c>
      <c r="D182" s="54" t="s">
        <v>748</v>
      </c>
      <c r="E182" s="47" t="s">
        <v>675</v>
      </c>
      <c r="F182" s="48">
        <v>45854</v>
      </c>
      <c r="G182" s="49">
        <f t="shared" si="2"/>
        <v>0</v>
      </c>
      <c r="H182" s="77">
        <f>SUMIF(积分汇总!$B:$B,D181,积分汇总!$E:$E)</f>
        <v>0</v>
      </c>
      <c r="I182" s="77">
        <f>SUMIF(记录巡查问题条数汇总!$B:$B,D181,记录巡查问题条数汇总!$E:$E)</f>
        <v>0</v>
      </c>
      <c r="J182" s="77"/>
      <c r="K182" s="77">
        <f>SUMIF(安全质量事故!$B:$B,D181,安全质量事故!$G:$G)</f>
        <v>0</v>
      </c>
      <c r="L182" s="72">
        <f>COUNTIF(M182:AQ182,标准数据!$A$2)*标准数据!$B$2+COUNTIF(M182:AQ182,标准数据!$A$3)*标准数据!$B$3+COUNTIF(M182:AQ182,标准数据!$A$4)*标准数据!$B$4</f>
        <v>0</v>
      </c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188"/>
      <c r="AR182" s="90"/>
      <c r="AV182" s="76" t="str">
        <f>VLOOKUP(E182,[1]生产部!$C:$I,7,0)</f>
        <v>班组</v>
      </c>
      <c r="AW182" s="41" t="str">
        <f>VLOOKUP(E182,[1]生产部!$C:$I,6,0)</f>
        <v>4号楼3&amp;4车间</v>
      </c>
    </row>
    <row r="183" spans="1:49" ht="21" customHeight="1">
      <c r="A183" s="235" t="s">
        <v>294</v>
      </c>
      <c r="B183" s="229" t="s">
        <v>2109</v>
      </c>
      <c r="C183" s="45" t="s">
        <v>129</v>
      </c>
      <c r="D183" s="54" t="s">
        <v>749</v>
      </c>
      <c r="E183" s="47" t="s">
        <v>676</v>
      </c>
      <c r="F183" s="48">
        <v>45847</v>
      </c>
      <c r="G183" s="49">
        <f t="shared" si="2"/>
        <v>0</v>
      </c>
      <c r="H183" s="77">
        <f>SUMIF(积分汇总!$B:$B,D182,积分汇总!$E:$E)</f>
        <v>0</v>
      </c>
      <c r="I183" s="77">
        <f>SUMIF(记录巡查问题条数汇总!$B:$B,D182,记录巡查问题条数汇总!$E:$E)</f>
        <v>0</v>
      </c>
      <c r="J183" s="77"/>
      <c r="K183" s="77">
        <f>SUMIF(安全质量事故!$B:$B,D182,安全质量事故!$G:$G)</f>
        <v>0</v>
      </c>
      <c r="L183" s="72">
        <f>COUNTIF(M183:AQ183,标准数据!$A$2)*标准数据!$B$2+COUNTIF(M183:AQ183,标准数据!$A$3)*标准数据!$B$3+COUNTIF(M183:AQ183,标准数据!$A$4)*标准数据!$B$4</f>
        <v>0</v>
      </c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188"/>
      <c r="AR183" s="90"/>
      <c r="AV183" s="76" t="str">
        <f>VLOOKUP(E183,[1]生产部!$C:$I,7,0)</f>
        <v>班组</v>
      </c>
      <c r="AW183" s="41" t="str">
        <f>VLOOKUP(E183,[1]生产部!$C:$I,6,0)</f>
        <v>4号楼3&amp;4车间</v>
      </c>
    </row>
    <row r="184" spans="1:49" ht="21" customHeight="1">
      <c r="A184" s="235" t="s">
        <v>294</v>
      </c>
      <c r="B184" s="229" t="s">
        <v>2109</v>
      </c>
      <c r="C184" s="45" t="s">
        <v>129</v>
      </c>
      <c r="D184" s="54" t="s">
        <v>998</v>
      </c>
      <c r="E184" s="47" t="s">
        <v>999</v>
      </c>
      <c r="F184" s="48">
        <v>45980</v>
      </c>
      <c r="G184" s="49">
        <f t="shared" si="2"/>
        <v>0</v>
      </c>
      <c r="H184" s="77">
        <f>SUMIF(积分汇总!$B:$B,D183,积分汇总!$E:$E)</f>
        <v>0</v>
      </c>
      <c r="I184" s="77">
        <f>SUMIF(记录巡查问题条数汇总!$B:$B,D183,记录巡查问题条数汇总!$E:$E)</f>
        <v>0</v>
      </c>
      <c r="J184" s="77"/>
      <c r="K184" s="77">
        <f>SUMIF(安全质量事故!$B:$B,D183,安全质量事故!$G:$G)</f>
        <v>0</v>
      </c>
      <c r="L184" s="72">
        <f>COUNTIF(M184:AQ184,标准数据!$A$2)*标准数据!$B$2+COUNTIF(M184:AQ184,标准数据!$A$3)*标准数据!$B$3+COUNTIF(M184:AQ184,标准数据!$A$4)*标准数据!$B$4</f>
        <v>0</v>
      </c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188"/>
      <c r="AR184" s="90"/>
      <c r="AV184" s="76" t="str">
        <f>VLOOKUP(E184,[1]生产部!$C:$I,7,0)</f>
        <v>班组</v>
      </c>
      <c r="AW184" s="41" t="str">
        <f>VLOOKUP(E184,[1]生产部!$C:$I,6,0)</f>
        <v>4号楼3&amp;4车间</v>
      </c>
    </row>
    <row r="185" spans="1:49" ht="21" customHeight="1">
      <c r="A185" s="235" t="s">
        <v>294</v>
      </c>
      <c r="B185" s="229" t="s">
        <v>2108</v>
      </c>
      <c r="C185" s="45" t="s">
        <v>129</v>
      </c>
      <c r="D185" s="54" t="s">
        <v>1106</v>
      </c>
      <c r="E185" s="47" t="s">
        <v>1107</v>
      </c>
      <c r="F185" s="48">
        <v>45994</v>
      </c>
      <c r="G185" s="49">
        <f t="shared" si="2"/>
        <v>0</v>
      </c>
      <c r="H185" s="77">
        <f>SUMIF(积分汇总!$B:$B,D184,积分汇总!$E:$E)</f>
        <v>0</v>
      </c>
      <c r="I185" s="77">
        <f>SUMIF(记录巡查问题条数汇总!$B:$B,D184,记录巡查问题条数汇总!$E:$E)</f>
        <v>0</v>
      </c>
      <c r="J185" s="77"/>
      <c r="K185" s="77">
        <f>SUMIF(安全质量事故!$B:$B,D184,安全质量事故!$G:$G)</f>
        <v>0</v>
      </c>
      <c r="L185" s="72">
        <f>COUNTIF(M185:AQ185,标准数据!$A$2)*标准数据!$B$2+COUNTIF(M185:AQ185,标准数据!$A$3)*标准数据!$B$3+COUNTIF(M185:AQ185,标准数据!$A$4)*标准数据!$B$4</f>
        <v>0</v>
      </c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188"/>
      <c r="AR185" s="90"/>
      <c r="AV185" s="76" t="str">
        <f>VLOOKUP(E185,[1]生产部!$C:$I,7,0)</f>
        <v>退库</v>
      </c>
      <c r="AW185" s="41" t="str">
        <f>VLOOKUP(E185,[1]生产部!$C:$I,6,0)</f>
        <v>4号楼1&amp;2车间</v>
      </c>
    </row>
    <row r="186" spans="1:49" ht="21" customHeight="1">
      <c r="A186" s="235" t="s">
        <v>294</v>
      </c>
      <c r="B186" s="229" t="s">
        <v>2109</v>
      </c>
      <c r="C186" s="204" t="s">
        <v>146</v>
      </c>
      <c r="D186" s="206" t="s">
        <v>1972</v>
      </c>
      <c r="E186" s="201" t="s">
        <v>1973</v>
      </c>
      <c r="F186" s="203">
        <v>46225</v>
      </c>
      <c r="G186" s="49">
        <f t="shared" si="2"/>
        <v>0</v>
      </c>
      <c r="H186" s="77">
        <f>SUMIF(积分汇总!$B:$B,D185,积分汇总!$E:$E)</f>
        <v>0</v>
      </c>
      <c r="I186" s="77">
        <f>SUMIF(记录巡查问题条数汇总!$B:$B,D185,记录巡查问题条数汇总!$E:$E)</f>
        <v>0</v>
      </c>
      <c r="J186" s="77"/>
      <c r="K186" s="77">
        <f>SUMIF(安全质量事故!$B:$B,D185,安全质量事故!$G:$G)</f>
        <v>0</v>
      </c>
      <c r="L186" s="72">
        <f>COUNTIF(M186:AQ186,标准数据!$A$2)*标准数据!$B$2+COUNTIF(M186:AQ186,标准数据!$A$3)*标准数据!$B$3+COUNTIF(M186:AQ186,标准数据!$A$4)*标准数据!$B$4</f>
        <v>0</v>
      </c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188"/>
      <c r="AR186" s="90"/>
      <c r="AV186" s="76" t="str">
        <f>VLOOKUP(E186,[1]生产部!$C:$I,7,0)</f>
        <v>常白</v>
      </c>
      <c r="AW186" s="41" t="str">
        <f>VLOOKUP(E186,[1]生产部!$C:$I,6,0)</f>
        <v>4号楼3&amp;4车间</v>
      </c>
    </row>
    <row r="187" spans="1:49" ht="21" customHeight="1">
      <c r="A187" s="236" t="s">
        <v>1567</v>
      </c>
      <c r="B187" s="229" t="s">
        <v>2110</v>
      </c>
      <c r="C187" s="45" t="s">
        <v>13</v>
      </c>
      <c r="D187" s="46" t="s">
        <v>203</v>
      </c>
      <c r="E187" s="47" t="s">
        <v>254</v>
      </c>
      <c r="F187" s="48">
        <v>45462</v>
      </c>
      <c r="G187" s="49">
        <f t="shared" si="2"/>
        <v>0</v>
      </c>
      <c r="H187" s="77">
        <f>SUMIF(积分汇总!$B:$B,D186,积分汇总!$E:$E)</f>
        <v>0</v>
      </c>
      <c r="I187" s="77">
        <f>SUMIF(记录巡查问题条数汇总!$B:$B,D186,记录巡查问题条数汇总!$E:$E)</f>
        <v>0</v>
      </c>
      <c r="J187" s="77"/>
      <c r="K187" s="77">
        <f>SUMIF(安全质量事故!$B:$B,D186,安全质量事故!$G:$G)</f>
        <v>0</v>
      </c>
      <c r="L187" s="72">
        <f>COUNTIF(M187:AQ187,标准数据!$A$2)*标准数据!$B$2+COUNTIF(M187:AQ187,标准数据!$A$3)*标准数据!$B$3+COUNTIF(M187:AQ187,标准数据!$A$4)*标准数据!$B$4</f>
        <v>0</v>
      </c>
      <c r="M187" s="55"/>
      <c r="N187" s="55"/>
      <c r="O187" s="55"/>
      <c r="P187" s="55"/>
      <c r="Q187" s="56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190"/>
      <c r="AR187" s="55"/>
      <c r="AS187" s="283" t="s">
        <v>1566</v>
      </c>
      <c r="AT187" s="284"/>
      <c r="AU187" s="284"/>
      <c r="AV187" s="76" t="str">
        <f>VLOOKUP(E187,[1]生产部!$C:$I,7,0)</f>
        <v>制备组</v>
      </c>
      <c r="AW187" s="41" t="str">
        <f>VLOOKUP(E187,[1]生产部!$C:$I,6,0)</f>
        <v>4号楼制备组</v>
      </c>
    </row>
    <row r="188" spans="1:49" ht="21" customHeight="1">
      <c r="A188" s="237" t="s">
        <v>2131</v>
      </c>
      <c r="B188" s="229" t="s">
        <v>2110</v>
      </c>
      <c r="C188" s="45" t="s">
        <v>14</v>
      </c>
      <c r="D188" s="46" t="s">
        <v>105</v>
      </c>
      <c r="E188" s="52" t="s">
        <v>101</v>
      </c>
      <c r="F188" s="46">
        <v>45042</v>
      </c>
      <c r="G188" s="49">
        <f t="shared" si="2"/>
        <v>0</v>
      </c>
      <c r="H188" s="77">
        <f>SUMIF(积分汇总!$B:$B,D187,积分汇总!$E:$E)</f>
        <v>0</v>
      </c>
      <c r="I188" s="77">
        <f>SUMIF(记录巡查问题条数汇总!$B:$B,D187,记录巡查问题条数汇总!$E:$E)</f>
        <v>0</v>
      </c>
      <c r="J188" s="77"/>
      <c r="K188" s="77">
        <f>SUMIF(安全质量事故!$B:$B,D187,安全质量事故!$G:$G)</f>
        <v>0</v>
      </c>
      <c r="L188" s="72">
        <f>COUNTIF(M188:AQ188,标准数据!$A$2)*标准数据!$B$2+COUNTIF(M188:AQ188,标准数据!$A$3)*标准数据!$B$3+COUNTIF(M188:AQ188,标准数据!$A$4)*标准数据!$B$4</f>
        <v>0</v>
      </c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189"/>
      <c r="AR188" s="55"/>
      <c r="AS188" s="225" t="s">
        <v>1026</v>
      </c>
      <c r="AT188" s="226" t="s">
        <v>1027</v>
      </c>
      <c r="AU188" s="226" t="s">
        <v>1028</v>
      </c>
      <c r="AV188" s="76" t="str">
        <f>VLOOKUP(E188,[1]生产部!$C:$I,7,0)</f>
        <v>制备组</v>
      </c>
      <c r="AW188" s="41" t="str">
        <f>VLOOKUP(E188,[1]生产部!$C:$I,6,0)</f>
        <v>4号楼制备组</v>
      </c>
    </row>
    <row r="189" spans="1:49" ht="21" customHeight="1">
      <c r="A189" s="237" t="s">
        <v>2131</v>
      </c>
      <c r="B189" s="229" t="s">
        <v>2110</v>
      </c>
      <c r="C189" s="45" t="s">
        <v>14</v>
      </c>
      <c r="D189" s="46" t="s">
        <v>1488</v>
      </c>
      <c r="E189" s="52" t="s">
        <v>1489</v>
      </c>
      <c r="F189" s="46">
        <v>46176</v>
      </c>
      <c r="G189" s="49">
        <f t="shared" si="2"/>
        <v>0</v>
      </c>
      <c r="H189" s="77">
        <f>SUMIF(积分汇总!$B:$B,D188,积分汇总!$E:$E)</f>
        <v>0</v>
      </c>
      <c r="I189" s="77">
        <f>SUMIF(记录巡查问题条数汇总!$B:$B,D188,记录巡查问题条数汇总!$E:$E)</f>
        <v>0</v>
      </c>
      <c r="J189" s="77"/>
      <c r="K189" s="77">
        <f>SUMIF(安全质量事故!$B:$B,D188,安全质量事故!$G:$G)</f>
        <v>0</v>
      </c>
      <c r="L189" s="72">
        <f>COUNTIF(M189:AQ189,标准数据!$A$2)*标准数据!$B$2+COUNTIF(M189:AQ189,标准数据!$A$3)*标准数据!$B$3+COUNTIF(M189:AQ189,标准数据!$A$4)*标准数据!$B$4</f>
        <v>0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189"/>
      <c r="AR189" s="55"/>
      <c r="AS189" s="64">
        <f>COUNTIF($M$187:$AQ$202,"a")</f>
        <v>0</v>
      </c>
      <c r="AT189" s="64">
        <f>COUNTIF($M$187:$AQ$202,"b")</f>
        <v>0</v>
      </c>
      <c r="AU189" s="64">
        <f>COUNTIF(M$188:AQ$202,"c")</f>
        <v>0</v>
      </c>
      <c r="AV189" s="76" t="str">
        <f>VLOOKUP(E189,[1]生产部!$C:$I,7,0)</f>
        <v>制备组</v>
      </c>
      <c r="AW189" s="41" t="str">
        <f>VLOOKUP(E189,[1]生产部!$C:$I,6,0)</f>
        <v>4号楼制备组</v>
      </c>
    </row>
    <row r="190" spans="1:49" ht="21" customHeight="1">
      <c r="A190" s="237" t="s">
        <v>2131</v>
      </c>
      <c r="B190" s="229" t="s">
        <v>2110</v>
      </c>
      <c r="C190" s="45" t="s">
        <v>14</v>
      </c>
      <c r="D190" s="46" t="s">
        <v>1492</v>
      </c>
      <c r="E190" s="47" t="s">
        <v>1493</v>
      </c>
      <c r="F190" s="48">
        <v>46183</v>
      </c>
      <c r="G190" s="49">
        <f t="shared" si="2"/>
        <v>0</v>
      </c>
      <c r="H190" s="77">
        <f>SUMIF(积分汇总!$B:$B,D189,积分汇总!$E:$E)</f>
        <v>0</v>
      </c>
      <c r="I190" s="77">
        <f>SUMIF(记录巡查问题条数汇总!$B:$B,D189,记录巡查问题条数汇总!$E:$E)</f>
        <v>0</v>
      </c>
      <c r="J190" s="77"/>
      <c r="K190" s="77">
        <f>SUMIF(安全质量事故!$B:$B,D189,安全质量事故!$G:$G)</f>
        <v>0</v>
      </c>
      <c r="L190" s="72">
        <f>COUNTIF(M190:AQ190,标准数据!$A$2)*标准数据!$B$2+COUNTIF(M190:AQ190,标准数据!$A$3)*标准数据!$B$3+COUNTIF(M190:AQ190,标准数据!$A$4)*标准数据!$B$4</f>
        <v>0</v>
      </c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189"/>
      <c r="AR190" s="55"/>
      <c r="AS190" s="50" t="e">
        <f>AS189/($AS$189+$AT$189+$AU$189)</f>
        <v>#DIV/0!</v>
      </c>
      <c r="AT190" s="50" t="e">
        <f>AT189/($AS$189+$AT$189+$AU$189)</f>
        <v>#DIV/0!</v>
      </c>
      <c r="AU190" s="50" t="e">
        <f>AU189/($AS$189+$AT$189+$AU$189)</f>
        <v>#DIV/0!</v>
      </c>
      <c r="AV190" s="76" t="str">
        <f>VLOOKUP(E190,[1]生产部!$C:$I,7,0)</f>
        <v>制备组</v>
      </c>
      <c r="AW190" s="41" t="str">
        <f>VLOOKUP(E190,[1]生产部!$C:$I,6,0)</f>
        <v>4号楼制备组</v>
      </c>
    </row>
    <row r="191" spans="1:49" ht="21" customHeight="1">
      <c r="A191" s="237" t="s">
        <v>2131</v>
      </c>
      <c r="B191" s="229" t="s">
        <v>2110</v>
      </c>
      <c r="C191" s="45" t="s">
        <v>14</v>
      </c>
      <c r="D191" s="46" t="s">
        <v>1486</v>
      </c>
      <c r="E191" s="47" t="s">
        <v>1487</v>
      </c>
      <c r="F191" s="48">
        <v>46174</v>
      </c>
      <c r="G191" s="49">
        <f t="shared" si="2"/>
        <v>0</v>
      </c>
      <c r="H191" s="77">
        <f>SUMIF(积分汇总!$B:$B,D190,积分汇总!$E:$E)</f>
        <v>0</v>
      </c>
      <c r="I191" s="77">
        <f>SUMIF(记录巡查问题条数汇总!$B:$B,D190,记录巡查问题条数汇总!$E:$E)</f>
        <v>0</v>
      </c>
      <c r="J191" s="77"/>
      <c r="K191" s="77">
        <f>SUMIF(安全质量事故!$B:$B,D190,安全质量事故!$G:$G)</f>
        <v>0</v>
      </c>
      <c r="L191" s="72">
        <f>COUNTIF(M191:AQ191,标准数据!$A$2)*标准数据!$B$2+COUNTIF(M191:AQ191,标准数据!$A$3)*标准数据!$B$3+COUNTIF(M191:AQ191,标准数据!$A$4)*标准数据!$B$4</f>
        <v>0</v>
      </c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189"/>
      <c r="AR191" s="55"/>
      <c r="AS191" s="183"/>
      <c r="AT191" s="183"/>
      <c r="AU191" s="183"/>
      <c r="AV191" s="76" t="str">
        <f>VLOOKUP(E191,[1]生产部!$C:$I,7,0)</f>
        <v>制备组</v>
      </c>
      <c r="AW191" s="41" t="str">
        <f>VLOOKUP(E191,[1]生产部!$C:$I,6,0)</f>
        <v>4号楼制备组</v>
      </c>
    </row>
    <row r="192" spans="1:49" ht="21" customHeight="1">
      <c r="A192" s="237" t="s">
        <v>2131</v>
      </c>
      <c r="B192" s="229" t="s">
        <v>2110</v>
      </c>
      <c r="C192" s="45" t="s">
        <v>14</v>
      </c>
      <c r="D192" s="46" t="s">
        <v>1490</v>
      </c>
      <c r="E192" s="47" t="s">
        <v>1491</v>
      </c>
      <c r="F192" s="48">
        <v>46176</v>
      </c>
      <c r="G192" s="49">
        <f t="shared" si="2"/>
        <v>0</v>
      </c>
      <c r="H192" s="77">
        <f>SUMIF(积分汇总!$B:$B,D191,积分汇总!$E:$E)</f>
        <v>0</v>
      </c>
      <c r="I192" s="77">
        <f>SUMIF(记录巡查问题条数汇总!$B:$B,D191,记录巡查问题条数汇总!$E:$E)</f>
        <v>0</v>
      </c>
      <c r="J192" s="77"/>
      <c r="K192" s="77">
        <f>SUMIF(安全质量事故!$B:$B,D191,安全质量事故!$G:$G)</f>
        <v>0</v>
      </c>
      <c r="L192" s="72">
        <f>COUNTIF(M192:AQ192,标准数据!$A$2)*标准数据!$B$2+COUNTIF(M192:AQ192,标准数据!$A$3)*标准数据!$B$3+COUNTIF(M192:AQ192,标准数据!$A$4)*标准数据!$B$4</f>
        <v>0</v>
      </c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189"/>
      <c r="AR192" s="55"/>
      <c r="AS192" s="183"/>
      <c r="AT192" s="183"/>
      <c r="AU192" s="183"/>
      <c r="AV192" s="76" t="str">
        <f>VLOOKUP(E192,[1]生产部!$C:$I,7,0)</f>
        <v>制备组</v>
      </c>
      <c r="AW192" s="41" t="str">
        <f>VLOOKUP(E192,[1]生产部!$C:$I,6,0)</f>
        <v>4号楼制备组</v>
      </c>
    </row>
    <row r="193" spans="1:49" ht="21" customHeight="1">
      <c r="A193" s="237" t="s">
        <v>2131</v>
      </c>
      <c r="B193" s="229" t="s">
        <v>2110</v>
      </c>
      <c r="C193" s="45" t="s">
        <v>146</v>
      </c>
      <c r="D193" s="46" t="s">
        <v>467</v>
      </c>
      <c r="E193" s="47" t="s">
        <v>439</v>
      </c>
      <c r="F193" s="48">
        <v>45833</v>
      </c>
      <c r="G193" s="49">
        <f t="shared" si="2"/>
        <v>0</v>
      </c>
      <c r="H193" s="77">
        <f>SUMIF(积分汇总!$B:$B,D192,积分汇总!$E:$E)</f>
        <v>0</v>
      </c>
      <c r="I193" s="77">
        <f>SUMIF(记录巡查问题条数汇总!$B:$B,D192,记录巡查问题条数汇总!$E:$E)</f>
        <v>0</v>
      </c>
      <c r="J193" s="77"/>
      <c r="K193" s="77">
        <f>SUMIF(安全质量事故!$B:$B,D192,安全质量事故!$G:$G)</f>
        <v>0</v>
      </c>
      <c r="L193" s="72">
        <f>COUNTIF(M193:AQ193,标准数据!$A$2)*标准数据!$B$2+COUNTIF(M193:AQ193,标准数据!$A$3)*标准数据!$B$3+COUNTIF(M193:AQ193,标准数据!$A$4)*标准数据!$B$4</f>
        <v>0</v>
      </c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189"/>
      <c r="AR193" s="55"/>
      <c r="AS193" s="183"/>
      <c r="AT193" s="183"/>
      <c r="AU193" s="183"/>
      <c r="AV193" s="76" t="str">
        <f>VLOOKUP(E193,[1]生产部!$C:$I,7,0)</f>
        <v>制备组</v>
      </c>
      <c r="AW193" s="41" t="str">
        <f>VLOOKUP(E193,[1]生产部!$C:$I,6,0)</f>
        <v>4号楼制备组</v>
      </c>
    </row>
    <row r="194" spans="1:49" ht="21" customHeight="1">
      <c r="A194" s="237" t="s">
        <v>2131</v>
      </c>
      <c r="B194" s="229" t="s">
        <v>2110</v>
      </c>
      <c r="C194" s="45" t="s">
        <v>146</v>
      </c>
      <c r="D194" s="46" t="s">
        <v>938</v>
      </c>
      <c r="E194" s="47" t="s">
        <v>875</v>
      </c>
      <c r="F194" s="48">
        <v>46029</v>
      </c>
      <c r="G194" s="49">
        <f t="shared" si="2"/>
        <v>0</v>
      </c>
      <c r="H194" s="77">
        <f>SUMIF(积分汇总!$B:$B,D193,积分汇总!$E:$E)</f>
        <v>0</v>
      </c>
      <c r="I194" s="77">
        <f>SUMIF(记录巡查问题条数汇总!$B:$B,D193,记录巡查问题条数汇总!$E:$E)</f>
        <v>0</v>
      </c>
      <c r="J194" s="77"/>
      <c r="K194" s="77">
        <f>SUMIF(安全质量事故!$B:$B,D193,安全质量事故!$G:$G)</f>
        <v>0</v>
      </c>
      <c r="L194" s="72">
        <f>COUNTIF(M194:AQ194,标准数据!$A$2)*标准数据!$B$2+COUNTIF(M194:AQ194,标准数据!$A$3)*标准数据!$B$3+COUNTIF(M194:AQ194,标准数据!$A$4)*标准数据!$B$4</f>
        <v>0</v>
      </c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189"/>
      <c r="AR194" s="55"/>
      <c r="AS194" s="183"/>
      <c r="AT194" s="183"/>
      <c r="AU194" s="183"/>
      <c r="AV194" s="76" t="str">
        <f>VLOOKUP(E194,[1]生产部!$C:$I,7,0)</f>
        <v>制备组</v>
      </c>
      <c r="AW194" s="41" t="str">
        <f>VLOOKUP(E194,[1]生产部!$C:$I,6,0)</f>
        <v>4号楼制备组</v>
      </c>
    </row>
    <row r="195" spans="1:49" ht="21" customHeight="1">
      <c r="A195" s="237" t="s">
        <v>2131</v>
      </c>
      <c r="B195" s="229" t="s">
        <v>2110</v>
      </c>
      <c r="C195" s="45" t="s">
        <v>1092</v>
      </c>
      <c r="D195" s="75" t="s">
        <v>975</v>
      </c>
      <c r="E195" s="73" t="s">
        <v>955</v>
      </c>
      <c r="F195" s="78">
        <v>46027</v>
      </c>
      <c r="G195" s="49">
        <f t="shared" si="2"/>
        <v>0</v>
      </c>
      <c r="H195" s="77">
        <f>SUMIF(积分汇总!$B:$B,D194,积分汇总!$E:$E)</f>
        <v>0</v>
      </c>
      <c r="I195" s="77">
        <f>SUMIF(记录巡查问题条数汇总!$B:$B,D194,记录巡查问题条数汇总!$E:$E)</f>
        <v>0</v>
      </c>
      <c r="J195" s="77"/>
      <c r="K195" s="77">
        <f>SUMIF(安全质量事故!$B:$B,D194,安全质量事故!$G:$G)</f>
        <v>0</v>
      </c>
      <c r="L195" s="72">
        <f>COUNTIF(M195:AQ195,标准数据!$A$2)*标准数据!$B$2+COUNTIF(M195:AQ195,标准数据!$A$3)*标准数据!$B$3+COUNTIF(M195:AQ195,标准数据!$A$4)*标准数据!$B$4</f>
        <v>0</v>
      </c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189"/>
      <c r="AR195" s="55"/>
      <c r="AS195" s="41"/>
      <c r="AT195" s="41"/>
      <c r="AU195" s="41"/>
      <c r="AV195" s="76" t="str">
        <f>VLOOKUP(E195,[1]生产部!$C:$I,7,0)</f>
        <v>制备组</v>
      </c>
      <c r="AW195" s="41" t="str">
        <f>VLOOKUP(E195,[1]生产部!$C:$I,6,0)</f>
        <v>4号楼制备组</v>
      </c>
    </row>
    <row r="196" spans="1:49" s="51" customFormat="1" ht="21" customHeight="1">
      <c r="A196" s="237" t="s">
        <v>2131</v>
      </c>
      <c r="B196" s="229" t="s">
        <v>2110</v>
      </c>
      <c r="C196" s="45" t="s">
        <v>1092</v>
      </c>
      <c r="D196" s="75" t="s">
        <v>976</v>
      </c>
      <c r="E196" s="74" t="s">
        <v>956</v>
      </c>
      <c r="F196" s="75">
        <v>46027</v>
      </c>
      <c r="G196" s="49">
        <f t="shared" si="2"/>
        <v>0</v>
      </c>
      <c r="H196" s="77">
        <f>SUMIF(积分汇总!$B:$B,D195,积分汇总!$E:$E)</f>
        <v>0</v>
      </c>
      <c r="I196" s="77">
        <f>SUMIF(记录巡查问题条数汇总!$B:$B,D195,记录巡查问题条数汇总!$E:$E)</f>
        <v>0</v>
      </c>
      <c r="J196" s="77"/>
      <c r="K196" s="77">
        <f>SUMIF(安全质量事故!$B:$B,D195,安全质量事故!$G:$G)</f>
        <v>0</v>
      </c>
      <c r="L196" s="72">
        <f>COUNTIF(M196:AQ196,标准数据!$A$2)*标准数据!$B$2+COUNTIF(M196:AQ196,标准数据!$A$3)*标准数据!$B$3+COUNTIF(M196:AQ196,标准数据!$A$4)*标准数据!$B$4</f>
        <v>0</v>
      </c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189"/>
      <c r="AR196" s="55"/>
      <c r="AV196" s="76" t="str">
        <f>VLOOKUP(E196,[1]生产部!$C:$I,7,0)</f>
        <v>制备组</v>
      </c>
      <c r="AW196" s="41" t="str">
        <f>VLOOKUP(E196,[1]生产部!$C:$I,6,0)</f>
        <v>4号楼制备组</v>
      </c>
    </row>
    <row r="197" spans="1:49" ht="21" customHeight="1">
      <c r="A197" s="237" t="s">
        <v>2131</v>
      </c>
      <c r="B197" s="229" t="s">
        <v>2110</v>
      </c>
      <c r="C197" s="45" t="s">
        <v>1092</v>
      </c>
      <c r="D197" s="75" t="s">
        <v>930</v>
      </c>
      <c r="E197" s="73" t="s">
        <v>869</v>
      </c>
      <c r="F197" s="78">
        <v>46043</v>
      </c>
      <c r="G197" s="49">
        <f t="shared" si="2"/>
        <v>0</v>
      </c>
      <c r="H197" s="77">
        <f>SUMIF(积分汇总!$B:$B,D196,积分汇总!$E:$E)</f>
        <v>0</v>
      </c>
      <c r="I197" s="77">
        <f>SUMIF(记录巡查问题条数汇总!$B:$B,D196,记录巡查问题条数汇总!$E:$E)</f>
        <v>0</v>
      </c>
      <c r="J197" s="77"/>
      <c r="K197" s="77">
        <f>SUMIF(安全质量事故!$B:$B,D196,安全质量事故!$G:$G)</f>
        <v>0</v>
      </c>
      <c r="L197" s="72">
        <f>COUNTIF(M197:AQ197,标准数据!$A$2)*标准数据!$B$2+COUNTIF(M197:AQ197,标准数据!$A$3)*标准数据!$B$3+COUNTIF(M197:AQ197,标准数据!$A$4)*标准数据!$B$4</f>
        <v>0</v>
      </c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189"/>
      <c r="AR197" s="55"/>
      <c r="AV197" s="76" t="str">
        <f>VLOOKUP(E197,[1]生产部!$C:$I,7,0)</f>
        <v>制备组</v>
      </c>
      <c r="AW197" s="41" t="str">
        <f>VLOOKUP(E197,[1]生产部!$C:$I,6,0)</f>
        <v>4号楼制备组</v>
      </c>
    </row>
    <row r="198" spans="1:49" ht="21" customHeight="1">
      <c r="A198" s="237" t="s">
        <v>2131</v>
      </c>
      <c r="B198" s="229" t="s">
        <v>2110</v>
      </c>
      <c r="C198" s="45" t="s">
        <v>1092</v>
      </c>
      <c r="D198" s="75" t="s">
        <v>1236</v>
      </c>
      <c r="E198" s="74" t="s">
        <v>1237</v>
      </c>
      <c r="F198" s="75">
        <v>46106</v>
      </c>
      <c r="G198" s="49">
        <f t="shared" si="2"/>
        <v>0</v>
      </c>
      <c r="H198" s="77">
        <f>SUMIF(积分汇总!$B:$B,D197,积分汇总!$E:$E)</f>
        <v>0</v>
      </c>
      <c r="I198" s="77">
        <f>SUMIF(记录巡查问题条数汇总!$B:$B,D197,记录巡查问题条数汇总!$E:$E)</f>
        <v>0</v>
      </c>
      <c r="J198" s="77"/>
      <c r="K198" s="77">
        <f>SUMIF(安全质量事故!$B:$B,D197,安全质量事故!$G:$G)</f>
        <v>0</v>
      </c>
      <c r="L198" s="72">
        <f>COUNTIF(M198:AQ198,标准数据!$A$2)*标准数据!$B$2+COUNTIF(M198:AQ198,标准数据!$A$3)*标准数据!$B$3+COUNTIF(M198:AQ198,标准数据!$A$4)*标准数据!$B$4</f>
        <v>0</v>
      </c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189"/>
      <c r="AR198" s="55"/>
      <c r="AV198" s="76" t="str">
        <f>VLOOKUP(E198,[1]生产部!$C:$I,7,0)</f>
        <v>制备组</v>
      </c>
      <c r="AW198" s="41" t="str">
        <f>VLOOKUP(E198,[1]生产部!$C:$I,6,0)</f>
        <v>4号楼制备组</v>
      </c>
    </row>
    <row r="199" spans="1:49" ht="21" customHeight="1">
      <c r="A199" s="237" t="s">
        <v>2131</v>
      </c>
      <c r="B199" s="229" t="s">
        <v>2110</v>
      </c>
      <c r="C199" s="45" t="s">
        <v>1092</v>
      </c>
      <c r="D199" s="75" t="s">
        <v>919</v>
      </c>
      <c r="E199" s="73" t="s">
        <v>871</v>
      </c>
      <c r="F199" s="78">
        <v>46029</v>
      </c>
      <c r="G199" s="49">
        <f t="shared" si="2"/>
        <v>0</v>
      </c>
      <c r="H199" s="77">
        <f>SUMIF(积分汇总!$B:$B,D198,积分汇总!$E:$E)</f>
        <v>0</v>
      </c>
      <c r="I199" s="77">
        <f>SUMIF(记录巡查问题条数汇总!$B:$B,D198,记录巡查问题条数汇总!$E:$E)</f>
        <v>0</v>
      </c>
      <c r="J199" s="77"/>
      <c r="K199" s="77">
        <f>SUMIF(安全质量事故!$B:$B,D198,安全质量事故!$G:$G)</f>
        <v>0</v>
      </c>
      <c r="L199" s="72">
        <f>COUNTIF(M199:AQ199,标准数据!$A$2)*标准数据!$B$2+COUNTIF(M199:AQ199,标准数据!$A$3)*标准数据!$B$3+COUNTIF(M199:AQ199,标准数据!$A$4)*标准数据!$B$4</f>
        <v>0</v>
      </c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189"/>
      <c r="AR199" s="55"/>
      <c r="AV199" s="76" t="str">
        <f>VLOOKUP(E199,[1]生产部!$C:$I,7,0)</f>
        <v>制备组</v>
      </c>
      <c r="AW199" s="41" t="str">
        <f>VLOOKUP(E199,[1]生产部!$C:$I,6,0)</f>
        <v>4号楼制备组</v>
      </c>
    </row>
    <row r="200" spans="1:49" ht="21" customHeight="1">
      <c r="A200" s="237" t="s">
        <v>2131</v>
      </c>
      <c r="B200" s="229" t="s">
        <v>2110</v>
      </c>
      <c r="C200" s="45" t="s">
        <v>1092</v>
      </c>
      <c r="D200" s="75" t="s">
        <v>921</v>
      </c>
      <c r="E200" s="73" t="s">
        <v>873</v>
      </c>
      <c r="F200" s="78">
        <v>46029</v>
      </c>
      <c r="G200" s="49">
        <f t="shared" si="2"/>
        <v>0</v>
      </c>
      <c r="H200" s="77">
        <f>SUMIF(积分汇总!$B:$B,D199,积分汇总!$E:$E)</f>
        <v>0</v>
      </c>
      <c r="I200" s="77">
        <f>SUMIF(记录巡查问题条数汇总!$B:$B,D199,记录巡查问题条数汇总!$E:$E)</f>
        <v>0</v>
      </c>
      <c r="J200" s="77"/>
      <c r="K200" s="77">
        <f>SUMIF(安全质量事故!$B:$B,D199,安全质量事故!$G:$G)</f>
        <v>0</v>
      </c>
      <c r="L200" s="72">
        <f>COUNTIF(M200:AQ200,标准数据!$A$2)*标准数据!$B$2+COUNTIF(M200:AQ200,标准数据!$A$3)*标准数据!$B$3+COUNTIF(M200:AQ200,标准数据!$A$4)*标准数据!$B$4</f>
        <v>0</v>
      </c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189"/>
      <c r="AR200" s="55"/>
      <c r="AS200" s="41"/>
      <c r="AT200" s="41"/>
      <c r="AU200" s="41"/>
      <c r="AV200" s="76" t="str">
        <f>VLOOKUP(E200,[1]生产部!$C:$I,7,0)</f>
        <v>制备组</v>
      </c>
      <c r="AW200" s="41" t="str">
        <f>VLOOKUP(E200,[1]生产部!$C:$I,6,0)</f>
        <v>4号楼制备组</v>
      </c>
    </row>
    <row r="201" spans="1:49" ht="21" customHeight="1">
      <c r="A201" s="237" t="s">
        <v>2131</v>
      </c>
      <c r="B201" s="229" t="s">
        <v>2110</v>
      </c>
      <c r="C201" s="45" t="s">
        <v>1092</v>
      </c>
      <c r="D201" s="75" t="s">
        <v>922</v>
      </c>
      <c r="E201" s="73" t="s">
        <v>874</v>
      </c>
      <c r="F201" s="78">
        <v>46043</v>
      </c>
      <c r="G201" s="49">
        <f t="shared" si="2"/>
        <v>0</v>
      </c>
      <c r="H201" s="77">
        <f>SUMIF(积分汇总!$B:$B,D200,积分汇总!$E:$E)</f>
        <v>0</v>
      </c>
      <c r="I201" s="77">
        <f>SUMIF(记录巡查问题条数汇总!$B:$B,D200,记录巡查问题条数汇总!$E:$E)</f>
        <v>0</v>
      </c>
      <c r="J201" s="77"/>
      <c r="K201" s="77">
        <f>SUMIF(安全质量事故!$B:$B,D200,安全质量事故!$G:$G)</f>
        <v>0</v>
      </c>
      <c r="L201" s="72">
        <f>COUNTIF(M201:AQ201,标准数据!$A$2)*标准数据!$B$2+COUNTIF(M201:AQ201,标准数据!$A$3)*标准数据!$B$3+COUNTIF(M201:AQ201,标准数据!$A$4)*标准数据!$B$4</f>
        <v>0</v>
      </c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189"/>
      <c r="AR201" s="55"/>
      <c r="AV201" s="76" t="str">
        <f>VLOOKUP(E201,[1]生产部!$C:$I,7,0)</f>
        <v>制备组</v>
      </c>
      <c r="AW201" s="41" t="str">
        <f>VLOOKUP(E201,[1]生产部!$C:$I,6,0)</f>
        <v>4号楼制备组</v>
      </c>
    </row>
    <row r="202" spans="1:49" ht="21" customHeight="1">
      <c r="A202" s="237" t="s">
        <v>2131</v>
      </c>
      <c r="B202" s="229" t="s">
        <v>2110</v>
      </c>
      <c r="C202" s="204" t="s">
        <v>14</v>
      </c>
      <c r="D202" s="208" t="s">
        <v>1974</v>
      </c>
      <c r="E202" s="207" t="s">
        <v>1975</v>
      </c>
      <c r="F202" s="209">
        <v>46225</v>
      </c>
      <c r="G202" s="49">
        <f t="shared" ref="G202:G265" si="3">(L202+H202+I202+J202-K202)</f>
        <v>0</v>
      </c>
      <c r="H202" s="77">
        <f>SUMIF(积分汇总!$B:$B,D201,积分汇总!$E:$E)</f>
        <v>0</v>
      </c>
      <c r="I202" s="77">
        <f>SUMIF(记录巡查问题条数汇总!$B:$B,D201,记录巡查问题条数汇总!$E:$E)</f>
        <v>0</v>
      </c>
      <c r="J202" s="77"/>
      <c r="K202" s="77">
        <f>SUMIF(安全质量事故!$B:$B,D201,安全质量事故!$G:$G)</f>
        <v>0</v>
      </c>
      <c r="L202" s="72">
        <f>COUNTIF(M202:AQ202,标准数据!$A$2)*标准数据!$B$2+COUNTIF(M202:AQ202,标准数据!$A$3)*标准数据!$B$3+COUNTIF(M202:AQ202,标准数据!$A$4)*标准数据!$B$4</f>
        <v>0</v>
      </c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189"/>
      <c r="AR202" s="55"/>
      <c r="AV202" s="76" t="str">
        <f>VLOOKUP(E202,[1]生产部!$C:$I,7,0)</f>
        <v>制备组</v>
      </c>
      <c r="AW202" s="41" t="str">
        <f>VLOOKUP(E202,[1]生产部!$C:$I,6,0)</f>
        <v>4号楼制备组</v>
      </c>
    </row>
    <row r="203" spans="1:49" ht="21" customHeight="1">
      <c r="A203" s="234" t="s">
        <v>1032</v>
      </c>
      <c r="B203" s="229" t="s">
        <v>2111</v>
      </c>
      <c r="C203" s="45" t="s">
        <v>81</v>
      </c>
      <c r="D203" s="46" t="s">
        <v>476</v>
      </c>
      <c r="E203" s="52" t="s">
        <v>441</v>
      </c>
      <c r="F203" s="46">
        <v>45138</v>
      </c>
      <c r="G203" s="49">
        <f t="shared" si="3"/>
        <v>0</v>
      </c>
      <c r="H203" s="77">
        <f>SUMIF(积分汇总!$B:$B,,积分汇总!$E:$E)</f>
        <v>0</v>
      </c>
      <c r="I203" s="77">
        <f>SUMIF(记录巡查问题条数汇总!$B:$B,,记录巡查问题条数汇总!$E:$E)</f>
        <v>0</v>
      </c>
      <c r="J203" s="77"/>
      <c r="K203" s="77">
        <f>SUMIF(安全质量事故!$B:$B,,安全质量事故!$G:$G)</f>
        <v>0</v>
      </c>
      <c r="L203" s="72">
        <f>COUNTIF(M203:AQ203,标准数据!$A$2)*标准数据!$B$2+COUNTIF(M203:AQ203,标准数据!$A$3)*标准数据!$B$3+COUNTIF(M203:AQ203,标准数据!$A$4)*标准数据!$B$4</f>
        <v>0</v>
      </c>
      <c r="M203" s="55"/>
      <c r="N203" s="55"/>
      <c r="O203" s="55"/>
      <c r="P203" s="55"/>
      <c r="Q203" s="56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190"/>
      <c r="AR203" s="55"/>
      <c r="AS203" s="283" t="s">
        <v>1033</v>
      </c>
      <c r="AT203" s="284"/>
      <c r="AU203" s="284"/>
      <c r="AV203" s="76" t="str">
        <f>VLOOKUP(E203,[1]生产部!$C:$I,7,0)</f>
        <v>项目组</v>
      </c>
      <c r="AW203" s="41" t="str">
        <f>VLOOKUP(E203,[1]生产部!$C:$I,6,0)</f>
        <v>11号楼CNC区域</v>
      </c>
    </row>
    <row r="204" spans="1:49" ht="21" customHeight="1">
      <c r="A204" s="234" t="s">
        <v>2132</v>
      </c>
      <c r="B204" s="229" t="s">
        <v>2111</v>
      </c>
      <c r="C204" s="45" t="s">
        <v>81</v>
      </c>
      <c r="D204" s="46" t="s">
        <v>485</v>
      </c>
      <c r="E204" s="52" t="s">
        <v>452</v>
      </c>
      <c r="F204" s="46">
        <v>45847</v>
      </c>
      <c r="G204" s="49">
        <f t="shared" si="3"/>
        <v>0</v>
      </c>
      <c r="H204" s="77">
        <f>SUMIF(积分汇总!$B:$B,D203,积分汇总!$E:$E)</f>
        <v>0</v>
      </c>
      <c r="I204" s="77">
        <f>SUMIF(记录巡查问题条数汇总!$B:$B,D203,记录巡查问题条数汇总!$E:$E)</f>
        <v>0</v>
      </c>
      <c r="J204" s="77"/>
      <c r="K204" s="77">
        <f>SUMIF(安全质量事故!$B:$B,D203,安全质量事故!$G:$G)</f>
        <v>0</v>
      </c>
      <c r="L204" s="72">
        <f>COUNTIF(M204:AQ204,标准数据!$A$2)*标准数据!$B$2+COUNTIF(M204:AQ204,标准数据!$A$3)*标准数据!$B$3+COUNTIF(M204:AQ204,标准数据!$A$4)*标准数据!$B$4</f>
        <v>0</v>
      </c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189"/>
      <c r="AR204" s="55"/>
      <c r="AS204" s="225" t="s">
        <v>1026</v>
      </c>
      <c r="AT204" s="226" t="s">
        <v>1027</v>
      </c>
      <c r="AU204" s="226" t="s">
        <v>1028</v>
      </c>
      <c r="AV204" s="76" t="str">
        <f>VLOOKUP(E204,[1]生产部!$C:$I,7,0)</f>
        <v>项目组</v>
      </c>
      <c r="AW204" s="41" t="str">
        <f>VLOOKUP(E204,[1]生产部!$C:$I,6,0)</f>
        <v>11号楼CNC区域</v>
      </c>
    </row>
    <row r="205" spans="1:49" ht="21" customHeight="1">
      <c r="A205" s="234" t="s">
        <v>2132</v>
      </c>
      <c r="B205" s="229" t="s">
        <v>2111</v>
      </c>
      <c r="C205" s="45" t="s">
        <v>81</v>
      </c>
      <c r="D205" s="46" t="s">
        <v>1625</v>
      </c>
      <c r="E205" s="47" t="s">
        <v>1626</v>
      </c>
      <c r="F205" s="48">
        <v>46208</v>
      </c>
      <c r="G205" s="49">
        <f t="shared" si="3"/>
        <v>0</v>
      </c>
      <c r="H205" s="77">
        <f>SUMIF(积分汇总!$B:$B,D204,积分汇总!$E:$E)</f>
        <v>0</v>
      </c>
      <c r="I205" s="77">
        <f>SUMIF(记录巡查问题条数汇总!$B:$B,D204,记录巡查问题条数汇总!$E:$E)</f>
        <v>0</v>
      </c>
      <c r="J205" s="77"/>
      <c r="K205" s="77">
        <f>SUMIF(安全质量事故!$B:$B,D204,安全质量事故!$G:$G)</f>
        <v>0</v>
      </c>
      <c r="L205" s="72">
        <f>COUNTIF(M205:AQ205,标准数据!$A$2)*标准数据!$B$2+COUNTIF(M205:AQ205,标准数据!$A$3)*标准数据!$B$3+COUNTIF(M205:AQ205,标准数据!$A$4)*标准数据!$B$4</f>
        <v>0</v>
      </c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189"/>
      <c r="AR205" s="55"/>
      <c r="AS205" s="64">
        <f>COUNTIF($M$203:$AQ$285,"a")</f>
        <v>0</v>
      </c>
      <c r="AT205" s="64">
        <f>COUNTIF($M$203:$AQ$285,"b")</f>
        <v>0</v>
      </c>
      <c r="AU205" s="64">
        <f>COUNTIF($M$203:$AQ$285,"c")</f>
        <v>0</v>
      </c>
      <c r="AV205" s="76" t="str">
        <f>VLOOKUP(E205,[1]生产部!$C:$I,7,0)</f>
        <v>项目组</v>
      </c>
      <c r="AW205" s="41" t="str">
        <f>VLOOKUP(E205,[1]生产部!$C:$I,6,0)</f>
        <v>11号楼CNC区域</v>
      </c>
    </row>
    <row r="206" spans="1:49" ht="21" customHeight="1">
      <c r="A206" s="234" t="s">
        <v>2132</v>
      </c>
      <c r="B206" s="229" t="s">
        <v>2111</v>
      </c>
      <c r="C206" s="45" t="s">
        <v>81</v>
      </c>
      <c r="D206" s="46" t="s">
        <v>1627</v>
      </c>
      <c r="E206" s="52" t="s">
        <v>1628</v>
      </c>
      <c r="F206" s="48">
        <v>46213</v>
      </c>
      <c r="G206" s="49">
        <f t="shared" si="3"/>
        <v>0</v>
      </c>
      <c r="H206" s="77">
        <f>SUMIF(积分汇总!$B:$B,D205,积分汇总!$E:$E)</f>
        <v>0</v>
      </c>
      <c r="I206" s="77">
        <f>SUMIF(记录巡查问题条数汇总!$B:$B,D205,记录巡查问题条数汇总!$E:$E)</f>
        <v>0</v>
      </c>
      <c r="J206" s="77"/>
      <c r="K206" s="77">
        <f>SUMIF(安全质量事故!$B:$B,D205,安全质量事故!$G:$G)</f>
        <v>0</v>
      </c>
      <c r="L206" s="72">
        <f>COUNTIF(M206:AQ206,标准数据!$A$2)*标准数据!$B$2+COUNTIF(M206:AQ206,标准数据!$A$3)*标准数据!$B$3+COUNTIF(M206:AQ206,标准数据!$A$4)*标准数据!$B$4</f>
        <v>0</v>
      </c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189"/>
      <c r="AR206" s="55"/>
      <c r="AS206" s="50" t="e">
        <f>AS205/($AS$205+$AT$205+$AU$205)</f>
        <v>#DIV/0!</v>
      </c>
      <c r="AT206" s="50" t="e">
        <f>AT205/($AS$205+$AT$205+$AU$205)</f>
        <v>#DIV/0!</v>
      </c>
      <c r="AU206" s="50" t="e">
        <f>AU205/($AS$205+$AT$205+$AU$205)</f>
        <v>#DIV/0!</v>
      </c>
      <c r="AV206" s="76" t="str">
        <f>VLOOKUP(E206,[1]生产部!$C:$I,7,0)</f>
        <v>班组</v>
      </c>
      <c r="AW206" s="41" t="str">
        <f>VLOOKUP(E206,[1]生产部!$C:$I,6,0)</f>
        <v>11号楼CNC区域</v>
      </c>
    </row>
    <row r="207" spans="1:49" s="51" customFormat="1" ht="21" customHeight="1">
      <c r="A207" s="234" t="s">
        <v>2132</v>
      </c>
      <c r="B207" s="229" t="s">
        <v>2111</v>
      </c>
      <c r="C207" s="45" t="s">
        <v>81</v>
      </c>
      <c r="D207" s="47" t="s">
        <v>928</v>
      </c>
      <c r="E207" s="52" t="s">
        <v>879</v>
      </c>
      <c r="F207" s="46">
        <v>46015</v>
      </c>
      <c r="G207" s="49">
        <f t="shared" si="3"/>
        <v>0</v>
      </c>
      <c r="H207" s="77">
        <f>SUMIF(积分汇总!$B:$B,,积分汇总!$E:$E)</f>
        <v>0</v>
      </c>
      <c r="I207" s="77">
        <f>SUMIF(记录巡查问题条数汇总!$B:$B,,记录巡查问题条数汇总!$E:$E)</f>
        <v>0</v>
      </c>
      <c r="J207" s="77"/>
      <c r="K207" s="77">
        <f>SUMIF(安全质量事故!$B:$B,,安全质量事故!$G:$G)</f>
        <v>0</v>
      </c>
      <c r="L207" s="72">
        <f>COUNTIF(M207:AQ207,标准数据!$A$2)*标准数据!$B$2+COUNTIF(M207:AQ207,标准数据!$A$3)*标准数据!$B$3+COUNTIF(M207:AQ207,标准数据!$A$4)*标准数据!$B$4</f>
        <v>0</v>
      </c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189"/>
      <c r="AR207" s="55"/>
      <c r="AV207" s="76" t="str">
        <f>VLOOKUP(E207,[1]生产部!$C:$I,7,0)</f>
        <v>常白</v>
      </c>
      <c r="AW207" s="41" t="str">
        <f>VLOOKUP(E207,[1]生产部!$C:$I,6,0)</f>
        <v>11号楼CNC区域</v>
      </c>
    </row>
    <row r="208" spans="1:49" ht="18.75" customHeight="1">
      <c r="A208" s="234" t="s">
        <v>2132</v>
      </c>
      <c r="B208" s="229" t="s">
        <v>2112</v>
      </c>
      <c r="C208" s="45" t="s">
        <v>81</v>
      </c>
      <c r="D208" s="47" t="s">
        <v>1435</v>
      </c>
      <c r="E208" s="52" t="s">
        <v>1436</v>
      </c>
      <c r="F208" s="46">
        <v>46176</v>
      </c>
      <c r="G208" s="49">
        <f t="shared" si="3"/>
        <v>0</v>
      </c>
      <c r="H208" s="77">
        <f>SUMIF(积分汇总!$B:$B,D207,积分汇总!$E:$E)</f>
        <v>0</v>
      </c>
      <c r="I208" s="77">
        <f>SUMIF(记录巡查问题条数汇总!$B:$B,D207,记录巡查问题条数汇总!$E:$E)</f>
        <v>0</v>
      </c>
      <c r="J208" s="77"/>
      <c r="K208" s="77">
        <f>SUMIF(安全质量事故!$B:$B,D207,安全质量事故!$G:$G)</f>
        <v>0</v>
      </c>
      <c r="L208" s="72">
        <f>COUNTIF(M208:AQ208,标准数据!$A$2)*标准数据!$B$2+COUNTIF(M208:AQ208,标准数据!$A$3)*标准数据!$B$3+COUNTIF(M208:AQ208,标准数据!$A$4)*标准数据!$B$4</f>
        <v>0</v>
      </c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189"/>
      <c r="AR208" s="55"/>
      <c r="AS208" s="41"/>
      <c r="AT208" s="41"/>
      <c r="AU208" s="41"/>
      <c r="AV208" s="76" t="str">
        <f>VLOOKUP(E208,[1]生产部!$C:$I,7,0)</f>
        <v>项目组倒班</v>
      </c>
      <c r="AW208" s="41" t="str">
        <f>VLOOKUP(E208,[1]生产部!$C:$I,6,0)</f>
        <v>11号楼CNC区域</v>
      </c>
    </row>
    <row r="209" spans="1:49" ht="21" customHeight="1">
      <c r="A209" s="234" t="s">
        <v>2132</v>
      </c>
      <c r="B209" s="229" t="s">
        <v>2113</v>
      </c>
      <c r="C209" s="45" t="s">
        <v>81</v>
      </c>
      <c r="D209" s="47" t="s">
        <v>1629</v>
      </c>
      <c r="E209" s="52" t="s">
        <v>1630</v>
      </c>
      <c r="F209" s="46">
        <v>46208</v>
      </c>
      <c r="G209" s="49">
        <f t="shared" si="3"/>
        <v>0</v>
      </c>
      <c r="H209" s="77">
        <f>SUMIF(积分汇总!$B:$B,D208,积分汇总!$E:$E)</f>
        <v>0</v>
      </c>
      <c r="I209" s="77">
        <f>SUMIF(记录巡查问题条数汇总!$B:$B,D208,记录巡查问题条数汇总!$E:$E)</f>
        <v>0</v>
      </c>
      <c r="J209" s="77"/>
      <c r="K209" s="77">
        <f>SUMIF(安全质量事故!$B:$B,D208,安全质量事故!$G:$G)</f>
        <v>0</v>
      </c>
      <c r="L209" s="72">
        <f>COUNTIF(M209:AQ209,标准数据!$A$2)*标准数据!$B$2+COUNTIF(M209:AQ209,标准数据!$A$3)*标准数据!$B$3+COUNTIF(M209:AQ209,标准数据!$A$4)*标准数据!$B$4</f>
        <v>0</v>
      </c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189"/>
      <c r="AR209" s="55"/>
      <c r="AS209" s="41"/>
      <c r="AT209" s="41"/>
      <c r="AU209" s="41"/>
      <c r="AV209" s="76">
        <f>VLOOKUP(E209,[1]生产部!$C:$I,7,0)</f>
        <v>5104</v>
      </c>
      <c r="AW209" s="41" t="str">
        <f>VLOOKUP(E209,[1]生产部!$C:$I,6,0)</f>
        <v>11号楼</v>
      </c>
    </row>
    <row r="210" spans="1:49" ht="21" customHeight="1">
      <c r="A210" s="234" t="s">
        <v>2132</v>
      </c>
      <c r="B210" s="229" t="s">
        <v>2111</v>
      </c>
      <c r="C210" s="45" t="s">
        <v>131</v>
      </c>
      <c r="D210" s="46" t="s">
        <v>175</v>
      </c>
      <c r="E210" s="47" t="s">
        <v>176</v>
      </c>
      <c r="F210" s="48">
        <v>38548</v>
      </c>
      <c r="G210" s="49">
        <f t="shared" si="3"/>
        <v>0</v>
      </c>
      <c r="H210" s="77">
        <f>SUMIF(积分汇总!$B:$B,D209,积分汇总!$E:$E)</f>
        <v>0</v>
      </c>
      <c r="I210" s="77">
        <f>SUMIF(记录巡查问题条数汇总!$B:$B,D209,记录巡查问题条数汇总!$E:$E)</f>
        <v>0</v>
      </c>
      <c r="J210" s="77"/>
      <c r="K210" s="77">
        <f>SUMIF(安全质量事故!$B:$B,D209,安全质量事故!$G:$G)</f>
        <v>0</v>
      </c>
      <c r="L210" s="72">
        <f>COUNTIF(M210:AQ210,标准数据!$A$2)*标准数据!$B$2+COUNTIF(M210:AQ210,标准数据!$A$3)*标准数据!$B$3+COUNTIF(M210:AQ210,标准数据!$A$4)*标准数据!$B$4</f>
        <v>0</v>
      </c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189"/>
      <c r="AR210" s="55"/>
      <c r="AS210" s="41"/>
      <c r="AT210" s="41"/>
      <c r="AU210" s="41"/>
      <c r="AV210" s="76" t="str">
        <f>VLOOKUP(E210,[1]生产部!$C:$I,7,0)</f>
        <v>班组</v>
      </c>
      <c r="AW210" s="41" t="str">
        <f>VLOOKUP(E210,[1]生产部!$C:$I,6,0)</f>
        <v>11号楼CNC区域</v>
      </c>
    </row>
    <row r="211" spans="1:49" s="51" customFormat="1" ht="21" customHeight="1">
      <c r="A211" s="234" t="s">
        <v>2132</v>
      </c>
      <c r="B211" s="229" t="s">
        <v>2111</v>
      </c>
      <c r="C211" s="45" t="s">
        <v>154</v>
      </c>
      <c r="D211" s="46" t="s">
        <v>212</v>
      </c>
      <c r="E211" s="52" t="s">
        <v>213</v>
      </c>
      <c r="F211" s="46">
        <v>44774</v>
      </c>
      <c r="G211" s="49">
        <f t="shared" si="3"/>
        <v>0</v>
      </c>
      <c r="H211" s="77">
        <f>SUMIF(积分汇总!$B:$B,D210,积分汇总!$E:$E)</f>
        <v>0</v>
      </c>
      <c r="I211" s="77">
        <f>SUMIF(记录巡查问题条数汇总!$B:$B,D210,记录巡查问题条数汇总!$E:$E)</f>
        <v>0</v>
      </c>
      <c r="J211" s="77"/>
      <c r="K211" s="77">
        <f>SUMIF(安全质量事故!$B:$B,D210,安全质量事故!$G:$G)</f>
        <v>0</v>
      </c>
      <c r="L211" s="72">
        <f>COUNTIF(M211:AQ211,标准数据!$A$2)*标准数据!$B$2+COUNTIF(M211:AQ211,标准数据!$A$3)*标准数据!$B$3+COUNTIF(M211:AQ211,标准数据!$A$4)*标准数据!$B$4</f>
        <v>0</v>
      </c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189"/>
      <c r="AR211" s="55"/>
      <c r="AV211" s="76" t="str">
        <f>VLOOKUP(E211,[1]生产部!$C:$I,7,0)</f>
        <v>班组</v>
      </c>
      <c r="AW211" s="41" t="str">
        <f>VLOOKUP(E211,[1]生产部!$C:$I,6,0)</f>
        <v>11号楼CNC区域</v>
      </c>
    </row>
    <row r="212" spans="1:49" s="51" customFormat="1" ht="21" customHeight="1">
      <c r="A212" s="234" t="s">
        <v>2132</v>
      </c>
      <c r="B212" s="229" t="s">
        <v>2111</v>
      </c>
      <c r="C212" s="45" t="s">
        <v>154</v>
      </c>
      <c r="D212" s="46" t="s">
        <v>1647</v>
      </c>
      <c r="E212" s="52" t="s">
        <v>1648</v>
      </c>
      <c r="F212" s="46">
        <v>46204</v>
      </c>
      <c r="G212" s="49">
        <f t="shared" si="3"/>
        <v>0</v>
      </c>
      <c r="H212" s="77">
        <f>SUMIF(积分汇总!$B:$B,D211,积分汇总!$E:$E)</f>
        <v>0</v>
      </c>
      <c r="I212" s="77">
        <f>SUMIF(记录巡查问题条数汇总!$B:$B,D211,记录巡查问题条数汇总!$E:$E)</f>
        <v>0</v>
      </c>
      <c r="J212" s="77"/>
      <c r="K212" s="77">
        <f>SUMIF(安全质量事故!$B:$B,D211,安全质量事故!$G:$G)</f>
        <v>0</v>
      </c>
      <c r="L212" s="72">
        <f>COUNTIF(M212:AQ212,标准数据!$A$2)*标准数据!$B$2+COUNTIF(M212:AQ212,标准数据!$A$3)*标准数据!$B$3+COUNTIF(M212:AQ212,标准数据!$A$4)*标准数据!$B$4</f>
        <v>0</v>
      </c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189"/>
      <c r="AR212" s="55"/>
      <c r="AV212" s="76" t="str">
        <f>VLOOKUP(E212,[1]生产部!$C:$I,7,0)</f>
        <v>班组</v>
      </c>
      <c r="AW212" s="41" t="str">
        <f>VLOOKUP(E212,[1]生产部!$C:$I,6,0)</f>
        <v>11号楼CNC区域</v>
      </c>
    </row>
    <row r="213" spans="1:49" s="51" customFormat="1" ht="21" customHeight="1">
      <c r="A213" s="234" t="s">
        <v>2132</v>
      </c>
      <c r="B213" s="229" t="s">
        <v>2113</v>
      </c>
      <c r="C213" s="45" t="s">
        <v>14</v>
      </c>
      <c r="D213" s="46" t="s">
        <v>127</v>
      </c>
      <c r="E213" s="47" t="s">
        <v>128</v>
      </c>
      <c r="F213" s="48">
        <v>45238</v>
      </c>
      <c r="G213" s="49">
        <f t="shared" si="3"/>
        <v>0</v>
      </c>
      <c r="H213" s="77">
        <f>SUMIF(积分汇总!$B:$B,,积分汇总!$E:$E)</f>
        <v>0</v>
      </c>
      <c r="I213" s="77">
        <f>SUMIF(记录巡查问题条数汇总!$B:$B,,记录巡查问题条数汇总!$E:$E)</f>
        <v>0</v>
      </c>
      <c r="J213" s="77"/>
      <c r="K213" s="77">
        <f>SUMIF(安全质量事故!$B:$B,,安全质量事故!$G:$G)</f>
        <v>0</v>
      </c>
      <c r="L213" s="72">
        <f>COUNTIF(M213:AQ213,标准数据!$A$2)*标准数据!$B$2+COUNTIF(M213:AQ213,标准数据!$A$3)*标准数据!$B$3+COUNTIF(M213:AQ213,标准数据!$A$4)*标准数据!$B$4</f>
        <v>0</v>
      </c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189"/>
      <c r="AR213" s="55"/>
      <c r="AV213" s="76">
        <f>VLOOKUP(E213,[1]生产部!$C:$I,7,0)</f>
        <v>5104</v>
      </c>
      <c r="AW213" s="41" t="str">
        <f>VLOOKUP(E213,[1]生产部!$C:$I,6,0)</f>
        <v>11号楼</v>
      </c>
    </row>
    <row r="214" spans="1:49" s="51" customFormat="1" ht="21" customHeight="1">
      <c r="A214" s="234" t="s">
        <v>2132</v>
      </c>
      <c r="B214" s="229" t="s">
        <v>2111</v>
      </c>
      <c r="C214" s="45" t="s">
        <v>14</v>
      </c>
      <c r="D214" s="46" t="s">
        <v>220</v>
      </c>
      <c r="E214" s="47" t="s">
        <v>221</v>
      </c>
      <c r="F214" s="48">
        <v>45490</v>
      </c>
      <c r="G214" s="49">
        <f t="shared" si="3"/>
        <v>0</v>
      </c>
      <c r="H214" s="77">
        <f>SUMIF(积分汇总!$B:$B,,积分汇总!$E:$E)</f>
        <v>0</v>
      </c>
      <c r="I214" s="77">
        <f>SUMIF(记录巡查问题条数汇总!$B:$B,,记录巡查问题条数汇总!$E:$E)</f>
        <v>0</v>
      </c>
      <c r="J214" s="77"/>
      <c r="K214" s="77">
        <f>SUMIF(安全质量事故!$B:$B,,安全质量事故!$G:$G)</f>
        <v>0</v>
      </c>
      <c r="L214" s="72">
        <f>COUNTIF(M214:AQ214,标准数据!$A$2)*标准数据!$B$2+COUNTIF(M214:AQ214,标准数据!$A$3)*标准数据!$B$3+COUNTIF(M214:AQ214,标准数据!$A$4)*标准数据!$B$4</f>
        <v>0</v>
      </c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189"/>
      <c r="AR214" s="55"/>
      <c r="AV214" s="76" t="str">
        <f>VLOOKUP(E214,[1]生产部!$C:$I,7,0)</f>
        <v>常白</v>
      </c>
      <c r="AW214" s="41" t="str">
        <f>VLOOKUP(E214,[1]生产部!$C:$I,6,0)</f>
        <v>11号楼CNC区域</v>
      </c>
    </row>
    <row r="215" spans="1:49" ht="18.75" customHeight="1">
      <c r="A215" s="234" t="s">
        <v>2132</v>
      </c>
      <c r="B215" s="229" t="s">
        <v>2111</v>
      </c>
      <c r="C215" s="45" t="s">
        <v>14</v>
      </c>
      <c r="D215" s="46" t="s">
        <v>216</v>
      </c>
      <c r="E215" s="52" t="s">
        <v>217</v>
      </c>
      <c r="F215" s="48">
        <v>45469</v>
      </c>
      <c r="G215" s="49">
        <f t="shared" si="3"/>
        <v>0</v>
      </c>
      <c r="H215" s="77">
        <f>SUMIF(积分汇总!$B:$B,D214,积分汇总!$E:$E)</f>
        <v>0</v>
      </c>
      <c r="I215" s="77">
        <f>SUMIF(记录巡查问题条数汇总!$B:$B,D214,记录巡查问题条数汇总!$E:$E)</f>
        <v>0</v>
      </c>
      <c r="J215" s="77"/>
      <c r="K215" s="77">
        <f>SUMIF(安全质量事故!$B:$B,D214,安全质量事故!$G:$G)</f>
        <v>0</v>
      </c>
      <c r="L215" s="72">
        <f>COUNTIF(M215:AQ215,标准数据!$A$2)*标准数据!$B$2+COUNTIF(M215:AQ215,标准数据!$A$3)*标准数据!$B$3+COUNTIF(M215:AQ215,标准数据!$A$4)*标准数据!$B$4</f>
        <v>0</v>
      </c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189"/>
      <c r="AR215" s="55"/>
      <c r="AS215" s="41"/>
      <c r="AT215" s="41"/>
      <c r="AU215" s="41"/>
      <c r="AV215" s="76" t="str">
        <f>VLOOKUP(E215,[1]生产部!$C:$I,7,0)</f>
        <v>班组</v>
      </c>
      <c r="AW215" s="41" t="str">
        <f>VLOOKUP(E215,[1]生产部!$C:$I,6,0)</f>
        <v>11号楼CNC区域</v>
      </c>
    </row>
    <row r="216" spans="1:49" ht="18.75" customHeight="1">
      <c r="A216" s="234" t="s">
        <v>2132</v>
      </c>
      <c r="B216" s="229" t="s">
        <v>2111</v>
      </c>
      <c r="C216" s="45" t="s">
        <v>14</v>
      </c>
      <c r="D216" s="46" t="s">
        <v>248</v>
      </c>
      <c r="E216" s="47" t="s">
        <v>224</v>
      </c>
      <c r="F216" s="48">
        <v>44753</v>
      </c>
      <c r="G216" s="49">
        <f t="shared" si="3"/>
        <v>0</v>
      </c>
      <c r="H216" s="77">
        <f>SUMIF(积分汇总!$B:$B,,积分汇总!$E:$E)</f>
        <v>0</v>
      </c>
      <c r="I216" s="77">
        <f>SUMIF(记录巡查问题条数汇总!$B:$B,,记录巡查问题条数汇总!$E:$E)</f>
        <v>0</v>
      </c>
      <c r="J216" s="77"/>
      <c r="K216" s="77">
        <f>SUMIF(安全质量事故!$B:$B,,安全质量事故!$G:$G)</f>
        <v>0</v>
      </c>
      <c r="L216" s="72">
        <f>COUNTIF(M216:AQ216,标准数据!$A$2)*标准数据!$B$2+COUNTIF(M216:AQ216,标准数据!$A$3)*标准数据!$B$3+COUNTIF(M216:AQ216,标准数据!$A$4)*标准数据!$B$4</f>
        <v>0</v>
      </c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189"/>
      <c r="AR216" s="55"/>
      <c r="AS216" s="41"/>
      <c r="AT216" s="41"/>
      <c r="AU216" s="41"/>
      <c r="AV216" s="76" t="str">
        <f>VLOOKUP(E216,[1]生产部!$C:$I,7,0)</f>
        <v>班组</v>
      </c>
      <c r="AW216" s="41" t="str">
        <f>VLOOKUP(E216,[1]生产部!$C:$I,6,0)</f>
        <v>11号楼CNC区域</v>
      </c>
    </row>
    <row r="217" spans="1:49" ht="21" customHeight="1">
      <c r="A217" s="234" t="s">
        <v>2132</v>
      </c>
      <c r="B217" s="229" t="s">
        <v>2111</v>
      </c>
      <c r="C217" s="45" t="s">
        <v>14</v>
      </c>
      <c r="D217" s="46" t="s">
        <v>249</v>
      </c>
      <c r="E217" s="47" t="s">
        <v>225</v>
      </c>
      <c r="F217" s="48">
        <v>44753</v>
      </c>
      <c r="G217" s="49">
        <f t="shared" si="3"/>
        <v>0</v>
      </c>
      <c r="H217" s="77">
        <f>SUMIF(积分汇总!$B:$B,D216,积分汇总!$E:$E)</f>
        <v>0</v>
      </c>
      <c r="I217" s="77">
        <f>SUMIF(记录巡查问题条数汇总!$B:$B,D216,记录巡查问题条数汇总!$E:$E)</f>
        <v>0</v>
      </c>
      <c r="J217" s="77"/>
      <c r="K217" s="77">
        <f>SUMIF(安全质量事故!$B:$B,D216,安全质量事故!$G:$G)</f>
        <v>0</v>
      </c>
      <c r="L217" s="72">
        <f>COUNTIF(M217:AQ217,标准数据!$A$2)*标准数据!$B$2+COUNTIF(M217:AQ217,标准数据!$A$3)*标准数据!$B$3+COUNTIF(M217:AQ217,标准数据!$A$4)*标准数据!$B$4</f>
        <v>0</v>
      </c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189"/>
      <c r="AR217" s="55"/>
      <c r="AV217" s="76" t="str">
        <f>VLOOKUP(E217,[1]生产部!$C:$I,7,0)</f>
        <v>班组</v>
      </c>
      <c r="AW217" s="41" t="str">
        <f>VLOOKUP(E217,[1]生产部!$C:$I,6,0)</f>
        <v>11号楼CNC区域</v>
      </c>
    </row>
    <row r="218" spans="1:49" ht="21" customHeight="1">
      <c r="A218" s="234" t="s">
        <v>2132</v>
      </c>
      <c r="B218" s="229" t="s">
        <v>2111</v>
      </c>
      <c r="C218" s="45" t="s">
        <v>14</v>
      </c>
      <c r="D218" s="46" t="s">
        <v>428</v>
      </c>
      <c r="E218" s="47" t="s">
        <v>423</v>
      </c>
      <c r="F218" s="48">
        <v>45826</v>
      </c>
      <c r="G218" s="49">
        <f t="shared" si="3"/>
        <v>0</v>
      </c>
      <c r="H218" s="77">
        <f>SUMIF(积分汇总!$B:$B,D217,积分汇总!$E:$E)</f>
        <v>0</v>
      </c>
      <c r="I218" s="77">
        <f>SUMIF(记录巡查问题条数汇总!$B:$B,D217,记录巡查问题条数汇总!$E:$E)</f>
        <v>0</v>
      </c>
      <c r="J218" s="77"/>
      <c r="K218" s="77">
        <f>SUMIF(安全质量事故!$B:$B,D217,安全质量事故!$G:$G)</f>
        <v>0</v>
      </c>
      <c r="L218" s="72">
        <f>COUNTIF(M218:AQ218,标准数据!$A$2)*标准数据!$B$2+COUNTIF(M218:AQ218,标准数据!$A$3)*标准数据!$B$3+COUNTIF(M218:AQ218,标准数据!$A$4)*标准数据!$B$4</f>
        <v>0</v>
      </c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189"/>
      <c r="AR218" s="55"/>
      <c r="AV218" s="76" t="str">
        <f>VLOOKUP(E218,[1]生产部!$C:$I,7,0)</f>
        <v>班组</v>
      </c>
      <c r="AW218" s="41" t="str">
        <f>VLOOKUP(E218,[1]生产部!$C:$I,6,0)</f>
        <v>11号楼CNC区域</v>
      </c>
    </row>
    <row r="219" spans="1:49" ht="21" customHeight="1">
      <c r="A219" s="234" t="s">
        <v>2132</v>
      </c>
      <c r="B219" s="229" t="s">
        <v>2111</v>
      </c>
      <c r="C219" s="45" t="s">
        <v>14</v>
      </c>
      <c r="D219" s="46" t="s">
        <v>214</v>
      </c>
      <c r="E219" s="52" t="s">
        <v>215</v>
      </c>
      <c r="F219" s="46">
        <v>45462</v>
      </c>
      <c r="G219" s="49">
        <f t="shared" si="3"/>
        <v>0</v>
      </c>
      <c r="H219" s="77">
        <f>SUMIF(积分汇总!$B:$B,D218,积分汇总!$E:$E)</f>
        <v>0</v>
      </c>
      <c r="I219" s="77">
        <f>SUMIF(记录巡查问题条数汇总!$B:$B,D218,记录巡查问题条数汇总!$E:$E)</f>
        <v>0</v>
      </c>
      <c r="J219" s="77"/>
      <c r="K219" s="77">
        <f>SUMIF(安全质量事故!$B:$B,D218,安全质量事故!$G:$G)</f>
        <v>0</v>
      </c>
      <c r="L219" s="72">
        <f>COUNTIF(M219:AQ219,标准数据!$A$2)*标准数据!$B$2+COUNTIF(M219:AQ219,标准数据!$A$3)*标准数据!$B$3+COUNTIF(M219:AQ219,标准数据!$A$4)*标准数据!$B$4</f>
        <v>0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189"/>
      <c r="AR219" s="55"/>
      <c r="AV219" s="76" t="str">
        <f>VLOOKUP(E219,[1]生产部!$C:$I,7,0)</f>
        <v>班组</v>
      </c>
      <c r="AW219" s="41" t="str">
        <f>VLOOKUP(E219,[1]生产部!$C:$I,6,0)</f>
        <v>11号楼CNC区域</v>
      </c>
    </row>
    <row r="220" spans="1:49" ht="21" customHeight="1">
      <c r="A220" s="234" t="s">
        <v>2132</v>
      </c>
      <c r="B220" s="229" t="s">
        <v>2111</v>
      </c>
      <c r="C220" s="45" t="s">
        <v>14</v>
      </c>
      <c r="D220" s="46" t="s">
        <v>276</v>
      </c>
      <c r="E220" s="47" t="s">
        <v>272</v>
      </c>
      <c r="F220" s="48">
        <v>45532</v>
      </c>
      <c r="G220" s="49">
        <f t="shared" si="3"/>
        <v>0</v>
      </c>
      <c r="H220" s="77">
        <f>SUMIF(积分汇总!$B:$B,D219,积分汇总!$E:$E)</f>
        <v>0</v>
      </c>
      <c r="I220" s="77">
        <f>SUMIF(记录巡查问题条数汇总!$B:$B,D219,记录巡查问题条数汇总!$E:$E)</f>
        <v>0</v>
      </c>
      <c r="J220" s="77"/>
      <c r="K220" s="77">
        <f>SUMIF(安全质量事故!$B:$B,D219,安全质量事故!$G:$G)</f>
        <v>0</v>
      </c>
      <c r="L220" s="72">
        <f>COUNTIF(M220:AQ220,标准数据!$A$2)*标准数据!$B$2+COUNTIF(M220:AQ220,标准数据!$A$3)*标准数据!$B$3+COUNTIF(M220:AQ220,标准数据!$A$4)*标准数据!$B$4</f>
        <v>0</v>
      </c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189"/>
      <c r="AR220" s="55"/>
      <c r="AV220" s="76" t="str">
        <f>VLOOKUP(E220,[1]生产部!$C:$I,7,0)</f>
        <v>班组</v>
      </c>
      <c r="AW220" s="41" t="str">
        <f>VLOOKUP(E220,[1]生产部!$C:$I,6,0)</f>
        <v>11号楼CNC区域</v>
      </c>
    </row>
    <row r="221" spans="1:49" ht="21" customHeight="1">
      <c r="A221" s="234" t="s">
        <v>2132</v>
      </c>
      <c r="B221" s="229" t="s">
        <v>2111</v>
      </c>
      <c r="C221" s="45" t="s">
        <v>87</v>
      </c>
      <c r="D221" s="46" t="s">
        <v>545</v>
      </c>
      <c r="E221" s="47" t="s">
        <v>512</v>
      </c>
      <c r="F221" s="48">
        <v>45889</v>
      </c>
      <c r="G221" s="49">
        <f t="shared" si="3"/>
        <v>0</v>
      </c>
      <c r="H221" s="77">
        <f>SUMIF(积分汇总!$B:$B,D220,积分汇总!$E:$E)</f>
        <v>0</v>
      </c>
      <c r="I221" s="77">
        <f>SUMIF(记录巡查问题条数汇总!$B:$B,D220,记录巡查问题条数汇总!$E:$E)</f>
        <v>0</v>
      </c>
      <c r="J221" s="77"/>
      <c r="K221" s="77">
        <f>SUMIF(安全质量事故!$B:$B,D220,安全质量事故!$G:$G)</f>
        <v>0</v>
      </c>
      <c r="L221" s="72">
        <f>COUNTIF(M221:AQ221,标准数据!$A$2)*标准数据!$B$2+COUNTIF(M221:AQ221,标准数据!$A$3)*标准数据!$B$3+COUNTIF(M221:AQ221,标准数据!$A$4)*标准数据!$B$4</f>
        <v>0</v>
      </c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189"/>
      <c r="AR221" s="55"/>
      <c r="AV221" s="76" t="str">
        <f>VLOOKUP(E221,[1]生产部!$C:$I,7,0)</f>
        <v>项目组</v>
      </c>
      <c r="AW221" s="41" t="str">
        <f>VLOOKUP(E221,[1]生产部!$C:$I,6,0)</f>
        <v>11号楼CNC区域</v>
      </c>
    </row>
    <row r="222" spans="1:49" ht="21" customHeight="1">
      <c r="A222" s="234" t="s">
        <v>2132</v>
      </c>
      <c r="B222" s="229" t="s">
        <v>2111</v>
      </c>
      <c r="C222" s="45" t="s">
        <v>14</v>
      </c>
      <c r="D222" s="46" t="s">
        <v>1280</v>
      </c>
      <c r="E222" s="47" t="s">
        <v>685</v>
      </c>
      <c r="F222" s="48">
        <v>45980</v>
      </c>
      <c r="G222" s="49">
        <f t="shared" si="3"/>
        <v>0</v>
      </c>
      <c r="H222" s="77">
        <f>SUMIF(积分汇总!$B:$B,,积分汇总!$E:$E)</f>
        <v>0</v>
      </c>
      <c r="I222" s="77">
        <f>SUMIF(记录巡查问题条数汇总!$B:$B,,记录巡查问题条数汇总!$E:$E)</f>
        <v>0</v>
      </c>
      <c r="J222" s="77"/>
      <c r="K222" s="77">
        <f>SUMIF(安全质量事故!$B:$B,,安全质量事故!$G:$G)</f>
        <v>0</v>
      </c>
      <c r="L222" s="72">
        <f>COUNTIF(M222:AQ222,标准数据!$A$2)*标准数据!$B$2+COUNTIF(M222:AQ222,标准数据!$A$3)*标准数据!$B$3+COUNTIF(M222:AQ222,标准数据!$A$4)*标准数据!$B$4</f>
        <v>0</v>
      </c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189"/>
      <c r="AR222" s="55"/>
      <c r="AV222" s="76" t="str">
        <f>VLOOKUP(E222,[1]生产部!$C:$I,7,0)</f>
        <v>常白</v>
      </c>
      <c r="AW222" s="41" t="str">
        <f>VLOOKUP(E222,[1]生产部!$C:$I,6,0)</f>
        <v>11号楼CNC区域</v>
      </c>
    </row>
    <row r="223" spans="1:49" ht="21" customHeight="1">
      <c r="A223" s="234" t="s">
        <v>2132</v>
      </c>
      <c r="B223" s="229" t="s">
        <v>2111</v>
      </c>
      <c r="C223" s="45" t="s">
        <v>14</v>
      </c>
      <c r="D223" s="46" t="s">
        <v>818</v>
      </c>
      <c r="E223" s="47" t="s">
        <v>770</v>
      </c>
      <c r="F223" s="48">
        <v>45987</v>
      </c>
      <c r="G223" s="49">
        <f t="shared" si="3"/>
        <v>0</v>
      </c>
      <c r="H223" s="77">
        <f>SUMIF(积分汇总!$B:$B,D222,积分汇总!$E:$E)</f>
        <v>0</v>
      </c>
      <c r="I223" s="77">
        <f>SUMIF(记录巡查问题条数汇总!$B:$B,D222,记录巡查问题条数汇总!$E:$E)</f>
        <v>0</v>
      </c>
      <c r="J223" s="77"/>
      <c r="K223" s="77">
        <f>SUMIF(安全质量事故!$B:$B,D222,安全质量事故!$G:$G)</f>
        <v>0</v>
      </c>
      <c r="L223" s="72">
        <f>COUNTIF(M223:AQ223,标准数据!$A$2)*标准数据!$B$2+COUNTIF(M223:AQ223,标准数据!$A$3)*标准数据!$B$3+COUNTIF(M223:AQ223,标准数据!$A$4)*标准数据!$B$4</f>
        <v>0</v>
      </c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189"/>
      <c r="AR223" s="55"/>
      <c r="AV223" s="76" t="str">
        <f>VLOOKUP(E223,[1]生产部!$C:$I,7,0)</f>
        <v>班组</v>
      </c>
      <c r="AW223" s="41" t="str">
        <f>VLOOKUP(E223,[1]生产部!$C:$I,6,0)</f>
        <v>11号楼CNC区域</v>
      </c>
    </row>
    <row r="224" spans="1:49" ht="21" customHeight="1">
      <c r="A224" s="234" t="s">
        <v>2132</v>
      </c>
      <c r="B224" s="229" t="s">
        <v>2111</v>
      </c>
      <c r="C224" s="45" t="s">
        <v>14</v>
      </c>
      <c r="D224" s="46" t="s">
        <v>819</v>
      </c>
      <c r="E224" s="47" t="s">
        <v>771</v>
      </c>
      <c r="F224" s="48">
        <v>46008</v>
      </c>
      <c r="G224" s="49">
        <f t="shared" si="3"/>
        <v>0</v>
      </c>
      <c r="H224" s="77">
        <f>SUMIF(积分汇总!$B:$B,D223,积分汇总!$E:$E)</f>
        <v>0</v>
      </c>
      <c r="I224" s="77">
        <f>SUMIF(记录巡查问题条数汇总!$B:$B,D223,记录巡查问题条数汇总!$E:$E)</f>
        <v>0</v>
      </c>
      <c r="J224" s="77"/>
      <c r="K224" s="77">
        <f>SUMIF(安全质量事故!$B:$B,D223,安全质量事故!$G:$G)</f>
        <v>0</v>
      </c>
      <c r="L224" s="72">
        <f>COUNTIF(M224:AQ224,标准数据!$A$2)*标准数据!$B$2+COUNTIF(M224:AQ224,标准数据!$A$3)*标准数据!$B$3+COUNTIF(M224:AQ224,标准数据!$A$4)*标准数据!$B$4</f>
        <v>0</v>
      </c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189"/>
      <c r="AR224" s="55"/>
      <c r="AV224" s="76" t="str">
        <f>VLOOKUP(E224,[1]生产部!$C:$I,7,0)</f>
        <v>班组</v>
      </c>
      <c r="AW224" s="41" t="str">
        <f>VLOOKUP(E224,[1]生产部!$C:$I,6,0)</f>
        <v>11号楼CNC区域</v>
      </c>
    </row>
    <row r="225" spans="1:49" ht="21" customHeight="1">
      <c r="A225" s="234" t="s">
        <v>2132</v>
      </c>
      <c r="B225" s="229" t="s">
        <v>2111</v>
      </c>
      <c r="C225" s="45" t="s">
        <v>87</v>
      </c>
      <c r="D225" s="46" t="s">
        <v>820</v>
      </c>
      <c r="E225" s="52" t="s">
        <v>772</v>
      </c>
      <c r="F225" s="46">
        <v>46008</v>
      </c>
      <c r="G225" s="49">
        <f t="shared" si="3"/>
        <v>0</v>
      </c>
      <c r="H225" s="77">
        <f>SUMIF(积分汇总!$B:$B,D224,积分汇总!$E:$E)</f>
        <v>0</v>
      </c>
      <c r="I225" s="77">
        <f>SUMIF(记录巡查问题条数汇总!$B:$B,D224,记录巡查问题条数汇总!$E:$E)</f>
        <v>0</v>
      </c>
      <c r="J225" s="77"/>
      <c r="K225" s="77">
        <f>SUMIF(安全质量事故!$B:$B,D224,安全质量事故!$G:$G)</f>
        <v>0</v>
      </c>
      <c r="L225" s="72">
        <f>COUNTIF(M225:AQ225,标准数据!$A$2)*标准数据!$B$2+COUNTIF(M225:AQ225,标准数据!$A$3)*标准数据!$B$3+COUNTIF(M225:AQ225,标准数据!$A$4)*标准数据!$B$4</f>
        <v>0</v>
      </c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189"/>
      <c r="AR225" s="55"/>
      <c r="AS225" s="41"/>
      <c r="AT225" s="41"/>
      <c r="AU225" s="41"/>
      <c r="AV225" s="76" t="str">
        <f>VLOOKUP(E225,[1]生产部!$C:$I,7,0)</f>
        <v>班组</v>
      </c>
      <c r="AW225" s="41" t="str">
        <f>VLOOKUP(E225,[1]生产部!$C:$I,6,0)</f>
        <v>11号楼CNC区域</v>
      </c>
    </row>
    <row r="226" spans="1:49" ht="21" customHeight="1">
      <c r="A226" s="234" t="s">
        <v>2132</v>
      </c>
      <c r="B226" s="229" t="s">
        <v>2111</v>
      </c>
      <c r="C226" s="45" t="s">
        <v>14</v>
      </c>
      <c r="D226" s="46" t="s">
        <v>1108</v>
      </c>
      <c r="E226" s="47" t="s">
        <v>1109</v>
      </c>
      <c r="F226" s="48">
        <v>46127</v>
      </c>
      <c r="G226" s="49">
        <f t="shared" si="3"/>
        <v>0</v>
      </c>
      <c r="H226" s="77">
        <f>SUMIF(积分汇总!$B:$B,D225,积分汇总!$E:$E)</f>
        <v>0</v>
      </c>
      <c r="I226" s="77">
        <f>SUMIF(记录巡查问题条数汇总!$B:$B,D225,记录巡查问题条数汇总!$E:$E)</f>
        <v>0</v>
      </c>
      <c r="J226" s="77"/>
      <c r="K226" s="77">
        <f>SUMIF(安全质量事故!$B:$B,D225,安全质量事故!$G:$G)</f>
        <v>0</v>
      </c>
      <c r="L226" s="72">
        <f>COUNTIF(M226:AQ226,标准数据!$A$2)*标准数据!$B$2+COUNTIF(M226:AQ226,标准数据!$A$3)*标准数据!$B$3+COUNTIF(M226:AQ226,标准数据!$A$4)*标准数据!$B$4</f>
        <v>0</v>
      </c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189"/>
      <c r="AR226" s="55"/>
      <c r="AV226" s="76" t="str">
        <f>VLOOKUP(E226,[1]生产部!$C:$I,7,0)</f>
        <v>班组</v>
      </c>
      <c r="AW226" s="41" t="str">
        <f>VLOOKUP(E226,[1]生产部!$C:$I,6,0)</f>
        <v>11号楼CNC区域</v>
      </c>
    </row>
    <row r="227" spans="1:49" ht="21" customHeight="1">
      <c r="A227" s="234" t="s">
        <v>2132</v>
      </c>
      <c r="B227" s="229" t="s">
        <v>2111</v>
      </c>
      <c r="C227" s="45" t="s">
        <v>14</v>
      </c>
      <c r="D227" s="46" t="s">
        <v>1110</v>
      </c>
      <c r="E227" s="47" t="s">
        <v>1111</v>
      </c>
      <c r="F227" s="48">
        <v>46127</v>
      </c>
      <c r="G227" s="49">
        <f t="shared" si="3"/>
        <v>0</v>
      </c>
      <c r="H227" s="77">
        <f>SUMIF(积分汇总!$B:$B,D226,积分汇总!$E:$E)</f>
        <v>0</v>
      </c>
      <c r="I227" s="77">
        <f>SUMIF(记录巡查问题条数汇总!$B:$B,D226,记录巡查问题条数汇总!$E:$E)</f>
        <v>0</v>
      </c>
      <c r="J227" s="77"/>
      <c r="K227" s="77">
        <f>SUMIF(安全质量事故!$B:$B,D226,安全质量事故!$G:$G)</f>
        <v>0</v>
      </c>
      <c r="L227" s="72">
        <f>COUNTIF(M227:AQ227,标准数据!$A$2)*标准数据!$B$2+COUNTIF(M227:AQ227,标准数据!$A$3)*标准数据!$B$3+COUNTIF(M227:AQ227,标准数据!$A$4)*标准数据!$B$4</f>
        <v>0</v>
      </c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189"/>
      <c r="AR227" s="55"/>
      <c r="AV227" s="76" t="str">
        <f>VLOOKUP(E227,[1]生产部!$C:$I,7,0)</f>
        <v>班组</v>
      </c>
      <c r="AW227" s="41" t="str">
        <f>VLOOKUP(E227,[1]生产部!$C:$I,6,0)</f>
        <v>11号楼CNC区域</v>
      </c>
    </row>
    <row r="228" spans="1:49" ht="21" customHeight="1">
      <c r="A228" s="234" t="s">
        <v>2132</v>
      </c>
      <c r="B228" s="229" t="s">
        <v>2111</v>
      </c>
      <c r="C228" s="45" t="s">
        <v>14</v>
      </c>
      <c r="D228" s="46" t="s">
        <v>1112</v>
      </c>
      <c r="E228" s="47" t="s">
        <v>1113</v>
      </c>
      <c r="F228" s="48">
        <v>46120</v>
      </c>
      <c r="G228" s="49">
        <f t="shared" si="3"/>
        <v>0</v>
      </c>
      <c r="H228" s="77">
        <f>SUMIF(积分汇总!$B:$B,D227,积分汇总!$E:$E)</f>
        <v>0</v>
      </c>
      <c r="I228" s="77">
        <f>SUMIF(记录巡查问题条数汇总!$B:$B,D227,记录巡查问题条数汇总!$E:$E)</f>
        <v>0</v>
      </c>
      <c r="J228" s="77"/>
      <c r="K228" s="77">
        <f>SUMIF(安全质量事故!$B:$B,D227,安全质量事故!$G:$G)</f>
        <v>0</v>
      </c>
      <c r="L228" s="72">
        <f>COUNTIF(M228:AQ228,标准数据!$A$2)*标准数据!$B$2+COUNTIF(M228:AQ228,标准数据!$A$3)*标准数据!$B$3+COUNTIF(M228:AQ228,标准数据!$A$4)*标准数据!$B$4</f>
        <v>0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189"/>
      <c r="AR228" s="55"/>
      <c r="AV228" s="76" t="str">
        <f>VLOOKUP(E228,[1]生产部!$C:$I,7,0)</f>
        <v>班组</v>
      </c>
      <c r="AW228" s="41" t="str">
        <f>VLOOKUP(E228,[1]生产部!$C:$I,6,0)</f>
        <v>11号楼CNC区域</v>
      </c>
    </row>
    <row r="229" spans="1:49" s="51" customFormat="1" ht="21" customHeight="1">
      <c r="A229" s="234" t="s">
        <v>2132</v>
      </c>
      <c r="B229" s="229" t="s">
        <v>2111</v>
      </c>
      <c r="C229" s="45" t="s">
        <v>14</v>
      </c>
      <c r="D229" s="46" t="s">
        <v>907</v>
      </c>
      <c r="E229" s="47" t="s">
        <v>880</v>
      </c>
      <c r="F229" s="48">
        <v>46015</v>
      </c>
      <c r="G229" s="49">
        <f t="shared" si="3"/>
        <v>0</v>
      </c>
      <c r="H229" s="77">
        <f>SUMIF(积分汇总!$B:$B,D228,积分汇总!$E:$E)</f>
        <v>0</v>
      </c>
      <c r="I229" s="77">
        <f>SUMIF(记录巡查问题条数汇总!$B:$B,D228,记录巡查问题条数汇总!$E:$E)</f>
        <v>0</v>
      </c>
      <c r="J229" s="77"/>
      <c r="K229" s="77">
        <f>SUMIF(安全质量事故!$B:$B,D228,安全质量事故!$G:$G)</f>
        <v>0</v>
      </c>
      <c r="L229" s="72">
        <f>COUNTIF(M229:AQ229,标准数据!$A$2)*标准数据!$B$2+COUNTIF(M229:AQ229,标准数据!$A$3)*标准数据!$B$3+COUNTIF(M229:AQ229,标准数据!$A$4)*标准数据!$B$4</f>
        <v>0</v>
      </c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189"/>
      <c r="AR229" s="55"/>
      <c r="AV229" s="76" t="str">
        <f>VLOOKUP(E229,[1]生产部!$C:$I,7,0)</f>
        <v>常白</v>
      </c>
      <c r="AW229" s="41" t="str">
        <f>VLOOKUP(E229,[1]生产部!$C:$I,6,0)</f>
        <v>11号楼CNC区域</v>
      </c>
    </row>
    <row r="230" spans="1:49" ht="21" customHeight="1">
      <c r="A230" s="234" t="s">
        <v>2132</v>
      </c>
      <c r="B230" s="229" t="s">
        <v>2111</v>
      </c>
      <c r="C230" s="45" t="s">
        <v>14</v>
      </c>
      <c r="D230" s="46" t="s">
        <v>1125</v>
      </c>
      <c r="E230" s="47" t="s">
        <v>1126</v>
      </c>
      <c r="F230" s="48">
        <v>46120</v>
      </c>
      <c r="G230" s="49">
        <f t="shared" si="3"/>
        <v>0</v>
      </c>
      <c r="H230" s="77">
        <f>SUMIF(积分汇总!$B:$B,D229,积分汇总!$E:$E)</f>
        <v>0</v>
      </c>
      <c r="I230" s="77">
        <f>SUMIF(记录巡查问题条数汇总!$B:$B,D229,记录巡查问题条数汇总!$E:$E)</f>
        <v>0</v>
      </c>
      <c r="J230" s="77"/>
      <c r="K230" s="77">
        <f>SUMIF(安全质量事故!$B:$B,D229,安全质量事故!$G:$G)</f>
        <v>0</v>
      </c>
      <c r="L230" s="72">
        <f>COUNTIF(M230:AQ230,标准数据!$A$2)*标准数据!$B$2+COUNTIF(M230:AQ230,标准数据!$A$3)*标准数据!$B$3+COUNTIF(M230:AQ230,标准数据!$A$4)*标准数据!$B$4</f>
        <v>0</v>
      </c>
      <c r="M230" s="56"/>
      <c r="N230" s="56"/>
      <c r="O230" s="56"/>
      <c r="P230" s="56"/>
      <c r="Q230" s="56"/>
      <c r="R230" s="56"/>
      <c r="S230" s="56"/>
      <c r="T230" s="55"/>
      <c r="U230" s="55"/>
      <c r="V230" s="55"/>
      <c r="W230" s="55"/>
      <c r="X230" s="55"/>
      <c r="Y230" s="55"/>
      <c r="Z230" s="55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189"/>
      <c r="AR230" s="55"/>
      <c r="AV230" s="76" t="str">
        <f>VLOOKUP(E230,[1]生产部!$C:$I,7,0)</f>
        <v>常白</v>
      </c>
      <c r="AW230" s="41" t="str">
        <f>VLOOKUP(E230,[1]生产部!$C:$I,6,0)</f>
        <v>11号楼CNC区域</v>
      </c>
    </row>
    <row r="231" spans="1:49" ht="21" customHeight="1">
      <c r="A231" s="234" t="s">
        <v>2132</v>
      </c>
      <c r="B231" s="229" t="s">
        <v>2111</v>
      </c>
      <c r="C231" s="45" t="s">
        <v>87</v>
      </c>
      <c r="D231" s="46" t="s">
        <v>1127</v>
      </c>
      <c r="E231" s="47" t="s">
        <v>1128</v>
      </c>
      <c r="F231" s="48">
        <v>46120</v>
      </c>
      <c r="G231" s="49">
        <f t="shared" si="3"/>
        <v>0</v>
      </c>
      <c r="H231" s="77">
        <f>SUMIF(积分汇总!$B:$B,D230,积分汇总!$E:$E)</f>
        <v>0</v>
      </c>
      <c r="I231" s="77">
        <f>SUMIF(记录巡查问题条数汇总!$B:$B,D230,记录巡查问题条数汇总!$E:$E)</f>
        <v>0</v>
      </c>
      <c r="J231" s="77"/>
      <c r="K231" s="77">
        <f>SUMIF(安全质量事故!$B:$B,D230,安全质量事故!$G:$G)</f>
        <v>0</v>
      </c>
      <c r="L231" s="72">
        <f>COUNTIF(M231:AQ231,标准数据!$A$2)*标准数据!$B$2+COUNTIF(M231:AQ231,标准数据!$A$3)*标准数据!$B$3+COUNTIF(M231:AQ231,标准数据!$A$4)*标准数据!$B$4</f>
        <v>0</v>
      </c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189"/>
      <c r="AR231" s="55"/>
      <c r="AV231" s="76" t="str">
        <f>VLOOKUP(E231,[1]生产部!$C:$I,7,0)</f>
        <v>常白</v>
      </c>
      <c r="AW231" s="41" t="str">
        <f>VLOOKUP(E231,[1]生产部!$C:$I,6,0)</f>
        <v>11号楼CNC区域</v>
      </c>
    </row>
    <row r="232" spans="1:49" ht="21" customHeight="1">
      <c r="A232" s="234" t="s">
        <v>2132</v>
      </c>
      <c r="B232" s="229" t="s">
        <v>2111</v>
      </c>
      <c r="C232" s="45" t="s">
        <v>14</v>
      </c>
      <c r="D232" s="46" t="s">
        <v>1129</v>
      </c>
      <c r="E232" s="47" t="s">
        <v>1130</v>
      </c>
      <c r="F232" s="48">
        <v>46120</v>
      </c>
      <c r="G232" s="49">
        <f t="shared" si="3"/>
        <v>0</v>
      </c>
      <c r="H232" s="77">
        <f>SUMIF(积分汇总!$B:$B,D231,积分汇总!$E:$E)</f>
        <v>0</v>
      </c>
      <c r="I232" s="77">
        <f>SUMIF(记录巡查问题条数汇总!$B:$B,D231,记录巡查问题条数汇总!$E:$E)</f>
        <v>0</v>
      </c>
      <c r="J232" s="77"/>
      <c r="K232" s="77">
        <f>SUMIF(安全质量事故!$B:$B,D231,安全质量事故!$G:$G)</f>
        <v>0</v>
      </c>
      <c r="L232" s="72">
        <f>COUNTIF(M232:AQ232,标准数据!$A$2)*标准数据!$B$2+COUNTIF(M232:AQ232,标准数据!$A$3)*标准数据!$B$3+COUNTIF(M232:AQ232,标准数据!$A$4)*标准数据!$B$4</f>
        <v>0</v>
      </c>
      <c r="M232" s="56"/>
      <c r="N232" s="56"/>
      <c r="O232" s="56"/>
      <c r="P232" s="56"/>
      <c r="Q232" s="56"/>
      <c r="R232" s="56"/>
      <c r="S232" s="56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190"/>
      <c r="AR232" s="55"/>
      <c r="AV232" s="76" t="str">
        <f>VLOOKUP(E232,[1]生产部!$C:$I,7,0)</f>
        <v>常白</v>
      </c>
      <c r="AW232" s="41" t="str">
        <f>VLOOKUP(E232,[1]生产部!$C:$I,6,0)</f>
        <v>11号楼CNC区域</v>
      </c>
    </row>
    <row r="233" spans="1:49" ht="21" customHeight="1">
      <c r="A233" s="234" t="s">
        <v>2132</v>
      </c>
      <c r="B233" s="229" t="s">
        <v>2111</v>
      </c>
      <c r="C233" s="45" t="s">
        <v>14</v>
      </c>
      <c r="D233" s="46" t="s">
        <v>1010</v>
      </c>
      <c r="E233" s="47" t="s">
        <v>1011</v>
      </c>
      <c r="F233" s="48">
        <v>46104</v>
      </c>
      <c r="G233" s="49">
        <f t="shared" si="3"/>
        <v>0</v>
      </c>
      <c r="H233" s="77">
        <f>SUMIF(积分汇总!$B:$B,D232,积分汇总!$E:$E)</f>
        <v>0</v>
      </c>
      <c r="I233" s="77">
        <f>SUMIF(记录巡查问题条数汇总!$B:$B,D232,记录巡查问题条数汇总!$E:$E)</f>
        <v>0</v>
      </c>
      <c r="J233" s="77"/>
      <c r="K233" s="77">
        <f>SUMIF(安全质量事故!$B:$B,D232,安全质量事故!$G:$G)</f>
        <v>0</v>
      </c>
      <c r="L233" s="72">
        <f>COUNTIF(M233:AQ233,标准数据!$A$2)*标准数据!$B$2+COUNTIF(M233:AQ233,标准数据!$A$3)*标准数据!$B$3+COUNTIF(M233:AQ233,标准数据!$A$4)*标准数据!$B$4</f>
        <v>0</v>
      </c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189"/>
      <c r="AR233" s="55"/>
      <c r="AV233" s="76" t="str">
        <f>VLOOKUP(E233,[1]生产部!$C:$I,7,0)</f>
        <v>班组</v>
      </c>
      <c r="AW233" s="41" t="str">
        <f>VLOOKUP(E233,[1]生产部!$C:$I,6,0)</f>
        <v>11号楼CNC区域</v>
      </c>
    </row>
    <row r="234" spans="1:49" ht="21" customHeight="1">
      <c r="A234" s="234" t="s">
        <v>2132</v>
      </c>
      <c r="B234" s="229" t="s">
        <v>2111</v>
      </c>
      <c r="C234" s="45" t="s">
        <v>87</v>
      </c>
      <c r="D234" s="46" t="s">
        <v>923</v>
      </c>
      <c r="E234" s="52" t="s">
        <v>1291</v>
      </c>
      <c r="F234" s="46">
        <v>46132</v>
      </c>
      <c r="G234" s="49">
        <f t="shared" si="3"/>
        <v>0</v>
      </c>
      <c r="H234" s="77">
        <f>SUMIF(积分汇总!$B:$B,D233,积分汇总!$E:$E)</f>
        <v>0</v>
      </c>
      <c r="I234" s="77">
        <f>SUMIF(记录巡查问题条数汇总!$B:$B,D233,记录巡查问题条数汇总!$E:$E)</f>
        <v>0</v>
      </c>
      <c r="J234" s="77"/>
      <c r="K234" s="77">
        <f>SUMIF(安全质量事故!$B:$B,D233,安全质量事故!$G:$G)</f>
        <v>0</v>
      </c>
      <c r="L234" s="72">
        <f>COUNTIF(M234:AQ234,标准数据!$A$2)*标准数据!$B$2+COUNTIF(M234:AQ234,标准数据!$A$3)*标准数据!$B$3+COUNTIF(M234:AQ234,标准数据!$A$4)*标准数据!$B$4</f>
        <v>0</v>
      </c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189"/>
      <c r="AR234" s="55"/>
      <c r="AS234" s="41"/>
      <c r="AT234" s="41"/>
      <c r="AU234" s="41"/>
      <c r="AV234" s="76" t="str">
        <f>VLOOKUP(E234,[1]生产部!$C:$I,7,0)</f>
        <v>常白</v>
      </c>
      <c r="AW234" s="41" t="str">
        <f>VLOOKUP(E234,[1]生产部!$C:$I,6,0)</f>
        <v>11号楼CNC区域</v>
      </c>
    </row>
    <row r="235" spans="1:49" ht="21" customHeight="1">
      <c r="A235" s="234" t="s">
        <v>2132</v>
      </c>
      <c r="B235" s="229" t="s">
        <v>2111</v>
      </c>
      <c r="C235" s="45" t="s">
        <v>14</v>
      </c>
      <c r="D235" s="46" t="s">
        <v>1292</v>
      </c>
      <c r="E235" s="47" t="s">
        <v>1293</v>
      </c>
      <c r="F235" s="48">
        <v>46134</v>
      </c>
      <c r="G235" s="49">
        <f t="shared" si="3"/>
        <v>0</v>
      </c>
      <c r="H235" s="77">
        <f>SUMIF(积分汇总!$B:$B,D234,积分汇总!$E:$E)</f>
        <v>0</v>
      </c>
      <c r="I235" s="77">
        <f>SUMIF(记录巡查问题条数汇总!$B:$B,D234,记录巡查问题条数汇总!$E:$E)</f>
        <v>0</v>
      </c>
      <c r="J235" s="77"/>
      <c r="K235" s="77">
        <f>SUMIF(安全质量事故!$B:$B,D234,安全质量事故!$G:$G)</f>
        <v>0</v>
      </c>
      <c r="L235" s="72">
        <f>COUNTIF(M235:AQ235,标准数据!$A$2)*标准数据!$B$2+COUNTIF(M235:AQ235,标准数据!$A$3)*标准数据!$B$3+COUNTIF(M235:AQ235,标准数据!$A$4)*标准数据!$B$4</f>
        <v>0</v>
      </c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189"/>
      <c r="AR235" s="55"/>
      <c r="AV235" s="76" t="str">
        <f>VLOOKUP(E235,[1]生产部!$C:$I,7,0)</f>
        <v>班组</v>
      </c>
      <c r="AW235" s="41" t="str">
        <f>VLOOKUP(E235,[1]生产部!$C:$I,6,0)</f>
        <v>11号楼CNC区域</v>
      </c>
    </row>
    <row r="236" spans="1:49" ht="21" customHeight="1">
      <c r="A236" s="234" t="s">
        <v>2132</v>
      </c>
      <c r="B236" s="229" t="s">
        <v>2111</v>
      </c>
      <c r="C236" s="45" t="s">
        <v>14</v>
      </c>
      <c r="D236" s="46" t="s">
        <v>1294</v>
      </c>
      <c r="E236" s="47" t="s">
        <v>1295</v>
      </c>
      <c r="F236" s="48">
        <v>46134</v>
      </c>
      <c r="G236" s="49">
        <f t="shared" si="3"/>
        <v>0</v>
      </c>
      <c r="H236" s="77">
        <f>SUMIF(积分汇总!$B:$B,D235,积分汇总!$E:$E)</f>
        <v>0</v>
      </c>
      <c r="I236" s="77">
        <f>SUMIF(记录巡查问题条数汇总!$B:$B,D235,记录巡查问题条数汇总!$E:$E)</f>
        <v>0</v>
      </c>
      <c r="J236" s="77"/>
      <c r="K236" s="77">
        <f>SUMIF(安全质量事故!$B:$B,D235,安全质量事故!$G:$G)</f>
        <v>0</v>
      </c>
      <c r="L236" s="72">
        <f>COUNTIF(M236:AQ236,标准数据!$A$2)*标准数据!$B$2+COUNTIF(M236:AQ236,标准数据!$A$3)*标准数据!$B$3+COUNTIF(M236:AQ236,标准数据!$A$4)*标准数据!$B$4</f>
        <v>0</v>
      </c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189"/>
      <c r="AR236" s="55"/>
      <c r="AV236" s="76" t="str">
        <f>VLOOKUP(E236,[1]生产部!$C:$I,7,0)</f>
        <v>班组</v>
      </c>
      <c r="AW236" s="41" t="str">
        <f>VLOOKUP(E236,[1]生产部!$C:$I,6,0)</f>
        <v>11号楼CNC区域</v>
      </c>
    </row>
    <row r="237" spans="1:49" ht="21" customHeight="1">
      <c r="A237" s="234" t="s">
        <v>2132</v>
      </c>
      <c r="B237" s="229" t="s">
        <v>2111</v>
      </c>
      <c r="C237" s="45" t="s">
        <v>14</v>
      </c>
      <c r="D237" s="46" t="s">
        <v>1297</v>
      </c>
      <c r="E237" s="47" t="s">
        <v>1298</v>
      </c>
      <c r="F237" s="48">
        <v>46132</v>
      </c>
      <c r="G237" s="49">
        <f t="shared" si="3"/>
        <v>0</v>
      </c>
      <c r="H237" s="77">
        <f>SUMIF(积分汇总!$B:$B,D236,积分汇总!$E:$E)</f>
        <v>0</v>
      </c>
      <c r="I237" s="77">
        <f>SUMIF(记录巡查问题条数汇总!$B:$B,D236,记录巡查问题条数汇总!$E:$E)</f>
        <v>0</v>
      </c>
      <c r="J237" s="77"/>
      <c r="K237" s="77">
        <f>SUMIF(安全质量事故!$B:$B,D236,安全质量事故!$G:$G)</f>
        <v>0</v>
      </c>
      <c r="L237" s="72">
        <f>COUNTIF(M237:AQ237,标准数据!$A$2)*标准数据!$B$2+COUNTIF(M237:AQ237,标准数据!$A$3)*标准数据!$B$3+COUNTIF(M237:AQ237,标准数据!$A$4)*标准数据!$B$4</f>
        <v>0</v>
      </c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189"/>
      <c r="AR237" s="55"/>
      <c r="AV237" s="76" t="str">
        <f>VLOOKUP(E237,[1]生产部!$C:$I,7,0)</f>
        <v>班组</v>
      </c>
      <c r="AW237" s="41" t="str">
        <f>VLOOKUP(E237,[1]生产部!$C:$I,6,0)</f>
        <v>11号楼CNC区域</v>
      </c>
    </row>
    <row r="238" spans="1:49" s="51" customFormat="1" ht="21" customHeight="1">
      <c r="A238" s="234" t="s">
        <v>2132</v>
      </c>
      <c r="B238" s="229" t="s">
        <v>2111</v>
      </c>
      <c r="C238" s="45" t="s">
        <v>14</v>
      </c>
      <c r="D238" s="46" t="s">
        <v>1299</v>
      </c>
      <c r="E238" s="47" t="s">
        <v>1300</v>
      </c>
      <c r="F238" s="48">
        <v>46139</v>
      </c>
      <c r="G238" s="49">
        <f t="shared" si="3"/>
        <v>0</v>
      </c>
      <c r="H238" s="77">
        <f>SUMIF(积分汇总!$B:$B,D237,积分汇总!$E:$E)</f>
        <v>0</v>
      </c>
      <c r="I238" s="77">
        <f>SUMIF(记录巡查问题条数汇总!$B:$B,D237,记录巡查问题条数汇总!$E:$E)</f>
        <v>0</v>
      </c>
      <c r="J238" s="77"/>
      <c r="K238" s="77">
        <f>SUMIF(安全质量事故!$B:$B,D237,安全质量事故!$G:$G)</f>
        <v>0</v>
      </c>
      <c r="L238" s="72">
        <f>COUNTIF(M238:AQ238,标准数据!$A$2)*标准数据!$B$2+COUNTIF(M238:AQ238,标准数据!$A$3)*标准数据!$B$3+COUNTIF(M238:AQ238,标准数据!$A$4)*标准数据!$B$4</f>
        <v>0</v>
      </c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189"/>
      <c r="AR238" s="55"/>
      <c r="AV238" s="76" t="str">
        <f>VLOOKUP(E238,[1]生产部!$C:$I,7,0)</f>
        <v>班组</v>
      </c>
      <c r="AW238" s="41" t="str">
        <f>VLOOKUP(E238,[1]生产部!$C:$I,6,0)</f>
        <v>11号楼CNC区域</v>
      </c>
    </row>
    <row r="239" spans="1:49" ht="21" customHeight="1">
      <c r="A239" s="234" t="s">
        <v>2132</v>
      </c>
      <c r="B239" s="229" t="s">
        <v>2111</v>
      </c>
      <c r="C239" s="45" t="s">
        <v>14</v>
      </c>
      <c r="D239" s="46" t="s">
        <v>1331</v>
      </c>
      <c r="E239" s="47" t="s">
        <v>1332</v>
      </c>
      <c r="F239" s="48">
        <v>46139</v>
      </c>
      <c r="G239" s="49">
        <f t="shared" si="3"/>
        <v>0</v>
      </c>
      <c r="H239" s="77">
        <f>SUMIF(积分汇总!$B:$B,D238,积分汇总!$E:$E)</f>
        <v>0</v>
      </c>
      <c r="I239" s="77">
        <f>SUMIF(记录巡查问题条数汇总!$B:$B,D238,记录巡查问题条数汇总!$E:$E)</f>
        <v>0</v>
      </c>
      <c r="J239" s="77"/>
      <c r="K239" s="77">
        <f>SUMIF(安全质量事故!$B:$B,D238,安全质量事故!$G:$G)</f>
        <v>0</v>
      </c>
      <c r="L239" s="72">
        <f>COUNTIF(M239:AQ239,标准数据!$A$2)*标准数据!$B$2+COUNTIF(M239:AQ239,标准数据!$A$3)*标准数据!$B$3+COUNTIF(M239:AQ239,标准数据!$A$4)*标准数据!$B$4</f>
        <v>0</v>
      </c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189"/>
      <c r="AR239" s="55"/>
      <c r="AV239" s="76" t="str">
        <f>VLOOKUP(E239,[1]生产部!$C:$I,7,0)</f>
        <v>班组</v>
      </c>
      <c r="AW239" s="41" t="str">
        <f>VLOOKUP(E239,[1]生产部!$C:$I,6,0)</f>
        <v>13号楼（11号楼CNC区域委培）</v>
      </c>
    </row>
    <row r="240" spans="1:49" ht="21" customHeight="1">
      <c r="A240" s="234" t="s">
        <v>2132</v>
      </c>
      <c r="B240" s="229" t="s">
        <v>2111</v>
      </c>
      <c r="C240" s="45" t="s">
        <v>14</v>
      </c>
      <c r="D240" s="46" t="s">
        <v>1437</v>
      </c>
      <c r="E240" s="47" t="s">
        <v>1438</v>
      </c>
      <c r="F240" s="48">
        <v>46169</v>
      </c>
      <c r="G240" s="49">
        <f t="shared" si="3"/>
        <v>0</v>
      </c>
      <c r="H240" s="77">
        <f>SUMIF(积分汇总!$B:$B,D239,积分汇总!$E:$E)</f>
        <v>0</v>
      </c>
      <c r="I240" s="77">
        <f>SUMIF(记录巡查问题条数汇总!$B:$B,D239,记录巡查问题条数汇总!$E:$E)</f>
        <v>0</v>
      </c>
      <c r="J240" s="77"/>
      <c r="K240" s="77">
        <f>SUMIF(安全质量事故!$B:$B,D239,安全质量事故!$G:$G)</f>
        <v>0</v>
      </c>
      <c r="L240" s="72">
        <f>COUNTIF(M240:AQ240,标准数据!$A$2)*标准数据!$B$2+COUNTIF(M240:AQ240,标准数据!$A$3)*标准数据!$B$3+COUNTIF(M240:AQ240,标准数据!$A$4)*标准数据!$B$4</f>
        <v>0</v>
      </c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189"/>
      <c r="AR240" s="55"/>
      <c r="AV240" s="76" t="str">
        <f>VLOOKUP(E240,[1]生产部!$C:$I,7,0)</f>
        <v>班组</v>
      </c>
      <c r="AW240" s="41" t="str">
        <f>VLOOKUP(E240,[1]生产部!$C:$I,6,0)</f>
        <v>11号楼CNC区域</v>
      </c>
    </row>
    <row r="241" spans="1:49" s="51" customFormat="1" ht="21" customHeight="1">
      <c r="A241" s="234" t="s">
        <v>2132</v>
      </c>
      <c r="B241" s="229" t="s">
        <v>2114</v>
      </c>
      <c r="C241" s="45" t="s">
        <v>14</v>
      </c>
      <c r="D241" s="46" t="s">
        <v>1654</v>
      </c>
      <c r="E241" s="47" t="s">
        <v>1655</v>
      </c>
      <c r="F241" s="48">
        <v>46215</v>
      </c>
      <c r="G241" s="49">
        <f t="shared" si="3"/>
        <v>0</v>
      </c>
      <c r="H241" s="77">
        <f>SUMIF(积分汇总!$B:$B,D240,积分汇总!$E:$E)</f>
        <v>0</v>
      </c>
      <c r="I241" s="77">
        <f>SUMIF(记录巡查问题条数汇总!$B:$B,D240,记录巡查问题条数汇总!$E:$E)</f>
        <v>0</v>
      </c>
      <c r="J241" s="77"/>
      <c r="K241" s="77">
        <f>SUMIF(安全质量事故!$B:$B,D240,安全质量事故!$G:$G)</f>
        <v>0</v>
      </c>
      <c r="L241" s="72">
        <f>COUNTIF(M241:AQ241,标准数据!$A$2)*标准数据!$B$2+COUNTIF(M241:AQ241,标准数据!$A$3)*标准数据!$B$3+COUNTIF(M241:AQ241,标准数据!$A$4)*标准数据!$B$4</f>
        <v>0</v>
      </c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189"/>
      <c r="AR241" s="55"/>
      <c r="AV241" s="76" t="str">
        <f>VLOOKUP(E241,[1]生产部!$C:$I,7,0)</f>
        <v>常白</v>
      </c>
      <c r="AW241" s="41" t="str">
        <f>VLOOKUP(E241,[1]生产部!$C:$I,6,0)</f>
        <v>11号楼（计算机化设备保障组委培）</v>
      </c>
    </row>
    <row r="242" spans="1:49" ht="21" customHeight="1">
      <c r="A242" s="234" t="s">
        <v>2132</v>
      </c>
      <c r="B242" s="229" t="s">
        <v>2111</v>
      </c>
      <c r="C242" s="45" t="s">
        <v>14</v>
      </c>
      <c r="D242" s="46" t="s">
        <v>1633</v>
      </c>
      <c r="E242" s="47" t="s">
        <v>1634</v>
      </c>
      <c r="F242" s="48">
        <v>46197</v>
      </c>
      <c r="G242" s="49">
        <f t="shared" si="3"/>
        <v>0</v>
      </c>
      <c r="H242" s="77">
        <f>SUMIF(积分汇总!$B:$B,,积分汇总!$E:$E)</f>
        <v>0</v>
      </c>
      <c r="I242" s="77">
        <f>SUMIF(记录巡查问题条数汇总!$B:$B,,记录巡查问题条数汇总!$E:$E)</f>
        <v>0</v>
      </c>
      <c r="J242" s="77"/>
      <c r="K242" s="77">
        <f>SUMIF(安全质量事故!$B:$B,,安全质量事故!$G:$G)</f>
        <v>0</v>
      </c>
      <c r="L242" s="72">
        <f>COUNTIF(M242:AQ242,标准数据!$A$2)*标准数据!$B$2+COUNTIF(M242:AQ242,标准数据!$A$3)*标准数据!$B$3+COUNTIF(M242:AQ242,标准数据!$A$4)*标准数据!$B$4</f>
        <v>0</v>
      </c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189"/>
      <c r="AR242" s="55"/>
      <c r="AV242" s="76" t="str">
        <f>VLOOKUP(E242,[1]生产部!$C:$I,7,0)</f>
        <v>班组</v>
      </c>
      <c r="AW242" s="41" t="str">
        <f>VLOOKUP(E242,[1]生产部!$C:$I,6,0)</f>
        <v>11号楼CNC区域</v>
      </c>
    </row>
    <row r="243" spans="1:49" ht="21" customHeight="1">
      <c r="A243" s="234" t="s">
        <v>2132</v>
      </c>
      <c r="B243" s="229" t="s">
        <v>2115</v>
      </c>
      <c r="C243" s="45" t="s">
        <v>129</v>
      </c>
      <c r="D243" s="46" t="s">
        <v>480</v>
      </c>
      <c r="E243" s="47" t="s">
        <v>443</v>
      </c>
      <c r="F243" s="48">
        <v>45554</v>
      </c>
      <c r="G243" s="49">
        <f t="shared" si="3"/>
        <v>0</v>
      </c>
      <c r="H243" s="77">
        <f>SUMIF(积分汇总!$B:$B,D239,积分汇总!$E:$E)</f>
        <v>0</v>
      </c>
      <c r="I243" s="77">
        <f>SUMIF(记录巡查问题条数汇总!$B:$B,D239,记录巡查问题条数汇总!$E:$E)</f>
        <v>0</v>
      </c>
      <c r="J243" s="77"/>
      <c r="K243" s="77">
        <f>SUMIF(安全质量事故!$B:$B,D239,安全质量事故!$G:$G)</f>
        <v>0</v>
      </c>
      <c r="L243" s="72">
        <f>COUNTIF(M243:AQ243,标准数据!$A$2)*标准数据!$B$2+COUNTIF(M243:AQ243,标准数据!$A$3)*标准数据!$B$3+COUNTIF(M243:AQ243,标准数据!$A$4)*标准数据!$B$4</f>
        <v>0</v>
      </c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189"/>
      <c r="AR243" s="55"/>
      <c r="AS243" s="41"/>
      <c r="AT243" s="41"/>
      <c r="AU243" s="41"/>
      <c r="AV243" s="76" t="str">
        <f>VLOOKUP(E243,[1]生产部!$C:$I,7,0)</f>
        <v>班组</v>
      </c>
      <c r="AW243" s="41" t="str">
        <f>VLOOKUP(E243,[1]生产部!$C:$I,6,0)</f>
        <v>12号楼（11号楼CNC区域委培）</v>
      </c>
    </row>
    <row r="244" spans="1:49" ht="21" customHeight="1">
      <c r="A244" s="234" t="s">
        <v>2132</v>
      </c>
      <c r="B244" s="229" t="s">
        <v>2115</v>
      </c>
      <c r="C244" s="45" t="s">
        <v>129</v>
      </c>
      <c r="D244" s="46" t="s">
        <v>263</v>
      </c>
      <c r="E244" s="47" t="s">
        <v>259</v>
      </c>
      <c r="F244" s="48">
        <v>41760</v>
      </c>
      <c r="G244" s="49">
        <f t="shared" si="3"/>
        <v>0</v>
      </c>
      <c r="H244" s="77">
        <f>SUMIF(积分汇总!$B:$B,,积分汇总!$E:$E)</f>
        <v>0</v>
      </c>
      <c r="I244" s="77">
        <f>SUMIF(记录巡查问题条数汇总!$B:$B,,记录巡查问题条数汇总!$E:$E)</f>
        <v>0</v>
      </c>
      <c r="J244" s="77"/>
      <c r="K244" s="77">
        <f>SUMIF(安全质量事故!$B:$B,,安全质量事故!$G:$G)</f>
        <v>0</v>
      </c>
      <c r="L244" s="72">
        <f>COUNTIF(M244:AQ244,标准数据!$A$2)*标准数据!$B$2+COUNTIF(M244:AQ244,标准数据!$A$3)*标准数据!$B$3+COUNTIF(M244:AQ244,标准数据!$A$4)*标准数据!$B$4</f>
        <v>0</v>
      </c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189"/>
      <c r="AR244" s="55"/>
      <c r="AV244" s="76" t="str">
        <f>VLOOKUP(E244,[1]生产部!$C:$I,7,0)</f>
        <v>班组</v>
      </c>
      <c r="AW244" s="41" t="str">
        <f>VLOOKUP(E244,[1]生产部!$C:$I,6,0)</f>
        <v>12号楼（11号楼CNC区域委培）</v>
      </c>
    </row>
    <row r="245" spans="1:49" ht="21" customHeight="1">
      <c r="A245" s="234" t="s">
        <v>2132</v>
      </c>
      <c r="B245" s="229" t="s">
        <v>2115</v>
      </c>
      <c r="C245" s="45" t="s">
        <v>129</v>
      </c>
      <c r="D245" s="46" t="s">
        <v>328</v>
      </c>
      <c r="E245" s="47" t="s">
        <v>303</v>
      </c>
      <c r="F245" s="48">
        <v>45595</v>
      </c>
      <c r="G245" s="49">
        <f t="shared" si="3"/>
        <v>0</v>
      </c>
      <c r="H245" s="77">
        <f>SUMIF(积分汇总!$B:$B,D242,积分汇总!$E:$E)</f>
        <v>0</v>
      </c>
      <c r="I245" s="77">
        <f>SUMIF(记录巡查问题条数汇总!$B:$B,D242,记录巡查问题条数汇总!$E:$E)</f>
        <v>0</v>
      </c>
      <c r="J245" s="77"/>
      <c r="K245" s="77">
        <f>SUMIF(安全质量事故!$B:$B,D242,安全质量事故!$G:$G)</f>
        <v>0</v>
      </c>
      <c r="L245" s="72">
        <f>COUNTIF(M245:AQ245,标准数据!$A$2)*标准数据!$B$2+COUNTIF(M245:AQ245,标准数据!$A$3)*标准数据!$B$3+COUNTIF(M245:AQ245,标准数据!$A$4)*标准数据!$B$4</f>
        <v>0</v>
      </c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189"/>
      <c r="AR245" s="55"/>
      <c r="AS245" s="41"/>
      <c r="AT245" s="41"/>
      <c r="AU245" s="41"/>
      <c r="AV245" s="76" t="str">
        <f>VLOOKUP(E245,[1]生产部!$C:$I,7,0)</f>
        <v>班组</v>
      </c>
      <c r="AW245" s="41" t="str">
        <f>VLOOKUP(E245,[1]生产部!$C:$I,6,0)</f>
        <v>12号楼（11号楼CNC区域委培）</v>
      </c>
    </row>
    <row r="246" spans="1:49" ht="21" customHeight="1">
      <c r="A246" s="234" t="s">
        <v>2132</v>
      </c>
      <c r="B246" s="229" t="s">
        <v>2115</v>
      </c>
      <c r="C246" s="45" t="s">
        <v>129</v>
      </c>
      <c r="D246" s="46" t="s">
        <v>564</v>
      </c>
      <c r="E246" s="47" t="s">
        <v>525</v>
      </c>
      <c r="F246" s="48">
        <v>43333</v>
      </c>
      <c r="G246" s="49">
        <f t="shared" si="3"/>
        <v>0</v>
      </c>
      <c r="H246" s="77">
        <f>SUMIF(积分汇总!$B:$B,D245,积分汇总!$E:$E)</f>
        <v>0</v>
      </c>
      <c r="I246" s="77">
        <f>SUMIF(记录巡查问题条数汇总!$B:$B,D245,记录巡查问题条数汇总!$E:$E)</f>
        <v>0</v>
      </c>
      <c r="J246" s="77"/>
      <c r="K246" s="77">
        <f>SUMIF(安全质量事故!$B:$B,D245,安全质量事故!$G:$G)</f>
        <v>0</v>
      </c>
      <c r="L246" s="72">
        <f>COUNTIF(M246:AQ246,标准数据!$A$2)*标准数据!$B$2+COUNTIF(M246:AQ246,标准数据!$A$3)*标准数据!$B$3+COUNTIF(M246:AQ246,标准数据!$A$4)*标准数据!$B$4</f>
        <v>0</v>
      </c>
      <c r="M246" s="90"/>
      <c r="N246" s="90"/>
      <c r="O246" s="90"/>
      <c r="P246" s="90"/>
      <c r="Q246" s="90"/>
      <c r="R246" s="90"/>
      <c r="S246" s="90"/>
      <c r="T246" s="90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189"/>
      <c r="AR246" s="55"/>
      <c r="AV246" s="76" t="str">
        <f>VLOOKUP(E246,[1]生产部!$C:$I,7,0)</f>
        <v>班组</v>
      </c>
      <c r="AW246" s="41" t="str">
        <f>VLOOKUP(E246,[1]生产部!$C:$I,6,0)</f>
        <v>12号楼（11号楼CNC区域委培）</v>
      </c>
    </row>
    <row r="247" spans="1:49" ht="21" customHeight="1">
      <c r="A247" s="234" t="s">
        <v>2132</v>
      </c>
      <c r="B247" s="229" t="s">
        <v>2115</v>
      </c>
      <c r="C247" s="45" t="s">
        <v>129</v>
      </c>
      <c r="D247" s="46" t="s">
        <v>626</v>
      </c>
      <c r="E247" s="47" t="s">
        <v>591</v>
      </c>
      <c r="F247" s="48" t="s">
        <v>1038</v>
      </c>
      <c r="G247" s="49">
        <f t="shared" si="3"/>
        <v>0</v>
      </c>
      <c r="H247" s="77">
        <f>SUMIF(积分汇总!$B:$B,D246,积分汇总!$E:$E)</f>
        <v>0</v>
      </c>
      <c r="I247" s="77">
        <f>SUMIF(记录巡查问题条数汇总!$B:$B,D246,记录巡查问题条数汇总!$E:$E)</f>
        <v>0</v>
      </c>
      <c r="J247" s="77"/>
      <c r="K247" s="77">
        <f>SUMIF(安全质量事故!$B:$B,D246,安全质量事故!$G:$G)</f>
        <v>0</v>
      </c>
      <c r="L247" s="72">
        <f>COUNTIF(M247:AQ247,标准数据!$A$2)*标准数据!$B$2+COUNTIF(M247:AQ247,标准数据!$A$3)*标准数据!$B$3+COUNTIF(M247:AQ247,标准数据!$A$4)*标准数据!$B$4</f>
        <v>0</v>
      </c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189"/>
      <c r="AR247" s="55"/>
      <c r="AV247" s="76" t="str">
        <f>VLOOKUP(E247,[1]生产部!$C:$I,7,0)</f>
        <v>班组</v>
      </c>
      <c r="AW247" s="41" t="str">
        <f>VLOOKUP(E247,[1]生产部!$C:$I,6,0)</f>
        <v>12号楼（11号楼CNC区域委培）</v>
      </c>
    </row>
    <row r="248" spans="1:49" ht="21" customHeight="1">
      <c r="A248" s="234" t="s">
        <v>2132</v>
      </c>
      <c r="B248" s="229" t="s">
        <v>2111</v>
      </c>
      <c r="C248" s="45" t="s">
        <v>14</v>
      </c>
      <c r="D248" s="46" t="s">
        <v>1635</v>
      </c>
      <c r="E248" s="47" t="s">
        <v>1636</v>
      </c>
      <c r="F248" s="48">
        <v>46197</v>
      </c>
      <c r="G248" s="49">
        <f t="shared" si="3"/>
        <v>0</v>
      </c>
      <c r="H248" s="77">
        <f>SUMIF(积分汇总!$B:$B,D242,积分汇总!$E:$E)</f>
        <v>0</v>
      </c>
      <c r="I248" s="77">
        <f>SUMIF(记录巡查问题条数汇总!$B:$B,D242,记录巡查问题条数汇总!$E:$E)</f>
        <v>0</v>
      </c>
      <c r="J248" s="77"/>
      <c r="K248" s="77">
        <f>SUMIF(安全质量事故!$B:$B,D242,安全质量事故!$G:$G)</f>
        <v>0</v>
      </c>
      <c r="L248" s="72">
        <f>COUNTIF(M248:AQ248,标准数据!$A$2)*标准数据!$B$2+COUNTIF(M248:AQ248,标准数据!$A$3)*标准数据!$B$3+COUNTIF(M248:AQ248,标准数据!$A$4)*标准数据!$B$4</f>
        <v>0</v>
      </c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189"/>
      <c r="AR248" s="55"/>
      <c r="AV248" s="76" t="str">
        <f>VLOOKUP(E248,[1]生产部!$C:$I,7,0)</f>
        <v>班组</v>
      </c>
      <c r="AW248" s="41" t="str">
        <f>VLOOKUP(E248,[1]生产部!$C:$I,6,0)</f>
        <v>11号楼CNC区域</v>
      </c>
    </row>
    <row r="249" spans="1:49" ht="21" customHeight="1">
      <c r="A249" s="234" t="s">
        <v>2132</v>
      </c>
      <c r="B249" s="229" t="s">
        <v>2113</v>
      </c>
      <c r="C249" s="45" t="s">
        <v>14</v>
      </c>
      <c r="D249" s="46" t="s">
        <v>1631</v>
      </c>
      <c r="E249" s="52" t="s">
        <v>1632</v>
      </c>
      <c r="F249" s="46">
        <v>46208</v>
      </c>
      <c r="G249" s="49">
        <f t="shared" si="3"/>
        <v>0</v>
      </c>
      <c r="H249" s="77">
        <f>SUMIF(积分汇总!$B:$B,D242,积分汇总!$E:$E)</f>
        <v>0</v>
      </c>
      <c r="I249" s="77">
        <f>SUMIF(记录巡查问题条数汇总!$B:$B,D242,记录巡查问题条数汇总!$E:$E)</f>
        <v>0</v>
      </c>
      <c r="J249" s="77"/>
      <c r="K249" s="77">
        <f>SUMIF(安全质量事故!$B:$B,D242,安全质量事故!$G:$G)</f>
        <v>0</v>
      </c>
      <c r="L249" s="72">
        <f>COUNTIF(M249:AQ249,标准数据!$A$2)*标准数据!$B$2+COUNTIF(M249:AQ249,标准数据!$A$3)*标准数据!$B$3+COUNTIF(M249:AQ249,标准数据!$A$4)*标准数据!$B$4</f>
        <v>0</v>
      </c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189"/>
      <c r="AR249" s="55"/>
      <c r="AS249" s="41"/>
      <c r="AT249" s="41"/>
      <c r="AU249" s="41"/>
      <c r="AV249" s="76">
        <f>VLOOKUP(E249,[1]生产部!$C:$I,7,0)</f>
        <v>5104</v>
      </c>
      <c r="AW249" s="41" t="str">
        <f>VLOOKUP(E249,[1]生产部!$C:$I,6,0)</f>
        <v>11号楼</v>
      </c>
    </row>
    <row r="250" spans="1:49" ht="21" customHeight="1">
      <c r="A250" s="234" t="s">
        <v>2132</v>
      </c>
      <c r="B250" s="229" t="s">
        <v>2111</v>
      </c>
      <c r="C250" s="45" t="s">
        <v>14</v>
      </c>
      <c r="D250" s="46" t="s">
        <v>1650</v>
      </c>
      <c r="E250" s="52" t="s">
        <v>1651</v>
      </c>
      <c r="F250" s="46">
        <v>46215</v>
      </c>
      <c r="G250" s="49">
        <f t="shared" si="3"/>
        <v>0</v>
      </c>
      <c r="H250" s="77">
        <f>SUMIF(积分汇总!$B:$B,D248,积分汇总!$E:$E)</f>
        <v>0</v>
      </c>
      <c r="I250" s="77">
        <f>SUMIF(记录巡查问题条数汇总!$B:$B,D248,记录巡查问题条数汇总!$E:$E)</f>
        <v>0</v>
      </c>
      <c r="J250" s="77"/>
      <c r="K250" s="77">
        <f>SUMIF(安全质量事故!$B:$B,D248,安全质量事故!$G:$G)</f>
        <v>0</v>
      </c>
      <c r="L250" s="72">
        <f>COUNTIF(M250:AQ250,标准数据!$A$2)*标准数据!$B$2+COUNTIF(M250:AQ250,标准数据!$A$3)*标准数据!$B$3+COUNTIF(M250:AQ250,标准数据!$A$4)*标准数据!$B$4</f>
        <v>0</v>
      </c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189"/>
      <c r="AR250" s="55"/>
      <c r="AS250" s="41"/>
      <c r="AT250" s="41"/>
      <c r="AU250" s="41"/>
      <c r="AV250" s="76" t="str">
        <f>VLOOKUP(E250,[1]生产部!$C:$I,7,0)</f>
        <v>班组</v>
      </c>
      <c r="AW250" s="41" t="str">
        <f>VLOOKUP(E250,[1]生产部!$C:$I,6,0)</f>
        <v>11号楼CNC区域</v>
      </c>
    </row>
    <row r="251" spans="1:49" ht="21" customHeight="1">
      <c r="A251" s="234" t="s">
        <v>2132</v>
      </c>
      <c r="B251" s="229" t="s">
        <v>2111</v>
      </c>
      <c r="C251" s="45" t="s">
        <v>14</v>
      </c>
      <c r="D251" s="47" t="s">
        <v>1652</v>
      </c>
      <c r="E251" s="52" t="s">
        <v>1653</v>
      </c>
      <c r="F251" s="46">
        <v>46215</v>
      </c>
      <c r="G251" s="49">
        <f t="shared" si="3"/>
        <v>0</v>
      </c>
      <c r="H251" s="77">
        <f>SUMIF(积分汇总!$B:$B,D250,积分汇总!$E:$E)</f>
        <v>0</v>
      </c>
      <c r="I251" s="77">
        <f>SUMIF(记录巡查问题条数汇总!$B:$B,D250,记录巡查问题条数汇总!$E:$E)</f>
        <v>0</v>
      </c>
      <c r="J251" s="77"/>
      <c r="K251" s="77">
        <f>SUMIF(安全质量事故!$B:$B,D250,安全质量事故!$G:$G)</f>
        <v>0</v>
      </c>
      <c r="L251" s="72">
        <f>COUNTIF(M251:AQ251,标准数据!$A$2)*标准数据!$B$2+COUNTIF(M251:AQ251,标准数据!$A$3)*标准数据!$B$3+COUNTIF(M251:AQ251,标准数据!$A$4)*标准数据!$B$4</f>
        <v>0</v>
      </c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189"/>
      <c r="AR251" s="55"/>
      <c r="AV251" s="76" t="str">
        <f>VLOOKUP(E251,[1]生产部!$C:$I,7,0)</f>
        <v>班组</v>
      </c>
      <c r="AW251" s="41" t="str">
        <f>VLOOKUP(E251,[1]生产部!$C:$I,6,0)</f>
        <v>11号楼CNC区域</v>
      </c>
    </row>
    <row r="252" spans="1:49" ht="21" customHeight="1">
      <c r="A252" s="234" t="s">
        <v>2132</v>
      </c>
      <c r="B252" s="229" t="s">
        <v>2111</v>
      </c>
      <c r="C252" s="45" t="s">
        <v>14</v>
      </c>
      <c r="D252" s="46" t="s">
        <v>1656</v>
      </c>
      <c r="E252" s="47" t="s">
        <v>1657</v>
      </c>
      <c r="F252" s="48">
        <v>46215</v>
      </c>
      <c r="G252" s="49">
        <f t="shared" si="3"/>
        <v>0</v>
      </c>
      <c r="H252" s="77">
        <f>SUMIF(积分汇总!$B:$B,D251,积分汇总!$E:$E)</f>
        <v>0</v>
      </c>
      <c r="I252" s="77">
        <f>SUMIF(记录巡查问题条数汇总!$B:$B,D251,记录巡查问题条数汇总!$E:$E)</f>
        <v>0</v>
      </c>
      <c r="J252" s="77"/>
      <c r="K252" s="77">
        <f>SUMIF(安全质量事故!$B:$B,D251,安全质量事故!$G:$G)</f>
        <v>0</v>
      </c>
      <c r="L252" s="72">
        <f>COUNTIF(M252:AQ252,标准数据!$A$2)*标准数据!$B$2+COUNTIF(M252:AQ252,标准数据!$A$3)*标准数据!$B$3+COUNTIF(M252:AQ252,标准数据!$A$4)*标准数据!$B$4</f>
        <v>0</v>
      </c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189"/>
      <c r="AR252" s="55"/>
      <c r="AV252" s="76" t="str">
        <f>VLOOKUP(E252,[1]生产部!$C:$I,7,0)</f>
        <v>班组</v>
      </c>
      <c r="AW252" s="41" t="str">
        <f>VLOOKUP(E252,[1]生产部!$C:$I,6,0)</f>
        <v>11号楼CNC区域</v>
      </c>
    </row>
    <row r="253" spans="1:49" ht="21" customHeight="1">
      <c r="A253" s="234" t="s">
        <v>2132</v>
      </c>
      <c r="B253" s="229" t="s">
        <v>2111</v>
      </c>
      <c r="C253" s="45" t="s">
        <v>14</v>
      </c>
      <c r="D253" s="47" t="s">
        <v>1658</v>
      </c>
      <c r="E253" s="52" t="s">
        <v>1659</v>
      </c>
      <c r="F253" s="46">
        <v>46215</v>
      </c>
      <c r="G253" s="49">
        <f t="shared" si="3"/>
        <v>0</v>
      </c>
      <c r="H253" s="77">
        <f>SUMIF(积分汇总!$B:$B,D252,积分汇总!$E:$E)</f>
        <v>0</v>
      </c>
      <c r="I253" s="77">
        <f>SUMIF(记录巡查问题条数汇总!$B:$B,D252,记录巡查问题条数汇总!$E:$E)</f>
        <v>0</v>
      </c>
      <c r="J253" s="77"/>
      <c r="K253" s="77">
        <f>SUMIF(安全质量事故!$B:$B,D252,安全质量事故!$G:$G)</f>
        <v>0</v>
      </c>
      <c r="L253" s="72">
        <f>COUNTIF(M253:AQ253,标准数据!$A$2)*标准数据!$B$2+COUNTIF(M253:AQ253,标准数据!$A$3)*标准数据!$B$3+COUNTIF(M253:AQ253,标准数据!$A$4)*标准数据!$B$4</f>
        <v>0</v>
      </c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189"/>
      <c r="AR253" s="55"/>
      <c r="AV253" s="76" t="str">
        <f>VLOOKUP(E253,[1]生产部!$C:$I,7,0)</f>
        <v>项目组倒班</v>
      </c>
      <c r="AW253" s="41" t="str">
        <f>VLOOKUP(E253,[1]生产部!$C:$I,6,0)</f>
        <v>11号楼CNC区域</v>
      </c>
    </row>
    <row r="254" spans="1:49" s="51" customFormat="1" ht="21" customHeight="1">
      <c r="A254" s="234" t="s">
        <v>2132</v>
      </c>
      <c r="B254" s="229" t="s">
        <v>2111</v>
      </c>
      <c r="C254" s="45" t="s">
        <v>14</v>
      </c>
      <c r="D254" s="46" t="s">
        <v>1660</v>
      </c>
      <c r="E254" s="47" t="s">
        <v>1661</v>
      </c>
      <c r="F254" s="48">
        <v>46215</v>
      </c>
      <c r="G254" s="49">
        <f t="shared" si="3"/>
        <v>0</v>
      </c>
      <c r="H254" s="77">
        <f>SUMIF(积分汇总!$B:$B,D253,积分汇总!$E:$E)</f>
        <v>0</v>
      </c>
      <c r="I254" s="77">
        <f>SUMIF(记录巡查问题条数汇总!$B:$B,D253,记录巡查问题条数汇总!$E:$E)</f>
        <v>0</v>
      </c>
      <c r="J254" s="77"/>
      <c r="K254" s="77">
        <f>SUMIF(安全质量事故!$B:$B,D253,安全质量事故!$G:$G)</f>
        <v>0</v>
      </c>
      <c r="L254" s="72">
        <f>COUNTIF(M254:AQ254,标准数据!$A$2)*标准数据!$B$2+COUNTIF(M254:AQ254,标准数据!$A$3)*标准数据!$B$3+COUNTIF(M254:AQ254,标准数据!$A$4)*标准数据!$B$4</f>
        <v>0</v>
      </c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189"/>
      <c r="AR254" s="55"/>
      <c r="AV254" s="76" t="str">
        <f>VLOOKUP(E254,[1]生产部!$C:$I,7,0)</f>
        <v>项目组倒班</v>
      </c>
      <c r="AW254" s="41" t="str">
        <f>VLOOKUP(E254,[1]生产部!$C:$I,6,0)</f>
        <v>11号楼CNC区域</v>
      </c>
    </row>
    <row r="255" spans="1:49" ht="21" customHeight="1">
      <c r="A255" s="234" t="s">
        <v>2132</v>
      </c>
      <c r="B255" s="229" t="s">
        <v>2111</v>
      </c>
      <c r="C255" s="45" t="s">
        <v>14</v>
      </c>
      <c r="D255" s="46" t="s">
        <v>1662</v>
      </c>
      <c r="E255" s="47" t="s">
        <v>1663</v>
      </c>
      <c r="F255" s="48">
        <v>46215</v>
      </c>
      <c r="G255" s="49">
        <f t="shared" si="3"/>
        <v>0</v>
      </c>
      <c r="H255" s="77">
        <f>SUMIF(积分汇总!$B:$B,D254,积分汇总!$E:$E)</f>
        <v>0</v>
      </c>
      <c r="I255" s="77">
        <f>SUMIF(记录巡查问题条数汇总!$B:$B,D254,记录巡查问题条数汇总!$E:$E)</f>
        <v>0</v>
      </c>
      <c r="J255" s="77"/>
      <c r="K255" s="77">
        <f>SUMIF(安全质量事故!$B:$B,D254,安全质量事故!$G:$G)</f>
        <v>0</v>
      </c>
      <c r="L255" s="72">
        <f>COUNTIF(M255:AQ255,标准数据!$A$2)*标准数据!$B$2+COUNTIF(M255:AQ255,标准数据!$A$3)*标准数据!$B$3+COUNTIF(M255:AQ255,标准数据!$A$4)*标准数据!$B$4</f>
        <v>0</v>
      </c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189"/>
      <c r="AR255" s="55"/>
      <c r="AV255" s="76" t="str">
        <f>VLOOKUP(E255,[1]生产部!$C:$I,7,0)</f>
        <v>班组</v>
      </c>
      <c r="AW255" s="41" t="str">
        <f>VLOOKUP(E255,[1]生产部!$C:$I,6,0)</f>
        <v>11号楼CNC区域</v>
      </c>
    </row>
    <row r="256" spans="1:49" s="51" customFormat="1" ht="21" customHeight="1">
      <c r="A256" s="234" t="s">
        <v>2132</v>
      </c>
      <c r="B256" s="229" t="s">
        <v>2111</v>
      </c>
      <c r="C256" s="45" t="s">
        <v>14</v>
      </c>
      <c r="D256" s="46" t="s">
        <v>2094</v>
      </c>
      <c r="E256" s="47" t="s">
        <v>2095</v>
      </c>
      <c r="F256" s="48">
        <v>46215</v>
      </c>
      <c r="G256" s="49">
        <f t="shared" si="3"/>
        <v>0</v>
      </c>
      <c r="H256" s="77">
        <f>SUMIF(积分汇总!$B:$B,D255,积分汇总!$E:$E)</f>
        <v>0</v>
      </c>
      <c r="I256" s="77">
        <f>SUMIF(记录巡查问题条数汇总!$B:$B,D255,记录巡查问题条数汇总!$E:$E)</f>
        <v>0</v>
      </c>
      <c r="J256" s="77"/>
      <c r="K256" s="77">
        <f>SUMIF(安全质量事故!$B:$B,D255,安全质量事故!$G:$G)</f>
        <v>0</v>
      </c>
      <c r="L256" s="72">
        <f>COUNTIF(M256:AQ256,标准数据!$A$2)*标准数据!$B$2+COUNTIF(M256:AQ256,标准数据!$A$3)*标准数据!$B$3+COUNTIF(M256:AQ256,标准数据!$A$4)*标准数据!$B$4</f>
        <v>0</v>
      </c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189"/>
      <c r="AR256" s="55"/>
      <c r="AV256" s="76" t="str">
        <f>VLOOKUP(E256,[1]生产部!$C:$I,7,0)</f>
        <v>项目组倒班</v>
      </c>
      <c r="AW256" s="41" t="str">
        <f>VLOOKUP(E256,[1]生产部!$C:$I,6,0)</f>
        <v>13号楼（11号楼CNC区域委培）</v>
      </c>
    </row>
    <row r="257" spans="1:49" ht="21" customHeight="1">
      <c r="A257" s="234" t="s">
        <v>2132</v>
      </c>
      <c r="B257" s="229" t="s">
        <v>2111</v>
      </c>
      <c r="C257" s="45" t="s">
        <v>14</v>
      </c>
      <c r="D257" s="46" t="s">
        <v>2096</v>
      </c>
      <c r="E257" s="47" t="s">
        <v>2097</v>
      </c>
      <c r="F257" s="48">
        <v>46215</v>
      </c>
      <c r="G257" s="49">
        <f t="shared" si="3"/>
        <v>0</v>
      </c>
      <c r="H257" s="77">
        <f>SUMIF(积分汇总!$B:$B,D256,积分汇总!$E:$E)</f>
        <v>0</v>
      </c>
      <c r="I257" s="77">
        <f>SUMIF(记录巡查问题条数汇总!$B:$B,D256,记录巡查问题条数汇总!$E:$E)</f>
        <v>0</v>
      </c>
      <c r="J257" s="77"/>
      <c r="K257" s="77">
        <f>SUMIF(安全质量事故!$B:$B,D256,安全质量事故!$G:$G)</f>
        <v>0</v>
      </c>
      <c r="L257" s="72">
        <f>COUNTIF(M257:AQ257,标准数据!$A$2)*标准数据!$B$2+COUNTIF(M257:AQ257,标准数据!$A$3)*标准数据!$B$3+COUNTIF(M257:AQ257,标准数据!$A$4)*标准数据!$B$4</f>
        <v>0</v>
      </c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189"/>
      <c r="AR257" s="55"/>
      <c r="AV257" s="76" t="str">
        <f>VLOOKUP(E257,[1]生产部!$C:$I,7,0)</f>
        <v>班组</v>
      </c>
      <c r="AW257" s="41" t="str">
        <f>VLOOKUP(E257,[1]生产部!$C:$I,6,0)</f>
        <v>13号楼（11号楼CNC区域委培）</v>
      </c>
    </row>
    <row r="258" spans="1:49" ht="21" customHeight="1">
      <c r="A258" s="234" t="s">
        <v>2132</v>
      </c>
      <c r="B258" s="229" t="s">
        <v>2111</v>
      </c>
      <c r="C258" s="45" t="s">
        <v>14</v>
      </c>
      <c r="D258" s="54" t="s">
        <v>1119</v>
      </c>
      <c r="E258" s="47" t="s">
        <v>1120</v>
      </c>
      <c r="F258" s="48">
        <v>46029</v>
      </c>
      <c r="G258" s="49">
        <f t="shared" si="3"/>
        <v>0</v>
      </c>
      <c r="H258" s="77">
        <f>SUMIF(积分汇总!$B:$B,D255,积分汇总!$E:$E)</f>
        <v>0</v>
      </c>
      <c r="I258" s="77">
        <f>SUMIF(记录巡查问题条数汇总!$B:$B,D255,记录巡查问题条数汇总!$E:$E)</f>
        <v>0</v>
      </c>
      <c r="J258" s="77"/>
      <c r="K258" s="77">
        <f>SUMIF(安全质量事故!$B:$B,D255,安全质量事故!$G:$G)</f>
        <v>0</v>
      </c>
      <c r="L258" s="72">
        <f>COUNTIF(M258:AQ258,标准数据!$A$2)*标准数据!$B$2+COUNTIF(M258:AQ258,标准数据!$A$3)*标准数据!$B$3+COUNTIF(M258:AQ258,标准数据!$A$4)*标准数据!$B$4</f>
        <v>0</v>
      </c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189"/>
      <c r="AR258" s="55"/>
      <c r="AS258" s="41"/>
      <c r="AT258" s="41"/>
      <c r="AU258" s="41"/>
      <c r="AV258" s="76" t="str">
        <f>VLOOKUP(E258,[1]生产部!$C:$I,7,0)</f>
        <v>常白</v>
      </c>
      <c r="AW258" s="41" t="str">
        <f>VLOOKUP(E258,[1]生产部!$C:$I,6,0)</f>
        <v>11号楼CNC区域</v>
      </c>
    </row>
    <row r="259" spans="1:49" ht="21" customHeight="1">
      <c r="A259" s="234" t="s">
        <v>2132</v>
      </c>
      <c r="B259" s="229" t="s">
        <v>2111</v>
      </c>
      <c r="C259" s="45" t="s">
        <v>14</v>
      </c>
      <c r="D259" s="54" t="s">
        <v>1121</v>
      </c>
      <c r="E259" s="47" t="s">
        <v>1122</v>
      </c>
      <c r="F259" s="48">
        <v>46029</v>
      </c>
      <c r="G259" s="49">
        <f t="shared" si="3"/>
        <v>0</v>
      </c>
      <c r="H259" s="77">
        <f>SUMIF(积分汇总!$B:$B,D258,积分汇总!$E:$E)</f>
        <v>0</v>
      </c>
      <c r="I259" s="77">
        <f>SUMIF(记录巡查问题条数汇总!$B:$B,D258,记录巡查问题条数汇总!$E:$E)</f>
        <v>0</v>
      </c>
      <c r="J259" s="77"/>
      <c r="K259" s="77">
        <f>SUMIF(安全质量事故!$B:$B,D258,安全质量事故!$G:$G)</f>
        <v>0</v>
      </c>
      <c r="L259" s="72">
        <f>COUNTIF(M259:AQ259,标准数据!$A$2)*标准数据!$B$2+COUNTIF(M259:AQ259,标准数据!$A$3)*标准数据!$B$3+COUNTIF(M259:AQ259,标准数据!$A$4)*标准数据!$B$4</f>
        <v>0</v>
      </c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189"/>
      <c r="AR259" s="55"/>
      <c r="AS259" s="41"/>
      <c r="AT259" s="41"/>
      <c r="AU259" s="41"/>
      <c r="AV259" s="76" t="str">
        <f>VLOOKUP(E259,[1]生产部!$C:$I,7,0)</f>
        <v>班组</v>
      </c>
      <c r="AW259" s="41" t="str">
        <f>VLOOKUP(E259,[1]生产部!$C:$I,6,0)</f>
        <v>11号楼CNC区域</v>
      </c>
    </row>
    <row r="260" spans="1:49" ht="21" customHeight="1">
      <c r="A260" s="234" t="s">
        <v>2132</v>
      </c>
      <c r="B260" s="229" t="s">
        <v>2111</v>
      </c>
      <c r="C260" s="45" t="s">
        <v>14</v>
      </c>
      <c r="D260" s="54" t="s">
        <v>1123</v>
      </c>
      <c r="E260" s="47" t="s">
        <v>1124</v>
      </c>
      <c r="F260" s="48">
        <v>46029</v>
      </c>
      <c r="G260" s="49">
        <f t="shared" si="3"/>
        <v>0</v>
      </c>
      <c r="H260" s="77">
        <f>SUMIF(积分汇总!$B:$B,D259,积分汇总!$E:$E)</f>
        <v>0</v>
      </c>
      <c r="I260" s="77">
        <f>SUMIF(记录巡查问题条数汇总!$B:$B,D259,记录巡查问题条数汇总!$E:$E)</f>
        <v>0</v>
      </c>
      <c r="J260" s="77"/>
      <c r="K260" s="77">
        <f>SUMIF(安全质量事故!$B:$B,D259,安全质量事故!$G:$G)</f>
        <v>0</v>
      </c>
      <c r="L260" s="72">
        <f>COUNTIF(M260:AQ260,标准数据!$A$2)*标准数据!$B$2+COUNTIF(M260:AQ260,标准数据!$A$3)*标准数据!$B$3+COUNTIF(M260:AQ260,标准数据!$A$4)*标准数据!$B$4</f>
        <v>0</v>
      </c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189"/>
      <c r="AR260" s="55"/>
      <c r="AS260" s="41"/>
      <c r="AT260" s="41"/>
      <c r="AU260" s="41"/>
      <c r="AV260" s="76" t="str">
        <f>VLOOKUP(E260,[1]生产部!$C:$I,7,0)</f>
        <v>班组</v>
      </c>
      <c r="AW260" s="41" t="str">
        <f>VLOOKUP(E260,[1]生产部!$C:$I,6,0)</f>
        <v>11号楼CNC区域</v>
      </c>
    </row>
    <row r="261" spans="1:49" ht="21" customHeight="1">
      <c r="A261" s="234" t="s">
        <v>2132</v>
      </c>
      <c r="B261" s="229" t="s">
        <v>2111</v>
      </c>
      <c r="C261" s="204" t="s">
        <v>14</v>
      </c>
      <c r="D261" s="202" t="s">
        <v>1976</v>
      </c>
      <c r="E261" s="201" t="s">
        <v>1977</v>
      </c>
      <c r="F261" s="203">
        <v>46223</v>
      </c>
      <c r="G261" s="49">
        <f t="shared" si="3"/>
        <v>0</v>
      </c>
      <c r="H261" s="77">
        <f>SUMIF(积分汇总!$B:$B,D260,积分汇总!$E:$E)</f>
        <v>0</v>
      </c>
      <c r="I261" s="77">
        <f>SUMIF(记录巡查问题条数汇总!$B:$B,D260,记录巡查问题条数汇总!$E:$E)</f>
        <v>0</v>
      </c>
      <c r="J261" s="77"/>
      <c r="K261" s="77">
        <f>SUMIF(安全质量事故!$B:$B,D260,安全质量事故!$G:$G)</f>
        <v>0</v>
      </c>
      <c r="L261" s="72">
        <f>COUNTIF(M261:AQ261,标准数据!$A$2)*标准数据!$B$2+COUNTIF(M261:AQ261,标准数据!$A$3)*标准数据!$B$3+COUNTIF(M261:AQ261,标准数据!$A$4)*标准数据!$B$4</f>
        <v>0</v>
      </c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189"/>
      <c r="AR261" s="55"/>
      <c r="AS261" s="41"/>
      <c r="AT261" s="41"/>
      <c r="AU261" s="41"/>
      <c r="AV261" s="76" t="str">
        <f>VLOOKUP(E261,[1]生产部!$C:$I,7,0)</f>
        <v>班组</v>
      </c>
      <c r="AW261" s="41" t="str">
        <f>VLOOKUP(E261,[1]生产部!$C:$I,6,0)</f>
        <v>11号楼CNC区域</v>
      </c>
    </row>
    <row r="262" spans="1:49" ht="21" customHeight="1">
      <c r="A262" s="234" t="s">
        <v>2132</v>
      </c>
      <c r="B262" s="229" t="s">
        <v>2111</v>
      </c>
      <c r="C262" s="204" t="s">
        <v>14</v>
      </c>
      <c r="D262" s="202" t="s">
        <v>1978</v>
      </c>
      <c r="E262" s="201" t="s">
        <v>1979</v>
      </c>
      <c r="F262" s="203">
        <v>46223</v>
      </c>
      <c r="G262" s="49">
        <f t="shared" si="3"/>
        <v>0</v>
      </c>
      <c r="H262" s="77">
        <f>SUMIF(积分汇总!$B:$B,D261,积分汇总!$E:$E)</f>
        <v>0</v>
      </c>
      <c r="I262" s="77">
        <f>SUMIF(记录巡查问题条数汇总!$B:$B,D261,记录巡查问题条数汇总!$E:$E)</f>
        <v>0</v>
      </c>
      <c r="J262" s="77"/>
      <c r="K262" s="77">
        <f>SUMIF(安全质量事故!$B:$B,D261,安全质量事故!$G:$G)</f>
        <v>0</v>
      </c>
      <c r="L262" s="72">
        <f>COUNTIF(M262:AQ262,标准数据!$A$2)*标准数据!$B$2+COUNTIF(M262:AQ262,标准数据!$A$3)*标准数据!$B$3+COUNTIF(M262:AQ262,标准数据!$A$4)*标准数据!$B$4</f>
        <v>0</v>
      </c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189"/>
      <c r="AR262" s="55"/>
      <c r="AS262" s="41"/>
      <c r="AT262" s="41"/>
      <c r="AU262" s="41"/>
      <c r="AV262" s="76" t="str">
        <f>VLOOKUP(E262,[1]生产部!$C:$I,7,0)</f>
        <v>班组</v>
      </c>
      <c r="AW262" s="41" t="str">
        <f>VLOOKUP(E262,[1]生产部!$C:$I,6,0)</f>
        <v>11号楼CNC区域</v>
      </c>
    </row>
    <row r="263" spans="1:49" ht="21" customHeight="1">
      <c r="A263" s="234" t="s">
        <v>2132</v>
      </c>
      <c r="B263" s="229" t="s">
        <v>2111</v>
      </c>
      <c r="C263" s="204" t="s">
        <v>14</v>
      </c>
      <c r="D263" s="202" t="s">
        <v>1980</v>
      </c>
      <c r="E263" s="201" t="s">
        <v>1981</v>
      </c>
      <c r="F263" s="203">
        <v>46223</v>
      </c>
      <c r="G263" s="49">
        <f t="shared" si="3"/>
        <v>0</v>
      </c>
      <c r="H263" s="77">
        <f>SUMIF(积分汇总!$B:$B,D262,积分汇总!$E:$E)</f>
        <v>0</v>
      </c>
      <c r="I263" s="77">
        <f>SUMIF(记录巡查问题条数汇总!$B:$B,D262,记录巡查问题条数汇总!$E:$E)</f>
        <v>0</v>
      </c>
      <c r="J263" s="77"/>
      <c r="K263" s="77">
        <f>SUMIF(安全质量事故!$B:$B,D262,安全质量事故!$G:$G)</f>
        <v>0</v>
      </c>
      <c r="L263" s="72">
        <f>COUNTIF(M263:AQ263,标准数据!$A$2)*标准数据!$B$2+COUNTIF(M263:AQ263,标准数据!$A$3)*标准数据!$B$3+COUNTIF(M263:AQ263,标准数据!$A$4)*标准数据!$B$4</f>
        <v>0</v>
      </c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189"/>
      <c r="AR263" s="55"/>
      <c r="AS263" s="41"/>
      <c r="AT263" s="41"/>
      <c r="AU263" s="41"/>
      <c r="AV263" s="76" t="str">
        <f>VLOOKUP(E263,[1]生产部!$C:$I,7,0)</f>
        <v>班组</v>
      </c>
      <c r="AW263" s="41" t="str">
        <f>VLOOKUP(E263,[1]生产部!$C:$I,6,0)</f>
        <v>11号楼CNC区域</v>
      </c>
    </row>
    <row r="264" spans="1:49" ht="21" customHeight="1">
      <c r="A264" s="234" t="s">
        <v>2132</v>
      </c>
      <c r="B264" s="229" t="s">
        <v>2111</v>
      </c>
      <c r="C264" s="204" t="s">
        <v>14</v>
      </c>
      <c r="D264" s="202" t="s">
        <v>831</v>
      </c>
      <c r="E264" s="201" t="s">
        <v>1982</v>
      </c>
      <c r="F264" s="203">
        <v>46225</v>
      </c>
      <c r="G264" s="49">
        <f t="shared" si="3"/>
        <v>0</v>
      </c>
      <c r="H264" s="77">
        <f>SUMIF(积分汇总!$B:$B,D263,积分汇总!$E:$E)</f>
        <v>0</v>
      </c>
      <c r="I264" s="77">
        <f>SUMIF(记录巡查问题条数汇总!$B:$B,D263,记录巡查问题条数汇总!$E:$E)</f>
        <v>0</v>
      </c>
      <c r="J264" s="77"/>
      <c r="K264" s="77">
        <f>SUMIF(安全质量事故!$B:$B,D263,安全质量事故!$G:$G)</f>
        <v>0</v>
      </c>
      <c r="L264" s="72">
        <f>COUNTIF(M264:AQ264,标准数据!$A$2)*标准数据!$B$2+COUNTIF(M264:AQ264,标准数据!$A$3)*标准数据!$B$3+COUNTIF(M264:AQ264,标准数据!$A$4)*标准数据!$B$4</f>
        <v>0</v>
      </c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189"/>
      <c r="AR264" s="55"/>
      <c r="AS264" s="41"/>
      <c r="AT264" s="41"/>
      <c r="AU264" s="41"/>
      <c r="AV264" s="76" t="str">
        <f>VLOOKUP(E264,[1]生产部!$C:$I,7,0)</f>
        <v>项目组</v>
      </c>
      <c r="AW264" s="41" t="str">
        <f>VLOOKUP(E264,[1]生产部!$C:$I,6,0)</f>
        <v>11号楼CNC区域</v>
      </c>
    </row>
    <row r="265" spans="1:49" ht="21" customHeight="1">
      <c r="A265" s="234" t="s">
        <v>2132</v>
      </c>
      <c r="B265" s="229" t="s">
        <v>2112</v>
      </c>
      <c r="C265" s="204" t="s">
        <v>14</v>
      </c>
      <c r="D265" s="202" t="s">
        <v>1983</v>
      </c>
      <c r="E265" s="201" t="s">
        <v>1984</v>
      </c>
      <c r="F265" s="203">
        <v>46246</v>
      </c>
      <c r="G265" s="49">
        <f t="shared" si="3"/>
        <v>0</v>
      </c>
      <c r="H265" s="77">
        <f>SUMIF(积分汇总!$B:$B,D264,积分汇总!$E:$E)</f>
        <v>0</v>
      </c>
      <c r="I265" s="77">
        <f>SUMIF(记录巡查问题条数汇总!$B:$B,D264,记录巡查问题条数汇总!$E:$E)</f>
        <v>0</v>
      </c>
      <c r="J265" s="77"/>
      <c r="K265" s="77">
        <f>SUMIF(安全质量事故!$B:$B,D264,安全质量事故!$G:$G)</f>
        <v>0</v>
      </c>
      <c r="L265" s="72">
        <f>COUNTIF(M265:AQ265,标准数据!$A$2)*标准数据!$B$2+COUNTIF(M265:AQ265,标准数据!$A$3)*标准数据!$B$3+COUNTIF(M265:AQ265,标准数据!$A$4)*标准数据!$B$4</f>
        <v>0</v>
      </c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189"/>
      <c r="AR265" s="55"/>
      <c r="AS265" s="41"/>
      <c r="AT265" s="41"/>
      <c r="AU265" s="41"/>
      <c r="AV265" s="76" t="str">
        <f>VLOOKUP(E265,[1]生产部!$C:$I,7,0)</f>
        <v>项目组</v>
      </c>
      <c r="AW265" s="41" t="str">
        <f>VLOOKUP(E265,[1]生产部!$C:$I,6,0)</f>
        <v>11号楼CNC区域</v>
      </c>
    </row>
    <row r="266" spans="1:49" ht="21" customHeight="1">
      <c r="A266" s="234" t="s">
        <v>2132</v>
      </c>
      <c r="B266" s="229" t="s">
        <v>2111</v>
      </c>
      <c r="C266" s="204" t="s">
        <v>14</v>
      </c>
      <c r="D266" s="202" t="s">
        <v>1985</v>
      </c>
      <c r="E266" s="201" t="s">
        <v>1986</v>
      </c>
      <c r="F266" s="203">
        <v>46225</v>
      </c>
      <c r="G266" s="49">
        <f t="shared" ref="G266:G339" si="4">(L266+H266+I266+J266-K266)</f>
        <v>0</v>
      </c>
      <c r="H266" s="77">
        <f>SUMIF(积分汇总!$B:$B,D265,积分汇总!$E:$E)</f>
        <v>0</v>
      </c>
      <c r="I266" s="77">
        <f>SUMIF(记录巡查问题条数汇总!$B:$B,D265,记录巡查问题条数汇总!$E:$E)</f>
        <v>0</v>
      </c>
      <c r="J266" s="77"/>
      <c r="K266" s="77">
        <f>SUMIF(安全质量事故!$B:$B,D265,安全质量事故!$G:$G)</f>
        <v>0</v>
      </c>
      <c r="L266" s="72">
        <f>COUNTIF(M266:AQ266,标准数据!$A$2)*标准数据!$B$2+COUNTIF(M266:AQ266,标准数据!$A$3)*标准数据!$B$3+COUNTIF(M266:AQ266,标准数据!$A$4)*标准数据!$B$4</f>
        <v>0</v>
      </c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189"/>
      <c r="AR266" s="55"/>
      <c r="AS266" s="41"/>
      <c r="AT266" s="41"/>
      <c r="AU266" s="41"/>
      <c r="AV266" s="76" t="str">
        <f>VLOOKUP(E266,[1]生产部!$C:$I,7,0)</f>
        <v>班组</v>
      </c>
      <c r="AW266" s="41" t="str">
        <f>VLOOKUP(E266,[1]生产部!$C:$I,6,0)</f>
        <v>13号楼（11号楼CNC区域委培）</v>
      </c>
    </row>
    <row r="267" spans="1:49" ht="21" customHeight="1">
      <c r="A267" s="234" t="s">
        <v>2132</v>
      </c>
      <c r="B267" s="229" t="s">
        <v>2111</v>
      </c>
      <c r="C267" s="204" t="s">
        <v>14</v>
      </c>
      <c r="D267" s="202" t="s">
        <v>1987</v>
      </c>
      <c r="E267" s="201" t="s">
        <v>1988</v>
      </c>
      <c r="F267" s="203">
        <v>46225</v>
      </c>
      <c r="G267" s="49">
        <f t="shared" si="4"/>
        <v>0</v>
      </c>
      <c r="H267" s="77">
        <f>SUMIF(积分汇总!$B:$B,D266,积分汇总!$E:$E)</f>
        <v>0</v>
      </c>
      <c r="I267" s="77">
        <f>SUMIF(记录巡查问题条数汇总!$B:$B,D266,记录巡查问题条数汇总!$E:$E)</f>
        <v>0</v>
      </c>
      <c r="J267" s="77"/>
      <c r="K267" s="77">
        <f>SUMIF(安全质量事故!$B:$B,D266,安全质量事故!$G:$G)</f>
        <v>0</v>
      </c>
      <c r="L267" s="72">
        <f>COUNTIF(M267:AQ267,标准数据!$A$2)*标准数据!$B$2+COUNTIF(M267:AQ267,标准数据!$A$3)*标准数据!$B$3+COUNTIF(M267:AQ267,标准数据!$A$4)*标准数据!$B$4</f>
        <v>0</v>
      </c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189"/>
      <c r="AR267" s="55"/>
      <c r="AS267" s="41"/>
      <c r="AT267" s="41"/>
      <c r="AU267" s="41"/>
      <c r="AV267" s="76" t="str">
        <f>VLOOKUP(E267,[1]生产部!$C:$I,7,0)</f>
        <v>班组</v>
      </c>
      <c r="AW267" s="41" t="str">
        <f>VLOOKUP(E267,[1]生产部!$C:$I,6,0)</f>
        <v>13号楼（11号楼CNC区域委培）</v>
      </c>
    </row>
    <row r="268" spans="1:49" ht="21" customHeight="1">
      <c r="A268" s="234" t="s">
        <v>2132</v>
      </c>
      <c r="B268" s="229" t="s">
        <v>2111</v>
      </c>
      <c r="C268" s="45" t="s">
        <v>129</v>
      </c>
      <c r="D268" s="46" t="s">
        <v>262</v>
      </c>
      <c r="E268" s="47" t="s">
        <v>258</v>
      </c>
      <c r="F268" s="48">
        <v>42917</v>
      </c>
      <c r="G268" s="49">
        <f t="shared" si="4"/>
        <v>0</v>
      </c>
      <c r="H268" s="77">
        <f>SUMIF(积分汇总!$B:$B,D267,积分汇总!$E:$E)</f>
        <v>0</v>
      </c>
      <c r="I268" s="77">
        <f>SUMIF(记录巡查问题条数汇总!$B:$B,D267,记录巡查问题条数汇总!$E:$E)</f>
        <v>0</v>
      </c>
      <c r="J268" s="77"/>
      <c r="K268" s="77">
        <f>SUMIF(安全质量事故!$B:$B,D267,安全质量事故!$G:$G)</f>
        <v>0</v>
      </c>
      <c r="L268" s="72">
        <f>COUNTIF(M268:AQ268,标准数据!$A$2)*标准数据!$B$2+COUNTIF(M268:AQ268,标准数据!$A$3)*标准数据!$B$3+COUNTIF(M268:AQ268,标准数据!$A$4)*标准数据!$B$4</f>
        <v>0</v>
      </c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189"/>
      <c r="AR268" s="55"/>
      <c r="AV268" s="76" t="str">
        <f>VLOOKUP(E268,[1]生产部!$C:$I,7,0)</f>
        <v>班组</v>
      </c>
      <c r="AW268" s="41" t="str">
        <f>VLOOKUP(E268,[1]生产部!$C:$I,6,0)</f>
        <v>11号楼CNC区域</v>
      </c>
    </row>
    <row r="269" spans="1:49" ht="21" customHeight="1">
      <c r="A269" s="234" t="s">
        <v>2132</v>
      </c>
      <c r="B269" s="229" t="s">
        <v>2111</v>
      </c>
      <c r="C269" s="45" t="s">
        <v>129</v>
      </c>
      <c r="D269" s="46" t="s">
        <v>484</v>
      </c>
      <c r="E269" s="47" t="s">
        <v>450</v>
      </c>
      <c r="F269" s="48">
        <v>45847</v>
      </c>
      <c r="G269" s="49">
        <f t="shared" si="4"/>
        <v>0</v>
      </c>
      <c r="H269" s="77">
        <f>SUMIF(积分汇总!$B:$B,D268,积分汇总!$E:$E)</f>
        <v>0</v>
      </c>
      <c r="I269" s="77">
        <f>SUMIF(记录巡查问题条数汇总!$B:$B,D268,记录巡查问题条数汇总!$E:$E)</f>
        <v>0</v>
      </c>
      <c r="J269" s="77"/>
      <c r="K269" s="77">
        <f>SUMIF(安全质量事故!$B:$B,D268,安全质量事故!$G:$G)</f>
        <v>0</v>
      </c>
      <c r="L269" s="72">
        <f>COUNTIF(M269:AQ269,标准数据!$A$2)*标准数据!$B$2+COUNTIF(M269:AQ269,标准数据!$A$3)*标准数据!$B$3+COUNTIF(M269:AQ269,标准数据!$A$4)*标准数据!$B$4</f>
        <v>0</v>
      </c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189"/>
      <c r="AR269" s="55"/>
      <c r="AS269" s="41"/>
      <c r="AT269" s="41"/>
      <c r="AU269" s="41"/>
      <c r="AV269" s="76" t="str">
        <f>VLOOKUP(E269,[1]生产部!$C:$I,7,0)</f>
        <v>班组</v>
      </c>
      <c r="AW269" s="41" t="str">
        <f>VLOOKUP(E269,[1]生产部!$C:$I,6,0)</f>
        <v>11号楼CNC区域</v>
      </c>
    </row>
    <row r="270" spans="1:49" ht="21" customHeight="1">
      <c r="A270" s="234" t="s">
        <v>2132</v>
      </c>
      <c r="B270" s="229" t="s">
        <v>2111</v>
      </c>
      <c r="C270" s="45" t="s">
        <v>129</v>
      </c>
      <c r="D270" s="46" t="s">
        <v>547</v>
      </c>
      <c r="E270" s="47" t="s">
        <v>515</v>
      </c>
      <c r="F270" s="48">
        <v>45889</v>
      </c>
      <c r="G270" s="49">
        <f t="shared" si="4"/>
        <v>0</v>
      </c>
      <c r="H270" s="77">
        <f>SUMIF(积分汇总!$B:$B,D269,积分汇总!$E:$E)</f>
        <v>0</v>
      </c>
      <c r="I270" s="77">
        <f>SUMIF(记录巡查问题条数汇总!$B:$B,D269,记录巡查问题条数汇总!$E:$E)</f>
        <v>0</v>
      </c>
      <c r="J270" s="77"/>
      <c r="K270" s="77">
        <f>SUMIF(安全质量事故!$B:$B,D269,安全质量事故!$G:$G)</f>
        <v>0</v>
      </c>
      <c r="L270" s="72">
        <f>COUNTIF(M270:AQ270,标准数据!$A$2)*标准数据!$B$2+COUNTIF(M270:AQ270,标准数据!$A$3)*标准数据!$B$3+COUNTIF(M270:AQ270,标准数据!$A$4)*标准数据!$B$4</f>
        <v>0</v>
      </c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189"/>
      <c r="AR270" s="55"/>
      <c r="AS270" s="41"/>
      <c r="AT270" s="41"/>
      <c r="AU270" s="41"/>
      <c r="AV270" s="76" t="str">
        <f>VLOOKUP(E270,[1]生产部!$C:$I,7,0)</f>
        <v>班组</v>
      </c>
      <c r="AW270" s="41" t="str">
        <f>VLOOKUP(E270,[1]生产部!$C:$I,6,0)</f>
        <v>11号楼CNC区域</v>
      </c>
    </row>
    <row r="271" spans="1:49" ht="21" customHeight="1">
      <c r="A271" s="234" t="s">
        <v>2132</v>
      </c>
      <c r="B271" s="229" t="s">
        <v>2111</v>
      </c>
      <c r="C271" s="45" t="s">
        <v>129</v>
      </c>
      <c r="D271" s="46" t="s">
        <v>482</v>
      </c>
      <c r="E271" s="47" t="s">
        <v>447</v>
      </c>
      <c r="F271" s="48">
        <v>44256</v>
      </c>
      <c r="G271" s="49">
        <f t="shared" si="4"/>
        <v>0</v>
      </c>
      <c r="H271" s="77">
        <f>SUMIF(积分汇总!$B:$B,D270,积分汇总!$E:$E)</f>
        <v>0</v>
      </c>
      <c r="I271" s="77">
        <f>SUMIF(记录巡查问题条数汇总!$B:$B,D270,记录巡查问题条数汇总!$E:$E)</f>
        <v>0</v>
      </c>
      <c r="J271" s="77"/>
      <c r="K271" s="77">
        <f>SUMIF(安全质量事故!$B:$B,D270,安全质量事故!$G:$G)</f>
        <v>0</v>
      </c>
      <c r="L271" s="72">
        <f>COUNTIF(M271:AQ271,标准数据!$A$2)*标准数据!$B$2+COUNTIF(M271:AQ271,标准数据!$A$3)*标准数据!$B$3+COUNTIF(M271:AQ271,标准数据!$A$4)*标准数据!$B$4</f>
        <v>0</v>
      </c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189"/>
      <c r="AR271" s="55"/>
      <c r="AV271" s="76" t="str">
        <f>VLOOKUP(E271,[1]生产部!$C:$I,7,0)</f>
        <v>班组</v>
      </c>
      <c r="AW271" s="41" t="str">
        <f>VLOOKUP(E271,[1]生产部!$C:$I,6,0)</f>
        <v>11号楼CNC区域</v>
      </c>
    </row>
    <row r="272" spans="1:49" ht="21" customHeight="1">
      <c r="A272" s="234" t="s">
        <v>2132</v>
      </c>
      <c r="B272" s="229" t="s">
        <v>2111</v>
      </c>
      <c r="C272" s="45" t="s">
        <v>129</v>
      </c>
      <c r="D272" s="46" t="s">
        <v>821</v>
      </c>
      <c r="E272" s="47" t="s">
        <v>773</v>
      </c>
      <c r="F272" s="48">
        <v>44671</v>
      </c>
      <c r="G272" s="49">
        <f t="shared" si="4"/>
        <v>0</v>
      </c>
      <c r="H272" s="77">
        <f>SUMIF(积分汇总!$B:$B,D271,积分汇总!$E:$E)</f>
        <v>0</v>
      </c>
      <c r="I272" s="77">
        <f>SUMIF(记录巡查问题条数汇总!$B:$B,D271,记录巡查问题条数汇总!$E:$E)</f>
        <v>0</v>
      </c>
      <c r="J272" s="77"/>
      <c r="K272" s="77">
        <f>SUMIF(安全质量事故!$B:$B,D271,安全质量事故!$G:$G)</f>
        <v>0</v>
      </c>
      <c r="L272" s="72">
        <f>COUNTIF(M272:AQ272,标准数据!$A$2)*标准数据!$B$2+COUNTIF(M272:AQ272,标准数据!$A$3)*标准数据!$B$3+COUNTIF(M272:AQ272,标准数据!$A$4)*标准数据!$B$4</f>
        <v>0</v>
      </c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189"/>
      <c r="AR272" s="55"/>
      <c r="AV272" s="76" t="str">
        <f>VLOOKUP(E272,[1]生产部!$C:$I,7,0)</f>
        <v>班组</v>
      </c>
      <c r="AW272" s="41" t="str">
        <f>VLOOKUP(E272,[1]生产部!$C:$I,6,0)</f>
        <v>11号楼CNC区域</v>
      </c>
    </row>
    <row r="273" spans="1:49" ht="21" customHeight="1">
      <c r="A273" s="234" t="s">
        <v>2132</v>
      </c>
      <c r="B273" s="229" t="s">
        <v>2111</v>
      </c>
      <c r="C273" s="45" t="s">
        <v>129</v>
      </c>
      <c r="D273" s="46" t="s">
        <v>1114</v>
      </c>
      <c r="E273" s="47" t="s">
        <v>1115</v>
      </c>
      <c r="F273" s="48">
        <v>46127</v>
      </c>
      <c r="G273" s="49">
        <f t="shared" si="4"/>
        <v>0</v>
      </c>
      <c r="H273" s="77">
        <f>SUMIF(积分汇总!$B:$B,D272,积分汇总!$E:$E)</f>
        <v>0</v>
      </c>
      <c r="I273" s="77">
        <f>SUMIF(记录巡查问题条数汇总!$B:$B,D272,记录巡查问题条数汇总!$E:$E)</f>
        <v>0</v>
      </c>
      <c r="J273" s="77"/>
      <c r="K273" s="77">
        <f>SUMIF(安全质量事故!$B:$B,D272,安全质量事故!$G:$G)</f>
        <v>0</v>
      </c>
      <c r="L273" s="72">
        <f>COUNTIF(M273:AQ273,标准数据!$A$2)*标准数据!$B$2+COUNTIF(M273:AQ273,标准数据!$A$3)*标准数据!$B$3+COUNTIF(M273:AQ273,标准数据!$A$4)*标准数据!$B$4</f>
        <v>0</v>
      </c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189"/>
      <c r="AR273" s="55"/>
      <c r="AV273" s="76" t="str">
        <f>VLOOKUP(E273,[1]生产部!$C:$I,7,0)</f>
        <v>常白</v>
      </c>
      <c r="AW273" s="41" t="str">
        <f>VLOOKUP(E273,[1]生产部!$C:$I,6,0)</f>
        <v>11号楼CNC区域</v>
      </c>
    </row>
    <row r="274" spans="1:49" ht="21" customHeight="1">
      <c r="A274" s="234" t="s">
        <v>2132</v>
      </c>
      <c r="B274" s="229" t="s">
        <v>2111</v>
      </c>
      <c r="C274" s="45" t="s">
        <v>129</v>
      </c>
      <c r="D274" s="46" t="s">
        <v>1117</v>
      </c>
      <c r="E274" s="47" t="s">
        <v>1118</v>
      </c>
      <c r="F274" s="48">
        <v>46120</v>
      </c>
      <c r="G274" s="49">
        <f t="shared" si="4"/>
        <v>0</v>
      </c>
      <c r="H274" s="77">
        <f>SUMIF(积分汇总!$B:$B,D273,积分汇总!$E:$E)</f>
        <v>0</v>
      </c>
      <c r="I274" s="77">
        <f>SUMIF(记录巡查问题条数汇总!$B:$B,D273,记录巡查问题条数汇总!$E:$E)</f>
        <v>0</v>
      </c>
      <c r="J274" s="77"/>
      <c r="K274" s="77">
        <f>SUMIF(安全质量事故!$B:$B,D273,安全质量事故!$G:$G)</f>
        <v>0</v>
      </c>
      <c r="L274" s="72">
        <f>COUNTIF(M274:AQ274,标准数据!$A$2)*标准数据!$B$2+COUNTIF(M274:AQ274,标准数据!$A$3)*标准数据!$B$3+COUNTIF(M274:AQ274,标准数据!$A$4)*标准数据!$B$4</f>
        <v>0</v>
      </c>
      <c r="M274" s="56"/>
      <c r="N274" s="56"/>
      <c r="O274" s="56"/>
      <c r="P274" s="56"/>
      <c r="Q274" s="56"/>
      <c r="R274" s="56"/>
      <c r="S274" s="56"/>
      <c r="T274" s="55"/>
      <c r="U274" s="55"/>
      <c r="V274" s="55"/>
      <c r="W274" s="55"/>
      <c r="X274" s="55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189"/>
      <c r="AR274" s="55"/>
      <c r="AS274" s="41"/>
      <c r="AT274" s="41"/>
      <c r="AU274" s="41"/>
      <c r="AV274" s="76" t="str">
        <f>VLOOKUP(E274,[1]生产部!$C:$I,7,0)</f>
        <v>班组</v>
      </c>
      <c r="AW274" s="41" t="str">
        <f>VLOOKUP(E274,[1]生产部!$C:$I,6,0)</f>
        <v>11号楼CNC区域</v>
      </c>
    </row>
    <row r="275" spans="1:49" ht="21" customHeight="1">
      <c r="A275" s="234" t="s">
        <v>2132</v>
      </c>
      <c r="B275" s="229" t="s">
        <v>2111</v>
      </c>
      <c r="C275" s="45" t="s">
        <v>129</v>
      </c>
      <c r="D275" s="46" t="s">
        <v>1289</v>
      </c>
      <c r="E275" s="47" t="s">
        <v>1290</v>
      </c>
      <c r="F275" s="48">
        <v>46134</v>
      </c>
      <c r="G275" s="49">
        <f t="shared" si="4"/>
        <v>0</v>
      </c>
      <c r="H275" s="77">
        <f>SUMIF(积分汇总!$B:$B,D274,积分汇总!$E:$E)</f>
        <v>0</v>
      </c>
      <c r="I275" s="77">
        <f>SUMIF(记录巡查问题条数汇总!$B:$B,D274,记录巡查问题条数汇总!$E:$E)</f>
        <v>0</v>
      </c>
      <c r="J275" s="77"/>
      <c r="K275" s="77">
        <f>SUMIF(安全质量事故!$B:$B,D274,安全质量事故!$G:$G)</f>
        <v>0</v>
      </c>
      <c r="L275" s="72">
        <f>COUNTIF(M275:AQ275,标准数据!$A$2)*标准数据!$B$2+COUNTIF(M275:AQ275,标准数据!$A$3)*标准数据!$B$3+COUNTIF(M275:AQ275,标准数据!$A$4)*标准数据!$B$4</f>
        <v>0</v>
      </c>
      <c r="M275" s="56"/>
      <c r="N275" s="56"/>
      <c r="O275" s="56"/>
      <c r="P275" s="56"/>
      <c r="Q275" s="56"/>
      <c r="R275" s="56"/>
      <c r="S275" s="56"/>
      <c r="T275" s="55"/>
      <c r="U275" s="55"/>
      <c r="V275" s="55"/>
      <c r="W275" s="55"/>
      <c r="X275" s="55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189"/>
      <c r="AR275" s="55"/>
      <c r="AS275" s="41"/>
      <c r="AT275" s="41"/>
      <c r="AU275" s="41"/>
      <c r="AV275" s="76" t="str">
        <f>VLOOKUP(E275,[1]生产部!$C:$I,7,0)</f>
        <v>常白</v>
      </c>
      <c r="AW275" s="41" t="str">
        <f>VLOOKUP(E275,[1]生产部!$C:$I,6,0)</f>
        <v>11号楼CNC区域</v>
      </c>
    </row>
    <row r="276" spans="1:49" ht="21" customHeight="1">
      <c r="A276" s="234" t="s">
        <v>2132</v>
      </c>
      <c r="B276" s="229" t="s">
        <v>2111</v>
      </c>
      <c r="C276" s="45" t="s">
        <v>129</v>
      </c>
      <c r="D276" s="46" t="s">
        <v>1439</v>
      </c>
      <c r="E276" s="47" t="s">
        <v>1440</v>
      </c>
      <c r="F276" s="48">
        <v>46188</v>
      </c>
      <c r="G276" s="49">
        <f t="shared" si="4"/>
        <v>0</v>
      </c>
      <c r="H276" s="77">
        <f>SUMIF(积分汇总!$B:$B,D275,积分汇总!$E:$E)</f>
        <v>0</v>
      </c>
      <c r="I276" s="77">
        <f>SUMIF(记录巡查问题条数汇总!$B:$B,D275,记录巡查问题条数汇总!$E:$E)</f>
        <v>0</v>
      </c>
      <c r="J276" s="77"/>
      <c r="K276" s="77">
        <f>SUMIF(安全质量事故!$B:$B,D275,安全质量事故!$G:$G)</f>
        <v>0</v>
      </c>
      <c r="L276" s="72">
        <f>COUNTIF(M276:AQ276,标准数据!$A$2)*标准数据!$B$2+COUNTIF(M276:AQ276,标准数据!$A$3)*标准数据!$B$3+COUNTIF(M276:AQ276,标准数据!$A$4)*标准数据!$B$4</f>
        <v>0</v>
      </c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189"/>
      <c r="AR276" s="55"/>
      <c r="AV276" s="76" t="str">
        <f>VLOOKUP(E276,[1]生产部!$C:$I,7,0)</f>
        <v>班组</v>
      </c>
      <c r="AW276" s="41" t="str">
        <f>VLOOKUP(E276,[1]生产部!$C:$I,6,0)</f>
        <v>11号楼CNC区域</v>
      </c>
    </row>
    <row r="277" spans="1:49" ht="21" customHeight="1">
      <c r="A277" s="234" t="s">
        <v>2132</v>
      </c>
      <c r="B277" s="229" t="s">
        <v>2111</v>
      </c>
      <c r="C277" s="45" t="s">
        <v>129</v>
      </c>
      <c r="D277" s="46" t="s">
        <v>1639</v>
      </c>
      <c r="E277" s="47" t="s">
        <v>1640</v>
      </c>
      <c r="F277" s="48">
        <v>46204</v>
      </c>
      <c r="G277" s="49">
        <f t="shared" si="4"/>
        <v>0</v>
      </c>
      <c r="H277" s="77">
        <f>SUMIF(积分汇总!$B:$B,,积分汇总!$E:$E)</f>
        <v>0</v>
      </c>
      <c r="I277" s="77">
        <f>SUMIF(记录巡查问题条数汇总!$B:$B,,记录巡查问题条数汇总!$E:$E)</f>
        <v>0</v>
      </c>
      <c r="J277" s="77"/>
      <c r="K277" s="77">
        <f>SUMIF(安全质量事故!$B:$B,,安全质量事故!$G:$G)</f>
        <v>0</v>
      </c>
      <c r="L277" s="72">
        <f>COUNTIF(M277:AQ277,标准数据!$A$2)*标准数据!$B$2+COUNTIF(M277:AQ277,标准数据!$A$3)*标准数据!$B$3+COUNTIF(M277:AQ277,标准数据!$A$4)*标准数据!$B$4</f>
        <v>0</v>
      </c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189"/>
      <c r="AR277" s="55"/>
      <c r="AV277" s="76" t="str">
        <f>VLOOKUP(E277,[1]生产部!$C:$I,7,0)</f>
        <v>班组</v>
      </c>
      <c r="AW277" s="41" t="str">
        <f>VLOOKUP(E277,[1]生产部!$C:$I,6,0)</f>
        <v>11号楼CNC区域</v>
      </c>
    </row>
    <row r="278" spans="1:49" ht="21" customHeight="1">
      <c r="A278" s="234" t="s">
        <v>2132</v>
      </c>
      <c r="B278" s="229" t="s">
        <v>2111</v>
      </c>
      <c r="C278" s="45" t="s">
        <v>129</v>
      </c>
      <c r="D278" s="46" t="s">
        <v>1641</v>
      </c>
      <c r="E278" s="47" t="s">
        <v>1642</v>
      </c>
      <c r="F278" s="48">
        <v>46204</v>
      </c>
      <c r="G278" s="49">
        <f t="shared" si="4"/>
        <v>0</v>
      </c>
      <c r="H278" s="77">
        <f>SUMIF(积分汇总!$B:$B,D277,积分汇总!$E:$E)</f>
        <v>0</v>
      </c>
      <c r="I278" s="77">
        <f>SUMIF(记录巡查问题条数汇总!$B:$B,D277,记录巡查问题条数汇总!$E:$E)</f>
        <v>0</v>
      </c>
      <c r="J278" s="77"/>
      <c r="K278" s="77">
        <f>SUMIF(安全质量事故!$B:$B,D277,安全质量事故!$G:$G)</f>
        <v>0</v>
      </c>
      <c r="L278" s="72">
        <f>COUNTIF(M278:AQ278,标准数据!$A$2)*标准数据!$B$2+COUNTIF(M278:AQ278,标准数据!$A$3)*标准数据!$B$3+COUNTIF(M278:AQ278,标准数据!$A$4)*标准数据!$B$4</f>
        <v>0</v>
      </c>
      <c r="M278" s="56"/>
      <c r="N278" s="56"/>
      <c r="O278" s="56"/>
      <c r="P278" s="56"/>
      <c r="Q278" s="56"/>
      <c r="R278" s="56"/>
      <c r="S278" s="56"/>
      <c r="T278" s="55"/>
      <c r="U278" s="55"/>
      <c r="V278" s="55"/>
      <c r="W278" s="55"/>
      <c r="X278" s="55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189"/>
      <c r="AR278" s="55"/>
      <c r="AS278" s="41"/>
      <c r="AT278" s="41"/>
      <c r="AU278" s="41"/>
      <c r="AV278" s="76" t="str">
        <f>VLOOKUP(E278,[1]生产部!$C:$I,7,0)</f>
        <v>班组</v>
      </c>
      <c r="AW278" s="41" t="str">
        <f>VLOOKUP(E278,[1]生产部!$C:$I,6,0)</f>
        <v>11号楼CNC区域</v>
      </c>
    </row>
    <row r="279" spans="1:49" ht="21" customHeight="1">
      <c r="A279" s="234" t="s">
        <v>2132</v>
      </c>
      <c r="B279" s="229" t="s">
        <v>2111</v>
      </c>
      <c r="C279" s="45" t="s">
        <v>129</v>
      </c>
      <c r="D279" s="46" t="s">
        <v>1643</v>
      </c>
      <c r="E279" s="47" t="s">
        <v>1644</v>
      </c>
      <c r="F279" s="48">
        <v>46195</v>
      </c>
      <c r="G279" s="49">
        <f t="shared" si="4"/>
        <v>0</v>
      </c>
      <c r="H279" s="77">
        <f>SUMIF(积分汇总!$B:$B,D278,积分汇总!$E:$E)</f>
        <v>0</v>
      </c>
      <c r="I279" s="77">
        <f>SUMIF(记录巡查问题条数汇总!$B:$B,D278,记录巡查问题条数汇总!$E:$E)</f>
        <v>0</v>
      </c>
      <c r="J279" s="77"/>
      <c r="K279" s="77">
        <f>SUMIF(安全质量事故!$B:$B,D278,安全质量事故!$G:$G)</f>
        <v>0</v>
      </c>
      <c r="L279" s="72">
        <f>COUNTIF(M279:AQ279,标准数据!$A$2)*标准数据!$B$2+COUNTIF(M279:AQ279,标准数据!$A$3)*标准数据!$B$3+COUNTIF(M279:AQ279,标准数据!$A$4)*标准数据!$B$4</f>
        <v>0</v>
      </c>
      <c r="M279" s="56"/>
      <c r="N279" s="56"/>
      <c r="O279" s="56"/>
      <c r="P279" s="56"/>
      <c r="Q279" s="56"/>
      <c r="R279" s="56"/>
      <c r="S279" s="56"/>
      <c r="T279" s="55"/>
      <c r="U279" s="55"/>
      <c r="V279" s="55"/>
      <c r="W279" s="55"/>
      <c r="X279" s="55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189"/>
      <c r="AR279" s="55"/>
      <c r="AS279" s="41"/>
      <c r="AT279" s="41"/>
      <c r="AU279" s="41"/>
      <c r="AV279" s="76" t="str">
        <f>VLOOKUP(E279,[1]生产部!$C:$I,7,0)</f>
        <v>班组</v>
      </c>
      <c r="AW279" s="41" t="str">
        <f>VLOOKUP(E279,[1]生产部!$C:$I,6,0)</f>
        <v>11号楼CNC区域</v>
      </c>
    </row>
    <row r="280" spans="1:49" ht="21" customHeight="1">
      <c r="A280" s="234" t="s">
        <v>2132</v>
      </c>
      <c r="B280" s="229" t="s">
        <v>2111</v>
      </c>
      <c r="C280" s="45" t="s">
        <v>129</v>
      </c>
      <c r="D280" s="46" t="s">
        <v>1645</v>
      </c>
      <c r="E280" s="47" t="s">
        <v>1646</v>
      </c>
      <c r="F280" s="48">
        <v>46195</v>
      </c>
      <c r="G280" s="49">
        <f t="shared" si="4"/>
        <v>0</v>
      </c>
      <c r="H280" s="77">
        <f>SUMIF(积分汇总!$B:$B,D279,积分汇总!$E:$E)</f>
        <v>0</v>
      </c>
      <c r="I280" s="77">
        <f>SUMIF(记录巡查问题条数汇总!$B:$B,D279,记录巡查问题条数汇总!$E:$E)</f>
        <v>0</v>
      </c>
      <c r="J280" s="77"/>
      <c r="K280" s="77">
        <f>SUMIF(安全质量事故!$B:$B,D279,安全质量事故!$G:$G)</f>
        <v>0</v>
      </c>
      <c r="L280" s="72">
        <f>COUNTIF(M280:AQ280,标准数据!$A$2)*标准数据!$B$2+COUNTIF(M280:AQ280,标准数据!$A$3)*标准数据!$B$3+COUNTIF(M280:AQ280,标准数据!$A$4)*标准数据!$B$4</f>
        <v>0</v>
      </c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189"/>
      <c r="AR280" s="55"/>
      <c r="AV280" s="76" t="str">
        <f>VLOOKUP(E280,[1]生产部!$C:$I,7,0)</f>
        <v>班组</v>
      </c>
      <c r="AW280" s="41" t="str">
        <f>VLOOKUP(E280,[1]生产部!$C:$I,6,0)</f>
        <v>11号楼CNC区域</v>
      </c>
    </row>
    <row r="281" spans="1:49" ht="21" customHeight="1">
      <c r="A281" s="234" t="s">
        <v>2132</v>
      </c>
      <c r="B281" s="229" t="s">
        <v>2112</v>
      </c>
      <c r="C281" s="45" t="s">
        <v>129</v>
      </c>
      <c r="D281" s="46" t="s">
        <v>398</v>
      </c>
      <c r="E281" s="47" t="s">
        <v>390</v>
      </c>
      <c r="F281" s="48">
        <v>45770</v>
      </c>
      <c r="G281" s="49">
        <f t="shared" si="4"/>
        <v>0</v>
      </c>
      <c r="H281" s="77">
        <f>SUMIF(积分汇总!$B:$B,D280,积分汇总!$E:$E)</f>
        <v>0</v>
      </c>
      <c r="I281" s="77">
        <f>SUMIF(记录巡查问题条数汇总!$B:$B,D280,记录巡查问题条数汇总!$E:$E)</f>
        <v>0</v>
      </c>
      <c r="J281" s="77"/>
      <c r="K281" s="77">
        <f>SUMIF(安全质量事故!$B:$B,D280,安全质量事故!$G:$G)</f>
        <v>0</v>
      </c>
      <c r="L281" s="72">
        <f>COUNTIF(M281:AQ281,标准数据!$A$2)*标准数据!$B$2+COUNTIF(M281:AQ281,标准数据!$A$3)*标准数据!$B$3+COUNTIF(M281:AQ281,标准数据!$A$4)*标准数据!$B$4</f>
        <v>0</v>
      </c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189"/>
      <c r="AR281" s="55"/>
      <c r="AS281" s="41"/>
      <c r="AT281" s="41"/>
      <c r="AU281" s="41"/>
      <c r="AV281" s="76" t="str">
        <f>VLOOKUP(E281,[1]生产部!$C:$I,7,0)</f>
        <v>班组</v>
      </c>
      <c r="AW281" s="41" t="str">
        <f>VLOOKUP(E281,[1]生产部!$C:$I,6,0)</f>
        <v>12号楼（11号楼CNC区域委培）</v>
      </c>
    </row>
    <row r="282" spans="1:49" ht="21" customHeight="1">
      <c r="A282" s="234" t="s">
        <v>2132</v>
      </c>
      <c r="B282" s="229" t="s">
        <v>2111</v>
      </c>
      <c r="C282" s="45" t="s">
        <v>129</v>
      </c>
      <c r="D282" s="54" t="s">
        <v>724</v>
      </c>
      <c r="E282" s="47" t="s">
        <v>686</v>
      </c>
      <c r="F282" s="48">
        <v>45854</v>
      </c>
      <c r="G282" s="49">
        <f t="shared" si="4"/>
        <v>0</v>
      </c>
      <c r="H282" s="77">
        <f>SUMIF(积分汇总!$B:$B,D280,积分汇总!$E:$E)</f>
        <v>0</v>
      </c>
      <c r="I282" s="77">
        <f>SUMIF(记录巡查问题条数汇总!$B:$B,D280,记录巡查问题条数汇总!$E:$E)</f>
        <v>0</v>
      </c>
      <c r="J282" s="77"/>
      <c r="K282" s="77">
        <f>SUMIF(安全质量事故!$B:$B,D280,安全质量事故!$G:$G)</f>
        <v>0</v>
      </c>
      <c r="L282" s="72">
        <f>COUNTIF(M282:AQ282,标准数据!$A$2)*标准数据!$B$2+COUNTIF(M282:AQ282,标准数据!$A$3)*标准数据!$B$3+COUNTIF(M282:AQ282,标准数据!$A$4)*标准数据!$B$4</f>
        <v>0</v>
      </c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189"/>
      <c r="AR282" s="55"/>
      <c r="AS282" s="41"/>
      <c r="AT282" s="41"/>
      <c r="AU282" s="41"/>
      <c r="AV282" s="76" t="str">
        <f>VLOOKUP(E282,[1]生产部!$C:$I,7,0)</f>
        <v>常白</v>
      </c>
      <c r="AW282" s="41" t="str">
        <f>VLOOKUP(E282,[1]生产部!$C:$I,6,0)</f>
        <v>11号楼CNC区域</v>
      </c>
    </row>
    <row r="283" spans="1:49" ht="21" customHeight="1">
      <c r="A283" s="234" t="s">
        <v>2132</v>
      </c>
      <c r="B283" s="229" t="s">
        <v>2111</v>
      </c>
      <c r="C283" s="45" t="s">
        <v>146</v>
      </c>
      <c r="D283" s="54" t="s">
        <v>1008</v>
      </c>
      <c r="E283" s="47" t="s">
        <v>1009</v>
      </c>
      <c r="F283" s="48">
        <v>45980</v>
      </c>
      <c r="G283" s="49">
        <f t="shared" si="4"/>
        <v>0</v>
      </c>
      <c r="H283" s="77">
        <f>SUMIF(积分汇总!$B:$B,D282,积分汇总!$E:$E)</f>
        <v>0</v>
      </c>
      <c r="I283" s="77">
        <f>SUMIF(记录巡查问题条数汇总!$B:$B,D282,记录巡查问题条数汇总!$E:$E)</f>
        <v>0</v>
      </c>
      <c r="J283" s="77"/>
      <c r="K283" s="77">
        <f>SUMIF(安全质量事故!$B:$B,D282,安全质量事故!$G:$G)</f>
        <v>0</v>
      </c>
      <c r="L283" s="72">
        <f>COUNTIF(M283:AQ283,标准数据!$A$2)*标准数据!$B$2+COUNTIF(M283:AQ283,标准数据!$A$3)*标准数据!$B$3+COUNTIF(M283:AQ283,标准数据!$A$4)*标准数据!$B$4</f>
        <v>0</v>
      </c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189"/>
      <c r="AR283" s="55"/>
      <c r="AS283" s="41"/>
      <c r="AT283" s="41"/>
      <c r="AU283" s="41"/>
      <c r="AV283" s="76" t="str">
        <f>VLOOKUP(E283,[1]生产部!$C:$I,7,0)</f>
        <v>常白</v>
      </c>
      <c r="AW283" s="41" t="str">
        <f>VLOOKUP(E283,[1]生产部!$C:$I,6,0)</f>
        <v>11号楼CNC区域</v>
      </c>
    </row>
    <row r="284" spans="1:49" ht="21" customHeight="1">
      <c r="A284" s="234" t="s">
        <v>2132</v>
      </c>
      <c r="B284" s="229" t="s">
        <v>2111</v>
      </c>
      <c r="C284" s="204" t="s">
        <v>146</v>
      </c>
      <c r="D284" s="202" t="s">
        <v>1989</v>
      </c>
      <c r="E284" s="201" t="s">
        <v>1990</v>
      </c>
      <c r="F284" s="203">
        <v>46225</v>
      </c>
      <c r="G284" s="49">
        <f t="shared" si="4"/>
        <v>0</v>
      </c>
      <c r="H284" s="77">
        <f>SUMIF(积分汇总!$B:$B,D283,积分汇总!$E:$E)</f>
        <v>0</v>
      </c>
      <c r="I284" s="77">
        <f>SUMIF(记录巡查问题条数汇总!$B:$B,D283,记录巡查问题条数汇总!$E:$E)</f>
        <v>0</v>
      </c>
      <c r="J284" s="77"/>
      <c r="K284" s="77">
        <f>SUMIF(安全质量事故!$B:$B,D283,安全质量事故!$G:$G)</f>
        <v>0</v>
      </c>
      <c r="L284" s="72">
        <f>COUNTIF(M284:AQ284,标准数据!$A$2)*标准数据!$B$2+COUNTIF(M284:AQ284,标准数据!$A$3)*标准数据!$B$3+COUNTIF(M284:AQ284,标准数据!$A$4)*标准数据!$B$4</f>
        <v>0</v>
      </c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189"/>
      <c r="AR284" s="55"/>
      <c r="AS284" s="41"/>
      <c r="AT284" s="41"/>
      <c r="AU284" s="41"/>
      <c r="AV284" s="76" t="str">
        <f>VLOOKUP(E284,[1]生产部!$C:$I,7,0)</f>
        <v>班组</v>
      </c>
      <c r="AW284" s="41" t="str">
        <f>VLOOKUP(E284,[1]生产部!$C:$I,6,0)</f>
        <v>13号楼（11号楼CNC区域委培）</v>
      </c>
    </row>
    <row r="285" spans="1:49" ht="21" customHeight="1">
      <c r="A285" s="234" t="s">
        <v>2132</v>
      </c>
      <c r="B285" s="229" t="s">
        <v>2111</v>
      </c>
      <c r="C285" s="204" t="s">
        <v>146</v>
      </c>
      <c r="D285" s="202" t="s">
        <v>1991</v>
      </c>
      <c r="E285" s="201" t="s">
        <v>1992</v>
      </c>
      <c r="F285" s="203">
        <v>46225</v>
      </c>
      <c r="G285" s="49">
        <f t="shared" si="4"/>
        <v>0</v>
      </c>
      <c r="H285" s="77">
        <f>SUMIF(积分汇总!$B:$B,D284,积分汇总!$E:$E)</f>
        <v>0</v>
      </c>
      <c r="I285" s="77">
        <f>SUMIF(记录巡查问题条数汇总!$B:$B,D284,记录巡查问题条数汇总!$E:$E)</f>
        <v>0</v>
      </c>
      <c r="J285" s="77"/>
      <c r="K285" s="77">
        <f>SUMIF(安全质量事故!$B:$B,D284,安全质量事故!$G:$G)</f>
        <v>0</v>
      </c>
      <c r="L285" s="72">
        <f>COUNTIF(M285:AQ285,标准数据!$A$2)*标准数据!$B$2+COUNTIF(M285:AQ285,标准数据!$A$3)*标准数据!$B$3+COUNTIF(M285:AQ285,标准数据!$A$4)*标准数据!$B$4</f>
        <v>0</v>
      </c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189"/>
      <c r="AR285" s="55"/>
      <c r="AS285" s="41"/>
      <c r="AT285" s="41"/>
      <c r="AU285" s="41"/>
      <c r="AV285" s="76" t="str">
        <f>VLOOKUP(E285,[1]生产部!$C:$I,7,0)</f>
        <v>班组</v>
      </c>
      <c r="AW285" s="41" t="str">
        <f>VLOOKUP(E285,[1]生产部!$C:$I,6,0)</f>
        <v>13号楼（11号楼CNC区域委培）</v>
      </c>
    </row>
    <row r="286" spans="1:49" ht="21" customHeight="1">
      <c r="A286" s="235" t="s">
        <v>1034</v>
      </c>
      <c r="B286" s="229" t="s">
        <v>2112</v>
      </c>
      <c r="C286" s="45" t="s">
        <v>81</v>
      </c>
      <c r="D286" s="46" t="s">
        <v>246</v>
      </c>
      <c r="E286" s="52" t="s">
        <v>257</v>
      </c>
      <c r="F286" s="46">
        <v>43661</v>
      </c>
      <c r="G286" s="49">
        <f t="shared" si="4"/>
        <v>0</v>
      </c>
      <c r="H286" s="77">
        <f>SUMIF(积分汇总!$B:$B,D285,积分汇总!$E:$E)</f>
        <v>0</v>
      </c>
      <c r="I286" s="77">
        <f>SUMIF(记录巡查问题条数汇总!$B:$B,D285,记录巡查问题条数汇总!$E:$E)</f>
        <v>0</v>
      </c>
      <c r="J286" s="77"/>
      <c r="K286" s="77">
        <f>SUMIF(安全质量事故!$B:$B,D285,安全质量事故!$G:$G)</f>
        <v>0</v>
      </c>
      <c r="L286" s="72">
        <f>COUNTIF(M286:AQ286,标准数据!$A$2)*标准数据!$B$2+COUNTIF(M286:AQ286,标准数据!$A$3)*标准数据!$B$3+COUNTIF(M286:AQ286,标准数据!$A$4)*标准数据!$B$4</f>
        <v>0</v>
      </c>
      <c r="M286" s="58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190"/>
      <c r="AR286" s="55"/>
      <c r="AS286" s="283" t="s">
        <v>1035</v>
      </c>
      <c r="AT286" s="284"/>
      <c r="AU286" s="284"/>
      <c r="AV286" s="76" t="str">
        <f>VLOOKUP(E286,[1]生产部!$C:$I,7,0)</f>
        <v>常白</v>
      </c>
      <c r="AW286" s="41" t="str">
        <f>VLOOKUP(E286,[1]生产部!$C:$I,6,0)</f>
        <v>11号楼D级区域</v>
      </c>
    </row>
    <row r="287" spans="1:49" s="62" customFormat="1" ht="21" customHeight="1">
      <c r="A287" s="235" t="s">
        <v>2133</v>
      </c>
      <c r="B287" s="229" t="s">
        <v>2112</v>
      </c>
      <c r="C287" s="45" t="s">
        <v>81</v>
      </c>
      <c r="D287" s="46" t="s">
        <v>929</v>
      </c>
      <c r="E287" s="52" t="s">
        <v>884</v>
      </c>
      <c r="F287" s="46">
        <v>46029</v>
      </c>
      <c r="G287" s="49">
        <f t="shared" si="4"/>
        <v>0</v>
      </c>
      <c r="H287" s="77">
        <f>SUMIF(积分汇总!$B:$B,D286,积分汇总!$E:$E)</f>
        <v>0</v>
      </c>
      <c r="I287" s="77">
        <f>SUMIF(记录巡查问题条数汇总!$B:$B,D286,记录巡查问题条数汇总!$E:$E)</f>
        <v>0</v>
      </c>
      <c r="J287" s="77"/>
      <c r="K287" s="77">
        <f>SUMIF(安全质量事故!$B:$B,D286,安全质量事故!$G:$G)</f>
        <v>0</v>
      </c>
      <c r="L287" s="72">
        <f>COUNTIF(M287:AQ287,标准数据!$A$2)*标准数据!$B$2+COUNTIF(M287:AQ287,标准数据!$A$3)*标准数据!$B$3+COUNTIF(M287:AQ287,标准数据!$A$4)*标准数据!$B$4</f>
        <v>0</v>
      </c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189"/>
      <c r="AR287" s="55"/>
      <c r="AS287" s="82" t="s">
        <v>1031</v>
      </c>
      <c r="AT287" s="83" t="s">
        <v>1027</v>
      </c>
      <c r="AU287" s="83" t="s">
        <v>1028</v>
      </c>
      <c r="AV287" s="76" t="str">
        <f>VLOOKUP(E287,[1]生产部!$C:$I,7,0)</f>
        <v>项目组</v>
      </c>
      <c r="AW287" s="41" t="str">
        <f>VLOOKUP(E287,[1]生产部!$C:$I,6,0)</f>
        <v>11号楼D级区域</v>
      </c>
    </row>
    <row r="288" spans="1:49" ht="21" customHeight="1">
      <c r="A288" s="235" t="s">
        <v>2133</v>
      </c>
      <c r="B288" s="229" t="s">
        <v>2111</v>
      </c>
      <c r="C288" s="45" t="s">
        <v>81</v>
      </c>
      <c r="D288" s="46" t="s">
        <v>1104</v>
      </c>
      <c r="E288" s="52" t="s">
        <v>1105</v>
      </c>
      <c r="F288" s="46">
        <v>43530</v>
      </c>
      <c r="G288" s="49">
        <f t="shared" si="4"/>
        <v>0</v>
      </c>
      <c r="H288" s="77">
        <f>SUMIF(积分汇总!$B:$B,D287,积分汇总!$E:$E)</f>
        <v>0</v>
      </c>
      <c r="I288" s="77">
        <f>SUMIF(记录巡查问题条数汇总!$B:$B,D287,记录巡查问题条数汇总!$E:$E)</f>
        <v>0</v>
      </c>
      <c r="J288" s="77"/>
      <c r="K288" s="77">
        <f>SUMIF(安全质量事故!$B:$B,D287,安全质量事故!$G:$G)</f>
        <v>0</v>
      </c>
      <c r="L288" s="72">
        <f>COUNTIF(M288:AQ288,标准数据!$A$2)*标准数据!$B$2+COUNTIF(M288:AQ288,标准数据!$A$3)*标准数据!$B$3+COUNTIF(M288:AQ288,标准数据!$A$4)*标准数据!$B$4</f>
        <v>0</v>
      </c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190"/>
      <c r="AR288" s="55"/>
      <c r="AS288" s="64">
        <f>COUNTIF($M$286:$AQ$382,"a")</f>
        <v>0</v>
      </c>
      <c r="AT288" s="64">
        <f>COUNTIF($M$286:$AQ$382,"b")</f>
        <v>0</v>
      </c>
      <c r="AU288" s="64">
        <f>COUNTIF($M$286:$AQ$382,"c")</f>
        <v>0</v>
      </c>
      <c r="AV288" s="76" t="str">
        <f>VLOOKUP(E288,[1]生产部!$C:$I,7,0)</f>
        <v>项目组倒班</v>
      </c>
      <c r="AW288" s="41" t="str">
        <f>VLOOKUP(E288,[1]生产部!$C:$I,6,0)</f>
        <v>11号楼CNC区域</v>
      </c>
    </row>
    <row r="289" spans="1:49" ht="21" customHeight="1">
      <c r="A289" s="235" t="s">
        <v>2133</v>
      </c>
      <c r="B289" s="229" t="s">
        <v>2112</v>
      </c>
      <c r="C289" s="45" t="s">
        <v>81</v>
      </c>
      <c r="D289" s="47" t="s">
        <v>1102</v>
      </c>
      <c r="E289" s="52" t="s">
        <v>1103</v>
      </c>
      <c r="F289" s="46">
        <v>46106</v>
      </c>
      <c r="G289" s="49">
        <f t="shared" si="4"/>
        <v>0</v>
      </c>
      <c r="H289" s="77">
        <f>SUMIF(积分汇总!$B:$B,D288,积分汇总!$E:$E)</f>
        <v>0</v>
      </c>
      <c r="I289" s="77">
        <f>SUMIF(记录巡查问题条数汇总!$B:$B,D288,记录巡查问题条数汇总!$E:$E)</f>
        <v>0</v>
      </c>
      <c r="J289" s="77"/>
      <c r="K289" s="77">
        <f>SUMIF(安全质量事故!$B:$B,D288,安全质量事故!$G:$G)</f>
        <v>0</v>
      </c>
      <c r="L289" s="72">
        <f>COUNTIF(M289:AQ289,标准数据!$A$2)*标准数据!$B$2+COUNTIF(M289:AQ289,标准数据!$A$3)*标准数据!$B$3+COUNTIF(M289:AQ289,标准数据!$A$4)*标准数据!$B$4</f>
        <v>0</v>
      </c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189"/>
      <c r="AR289" s="55"/>
      <c r="AS289" s="50" t="e">
        <f>AS288/($AS$288+$AT$288+$AU$288)</f>
        <v>#DIV/0!</v>
      </c>
      <c r="AT289" s="50" t="e">
        <f>AT288/($AS$288+$AT$288+$AU$288)</f>
        <v>#DIV/0!</v>
      </c>
      <c r="AU289" s="50" t="e">
        <f>AU288/($AS$288+$AT$288+$AU$288)</f>
        <v>#DIV/0!</v>
      </c>
      <c r="AV289" s="76" t="str">
        <f>VLOOKUP(E289,[1]生产部!$C:$I,7,0)</f>
        <v>项目组</v>
      </c>
      <c r="AW289" s="41" t="str">
        <f>VLOOKUP(E289,[1]生产部!$C:$I,6,0)</f>
        <v>11号楼D级区域</v>
      </c>
    </row>
    <row r="290" spans="1:49" ht="21" customHeight="1">
      <c r="A290" s="235" t="s">
        <v>2133</v>
      </c>
      <c r="B290" s="229" t="s">
        <v>2112</v>
      </c>
      <c r="C290" s="45" t="s">
        <v>81</v>
      </c>
      <c r="D290" s="47" t="s">
        <v>1445</v>
      </c>
      <c r="E290" s="52" t="s">
        <v>1446</v>
      </c>
      <c r="F290" s="46">
        <v>45469</v>
      </c>
      <c r="G290" s="49">
        <f t="shared" si="4"/>
        <v>0</v>
      </c>
      <c r="H290" s="77">
        <f>SUMIF(积分汇总!$B:$B,,积分汇总!$E:$E)</f>
        <v>0</v>
      </c>
      <c r="I290" s="77">
        <f>SUMIF(记录巡查问题条数汇总!$B:$B,,记录巡查问题条数汇总!$E:$E)</f>
        <v>0</v>
      </c>
      <c r="J290" s="77"/>
      <c r="K290" s="77">
        <f>SUMIF(安全质量事故!$B:$B,,安全质量事故!$G:$G)</f>
        <v>0</v>
      </c>
      <c r="L290" s="72">
        <f>COUNTIF(M290:AQ290,标准数据!$A$2)*标准数据!$B$2+COUNTIF(M290:AQ290,标准数据!$A$3)*标准数据!$B$3+COUNTIF(M290:AQ290,标准数据!$A$4)*标准数据!$B$4</f>
        <v>0</v>
      </c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189"/>
      <c r="AR290" s="55"/>
      <c r="AS290" s="41"/>
      <c r="AT290" s="41"/>
      <c r="AU290" s="41"/>
      <c r="AV290" s="76" t="str">
        <f>VLOOKUP(E290,[1]生产部!$C:$I,7,0)</f>
        <v>项目组</v>
      </c>
      <c r="AW290" s="41" t="str">
        <f>VLOOKUP(E290,[1]生产部!$C:$I,6,0)</f>
        <v>11号楼D级区域</v>
      </c>
    </row>
    <row r="291" spans="1:49" ht="21" customHeight="1">
      <c r="A291" s="235" t="s">
        <v>2133</v>
      </c>
      <c r="B291" s="229" t="s">
        <v>2112</v>
      </c>
      <c r="C291" s="45" t="s">
        <v>81</v>
      </c>
      <c r="D291" s="46" t="s">
        <v>1423</v>
      </c>
      <c r="E291" s="52" t="s">
        <v>1424</v>
      </c>
      <c r="F291" s="46">
        <v>46132</v>
      </c>
      <c r="G291" s="49">
        <f t="shared" si="4"/>
        <v>0</v>
      </c>
      <c r="H291" s="77">
        <f>SUMIF(积分汇总!$B:$B,,积分汇总!$E:$E)</f>
        <v>0</v>
      </c>
      <c r="I291" s="77">
        <f>SUMIF(记录巡查问题条数汇总!$B:$B,,记录巡查问题条数汇总!$E:$E)</f>
        <v>0</v>
      </c>
      <c r="J291" s="77"/>
      <c r="K291" s="77">
        <f>SUMIF(安全质量事故!$B:$B,,安全质量事故!$G:$G)</f>
        <v>0</v>
      </c>
      <c r="L291" s="72">
        <f>COUNTIF(M291:AQ291,标准数据!$A$2)*标准数据!$B$2+COUNTIF(M291:AQ291,标准数据!$A$3)*标准数据!$B$3+COUNTIF(M291:AQ291,标准数据!$A$4)*标准数据!$B$4</f>
        <v>0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189"/>
      <c r="AR291" s="55"/>
      <c r="AS291" s="193" t="s">
        <v>1425</v>
      </c>
      <c r="AT291" s="41"/>
      <c r="AU291" s="41"/>
      <c r="AV291" s="76" t="str">
        <f>VLOOKUP(E291,[1]生产部!$C:$I,7,0)</f>
        <v>常白</v>
      </c>
      <c r="AW291" s="41" t="str">
        <f>VLOOKUP(E291,[1]生产部!$C:$I,6,0)</f>
        <v>11号楼D级区域</v>
      </c>
    </row>
    <row r="292" spans="1:49" ht="21" customHeight="1">
      <c r="A292" s="235" t="s">
        <v>2133</v>
      </c>
      <c r="B292" s="229" t="s">
        <v>2112</v>
      </c>
      <c r="C292" s="211" t="s">
        <v>81</v>
      </c>
      <c r="D292" s="201" t="s">
        <v>1935</v>
      </c>
      <c r="E292" s="205" t="s">
        <v>1936</v>
      </c>
      <c r="F292" s="202">
        <v>46253</v>
      </c>
      <c r="G292" s="49">
        <f t="shared" si="4"/>
        <v>0</v>
      </c>
      <c r="H292" s="77">
        <f>SUMIF(积分汇总!$B:$B,D291,积分汇总!$E:$E)</f>
        <v>0</v>
      </c>
      <c r="I292" s="77">
        <f>SUMIF(记录巡查问题条数汇总!$B:$B,D291,记录巡查问题条数汇总!$E:$E)</f>
        <v>0</v>
      </c>
      <c r="J292" s="77"/>
      <c r="K292" s="77">
        <f>SUMIF(安全质量事故!$B:$B,D291,安全质量事故!$G:$G)</f>
        <v>0</v>
      </c>
      <c r="L292" s="72">
        <f>COUNTIF(M292:AQ292,标准数据!$A$2)*标准数据!$B$2+COUNTIF(M292:AQ292,标准数据!$A$3)*标准数据!$B$3+COUNTIF(M292:AQ292,标准数据!$A$4)*标准数据!$B$4</f>
        <v>0</v>
      </c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189"/>
      <c r="AR292" s="55"/>
      <c r="AS292" s="41"/>
      <c r="AT292" s="41"/>
      <c r="AU292" s="41"/>
      <c r="AV292" s="76" t="str">
        <f>VLOOKUP(E292,[1]生产部!$C:$I,7,0)</f>
        <v>常白</v>
      </c>
      <c r="AW292" s="41" t="str">
        <f>VLOOKUP(E292,[1]生产部!$C:$I,6,0)</f>
        <v>11号楼</v>
      </c>
    </row>
    <row r="293" spans="1:49" ht="21" customHeight="1">
      <c r="A293" s="235" t="s">
        <v>2133</v>
      </c>
      <c r="B293" s="229" t="s">
        <v>2112</v>
      </c>
      <c r="C293" s="45" t="s">
        <v>154</v>
      </c>
      <c r="D293" s="46" t="s">
        <v>230</v>
      </c>
      <c r="E293" s="47" t="s">
        <v>231</v>
      </c>
      <c r="F293" s="48">
        <v>45483</v>
      </c>
      <c r="G293" s="49">
        <f t="shared" si="4"/>
        <v>0</v>
      </c>
      <c r="H293" s="77">
        <f>SUMIF(积分汇总!$B:$B,D292,积分汇总!$E:$E)</f>
        <v>0</v>
      </c>
      <c r="I293" s="77">
        <f>SUMIF(记录巡查问题条数汇总!$B:$B,D292,记录巡查问题条数汇总!$E:$E)</f>
        <v>0</v>
      </c>
      <c r="J293" s="77"/>
      <c r="K293" s="77">
        <f>SUMIF(安全质量事故!$B:$B,D292,安全质量事故!$G:$G)</f>
        <v>0</v>
      </c>
      <c r="L293" s="72">
        <f>COUNTIF(M293:AQ293,标准数据!$A$2)*标准数据!$B$2+COUNTIF(M293:AQ293,标准数据!$A$3)*标准数据!$B$3+COUNTIF(M293:AQ293,标准数据!$A$4)*标准数据!$B$4</f>
        <v>0</v>
      </c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189"/>
      <c r="AR293" s="55"/>
      <c r="AS293" s="41"/>
      <c r="AT293" s="41"/>
      <c r="AU293" s="41"/>
      <c r="AV293" s="76" t="str">
        <f>VLOOKUP(E293,[1]生产部!$C:$I,7,0)</f>
        <v>班组</v>
      </c>
      <c r="AW293" s="41" t="str">
        <f>VLOOKUP(E293,[1]生产部!$C:$I,6,0)</f>
        <v>11号楼D级区域</v>
      </c>
    </row>
    <row r="294" spans="1:49" ht="21" customHeight="1">
      <c r="A294" s="235" t="s">
        <v>2133</v>
      </c>
      <c r="B294" s="229" t="s">
        <v>2112</v>
      </c>
      <c r="C294" s="45" t="s">
        <v>154</v>
      </c>
      <c r="D294" s="46" t="s">
        <v>2101</v>
      </c>
      <c r="E294" s="47" t="s">
        <v>58</v>
      </c>
      <c r="F294" s="48">
        <v>44489</v>
      </c>
      <c r="G294" s="49">
        <f t="shared" si="4"/>
        <v>0</v>
      </c>
      <c r="H294" s="77">
        <f>SUMIF(积分汇总!$B:$B,D293,积分汇总!$E:$E)</f>
        <v>0</v>
      </c>
      <c r="I294" s="77">
        <f>SUMIF(记录巡查问题条数汇总!$B:$B,D293,记录巡查问题条数汇总!$E:$E)</f>
        <v>0</v>
      </c>
      <c r="J294" s="77"/>
      <c r="K294" s="77">
        <f>SUMIF(安全质量事故!$B:$B,D293,安全质量事故!$G:$G)</f>
        <v>0</v>
      </c>
      <c r="L294" s="72">
        <f>COUNTIF(M294:AQ294,标准数据!$A$2)*标准数据!$B$2+COUNTIF(M294:AQ294,标准数据!$A$3)*标准数据!$B$3+COUNTIF(M294:AQ294,标准数据!$A$4)*标准数据!$B$4</f>
        <v>0</v>
      </c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189"/>
      <c r="AR294" s="55"/>
      <c r="AS294" s="183"/>
      <c r="AT294" s="183"/>
      <c r="AU294" s="183"/>
      <c r="AV294" s="76" t="str">
        <f>VLOOKUP(E294,[1]生产部!$C:$I,7,0)</f>
        <v>班组</v>
      </c>
      <c r="AW294" s="41" t="str">
        <f>VLOOKUP(E294,[1]生产部!$C:$I,6,0)</f>
        <v>11号楼D级区域</v>
      </c>
    </row>
    <row r="295" spans="1:49" ht="21" customHeight="1">
      <c r="A295" s="235" t="s">
        <v>2133</v>
      </c>
      <c r="B295" s="229" t="s">
        <v>2112</v>
      </c>
      <c r="C295" s="45" t="s">
        <v>131</v>
      </c>
      <c r="D295" s="46" t="s">
        <v>250</v>
      </c>
      <c r="E295" s="47" t="s">
        <v>232</v>
      </c>
      <c r="F295" s="48">
        <v>44753</v>
      </c>
      <c r="G295" s="49">
        <f t="shared" si="4"/>
        <v>0</v>
      </c>
      <c r="H295" s="77">
        <f>SUMIF(积分汇总!$B:$B,D289,积分汇总!$E:$E)</f>
        <v>0</v>
      </c>
      <c r="I295" s="77">
        <f>SUMIF(记录巡查问题条数汇总!$B:$B,D289,记录巡查问题条数汇总!$E:$E)</f>
        <v>0</v>
      </c>
      <c r="J295" s="77"/>
      <c r="K295" s="77">
        <f>SUMIF(安全质量事故!$B:$B,D289,安全质量事故!$G:$G)</f>
        <v>0</v>
      </c>
      <c r="L295" s="72">
        <f>COUNTIF(M295:AQ295,标准数据!$A$2)*标准数据!$B$2+COUNTIF(M295:AQ295,标准数据!$A$3)*标准数据!$B$3+COUNTIF(M295:AQ295,标准数据!$A$4)*标准数据!$B$4</f>
        <v>0</v>
      </c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189"/>
      <c r="AR295" s="55"/>
      <c r="AS295" s="41"/>
      <c r="AT295" s="41"/>
      <c r="AU295" s="41"/>
      <c r="AV295" s="76" t="str">
        <f>VLOOKUP(E295,[1]生产部!$C:$I,7,0)</f>
        <v>班组</v>
      </c>
      <c r="AW295" s="41" t="str">
        <f>VLOOKUP(E295,[1]生产部!$C:$I,6,0)</f>
        <v>11号楼D级区域</v>
      </c>
    </row>
    <row r="296" spans="1:49" ht="21" customHeight="1">
      <c r="A296" s="235" t="s">
        <v>2133</v>
      </c>
      <c r="B296" s="229" t="s">
        <v>2112</v>
      </c>
      <c r="C296" s="45" t="s">
        <v>131</v>
      </c>
      <c r="D296" s="46" t="s">
        <v>194</v>
      </c>
      <c r="E296" s="52" t="s">
        <v>179</v>
      </c>
      <c r="F296" s="46">
        <v>45000</v>
      </c>
      <c r="G296" s="49">
        <f t="shared" si="4"/>
        <v>0</v>
      </c>
      <c r="H296" s="77">
        <f>SUMIF(积分汇总!$B:$B,D295,积分汇总!$E:$E)</f>
        <v>0</v>
      </c>
      <c r="I296" s="77">
        <f>SUMIF(记录巡查问题条数汇总!$B:$B,D295,记录巡查问题条数汇总!$E:$E)</f>
        <v>0</v>
      </c>
      <c r="J296" s="77"/>
      <c r="K296" s="77">
        <f>SUMIF(安全质量事故!$B:$B,D295,安全质量事故!$G:$G)</f>
        <v>0</v>
      </c>
      <c r="L296" s="72">
        <f>COUNTIF(M296:AQ296,标准数据!$A$2)*标准数据!$B$2+COUNTIF(M296:AQ296,标准数据!$A$3)*标准数据!$B$3+COUNTIF(M296:AQ296,标准数据!$A$4)*标准数据!$B$4</f>
        <v>0</v>
      </c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189"/>
      <c r="AR296" s="55"/>
      <c r="AS296" s="41"/>
      <c r="AT296" s="41"/>
      <c r="AU296" s="41"/>
      <c r="AV296" s="76" t="str">
        <f>VLOOKUP(E296,[1]生产部!$C:$I,7,0)</f>
        <v>班组</v>
      </c>
      <c r="AW296" s="41" t="str">
        <f>VLOOKUP(E296,[1]生产部!$C:$I,6,0)</f>
        <v>11号楼D级区域</v>
      </c>
    </row>
    <row r="297" spans="1:49" ht="21" customHeight="1">
      <c r="A297" s="235" t="s">
        <v>2133</v>
      </c>
      <c r="B297" s="229" t="s">
        <v>2112</v>
      </c>
      <c r="C297" s="204" t="s">
        <v>131</v>
      </c>
      <c r="D297" s="202" t="s">
        <v>1993</v>
      </c>
      <c r="E297" s="205" t="s">
        <v>1994</v>
      </c>
      <c r="F297" s="202">
        <v>46246</v>
      </c>
      <c r="G297" s="49">
        <f t="shared" si="4"/>
        <v>0</v>
      </c>
      <c r="H297" s="77">
        <f>SUMIF(积分汇总!$B:$B,D296,积分汇总!$E:$E)</f>
        <v>0</v>
      </c>
      <c r="I297" s="77">
        <f>SUMIF(记录巡查问题条数汇总!$B:$B,D296,记录巡查问题条数汇总!$E:$E)</f>
        <v>0</v>
      </c>
      <c r="J297" s="77"/>
      <c r="K297" s="77">
        <f>SUMIF(安全质量事故!$B:$B,D296,安全质量事故!$G:$G)</f>
        <v>0</v>
      </c>
      <c r="L297" s="72">
        <f>COUNTIF(M297:AQ297,标准数据!$A$2)*标准数据!$B$2+COUNTIF(M297:AQ297,标准数据!$A$3)*标准数据!$B$3+COUNTIF(M297:AQ297,标准数据!$A$4)*标准数据!$B$4</f>
        <v>0</v>
      </c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189"/>
      <c r="AR297" s="55"/>
      <c r="AS297" s="41"/>
      <c r="AT297" s="41"/>
      <c r="AU297" s="41"/>
      <c r="AV297" s="76" t="str">
        <f>VLOOKUP(E297,[1]生产部!$C:$I,7,0)</f>
        <v>班组</v>
      </c>
      <c r="AW297" s="41" t="str">
        <f>VLOOKUP(E297,[1]生产部!$C:$I,6,0)</f>
        <v>13号楼（11号楼D级区域委培）</v>
      </c>
    </row>
    <row r="298" spans="1:49" ht="21" customHeight="1">
      <c r="A298" s="235" t="s">
        <v>2133</v>
      </c>
      <c r="B298" s="229" t="s">
        <v>2112</v>
      </c>
      <c r="C298" s="45" t="s">
        <v>14</v>
      </c>
      <c r="D298" s="46" t="s">
        <v>192</v>
      </c>
      <c r="E298" s="52" t="s">
        <v>125</v>
      </c>
      <c r="F298" s="48">
        <v>45245</v>
      </c>
      <c r="G298" s="49">
        <f t="shared" si="4"/>
        <v>0</v>
      </c>
      <c r="H298" s="77">
        <f>SUMIF(积分汇总!$B:$B,D297,积分汇总!$E:$E)</f>
        <v>0</v>
      </c>
      <c r="I298" s="77">
        <f>SUMIF(记录巡查问题条数汇总!$B:$B,D297,记录巡查问题条数汇总!$E:$E)</f>
        <v>0</v>
      </c>
      <c r="J298" s="77"/>
      <c r="K298" s="77">
        <f>SUMIF(安全质量事故!$B:$B,D297,安全质量事故!$G:$G)</f>
        <v>0</v>
      </c>
      <c r="L298" s="72">
        <f>COUNTIF(M298:AQ298,标准数据!$A$2)*标准数据!$B$2+COUNTIF(M298:AQ298,标准数据!$A$3)*标准数据!$B$3+COUNTIF(M298:AQ298,标准数据!$A$4)*标准数据!$B$4</f>
        <v>0</v>
      </c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189"/>
      <c r="AR298" s="55"/>
      <c r="AS298" s="41"/>
      <c r="AT298" s="41"/>
      <c r="AU298" s="41"/>
      <c r="AV298" s="76" t="str">
        <f>VLOOKUP(E298,[1]生产部!$C:$I,7,0)</f>
        <v>班组</v>
      </c>
      <c r="AW298" s="41" t="str">
        <f>VLOOKUP(E298,[1]生产部!$C:$I,6,0)</f>
        <v>11号楼D级区域</v>
      </c>
    </row>
    <row r="299" spans="1:49" s="51" customFormat="1" ht="21" customHeight="1">
      <c r="A299" s="235" t="s">
        <v>2133</v>
      </c>
      <c r="B299" s="229" t="s">
        <v>2112</v>
      </c>
      <c r="C299" s="45" t="s">
        <v>87</v>
      </c>
      <c r="D299" s="46" t="s">
        <v>124</v>
      </c>
      <c r="E299" s="52" t="s">
        <v>177</v>
      </c>
      <c r="F299" s="48">
        <v>45245</v>
      </c>
      <c r="G299" s="49">
        <f t="shared" si="4"/>
        <v>0</v>
      </c>
      <c r="H299" s="77">
        <f>SUMIF(积分汇总!$B:$B,D298,积分汇总!$E:$E)</f>
        <v>0</v>
      </c>
      <c r="I299" s="77">
        <f>SUMIF(记录巡查问题条数汇总!$B:$B,D298,记录巡查问题条数汇总!$E:$E)</f>
        <v>0</v>
      </c>
      <c r="J299" s="77"/>
      <c r="K299" s="77">
        <f>SUMIF(安全质量事故!$B:$B,D298,安全质量事故!$G:$G)</f>
        <v>0</v>
      </c>
      <c r="L299" s="72">
        <f>COUNTIF(M299:AQ299,标准数据!$A$2)*标准数据!$B$2+COUNTIF(M299:AQ299,标准数据!$A$3)*标准数据!$B$3+COUNTIF(M299:AQ299,标准数据!$A$4)*标准数据!$B$4</f>
        <v>0</v>
      </c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189"/>
      <c r="AR299" s="55"/>
      <c r="AV299" s="76" t="str">
        <f>VLOOKUP(E299,[1]生产部!$C:$I,7,0)</f>
        <v>常白</v>
      </c>
      <c r="AW299" s="41" t="str">
        <f>VLOOKUP(E299,[1]生产部!$C:$I,6,0)</f>
        <v>11号楼D级区域</v>
      </c>
    </row>
    <row r="300" spans="1:49" ht="21" customHeight="1">
      <c r="A300" s="235" t="s">
        <v>2133</v>
      </c>
      <c r="B300" s="229" t="s">
        <v>2112</v>
      </c>
      <c r="C300" s="45" t="s">
        <v>87</v>
      </c>
      <c r="D300" s="46" t="s">
        <v>320</v>
      </c>
      <c r="E300" s="47" t="s">
        <v>306</v>
      </c>
      <c r="F300" s="48">
        <v>45595</v>
      </c>
      <c r="G300" s="49">
        <f t="shared" si="4"/>
        <v>0</v>
      </c>
      <c r="H300" s="77">
        <f>SUMIF(积分汇总!$B:$B,,积分汇总!$E:$E)</f>
        <v>0</v>
      </c>
      <c r="I300" s="77">
        <f>SUMIF(记录巡查问题条数汇总!$B:$B,,记录巡查问题条数汇总!$E:$E)</f>
        <v>0</v>
      </c>
      <c r="J300" s="77"/>
      <c r="K300" s="77">
        <f>SUMIF(安全质量事故!$B:$B,,安全质量事故!$G:$G)</f>
        <v>0</v>
      </c>
      <c r="L300" s="72">
        <f>COUNTIF(M300:AQ300,标准数据!$A$2)*标准数据!$B$2+COUNTIF(M300:AQ300,标准数据!$A$3)*标准数据!$B$3+COUNTIF(M300:AQ300,标准数据!$A$4)*标准数据!$B$4</f>
        <v>0</v>
      </c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189"/>
      <c r="AR300" s="55"/>
      <c r="AV300" s="76" t="str">
        <f>VLOOKUP(E300,[1]生产部!$C:$I,7,0)</f>
        <v>班组</v>
      </c>
      <c r="AW300" s="41" t="str">
        <f>VLOOKUP(E300,[1]生产部!$C:$I,6,0)</f>
        <v>11号楼D级区域</v>
      </c>
    </row>
    <row r="301" spans="1:49" ht="21" customHeight="1">
      <c r="A301" s="235" t="s">
        <v>2133</v>
      </c>
      <c r="B301" s="229" t="s">
        <v>2112</v>
      </c>
      <c r="C301" s="45" t="s">
        <v>14</v>
      </c>
      <c r="D301" s="46" t="s">
        <v>321</v>
      </c>
      <c r="E301" s="47" t="s">
        <v>307</v>
      </c>
      <c r="F301" s="48">
        <v>45600</v>
      </c>
      <c r="G301" s="49">
        <f t="shared" si="4"/>
        <v>0</v>
      </c>
      <c r="H301" s="77">
        <f>SUMIF(积分汇总!$B:$B,D300,积分汇总!$E:$E)</f>
        <v>0</v>
      </c>
      <c r="I301" s="77">
        <f>SUMIF(记录巡查问题条数汇总!$B:$B,D300,记录巡查问题条数汇总!$E:$E)</f>
        <v>0</v>
      </c>
      <c r="J301" s="77"/>
      <c r="K301" s="77">
        <f>SUMIF(安全质量事故!$B:$B,D300,安全质量事故!$G:$G)</f>
        <v>0</v>
      </c>
      <c r="L301" s="72">
        <f>COUNTIF(M301:AQ301,标准数据!$A$2)*标准数据!$B$2+COUNTIF(M301:AQ301,标准数据!$A$3)*标准数据!$B$3+COUNTIF(M301:AQ301,标准数据!$A$4)*标准数据!$B$4</f>
        <v>0</v>
      </c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189"/>
      <c r="AR301" s="55"/>
      <c r="AV301" s="76" t="str">
        <f>VLOOKUP(E301,[1]生产部!$C:$I,7,0)</f>
        <v>项目组</v>
      </c>
      <c r="AW301" s="41" t="str">
        <f>VLOOKUP(E301,[1]生产部!$C:$I,6,0)</f>
        <v>11号楼D级区域</v>
      </c>
    </row>
    <row r="302" spans="1:49" ht="21" customHeight="1">
      <c r="A302" s="235" t="s">
        <v>2133</v>
      </c>
      <c r="B302" s="229" t="s">
        <v>2112</v>
      </c>
      <c r="C302" s="45" t="s">
        <v>14</v>
      </c>
      <c r="D302" s="46" t="s">
        <v>350</v>
      </c>
      <c r="E302" s="47" t="s">
        <v>334</v>
      </c>
      <c r="F302" s="48">
        <v>45635</v>
      </c>
      <c r="G302" s="49">
        <f t="shared" si="4"/>
        <v>0</v>
      </c>
      <c r="H302" s="77">
        <f>SUMIF(积分汇总!$B:$B,D301,积分汇总!$E:$E)</f>
        <v>0</v>
      </c>
      <c r="I302" s="77">
        <f>SUMIF(记录巡查问题条数汇总!$B:$B,D301,记录巡查问题条数汇总!$E:$E)</f>
        <v>0</v>
      </c>
      <c r="J302" s="77"/>
      <c r="K302" s="77">
        <f>SUMIF(安全质量事故!$B:$B,D301,安全质量事故!$G:$G)</f>
        <v>0</v>
      </c>
      <c r="L302" s="72">
        <f>COUNTIF(M302:AQ302,标准数据!$A$2)*标准数据!$B$2+COUNTIF(M302:AQ302,标准数据!$A$3)*标准数据!$B$3+COUNTIF(M302:AQ302,标准数据!$A$4)*标准数据!$B$4</f>
        <v>0</v>
      </c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189"/>
      <c r="AR302" s="55"/>
      <c r="AV302" s="76" t="str">
        <f>VLOOKUP(E302,[1]生产部!$C:$I,7,0)</f>
        <v>班组</v>
      </c>
      <c r="AW302" s="41" t="str">
        <f>VLOOKUP(E302,[1]生产部!$C:$I,6,0)</f>
        <v>11号楼D级区域</v>
      </c>
    </row>
    <row r="303" spans="1:49" ht="21" customHeight="1">
      <c r="A303" s="235" t="s">
        <v>2133</v>
      </c>
      <c r="B303" s="229" t="s">
        <v>2112</v>
      </c>
      <c r="C303" s="45" t="s">
        <v>14</v>
      </c>
      <c r="D303" s="46" t="s">
        <v>548</v>
      </c>
      <c r="E303" s="47" t="s">
        <v>517</v>
      </c>
      <c r="F303" s="48">
        <v>45875</v>
      </c>
      <c r="G303" s="49">
        <f t="shared" si="4"/>
        <v>0</v>
      </c>
      <c r="H303" s="77">
        <f>SUMIF(积分汇总!$B:$B,,积分汇总!$E:$E)</f>
        <v>0</v>
      </c>
      <c r="I303" s="77">
        <f>SUMIF(记录巡查问题条数汇总!$B:$B,,记录巡查问题条数汇总!$E:$E)</f>
        <v>0</v>
      </c>
      <c r="J303" s="77"/>
      <c r="K303" s="77">
        <f>SUMIF(安全质量事故!$B:$B,,安全质量事故!$G:$G)</f>
        <v>0</v>
      </c>
      <c r="L303" s="72">
        <f>COUNTIF(M303:AQ303,标准数据!$A$2)*标准数据!$B$2+COUNTIF(M303:AQ303,标准数据!$A$3)*标准数据!$B$3+COUNTIF(M303:AQ303,标准数据!$A$4)*标准数据!$B$4</f>
        <v>0</v>
      </c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189"/>
      <c r="AR303" s="55"/>
      <c r="AV303" s="76" t="str">
        <f>VLOOKUP(E303,[1]生产部!$C:$I,7,0)</f>
        <v>班组</v>
      </c>
      <c r="AW303" s="41" t="str">
        <f>VLOOKUP(E303,[1]生产部!$C:$I,6,0)</f>
        <v>11号楼D级区域</v>
      </c>
    </row>
    <row r="304" spans="1:49" ht="21" customHeight="1">
      <c r="A304" s="235" t="s">
        <v>2133</v>
      </c>
      <c r="B304" s="229" t="s">
        <v>2112</v>
      </c>
      <c r="C304" s="45" t="s">
        <v>14</v>
      </c>
      <c r="D304" s="46" t="s">
        <v>943</v>
      </c>
      <c r="E304" s="47" t="s">
        <v>942</v>
      </c>
      <c r="F304" s="48">
        <v>45917</v>
      </c>
      <c r="G304" s="49">
        <f t="shared" si="4"/>
        <v>0</v>
      </c>
      <c r="H304" s="77">
        <f>SUMIF(积分汇总!$B:$B,D303,积分汇总!$E:$E)</f>
        <v>0</v>
      </c>
      <c r="I304" s="77">
        <f>SUMIF(记录巡查问题条数汇总!$B:$B,D303,记录巡查问题条数汇总!$E:$E)</f>
        <v>0</v>
      </c>
      <c r="J304" s="77"/>
      <c r="K304" s="77">
        <f>SUMIF(安全质量事故!$B:$B,D303,安全质量事故!$G:$G)</f>
        <v>0</v>
      </c>
      <c r="L304" s="72">
        <f>COUNTIF(M304:AQ304,标准数据!$A$2)*标准数据!$B$2+COUNTIF(M304:AQ304,标准数据!$A$3)*标准数据!$B$3+COUNTIF(M304:AQ304,标准数据!$A$4)*标准数据!$B$4</f>
        <v>0</v>
      </c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189"/>
      <c r="AR304" s="55"/>
      <c r="AV304" s="76" t="str">
        <f>VLOOKUP(E304,[1]生产部!$C:$I,7,0)</f>
        <v>班组</v>
      </c>
      <c r="AW304" s="41" t="str">
        <f>VLOOKUP(E304,[1]生产部!$C:$I,6,0)</f>
        <v>11号楼D级区域</v>
      </c>
    </row>
    <row r="305" spans="1:49" ht="21" customHeight="1">
      <c r="A305" s="235" t="s">
        <v>2133</v>
      </c>
      <c r="B305" s="229" t="s">
        <v>2112</v>
      </c>
      <c r="C305" s="45" t="s">
        <v>14</v>
      </c>
      <c r="D305" s="46" t="s">
        <v>644</v>
      </c>
      <c r="E305" s="47" t="s">
        <v>585</v>
      </c>
      <c r="F305" s="48">
        <v>45908</v>
      </c>
      <c r="G305" s="49">
        <f t="shared" si="4"/>
        <v>0</v>
      </c>
      <c r="H305" s="77">
        <f>SUMIF(积分汇总!$B:$B,D304,积分汇总!$E:$E)</f>
        <v>0</v>
      </c>
      <c r="I305" s="77">
        <f>SUMIF(记录巡查问题条数汇总!$B:$B,D304,记录巡查问题条数汇总!$E:$E)</f>
        <v>0</v>
      </c>
      <c r="J305" s="77"/>
      <c r="K305" s="77">
        <f>SUMIF(安全质量事故!$B:$B,D304,安全质量事故!$G:$G)</f>
        <v>0</v>
      </c>
      <c r="L305" s="72">
        <f>COUNTIF(M305:AQ305,标准数据!$A$2)*标准数据!$B$2+COUNTIF(M305:AQ305,标准数据!$A$3)*标准数据!$B$3+COUNTIF(M305:AQ305,标准数据!$A$4)*标准数据!$B$4</f>
        <v>0</v>
      </c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189"/>
      <c r="AR305" s="55"/>
      <c r="AV305" s="76" t="str">
        <f>VLOOKUP(E305,[1]生产部!$C:$I,7,0)</f>
        <v>班组</v>
      </c>
      <c r="AW305" s="41" t="str">
        <f>VLOOKUP(E305,[1]生产部!$C:$I,6,0)</f>
        <v>11号楼D级区域</v>
      </c>
    </row>
    <row r="306" spans="1:49" ht="21" customHeight="1">
      <c r="A306" s="235" t="s">
        <v>2133</v>
      </c>
      <c r="B306" s="229" t="s">
        <v>2112</v>
      </c>
      <c r="C306" s="45" t="s">
        <v>14</v>
      </c>
      <c r="D306" s="46" t="s">
        <v>722</v>
      </c>
      <c r="E306" s="47" t="s">
        <v>689</v>
      </c>
      <c r="F306" s="48">
        <v>45973</v>
      </c>
      <c r="G306" s="49">
        <f t="shared" si="4"/>
        <v>0</v>
      </c>
      <c r="H306" s="77">
        <f>SUMIF(积分汇总!$B:$B,D305,积分汇总!$E:$E)</f>
        <v>0</v>
      </c>
      <c r="I306" s="77">
        <f>SUMIF(记录巡查问题条数汇总!$B:$B,D305,记录巡查问题条数汇总!$E:$E)</f>
        <v>0</v>
      </c>
      <c r="J306" s="77"/>
      <c r="K306" s="77">
        <f>SUMIF(安全质量事故!$B:$B,D305,安全质量事故!$G:$G)</f>
        <v>0</v>
      </c>
      <c r="L306" s="72">
        <f>COUNTIF(M306:AQ306,标准数据!$A$2)*标准数据!$B$2+COUNTIF(M306:AQ306,标准数据!$A$3)*标准数据!$B$3+COUNTIF(M306:AQ306,标准数据!$A$4)*标准数据!$B$4</f>
        <v>0</v>
      </c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189"/>
      <c r="AR306" s="55"/>
      <c r="AV306" s="76" t="str">
        <f>VLOOKUP(E306,[1]生产部!$C:$I,7,0)</f>
        <v>班组</v>
      </c>
      <c r="AW306" s="41" t="str">
        <f>VLOOKUP(E306,[1]生产部!$C:$I,6,0)</f>
        <v>11号楼D级区域</v>
      </c>
    </row>
    <row r="307" spans="1:49" ht="21" customHeight="1">
      <c r="A307" s="235" t="s">
        <v>2133</v>
      </c>
      <c r="B307" s="229" t="s">
        <v>2112</v>
      </c>
      <c r="C307" s="45" t="s">
        <v>14</v>
      </c>
      <c r="D307" s="46" t="s">
        <v>723</v>
      </c>
      <c r="E307" s="47" t="s">
        <v>692</v>
      </c>
      <c r="F307" s="48">
        <v>45973</v>
      </c>
      <c r="G307" s="49">
        <f t="shared" si="4"/>
        <v>0</v>
      </c>
      <c r="H307" s="77">
        <f>SUMIF(积分汇总!$B:$B,D306,积分汇总!$E:$E)</f>
        <v>0</v>
      </c>
      <c r="I307" s="77">
        <f>SUMIF(记录巡查问题条数汇总!$B:$B,D306,记录巡查问题条数汇总!$E:$E)</f>
        <v>0</v>
      </c>
      <c r="J307" s="77"/>
      <c r="K307" s="77">
        <f>SUMIF(安全质量事故!$B:$B,D306,安全质量事故!$G:$G)</f>
        <v>0</v>
      </c>
      <c r="L307" s="72">
        <f>COUNTIF(M307:AQ307,标准数据!$A$2)*标准数据!$B$2+COUNTIF(M307:AQ307,标准数据!$A$3)*标准数据!$B$3+COUNTIF(M307:AQ307,标准数据!$A$4)*标准数据!$B$4</f>
        <v>0</v>
      </c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189"/>
      <c r="AR307" s="55"/>
      <c r="AV307" s="76" t="str">
        <f>VLOOKUP(E307,[1]生产部!$C:$I,7,0)</f>
        <v>班组</v>
      </c>
      <c r="AW307" s="41" t="str">
        <f>VLOOKUP(E307,[1]生产部!$C:$I,6,0)</f>
        <v>11号楼D级区域</v>
      </c>
    </row>
    <row r="308" spans="1:49" ht="21" customHeight="1">
      <c r="A308" s="235" t="s">
        <v>2133</v>
      </c>
      <c r="B308" s="229" t="s">
        <v>2112</v>
      </c>
      <c r="C308" s="45" t="s">
        <v>14</v>
      </c>
      <c r="D308" s="46" t="s">
        <v>822</v>
      </c>
      <c r="E308" s="47" t="s">
        <v>777</v>
      </c>
      <c r="F308" s="48">
        <v>45770</v>
      </c>
      <c r="G308" s="49">
        <f t="shared" si="4"/>
        <v>0</v>
      </c>
      <c r="H308" s="77">
        <f>SUMIF(积分汇总!$B:$B,D307,积分汇总!$E:$E)</f>
        <v>0</v>
      </c>
      <c r="I308" s="77">
        <f>SUMIF(记录巡查问题条数汇总!$B:$B,D307,记录巡查问题条数汇总!$E:$E)</f>
        <v>0</v>
      </c>
      <c r="J308" s="77"/>
      <c r="K308" s="77">
        <f>SUMIF(安全质量事故!$B:$B,D307,安全质量事故!$G:$G)</f>
        <v>0</v>
      </c>
      <c r="L308" s="72">
        <f>COUNTIF(M308:AQ308,标准数据!$A$2)*标准数据!$B$2+COUNTIF(M308:AQ308,标准数据!$A$3)*标准数据!$B$3+COUNTIF(M308:AQ308,标准数据!$A$4)*标准数据!$B$4</f>
        <v>0</v>
      </c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189"/>
      <c r="AR308" s="55"/>
      <c r="AV308" s="76" t="str">
        <f>VLOOKUP(E308,[1]生产部!$C:$I,7,0)</f>
        <v>班组</v>
      </c>
      <c r="AW308" s="41" t="str">
        <f>VLOOKUP(E308,[1]生产部!$C:$I,6,0)</f>
        <v>11号楼D级区域</v>
      </c>
    </row>
    <row r="309" spans="1:49" ht="21" customHeight="1">
      <c r="A309" s="235" t="s">
        <v>2133</v>
      </c>
      <c r="B309" s="229" t="s">
        <v>2112</v>
      </c>
      <c r="C309" s="45" t="s">
        <v>14</v>
      </c>
      <c r="D309" s="46" t="s">
        <v>908</v>
      </c>
      <c r="E309" s="47" t="s">
        <v>881</v>
      </c>
      <c r="F309" s="48">
        <v>46029</v>
      </c>
      <c r="G309" s="49">
        <f t="shared" si="4"/>
        <v>0</v>
      </c>
      <c r="H309" s="77">
        <f>SUMIF(积分汇总!$B:$B,D308,积分汇总!$E:$E)</f>
        <v>0</v>
      </c>
      <c r="I309" s="77">
        <f>SUMIF(记录巡查问题条数汇总!$B:$B,D308,记录巡查问题条数汇总!$E:$E)</f>
        <v>0</v>
      </c>
      <c r="J309" s="77"/>
      <c r="K309" s="77">
        <f>SUMIF(安全质量事故!$B:$B,D308,安全质量事故!$G:$G)</f>
        <v>0</v>
      </c>
      <c r="L309" s="72">
        <f>COUNTIF(M309:AQ309,标准数据!$A$2)*标准数据!$B$2+COUNTIF(M309:AQ309,标准数据!$A$3)*标准数据!$B$3+COUNTIF(M309:AQ309,标准数据!$A$4)*标准数据!$B$4</f>
        <v>0</v>
      </c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189"/>
      <c r="AR309" s="55"/>
      <c r="AV309" s="76" t="str">
        <f>VLOOKUP(E309,[1]生产部!$C:$I,7,0)</f>
        <v>常白</v>
      </c>
      <c r="AW309" s="41" t="str">
        <f>VLOOKUP(E309,[1]生产部!$C:$I,6,0)</f>
        <v>11号楼D级区域</v>
      </c>
    </row>
    <row r="310" spans="1:49" ht="21" customHeight="1">
      <c r="A310" s="235" t="s">
        <v>2133</v>
      </c>
      <c r="B310" s="229" t="s">
        <v>2112</v>
      </c>
      <c r="C310" s="45" t="s">
        <v>14</v>
      </c>
      <c r="D310" s="46" t="s">
        <v>985</v>
      </c>
      <c r="E310" s="47" t="s">
        <v>951</v>
      </c>
      <c r="F310" s="48">
        <v>46057</v>
      </c>
      <c r="G310" s="49">
        <f t="shared" si="4"/>
        <v>0</v>
      </c>
      <c r="H310" s="77">
        <f>SUMIF(积分汇总!$B:$B,D309,积分汇总!$E:$E)</f>
        <v>0</v>
      </c>
      <c r="I310" s="77">
        <f>SUMIF(记录巡查问题条数汇总!$B:$B,D309,记录巡查问题条数汇总!$E:$E)</f>
        <v>0</v>
      </c>
      <c r="J310" s="77"/>
      <c r="K310" s="77">
        <f>SUMIF(安全质量事故!$B:$B,D309,安全质量事故!$G:$G)</f>
        <v>0</v>
      </c>
      <c r="L310" s="72">
        <f>COUNTIF(M310:AQ310,标准数据!$A$2)*标准数据!$B$2+COUNTIF(M310:AQ310,标准数据!$A$3)*标准数据!$B$3+COUNTIF(M310:AQ310,标准数据!$A$4)*标准数据!$B$4</f>
        <v>0</v>
      </c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189"/>
      <c r="AR310" s="55"/>
      <c r="AV310" s="76" t="str">
        <f>VLOOKUP(E310,[1]生产部!$C:$I,7,0)</f>
        <v>班组</v>
      </c>
      <c r="AW310" s="41" t="str">
        <f>VLOOKUP(E310,[1]生产部!$C:$I,6,0)</f>
        <v>11号楼D级区域</v>
      </c>
    </row>
    <row r="311" spans="1:49" ht="21" customHeight="1">
      <c r="A311" s="235" t="s">
        <v>2133</v>
      </c>
      <c r="B311" s="229" t="s">
        <v>2112</v>
      </c>
      <c r="C311" s="45" t="s">
        <v>14</v>
      </c>
      <c r="D311" s="46" t="s">
        <v>1131</v>
      </c>
      <c r="E311" s="47" t="s">
        <v>1132</v>
      </c>
      <c r="F311" s="48">
        <v>46113</v>
      </c>
      <c r="G311" s="49">
        <f t="shared" si="4"/>
        <v>0</v>
      </c>
      <c r="H311" s="77">
        <f>SUMIF(积分汇总!$B:$B,D310,积分汇总!$E:$E)</f>
        <v>0</v>
      </c>
      <c r="I311" s="77">
        <f>SUMIF(记录巡查问题条数汇总!$B:$B,D310,记录巡查问题条数汇总!$E:$E)</f>
        <v>0</v>
      </c>
      <c r="J311" s="77"/>
      <c r="K311" s="77">
        <f>SUMIF(安全质量事故!$B:$B,D310,安全质量事故!$G:$G)</f>
        <v>0</v>
      </c>
      <c r="L311" s="72">
        <f>COUNTIF(M311:AQ311,标准数据!$A$2)*标准数据!$B$2+COUNTIF(M311:AQ311,标准数据!$A$3)*标准数据!$B$3+COUNTIF(M311:AQ311,标准数据!$A$4)*标准数据!$B$4</f>
        <v>0</v>
      </c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189"/>
      <c r="AR311" s="55"/>
      <c r="AV311" s="76" t="str">
        <f>VLOOKUP(E311,[1]生产部!$C:$I,7,0)</f>
        <v>常白</v>
      </c>
      <c r="AW311" s="41" t="str">
        <f>VLOOKUP(E311,[1]生产部!$C:$I,6,0)</f>
        <v>11号楼D级区域</v>
      </c>
    </row>
    <row r="312" spans="1:49" ht="21" customHeight="1">
      <c r="A312" s="235" t="s">
        <v>2133</v>
      </c>
      <c r="B312" s="229" t="s">
        <v>2112</v>
      </c>
      <c r="C312" s="45" t="s">
        <v>14</v>
      </c>
      <c r="D312" s="46" t="s">
        <v>1133</v>
      </c>
      <c r="E312" s="47" t="s">
        <v>1134</v>
      </c>
      <c r="F312" s="48">
        <v>46113</v>
      </c>
      <c r="G312" s="49">
        <f t="shared" si="4"/>
        <v>0</v>
      </c>
      <c r="H312" s="77">
        <f>SUMIF(积分汇总!$B:$B,D311,积分汇总!$E:$E)</f>
        <v>0</v>
      </c>
      <c r="I312" s="77">
        <f>SUMIF(记录巡查问题条数汇总!$B:$B,D311,记录巡查问题条数汇总!$E:$E)</f>
        <v>0</v>
      </c>
      <c r="J312" s="77"/>
      <c r="K312" s="77">
        <f>SUMIF(安全质量事故!$B:$B,D311,安全质量事故!$G:$G)</f>
        <v>0</v>
      </c>
      <c r="L312" s="72">
        <f>COUNTIF(M312:AQ312,标准数据!$A$2)*标准数据!$B$2+COUNTIF(M312:AQ312,标准数据!$A$3)*标准数据!$B$3+COUNTIF(M312:AQ312,标准数据!$A$4)*标准数据!$B$4</f>
        <v>0</v>
      </c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189"/>
      <c r="AR312" s="55"/>
      <c r="AV312" s="76" t="str">
        <f>VLOOKUP(E312,[1]生产部!$C:$I,7,0)</f>
        <v>常白</v>
      </c>
      <c r="AW312" s="41" t="str">
        <f>VLOOKUP(E312,[1]生产部!$C:$I,6,0)</f>
        <v>11号楼D级区域</v>
      </c>
    </row>
    <row r="313" spans="1:49" ht="21" customHeight="1">
      <c r="A313" s="235" t="s">
        <v>2133</v>
      </c>
      <c r="B313" s="229" t="s">
        <v>2112</v>
      </c>
      <c r="C313" s="45" t="s">
        <v>87</v>
      </c>
      <c r="D313" s="46" t="s">
        <v>1135</v>
      </c>
      <c r="E313" s="52" t="s">
        <v>1136</v>
      </c>
      <c r="F313" s="46">
        <v>46113</v>
      </c>
      <c r="G313" s="49">
        <f t="shared" si="4"/>
        <v>0</v>
      </c>
      <c r="H313" s="77">
        <f>SUMIF(积分汇总!$B:$B,D312,积分汇总!$E:$E)</f>
        <v>0</v>
      </c>
      <c r="I313" s="77">
        <f>SUMIF(记录巡查问题条数汇总!$B:$B,D312,记录巡查问题条数汇总!$E:$E)</f>
        <v>0</v>
      </c>
      <c r="J313" s="77"/>
      <c r="K313" s="77">
        <f>SUMIF(安全质量事故!$B:$B,D312,安全质量事故!$G:$G)</f>
        <v>0</v>
      </c>
      <c r="L313" s="72">
        <f>COUNTIF(M313:AQ313,标准数据!$A$2)*标准数据!$B$2+COUNTIF(M313:AQ313,标准数据!$A$3)*标准数据!$B$3+COUNTIF(M313:AQ313,标准数据!$A$4)*标准数据!$B$4</f>
        <v>0</v>
      </c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189"/>
      <c r="AR313" s="55"/>
      <c r="AS313" s="41"/>
      <c r="AT313" s="41"/>
      <c r="AU313" s="41"/>
      <c r="AV313" s="76" t="str">
        <f>VLOOKUP(E313,[1]生产部!$C:$I,7,0)</f>
        <v>常白</v>
      </c>
      <c r="AW313" s="41" t="str">
        <f>VLOOKUP(E313,[1]生产部!$C:$I,6,0)</f>
        <v>11号楼D级区域</v>
      </c>
    </row>
    <row r="314" spans="1:49" ht="21" customHeight="1">
      <c r="A314" s="235" t="s">
        <v>2133</v>
      </c>
      <c r="B314" s="229" t="s">
        <v>2112</v>
      </c>
      <c r="C314" s="45" t="s">
        <v>87</v>
      </c>
      <c r="D314" s="46" t="s">
        <v>1137</v>
      </c>
      <c r="E314" s="52" t="s">
        <v>1138</v>
      </c>
      <c r="F314" s="46">
        <v>46113</v>
      </c>
      <c r="G314" s="49">
        <f t="shared" si="4"/>
        <v>0</v>
      </c>
      <c r="H314" s="77">
        <f>SUMIF(积分汇总!$B:$B,D313,积分汇总!$E:$E)</f>
        <v>0</v>
      </c>
      <c r="I314" s="77">
        <f>SUMIF(记录巡查问题条数汇总!$B:$B,D313,记录巡查问题条数汇总!$E:$E)</f>
        <v>0</v>
      </c>
      <c r="J314" s="77"/>
      <c r="K314" s="77">
        <f>SUMIF(安全质量事故!$B:$B,D313,安全质量事故!$G:$G)</f>
        <v>0</v>
      </c>
      <c r="L314" s="72">
        <f>COUNTIF(M314:AQ314,标准数据!$A$2)*标准数据!$B$2+COUNTIF(M314:AQ314,标准数据!$A$3)*标准数据!$B$3+COUNTIF(M314:AQ314,标准数据!$A$4)*标准数据!$B$4</f>
        <v>0</v>
      </c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189"/>
      <c r="AR314" s="55"/>
      <c r="AS314" s="41"/>
      <c r="AT314" s="41"/>
      <c r="AU314" s="41"/>
      <c r="AV314" s="76" t="str">
        <f>VLOOKUP(E314,[1]生产部!$C:$I,7,0)</f>
        <v>常白</v>
      </c>
      <c r="AW314" s="41" t="str">
        <f>VLOOKUP(E314,[1]生产部!$C:$I,6,0)</f>
        <v>11号楼D级区域</v>
      </c>
    </row>
    <row r="315" spans="1:49" ht="21" customHeight="1">
      <c r="A315" s="235" t="s">
        <v>2133</v>
      </c>
      <c r="B315" s="229" t="s">
        <v>2112</v>
      </c>
      <c r="C315" s="45" t="s">
        <v>14</v>
      </c>
      <c r="D315" s="46" t="s">
        <v>1139</v>
      </c>
      <c r="E315" s="47" t="s">
        <v>1140</v>
      </c>
      <c r="F315" s="48">
        <v>46113</v>
      </c>
      <c r="G315" s="49">
        <f t="shared" si="4"/>
        <v>0</v>
      </c>
      <c r="H315" s="77">
        <f>SUMIF(积分汇总!$B:$B,D314,积分汇总!$E:$E)</f>
        <v>0</v>
      </c>
      <c r="I315" s="77">
        <f>SUMIF(记录巡查问题条数汇总!$B:$B,D314,记录巡查问题条数汇总!$E:$E)</f>
        <v>0</v>
      </c>
      <c r="J315" s="77"/>
      <c r="K315" s="77">
        <f>SUMIF(安全质量事故!$B:$B,D314,安全质量事故!$G:$G)</f>
        <v>0</v>
      </c>
      <c r="L315" s="72">
        <f>COUNTIF(M315:AQ315,标准数据!$A$2)*标准数据!$B$2+COUNTIF(M315:AQ315,标准数据!$A$3)*标准数据!$B$3+COUNTIF(M315:AQ315,标准数据!$A$4)*标准数据!$B$4</f>
        <v>0</v>
      </c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189"/>
      <c r="AR315" s="55"/>
      <c r="AV315" s="76" t="str">
        <f>VLOOKUP(E315,[1]生产部!$C:$I,7,0)</f>
        <v>班组</v>
      </c>
      <c r="AW315" s="41" t="str">
        <f>VLOOKUP(E315,[1]生产部!$C:$I,6,0)</f>
        <v>11号楼D级区域</v>
      </c>
    </row>
    <row r="316" spans="1:49" ht="21" customHeight="1">
      <c r="A316" s="235" t="s">
        <v>2133</v>
      </c>
      <c r="B316" s="229" t="s">
        <v>2112</v>
      </c>
      <c r="C316" s="45" t="s">
        <v>14</v>
      </c>
      <c r="D316" s="46" t="s">
        <v>1141</v>
      </c>
      <c r="E316" s="47" t="s">
        <v>1142</v>
      </c>
      <c r="F316" s="48">
        <v>46113</v>
      </c>
      <c r="G316" s="49">
        <f t="shared" si="4"/>
        <v>0</v>
      </c>
      <c r="H316" s="77">
        <f>SUMIF(积分汇总!$B:$B,D315,积分汇总!$E:$E)</f>
        <v>0</v>
      </c>
      <c r="I316" s="77">
        <f>SUMIF(记录巡查问题条数汇总!$B:$B,D315,记录巡查问题条数汇总!$E:$E)</f>
        <v>0</v>
      </c>
      <c r="J316" s="77"/>
      <c r="K316" s="77">
        <f>SUMIF(安全质量事故!$B:$B,D315,安全质量事故!$G:$G)</f>
        <v>0</v>
      </c>
      <c r="L316" s="72">
        <f>COUNTIF(M316:AQ316,标准数据!$A$2)*标准数据!$B$2+COUNTIF(M316:AQ316,标准数据!$A$3)*标准数据!$B$3+COUNTIF(M316:AQ316,标准数据!$A$4)*标准数据!$B$4</f>
        <v>0</v>
      </c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189"/>
      <c r="AR316" s="55"/>
      <c r="AV316" s="76" t="str">
        <f>VLOOKUP(E316,[1]生产部!$C:$I,7,0)</f>
        <v>班组</v>
      </c>
      <c r="AW316" s="41" t="str">
        <f>VLOOKUP(E316,[1]生产部!$C:$I,6,0)</f>
        <v>11号楼D级区域</v>
      </c>
    </row>
    <row r="317" spans="1:49" ht="21" customHeight="1">
      <c r="A317" s="235" t="s">
        <v>2133</v>
      </c>
      <c r="B317" s="229" t="s">
        <v>2112</v>
      </c>
      <c r="C317" s="45" t="s">
        <v>14</v>
      </c>
      <c r="D317" s="46" t="s">
        <v>1145</v>
      </c>
      <c r="E317" s="47" t="s">
        <v>1146</v>
      </c>
      <c r="F317" s="48">
        <v>46127</v>
      </c>
      <c r="G317" s="49">
        <f t="shared" si="4"/>
        <v>0</v>
      </c>
      <c r="H317" s="77">
        <f>SUMIF(积分汇总!$B:$B,,积分汇总!$E:$E)</f>
        <v>0</v>
      </c>
      <c r="I317" s="77">
        <f>SUMIF(记录巡查问题条数汇总!$B:$B,,记录巡查问题条数汇总!$E:$E)</f>
        <v>0</v>
      </c>
      <c r="J317" s="77"/>
      <c r="K317" s="77">
        <f>SUMIF(安全质量事故!$B:$B,,安全质量事故!$G:$G)</f>
        <v>0</v>
      </c>
      <c r="L317" s="72">
        <f>COUNTIF(M317:AQ317,标准数据!$A$2)*标准数据!$B$2+COUNTIF(M317:AQ317,标准数据!$A$3)*标准数据!$B$3+COUNTIF(M317:AQ317,标准数据!$A$4)*标准数据!$B$4</f>
        <v>0</v>
      </c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189"/>
      <c r="AR317" s="55"/>
      <c r="AV317" s="76" t="str">
        <f>VLOOKUP(E317,[1]生产部!$C:$I,7,0)</f>
        <v>常白</v>
      </c>
      <c r="AW317" s="41" t="str">
        <f>VLOOKUP(E317,[1]生产部!$C:$I,6,0)</f>
        <v>11号楼D级区域</v>
      </c>
    </row>
    <row r="318" spans="1:49" ht="21" customHeight="1">
      <c r="A318" s="235" t="s">
        <v>2133</v>
      </c>
      <c r="B318" s="229" t="s">
        <v>2112</v>
      </c>
      <c r="C318" s="45" t="s">
        <v>14</v>
      </c>
      <c r="D318" s="46" t="s">
        <v>1147</v>
      </c>
      <c r="E318" s="47" t="s">
        <v>1148</v>
      </c>
      <c r="F318" s="48">
        <v>46127</v>
      </c>
      <c r="G318" s="49">
        <f t="shared" si="4"/>
        <v>0</v>
      </c>
      <c r="H318" s="77">
        <f>SUMIF(积分汇总!$B:$B,D317,积分汇总!$E:$E)</f>
        <v>0</v>
      </c>
      <c r="I318" s="77">
        <f>SUMIF(记录巡查问题条数汇总!$B:$B,D317,记录巡查问题条数汇总!$E:$E)</f>
        <v>0</v>
      </c>
      <c r="J318" s="77"/>
      <c r="K318" s="77">
        <f>SUMIF(安全质量事故!$B:$B,D317,安全质量事故!$G:$G)</f>
        <v>0</v>
      </c>
      <c r="L318" s="72">
        <f>COUNTIF(M318:AQ318,标准数据!$A$2)*标准数据!$B$2+COUNTIF(M318:AQ318,标准数据!$A$3)*标准数据!$B$3+COUNTIF(M318:AQ318,标准数据!$A$4)*标准数据!$B$4</f>
        <v>0</v>
      </c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189"/>
      <c r="AR318" s="55"/>
      <c r="AV318" s="76" t="str">
        <f>VLOOKUP(E318,[1]生产部!$C:$I,7,0)</f>
        <v>班组</v>
      </c>
      <c r="AW318" s="41" t="str">
        <f>VLOOKUP(E318,[1]生产部!$C:$I,6,0)</f>
        <v>11号楼D级区域</v>
      </c>
    </row>
    <row r="319" spans="1:49" ht="21" customHeight="1">
      <c r="A319" s="235" t="s">
        <v>2133</v>
      </c>
      <c r="B319" s="229" t="s">
        <v>2112</v>
      </c>
      <c r="C319" s="45" t="s">
        <v>14</v>
      </c>
      <c r="D319" s="46" t="s">
        <v>1149</v>
      </c>
      <c r="E319" s="47" t="s">
        <v>1150</v>
      </c>
      <c r="F319" s="48">
        <v>46127</v>
      </c>
      <c r="G319" s="49">
        <f t="shared" si="4"/>
        <v>0</v>
      </c>
      <c r="H319" s="77">
        <f>SUMIF(积分汇总!$B:$B,D318,积分汇总!$E:$E)</f>
        <v>0</v>
      </c>
      <c r="I319" s="77">
        <f>SUMIF(记录巡查问题条数汇总!$B:$B,D318,记录巡查问题条数汇总!$E:$E)</f>
        <v>0</v>
      </c>
      <c r="J319" s="77"/>
      <c r="K319" s="77">
        <f>SUMIF(安全质量事故!$B:$B,D318,安全质量事故!$G:$G)</f>
        <v>0</v>
      </c>
      <c r="L319" s="72">
        <f>COUNTIF(M319:AQ319,标准数据!$A$2)*标准数据!$B$2+COUNTIF(M319:AQ319,标准数据!$A$3)*标准数据!$B$3+COUNTIF(M319:AQ319,标准数据!$A$4)*标准数据!$B$4</f>
        <v>0</v>
      </c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189"/>
      <c r="AR319" s="55"/>
      <c r="AV319" s="76" t="str">
        <f>VLOOKUP(E319,[1]生产部!$C:$I,7,0)</f>
        <v>常白</v>
      </c>
      <c r="AW319" s="41" t="str">
        <f>VLOOKUP(E319,[1]生产部!$C:$I,6,0)</f>
        <v>11号楼D级区域</v>
      </c>
    </row>
    <row r="320" spans="1:49" ht="21" customHeight="1">
      <c r="A320" s="235" t="s">
        <v>2133</v>
      </c>
      <c r="B320" s="229" t="s">
        <v>2112</v>
      </c>
      <c r="C320" s="45" t="s">
        <v>14</v>
      </c>
      <c r="D320" s="46" t="s">
        <v>1151</v>
      </c>
      <c r="E320" s="47" t="s">
        <v>1152</v>
      </c>
      <c r="F320" s="48">
        <v>46127</v>
      </c>
      <c r="G320" s="49">
        <f t="shared" si="4"/>
        <v>0</v>
      </c>
      <c r="H320" s="77">
        <f>SUMIF(积分汇总!$B:$B,D319,积分汇总!$E:$E)</f>
        <v>0</v>
      </c>
      <c r="I320" s="77">
        <f>SUMIF(记录巡查问题条数汇总!$B:$B,D319,记录巡查问题条数汇总!$E:$E)</f>
        <v>0</v>
      </c>
      <c r="J320" s="77"/>
      <c r="K320" s="77">
        <f>SUMIF(安全质量事故!$B:$B,D319,安全质量事故!$G:$G)</f>
        <v>0</v>
      </c>
      <c r="L320" s="72">
        <f>COUNTIF(M320:AQ320,标准数据!$A$2)*标准数据!$B$2+COUNTIF(M320:AQ320,标准数据!$A$3)*标准数据!$B$3+COUNTIF(M320:AQ320,标准数据!$A$4)*标准数据!$B$4</f>
        <v>0</v>
      </c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189"/>
      <c r="AR320" s="55"/>
      <c r="AV320" s="76" t="str">
        <f>VLOOKUP(E320,[1]生产部!$C:$I,7,0)</f>
        <v>班组</v>
      </c>
      <c r="AW320" s="41" t="str">
        <f>VLOOKUP(E320,[1]生产部!$C:$I,6,0)</f>
        <v>11号楼D级区域</v>
      </c>
    </row>
    <row r="321" spans="1:49" ht="21" customHeight="1">
      <c r="A321" s="235" t="s">
        <v>2133</v>
      </c>
      <c r="B321" s="229" t="s">
        <v>2112</v>
      </c>
      <c r="C321" s="45" t="s">
        <v>14</v>
      </c>
      <c r="D321" s="46" t="s">
        <v>1153</v>
      </c>
      <c r="E321" s="47" t="s">
        <v>1154</v>
      </c>
      <c r="F321" s="48">
        <v>46127</v>
      </c>
      <c r="G321" s="49">
        <f t="shared" si="4"/>
        <v>0</v>
      </c>
      <c r="H321" s="77">
        <f>SUMIF(积分汇总!$B:$B,D320,积分汇总!$E:$E)</f>
        <v>0</v>
      </c>
      <c r="I321" s="77">
        <f>SUMIF(记录巡查问题条数汇总!$B:$B,D320,记录巡查问题条数汇总!$E:$E)</f>
        <v>0</v>
      </c>
      <c r="J321" s="77"/>
      <c r="K321" s="77">
        <f>SUMIF(安全质量事故!$B:$B,D320,安全质量事故!$G:$G)</f>
        <v>0</v>
      </c>
      <c r="L321" s="72">
        <f>COUNTIF(M321:AQ321,标准数据!$A$2)*标准数据!$B$2+COUNTIF(M321:AQ321,标准数据!$A$3)*标准数据!$B$3+COUNTIF(M321:AQ321,标准数据!$A$4)*标准数据!$B$4</f>
        <v>0</v>
      </c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189"/>
      <c r="AR321" s="55"/>
      <c r="AV321" s="76" t="str">
        <f>VLOOKUP(E321,[1]生产部!$C:$I,7,0)</f>
        <v>常白</v>
      </c>
      <c r="AW321" s="41" t="str">
        <f>VLOOKUP(E321,[1]生产部!$C:$I,6,0)</f>
        <v>11号楼D级区域</v>
      </c>
    </row>
    <row r="322" spans="1:49" ht="21" customHeight="1">
      <c r="A322" s="235" t="s">
        <v>2133</v>
      </c>
      <c r="B322" s="229" t="s">
        <v>2112</v>
      </c>
      <c r="C322" s="45" t="s">
        <v>14</v>
      </c>
      <c r="D322" s="46" t="s">
        <v>550</v>
      </c>
      <c r="E322" s="47" t="s">
        <v>519</v>
      </c>
      <c r="F322" s="48">
        <v>45488</v>
      </c>
      <c r="G322" s="49">
        <f t="shared" si="4"/>
        <v>0</v>
      </c>
      <c r="H322" s="77">
        <f>SUMIF(积分汇总!$B:$B,D321,积分汇总!$E:$E)</f>
        <v>0</v>
      </c>
      <c r="I322" s="77">
        <f>SUMIF(记录巡查问题条数汇总!$B:$B,D321,记录巡查问题条数汇总!$E:$E)</f>
        <v>0</v>
      </c>
      <c r="J322" s="77"/>
      <c r="K322" s="77">
        <f>SUMIF(安全质量事故!$B:$B,D321,安全质量事故!$G:$G)</f>
        <v>0</v>
      </c>
      <c r="L322" s="72">
        <f>COUNTIF(M322:AQ322,标准数据!$A$2)*标准数据!$B$2+COUNTIF(M322:AQ322,标准数据!$A$3)*标准数据!$B$3+COUNTIF(M322:AQ322,标准数据!$A$4)*标准数据!$B$4</f>
        <v>0</v>
      </c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189"/>
      <c r="AR322" s="55"/>
      <c r="AV322" s="76" t="str">
        <f>VLOOKUP(E322,[1]生产部!$C:$I,7,0)</f>
        <v>常白</v>
      </c>
      <c r="AW322" s="41" t="str">
        <f>VLOOKUP(E322,[1]生产部!$C:$I,6,0)</f>
        <v>11号楼D级区域</v>
      </c>
    </row>
    <row r="323" spans="1:49" ht="21" customHeight="1">
      <c r="A323" s="235" t="s">
        <v>2133</v>
      </c>
      <c r="B323" s="229" t="s">
        <v>2112</v>
      </c>
      <c r="C323" s="45" t="s">
        <v>14</v>
      </c>
      <c r="D323" s="46" t="s">
        <v>1301</v>
      </c>
      <c r="E323" s="47" t="s">
        <v>1302</v>
      </c>
      <c r="F323" s="48">
        <v>46134</v>
      </c>
      <c r="G323" s="49">
        <f t="shared" si="4"/>
        <v>0</v>
      </c>
      <c r="H323" s="77">
        <f>SUMIF(积分汇总!$B:$B,D322,积分汇总!$E:$E)</f>
        <v>0</v>
      </c>
      <c r="I323" s="77">
        <f>SUMIF(记录巡查问题条数汇总!$B:$B,D322,记录巡查问题条数汇总!$E:$E)</f>
        <v>0</v>
      </c>
      <c r="J323" s="77"/>
      <c r="K323" s="77">
        <f>SUMIF(安全质量事故!$B:$B,D322,安全质量事故!$G:$G)</f>
        <v>0</v>
      </c>
      <c r="L323" s="72">
        <f>COUNTIF(M323:AQ323,标准数据!$A$2)*标准数据!$B$2+COUNTIF(M323:AQ323,标准数据!$A$3)*标准数据!$B$3+COUNTIF(M323:AQ323,标准数据!$A$4)*标准数据!$B$4</f>
        <v>0</v>
      </c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189"/>
      <c r="AR323" s="55"/>
      <c r="AV323" s="76" t="str">
        <f>VLOOKUP(E323,[1]生产部!$C:$I,7,0)</f>
        <v>常白</v>
      </c>
      <c r="AW323" s="41" t="str">
        <f>VLOOKUP(E323,[1]生产部!$C:$I,6,0)</f>
        <v>11号楼D级区域</v>
      </c>
    </row>
    <row r="324" spans="1:49" ht="21" customHeight="1">
      <c r="A324" s="235" t="s">
        <v>2133</v>
      </c>
      <c r="B324" s="229" t="s">
        <v>2112</v>
      </c>
      <c r="C324" s="45" t="s">
        <v>14</v>
      </c>
      <c r="D324" s="46" t="s">
        <v>1303</v>
      </c>
      <c r="E324" s="47" t="s">
        <v>1304</v>
      </c>
      <c r="F324" s="48">
        <v>46132</v>
      </c>
      <c r="G324" s="49">
        <f t="shared" si="4"/>
        <v>0</v>
      </c>
      <c r="H324" s="77">
        <f>SUMIF(积分汇总!$B:$B,D323,积分汇总!$E:$E)</f>
        <v>0</v>
      </c>
      <c r="I324" s="77">
        <f>SUMIF(记录巡查问题条数汇总!$B:$B,D323,记录巡查问题条数汇总!$E:$E)</f>
        <v>0</v>
      </c>
      <c r="J324" s="77"/>
      <c r="K324" s="77">
        <f>SUMIF(安全质量事故!$B:$B,D323,安全质量事故!$G:$G)</f>
        <v>0</v>
      </c>
      <c r="L324" s="72">
        <f>COUNTIF(M324:AQ324,标准数据!$A$2)*标准数据!$B$2+COUNTIF(M324:AQ324,标准数据!$A$3)*标准数据!$B$3+COUNTIF(M324:AQ324,标准数据!$A$4)*标准数据!$B$4</f>
        <v>0</v>
      </c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189"/>
      <c r="AR324" s="55"/>
      <c r="AV324" s="76" t="str">
        <f>VLOOKUP(E324,[1]生产部!$C:$I,7,0)</f>
        <v>常白</v>
      </c>
      <c r="AW324" s="41" t="str">
        <f>VLOOKUP(E324,[1]生产部!$C:$I,6,0)</f>
        <v>11号楼D级区域</v>
      </c>
    </row>
    <row r="325" spans="1:49" ht="21" customHeight="1">
      <c r="A325" s="235" t="s">
        <v>2133</v>
      </c>
      <c r="B325" s="229" t="s">
        <v>2112</v>
      </c>
      <c r="C325" s="45" t="s">
        <v>14</v>
      </c>
      <c r="D325" s="46" t="s">
        <v>1305</v>
      </c>
      <c r="E325" s="47" t="s">
        <v>1306</v>
      </c>
      <c r="F325" s="48">
        <v>46134</v>
      </c>
      <c r="G325" s="49">
        <f t="shared" si="4"/>
        <v>0</v>
      </c>
      <c r="H325" s="77">
        <f>SUMIF(积分汇总!$B:$B,D324,积分汇总!$E:$E)</f>
        <v>0</v>
      </c>
      <c r="I325" s="77">
        <f>SUMIF(记录巡查问题条数汇总!$B:$B,D324,记录巡查问题条数汇总!$E:$E)</f>
        <v>0</v>
      </c>
      <c r="J325" s="77"/>
      <c r="K325" s="77">
        <f>SUMIF(安全质量事故!$B:$B,D324,安全质量事故!$G:$G)</f>
        <v>0</v>
      </c>
      <c r="L325" s="72">
        <f>COUNTIF(M325:AQ325,标准数据!$A$2)*标准数据!$B$2+COUNTIF(M325:AQ325,标准数据!$A$3)*标准数据!$B$3+COUNTIF(M325:AQ325,标准数据!$A$4)*标准数据!$B$4</f>
        <v>0</v>
      </c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189"/>
      <c r="AR325" s="55"/>
      <c r="AV325" s="76" t="str">
        <f>VLOOKUP(E325,[1]生产部!$C:$I,7,0)</f>
        <v>常白</v>
      </c>
      <c r="AW325" s="41" t="str">
        <f>VLOOKUP(E325,[1]生产部!$C:$I,6,0)</f>
        <v>11号楼D级区域</v>
      </c>
    </row>
    <row r="326" spans="1:49" ht="21" customHeight="1">
      <c r="A326" s="235" t="s">
        <v>2133</v>
      </c>
      <c r="B326" s="229" t="s">
        <v>2112</v>
      </c>
      <c r="C326" s="45" t="s">
        <v>14</v>
      </c>
      <c r="D326" s="46" t="s">
        <v>1307</v>
      </c>
      <c r="E326" s="47" t="s">
        <v>1308</v>
      </c>
      <c r="F326" s="48">
        <v>46132</v>
      </c>
      <c r="G326" s="49">
        <f t="shared" si="4"/>
        <v>0</v>
      </c>
      <c r="H326" s="77">
        <f>SUMIF(积分汇总!$B:$B,D325,积分汇总!$E:$E)</f>
        <v>0</v>
      </c>
      <c r="I326" s="77">
        <f>SUMIF(记录巡查问题条数汇总!$B:$B,D325,记录巡查问题条数汇总!$E:$E)</f>
        <v>0</v>
      </c>
      <c r="J326" s="77"/>
      <c r="K326" s="77">
        <f>SUMIF(安全质量事故!$B:$B,D325,安全质量事故!$G:$G)</f>
        <v>0</v>
      </c>
      <c r="L326" s="72">
        <f>COUNTIF(M326:AQ326,标准数据!$A$2)*标准数据!$B$2+COUNTIF(M326:AQ326,标准数据!$A$3)*标准数据!$B$3+COUNTIF(M326:AQ326,标准数据!$A$4)*标准数据!$B$4</f>
        <v>0</v>
      </c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189"/>
      <c r="AR326" s="55"/>
      <c r="AV326" s="76" t="str">
        <f>VLOOKUP(E326,[1]生产部!$C:$I,7,0)</f>
        <v>常白</v>
      </c>
      <c r="AW326" s="41" t="str">
        <f>VLOOKUP(E326,[1]生产部!$C:$I,6,0)</f>
        <v>11号楼D级区域</v>
      </c>
    </row>
    <row r="327" spans="1:49" ht="21" customHeight="1">
      <c r="A327" s="235" t="s">
        <v>2133</v>
      </c>
      <c r="B327" s="229" t="s">
        <v>2112</v>
      </c>
      <c r="C327" s="45" t="s">
        <v>14</v>
      </c>
      <c r="D327" s="46" t="s">
        <v>1309</v>
      </c>
      <c r="E327" s="47" t="s">
        <v>1310</v>
      </c>
      <c r="F327" s="48">
        <v>46134</v>
      </c>
      <c r="G327" s="49">
        <f t="shared" si="4"/>
        <v>0</v>
      </c>
      <c r="H327" s="77">
        <f>SUMIF(积分汇总!$B:$B,D326,积分汇总!$E:$E)</f>
        <v>0</v>
      </c>
      <c r="I327" s="77">
        <f>SUMIF(记录巡查问题条数汇总!$B:$B,D326,记录巡查问题条数汇总!$E:$E)</f>
        <v>0</v>
      </c>
      <c r="J327" s="77"/>
      <c r="K327" s="77">
        <f>SUMIF(安全质量事故!$B:$B,D326,安全质量事故!$G:$G)</f>
        <v>0</v>
      </c>
      <c r="L327" s="72">
        <f>COUNTIF(M327:AQ327,标准数据!$A$2)*标准数据!$B$2+COUNTIF(M327:AQ327,标准数据!$A$3)*标准数据!$B$3+COUNTIF(M327:AQ327,标准数据!$A$4)*标准数据!$B$4</f>
        <v>0</v>
      </c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189"/>
      <c r="AR327" s="55"/>
      <c r="AV327" s="76" t="str">
        <f>VLOOKUP(E327,[1]生产部!$C:$I,7,0)</f>
        <v>班组</v>
      </c>
      <c r="AW327" s="41" t="str">
        <f>VLOOKUP(E327,[1]生产部!$C:$I,6,0)</f>
        <v>11号楼D级区域</v>
      </c>
    </row>
    <row r="328" spans="1:49" ht="21" customHeight="1">
      <c r="A328" s="235" t="s">
        <v>2133</v>
      </c>
      <c r="B328" s="229" t="s">
        <v>2112</v>
      </c>
      <c r="C328" s="45" t="s">
        <v>14</v>
      </c>
      <c r="D328" s="46" t="s">
        <v>1333</v>
      </c>
      <c r="E328" s="52" t="s">
        <v>1334</v>
      </c>
      <c r="F328" s="46">
        <v>46139</v>
      </c>
      <c r="G328" s="49">
        <f t="shared" si="4"/>
        <v>0</v>
      </c>
      <c r="H328" s="77">
        <f>SUMIF(积分汇总!$B:$B,D327,积分汇总!$E:$E)</f>
        <v>0</v>
      </c>
      <c r="I328" s="77">
        <f>SUMIF(记录巡查问题条数汇总!$B:$B,D327,记录巡查问题条数汇总!$E:$E)</f>
        <v>0</v>
      </c>
      <c r="J328" s="77"/>
      <c r="K328" s="77">
        <f>SUMIF(安全质量事故!$B:$B,D327,安全质量事故!$G:$G)</f>
        <v>0</v>
      </c>
      <c r="L328" s="72">
        <f>COUNTIF(M328:AQ328,标准数据!$A$2)*标准数据!$B$2+COUNTIF(M328:AQ328,标准数据!$A$3)*标准数据!$B$3+COUNTIF(M328:AQ328,标准数据!$A$4)*标准数据!$B$4</f>
        <v>0</v>
      </c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189"/>
      <c r="AR328" s="55"/>
      <c r="AS328" s="41"/>
      <c r="AT328" s="41"/>
      <c r="AU328" s="41"/>
      <c r="AV328" s="76" t="str">
        <f>VLOOKUP(E328,[1]生产部!$C:$I,7,0)</f>
        <v>常白</v>
      </c>
      <c r="AW328" s="41" t="str">
        <f>VLOOKUP(E328,[1]生产部!$C:$I,6,0)</f>
        <v>13号楼（11号楼D级区域委培）</v>
      </c>
    </row>
    <row r="329" spans="1:49" ht="21" customHeight="1">
      <c r="A329" s="235" t="s">
        <v>2133</v>
      </c>
      <c r="B329" s="229" t="s">
        <v>2112</v>
      </c>
      <c r="C329" s="45" t="s">
        <v>14</v>
      </c>
      <c r="D329" s="47" t="s">
        <v>1335</v>
      </c>
      <c r="E329" s="52" t="s">
        <v>1336</v>
      </c>
      <c r="F329" s="46">
        <v>46139</v>
      </c>
      <c r="G329" s="49">
        <f t="shared" si="4"/>
        <v>0</v>
      </c>
      <c r="H329" s="77">
        <f>SUMIF(积分汇总!$B:$B,D328,积分汇总!$E:$E)</f>
        <v>0</v>
      </c>
      <c r="I329" s="77">
        <f>SUMIF(记录巡查问题条数汇总!$B:$B,D328,记录巡查问题条数汇总!$E:$E)</f>
        <v>0</v>
      </c>
      <c r="J329" s="77"/>
      <c r="K329" s="77">
        <f>SUMIF(安全质量事故!$B:$B,D328,安全质量事故!$G:$G)</f>
        <v>0</v>
      </c>
      <c r="L329" s="72">
        <f>COUNTIF(M329:AQ329,标准数据!$A$2)*标准数据!$B$2+COUNTIF(M329:AQ329,标准数据!$A$3)*标准数据!$B$3+COUNTIF(M329:AQ329,标准数据!$A$4)*标准数据!$B$4</f>
        <v>0</v>
      </c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189"/>
      <c r="AR329" s="55"/>
      <c r="AV329" s="76" t="str">
        <f>VLOOKUP(E329,[1]生产部!$C:$I,7,0)</f>
        <v>常白</v>
      </c>
      <c r="AW329" s="41" t="str">
        <f>VLOOKUP(E329,[1]生产部!$C:$I,6,0)</f>
        <v>13号楼（11号楼D级区域委培）</v>
      </c>
    </row>
    <row r="330" spans="1:49" s="51" customFormat="1" ht="21" customHeight="1">
      <c r="A330" s="235" t="s">
        <v>2133</v>
      </c>
      <c r="B330" s="229" t="s">
        <v>2112</v>
      </c>
      <c r="C330" s="45" t="s">
        <v>14</v>
      </c>
      <c r="D330" s="46" t="s">
        <v>1337</v>
      </c>
      <c r="E330" s="47" t="s">
        <v>1338</v>
      </c>
      <c r="F330" s="48">
        <v>46155</v>
      </c>
      <c r="G330" s="49">
        <f t="shared" si="4"/>
        <v>0</v>
      </c>
      <c r="H330" s="77">
        <f>SUMIF(积分汇总!$B:$B,D329,积分汇总!$E:$E)</f>
        <v>0</v>
      </c>
      <c r="I330" s="77">
        <f>SUMIF(记录巡查问题条数汇总!$B:$B,D329,记录巡查问题条数汇总!$E:$E)</f>
        <v>0</v>
      </c>
      <c r="J330" s="77"/>
      <c r="K330" s="77">
        <f>SUMIF(安全质量事故!$B:$B,D329,安全质量事故!$G:$G)</f>
        <v>0</v>
      </c>
      <c r="L330" s="72">
        <f>COUNTIF(M330:AQ330,标准数据!$A$2)*标准数据!$B$2+COUNTIF(M330:AQ330,标准数据!$A$3)*标准数据!$B$3+COUNTIF(M330:AQ330,标准数据!$A$4)*标准数据!$B$4</f>
        <v>0</v>
      </c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189"/>
      <c r="AR330" s="55"/>
      <c r="AV330" s="76" t="str">
        <f>VLOOKUP(E330,[1]生产部!$C:$I,7,0)</f>
        <v>常白</v>
      </c>
      <c r="AW330" s="41" t="str">
        <f>VLOOKUP(E330,[1]生产部!$C:$I,6,0)</f>
        <v>13号楼（11号楼D级区域委培）</v>
      </c>
    </row>
    <row r="331" spans="1:49" ht="21" customHeight="1">
      <c r="A331" s="235" t="s">
        <v>2133</v>
      </c>
      <c r="B331" s="229" t="s">
        <v>2115</v>
      </c>
      <c r="C331" s="45" t="s">
        <v>14</v>
      </c>
      <c r="D331" s="46" t="s">
        <v>645</v>
      </c>
      <c r="E331" s="52" t="s">
        <v>586</v>
      </c>
      <c r="F331" s="46">
        <v>45901</v>
      </c>
      <c r="G331" s="49">
        <f t="shared" si="4"/>
        <v>0</v>
      </c>
      <c r="H331" s="77">
        <f>SUMIF(积分汇总!$B:$B,D330,积分汇总!$E:$E)</f>
        <v>0</v>
      </c>
      <c r="I331" s="77">
        <f>SUMIF(记录巡查问题条数汇总!$B:$B,D330,记录巡查问题条数汇总!$E:$E)</f>
        <v>0</v>
      </c>
      <c r="J331" s="77"/>
      <c r="K331" s="77">
        <f>SUMIF(安全质量事故!$B:$B,D330,安全质量事故!$G:$G)</f>
        <v>0</v>
      </c>
      <c r="L331" s="72">
        <f>COUNTIF(M331:AQ331,标准数据!$A$2)*标准数据!$B$2+COUNTIF(M331:AQ331,标准数据!$A$3)*标准数据!$B$3+COUNTIF(M331:AQ331,标准数据!$A$4)*标准数据!$B$4</f>
        <v>0</v>
      </c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189"/>
      <c r="AR331" s="55"/>
      <c r="AS331" s="41"/>
      <c r="AT331" s="41"/>
      <c r="AU331" s="41"/>
      <c r="AV331" s="76" t="str">
        <f>VLOOKUP(E331,[1]生产部!$C:$I,7,0)</f>
        <v>班组</v>
      </c>
      <c r="AW331" s="41" t="str">
        <f>VLOOKUP(E331,[1]生产部!$C:$I,6,0)</f>
        <v>12号楼（11号楼CNC区域委培）</v>
      </c>
    </row>
    <row r="332" spans="1:49" ht="21" customHeight="1">
      <c r="A332" s="235" t="s">
        <v>2133</v>
      </c>
      <c r="B332" s="229" t="s">
        <v>2112</v>
      </c>
      <c r="C332" s="45" t="s">
        <v>14</v>
      </c>
      <c r="D332" s="46" t="s">
        <v>1447</v>
      </c>
      <c r="E332" s="47" t="s">
        <v>1448</v>
      </c>
      <c r="F332" s="48">
        <v>46050</v>
      </c>
      <c r="G332" s="49">
        <f t="shared" si="4"/>
        <v>0</v>
      </c>
      <c r="H332" s="77">
        <f>SUMIF(积分汇总!$B:$B,D331,积分汇总!$E:$E)</f>
        <v>0</v>
      </c>
      <c r="I332" s="77">
        <f>SUMIF(记录巡查问题条数汇总!$B:$B,D331,记录巡查问题条数汇总!$E:$E)</f>
        <v>0</v>
      </c>
      <c r="J332" s="77"/>
      <c r="K332" s="77">
        <f>SUMIF(安全质量事故!$B:$B,D331,安全质量事故!$G:$G)</f>
        <v>0</v>
      </c>
      <c r="L332" s="72">
        <f>COUNTIF(M332:AQ332,标准数据!$A$2)*标准数据!$B$2+COUNTIF(M332:AQ332,标准数据!$A$3)*标准数据!$B$3+COUNTIF(M332:AQ332,标准数据!$A$4)*标准数据!$B$4</f>
        <v>0</v>
      </c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189"/>
      <c r="AR332" s="55"/>
      <c r="AS332" s="51" t="s">
        <v>1457</v>
      </c>
      <c r="AV332" s="76" t="str">
        <f>VLOOKUP(E332,[1]生产部!$C:$I,7,0)</f>
        <v>常白</v>
      </c>
      <c r="AW332" s="41" t="str">
        <f>VLOOKUP(E332,[1]生产部!$C:$I,6,0)</f>
        <v>11号楼D级区域</v>
      </c>
    </row>
    <row r="333" spans="1:49" ht="21" customHeight="1">
      <c r="A333" s="235" t="s">
        <v>2133</v>
      </c>
      <c r="B333" s="229" t="s">
        <v>2112</v>
      </c>
      <c r="C333" s="45" t="s">
        <v>14</v>
      </c>
      <c r="D333" s="47" t="s">
        <v>1449</v>
      </c>
      <c r="E333" s="52" t="s">
        <v>1450</v>
      </c>
      <c r="F333" s="46">
        <v>46050</v>
      </c>
      <c r="G333" s="49">
        <f t="shared" si="4"/>
        <v>0</v>
      </c>
      <c r="H333" s="77">
        <f>SUMIF(积分汇总!$B:$B,D332,积分汇总!$E:$E)</f>
        <v>0</v>
      </c>
      <c r="I333" s="77">
        <f>SUMIF(记录巡查问题条数汇总!$B:$B,D332,记录巡查问题条数汇总!$E:$E)</f>
        <v>0</v>
      </c>
      <c r="J333" s="77"/>
      <c r="K333" s="77">
        <f>SUMIF(安全质量事故!$B:$B,D332,安全质量事故!$G:$G)</f>
        <v>0</v>
      </c>
      <c r="L333" s="72">
        <f>COUNTIF(M333:AQ333,标准数据!$A$2)*标准数据!$B$2+COUNTIF(M333:AQ333,标准数据!$A$3)*标准数据!$B$3+COUNTIF(M333:AQ333,标准数据!$A$4)*标准数据!$B$4</f>
        <v>0</v>
      </c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189"/>
      <c r="AR333" s="55"/>
      <c r="AS333" s="51" t="s">
        <v>1457</v>
      </c>
      <c r="AV333" s="76" t="str">
        <f>VLOOKUP(E333,[1]生产部!$C:$I,7,0)</f>
        <v>班组</v>
      </c>
      <c r="AW333" s="41" t="str">
        <f>VLOOKUP(E333,[1]生产部!$C:$I,6,0)</f>
        <v>11号楼D级区域</v>
      </c>
    </row>
    <row r="334" spans="1:49" ht="21" customHeight="1">
      <c r="A334" s="235" t="s">
        <v>2133</v>
      </c>
      <c r="B334" s="229" t="s">
        <v>2112</v>
      </c>
      <c r="C334" s="45" t="s">
        <v>14</v>
      </c>
      <c r="D334" s="46" t="s">
        <v>1451</v>
      </c>
      <c r="E334" s="52" t="s">
        <v>1452</v>
      </c>
      <c r="F334" s="46">
        <v>46188</v>
      </c>
      <c r="G334" s="49">
        <f t="shared" si="4"/>
        <v>0</v>
      </c>
      <c r="H334" s="77">
        <f>SUMIF(积分汇总!$B:$B,D333,积分汇总!$E:$E)</f>
        <v>0</v>
      </c>
      <c r="I334" s="77">
        <f>SUMIF(记录巡查问题条数汇总!$B:$B,D333,记录巡查问题条数汇总!$E:$E)</f>
        <v>0</v>
      </c>
      <c r="J334" s="77"/>
      <c r="K334" s="77">
        <f>SUMIF(安全质量事故!$B:$B,D333,安全质量事故!$G:$G)</f>
        <v>0</v>
      </c>
      <c r="L334" s="72">
        <f>COUNTIF(M334:AQ334,标准数据!$A$2)*标准数据!$B$2+COUNTIF(M334:AQ334,标准数据!$A$3)*标准数据!$B$3+COUNTIF(M334:AQ334,标准数据!$A$4)*标准数据!$B$4</f>
        <v>0</v>
      </c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189"/>
      <c r="AR334" s="55"/>
      <c r="AS334" s="41"/>
      <c r="AT334" s="41"/>
      <c r="AU334" s="41"/>
      <c r="AV334" s="76" t="str">
        <f>VLOOKUP(E334,[1]生产部!$C:$I,7,0)</f>
        <v>班组</v>
      </c>
      <c r="AW334" s="41" t="str">
        <f>VLOOKUP(E334,[1]生产部!$C:$I,6,0)</f>
        <v>11号楼D级区域</v>
      </c>
    </row>
    <row r="335" spans="1:49" ht="21" customHeight="1">
      <c r="A335" s="235" t="s">
        <v>2133</v>
      </c>
      <c r="B335" s="229" t="s">
        <v>2112</v>
      </c>
      <c r="C335" s="45" t="s">
        <v>14</v>
      </c>
      <c r="D335" s="47" t="s">
        <v>1453</v>
      </c>
      <c r="E335" s="52" t="s">
        <v>1454</v>
      </c>
      <c r="F335" s="46">
        <v>46188</v>
      </c>
      <c r="G335" s="49">
        <f t="shared" si="4"/>
        <v>0</v>
      </c>
      <c r="H335" s="77">
        <f>SUMIF(积分汇总!$B:$B,D334,积分汇总!$E:$E)</f>
        <v>0</v>
      </c>
      <c r="I335" s="77">
        <f>SUMIF(记录巡查问题条数汇总!$B:$B,D334,记录巡查问题条数汇总!$E:$E)</f>
        <v>0</v>
      </c>
      <c r="J335" s="77"/>
      <c r="K335" s="77">
        <f>SUMIF(安全质量事故!$B:$B,D334,安全质量事故!$G:$G)</f>
        <v>0</v>
      </c>
      <c r="L335" s="72">
        <f>COUNTIF(M335:AQ335,标准数据!$A$2)*标准数据!$B$2+COUNTIF(M335:AQ335,标准数据!$A$3)*标准数据!$B$3+COUNTIF(M335:AQ335,标准数据!$A$4)*标准数据!$B$4</f>
        <v>0</v>
      </c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189"/>
      <c r="AR335" s="55"/>
      <c r="AV335" s="76" t="str">
        <f>VLOOKUP(E335,[1]生产部!$C:$I,7,0)</f>
        <v>班组</v>
      </c>
      <c r="AW335" s="41" t="str">
        <f>VLOOKUP(E335,[1]生产部!$C:$I,6,0)</f>
        <v>11号楼D级区域</v>
      </c>
    </row>
    <row r="336" spans="1:49" s="51" customFormat="1" ht="21" customHeight="1">
      <c r="A336" s="235" t="s">
        <v>2133</v>
      </c>
      <c r="B336" s="229" t="s">
        <v>2112</v>
      </c>
      <c r="C336" s="45" t="s">
        <v>14</v>
      </c>
      <c r="D336" s="46" t="s">
        <v>1455</v>
      </c>
      <c r="E336" s="47" t="s">
        <v>1456</v>
      </c>
      <c r="F336" s="48">
        <v>46188</v>
      </c>
      <c r="G336" s="49">
        <f t="shared" si="4"/>
        <v>0</v>
      </c>
      <c r="H336" s="77">
        <f>SUMIF(积分汇总!$B:$B,D335,积分汇总!$E:$E)</f>
        <v>0</v>
      </c>
      <c r="I336" s="77">
        <f>SUMIF(记录巡查问题条数汇总!$B:$B,D335,记录巡查问题条数汇总!$E:$E)</f>
        <v>0</v>
      </c>
      <c r="J336" s="77"/>
      <c r="K336" s="77">
        <f>SUMIF(安全质量事故!$B:$B,D335,安全质量事故!$G:$G)</f>
        <v>0</v>
      </c>
      <c r="L336" s="72">
        <f>COUNTIF(M336:AQ336,标准数据!$A$2)*标准数据!$B$2+COUNTIF(M336:AQ336,标准数据!$A$3)*标准数据!$B$3+COUNTIF(M336:AQ336,标准数据!$A$4)*标准数据!$B$4</f>
        <v>0</v>
      </c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189"/>
      <c r="AR336" s="55"/>
      <c r="AV336" s="76" t="str">
        <f>VLOOKUP(E336,[1]生产部!$C:$I,7,0)</f>
        <v>班组</v>
      </c>
      <c r="AW336" s="41" t="str">
        <f>VLOOKUP(E336,[1]生产部!$C:$I,6,0)</f>
        <v>11号楼D级区域</v>
      </c>
    </row>
    <row r="337" spans="1:49" ht="21" customHeight="1">
      <c r="A337" s="235" t="s">
        <v>2133</v>
      </c>
      <c r="B337" s="229" t="s">
        <v>2112</v>
      </c>
      <c r="C337" s="45" t="s">
        <v>14</v>
      </c>
      <c r="D337" s="46" t="s">
        <v>1664</v>
      </c>
      <c r="E337" s="52" t="s">
        <v>1665</v>
      </c>
      <c r="F337" s="46">
        <v>46215</v>
      </c>
      <c r="G337" s="49">
        <f t="shared" si="4"/>
        <v>0</v>
      </c>
      <c r="H337" s="77">
        <f>SUMIF(积分汇总!$B:$B,D336,积分汇总!$E:$E)</f>
        <v>0</v>
      </c>
      <c r="I337" s="77">
        <f>SUMIF(记录巡查问题条数汇总!$B:$B,D336,记录巡查问题条数汇总!$E:$E)</f>
        <v>0</v>
      </c>
      <c r="J337" s="77"/>
      <c r="K337" s="77">
        <f>SUMIF(安全质量事故!$B:$B,D336,安全质量事故!$G:$G)</f>
        <v>0</v>
      </c>
      <c r="L337" s="72">
        <f>COUNTIF(M337:AQ337,标准数据!$A$2)*标准数据!$B$2+COUNTIF(M337:AQ337,标准数据!$A$3)*标准数据!$B$3+COUNTIF(M337:AQ337,标准数据!$A$4)*标准数据!$B$4</f>
        <v>0</v>
      </c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189"/>
      <c r="AR337" s="55"/>
      <c r="AS337" s="41"/>
      <c r="AT337" s="41"/>
      <c r="AU337" s="41"/>
      <c r="AV337" s="76" t="str">
        <f>VLOOKUP(E337,[1]生产部!$C:$I,7,0)</f>
        <v>班组</v>
      </c>
      <c r="AW337" s="41" t="str">
        <f>VLOOKUP(E337,[1]生产部!$C:$I,6,0)</f>
        <v>11号楼D级区域</v>
      </c>
    </row>
    <row r="338" spans="1:49" ht="21" customHeight="1">
      <c r="A338" s="235" t="s">
        <v>2133</v>
      </c>
      <c r="B338" s="229" t="s">
        <v>2112</v>
      </c>
      <c r="C338" s="45" t="s">
        <v>14</v>
      </c>
      <c r="D338" s="46" t="s">
        <v>1684</v>
      </c>
      <c r="E338" s="47" t="s">
        <v>1685</v>
      </c>
      <c r="F338" s="48">
        <v>46213</v>
      </c>
      <c r="G338" s="49">
        <f t="shared" si="4"/>
        <v>0</v>
      </c>
      <c r="H338" s="77">
        <f>SUMIF(积分汇总!$B:$B,D337,积分汇总!$E:$E)</f>
        <v>0</v>
      </c>
      <c r="I338" s="77">
        <f>SUMIF(记录巡查问题条数汇总!$B:$B,D337,记录巡查问题条数汇总!$E:$E)</f>
        <v>0</v>
      </c>
      <c r="J338" s="77"/>
      <c r="K338" s="77">
        <f>SUMIF(安全质量事故!$B:$B,D337,安全质量事故!$G:$G)</f>
        <v>0</v>
      </c>
      <c r="L338" s="72">
        <f>COUNTIF(M338:AQ338,标准数据!$A$2)*标准数据!$B$2+COUNTIF(M338:AQ338,标准数据!$A$3)*标准数据!$B$3+COUNTIF(M338:AQ338,标准数据!$A$4)*标准数据!$B$4</f>
        <v>0</v>
      </c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189"/>
      <c r="AR338" s="55"/>
      <c r="AV338" s="76" t="str">
        <f>VLOOKUP(E338,[1]生产部!$C:$I,7,0)</f>
        <v>项目组</v>
      </c>
      <c r="AW338" s="41" t="str">
        <f>VLOOKUP(E338,[1]生产部!$C:$I,6,0)</f>
        <v>11号楼D级区域</v>
      </c>
    </row>
    <row r="339" spans="1:49" ht="21" customHeight="1">
      <c r="A339" s="235" t="s">
        <v>2133</v>
      </c>
      <c r="B339" s="229" t="s">
        <v>2112</v>
      </c>
      <c r="C339" s="45" t="s">
        <v>14</v>
      </c>
      <c r="D339" s="46" t="s">
        <v>1686</v>
      </c>
      <c r="E339" s="47" t="s">
        <v>1687</v>
      </c>
      <c r="F339" s="48">
        <v>46197</v>
      </c>
      <c r="G339" s="49">
        <f t="shared" si="4"/>
        <v>0</v>
      </c>
      <c r="H339" s="77">
        <f>SUMIF(积分汇总!$B:$B,D338,积分汇总!$E:$E)</f>
        <v>0</v>
      </c>
      <c r="I339" s="77">
        <f>SUMIF(记录巡查问题条数汇总!$B:$B,D338,记录巡查问题条数汇总!$E:$E)</f>
        <v>0</v>
      </c>
      <c r="J339" s="77"/>
      <c r="K339" s="77">
        <f>SUMIF(安全质量事故!$B:$B,D338,安全质量事故!$G:$G)</f>
        <v>0</v>
      </c>
      <c r="L339" s="72">
        <f>COUNTIF(M339:AQ339,标准数据!$A$2)*标准数据!$B$2+COUNTIF(M339:AQ339,标准数据!$A$3)*标准数据!$B$3+COUNTIF(M339:AQ339,标准数据!$A$4)*标准数据!$B$4</f>
        <v>0</v>
      </c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189"/>
      <c r="AR339" s="55"/>
      <c r="AV339" s="76" t="str">
        <f>VLOOKUP(E339,[1]生产部!$C:$I,7,0)</f>
        <v>常白</v>
      </c>
      <c r="AW339" s="41" t="str">
        <f>VLOOKUP(E339,[1]生产部!$C:$I,6,0)</f>
        <v>11号楼D级区域</v>
      </c>
    </row>
    <row r="340" spans="1:49" ht="21" customHeight="1">
      <c r="A340" s="235" t="s">
        <v>2133</v>
      </c>
      <c r="B340" s="229" t="s">
        <v>2112</v>
      </c>
      <c r="C340" s="45" t="s">
        <v>14</v>
      </c>
      <c r="D340" s="46" t="s">
        <v>1688</v>
      </c>
      <c r="E340" s="47" t="s">
        <v>1689</v>
      </c>
      <c r="F340" s="48">
        <v>46197</v>
      </c>
      <c r="G340" s="49">
        <f t="shared" ref="G340:G403" si="5">(L340+H340+I340+J340-K340)</f>
        <v>0</v>
      </c>
      <c r="H340" s="77">
        <f>SUMIF(积分汇总!$B:$B,D339,积分汇总!$E:$E)</f>
        <v>0</v>
      </c>
      <c r="I340" s="77">
        <f>SUMIF(记录巡查问题条数汇总!$B:$B,D339,记录巡查问题条数汇总!$E:$E)</f>
        <v>0</v>
      </c>
      <c r="J340" s="77"/>
      <c r="K340" s="77">
        <f>SUMIF(安全质量事故!$B:$B,D339,安全质量事故!$G:$G)</f>
        <v>0</v>
      </c>
      <c r="L340" s="72">
        <f>COUNTIF(M340:AQ340,标准数据!$A$2)*标准数据!$B$2+COUNTIF(M340:AQ340,标准数据!$A$3)*标准数据!$B$3+COUNTIF(M340:AQ340,标准数据!$A$4)*标准数据!$B$4</f>
        <v>0</v>
      </c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189"/>
      <c r="AR340" s="55"/>
      <c r="AV340" s="76" t="str">
        <f>VLOOKUP(E340,[1]生产部!$C:$I,7,0)</f>
        <v>常白</v>
      </c>
      <c r="AW340" s="41" t="str">
        <f>VLOOKUP(E340,[1]生产部!$C:$I,6,0)</f>
        <v>11号楼D级区域</v>
      </c>
    </row>
    <row r="341" spans="1:49" ht="21" customHeight="1">
      <c r="A341" s="235" t="s">
        <v>2133</v>
      </c>
      <c r="B341" s="229" t="s">
        <v>2112</v>
      </c>
      <c r="C341" s="45" t="s">
        <v>14</v>
      </c>
      <c r="D341" s="46" t="s">
        <v>1690</v>
      </c>
      <c r="E341" s="47" t="s">
        <v>1691</v>
      </c>
      <c r="F341" s="48">
        <v>46197</v>
      </c>
      <c r="G341" s="49">
        <f t="shared" si="5"/>
        <v>0</v>
      </c>
      <c r="H341" s="77">
        <f>SUMIF(积分汇总!$B:$B,D340,积分汇总!$E:$E)</f>
        <v>0</v>
      </c>
      <c r="I341" s="77">
        <f>SUMIF(记录巡查问题条数汇总!$B:$B,D340,记录巡查问题条数汇总!$E:$E)</f>
        <v>0</v>
      </c>
      <c r="J341" s="77"/>
      <c r="K341" s="77">
        <f>SUMIF(安全质量事故!$B:$B,D340,安全质量事故!$G:$G)</f>
        <v>0</v>
      </c>
      <c r="L341" s="72">
        <f>COUNTIF(M341:AQ341,标准数据!$A$2)*标准数据!$B$2+COUNTIF(M341:AQ341,标准数据!$A$3)*标准数据!$B$3+COUNTIF(M341:AQ341,标准数据!$A$4)*标准数据!$B$4</f>
        <v>0</v>
      </c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189"/>
      <c r="AR341" s="55"/>
      <c r="AV341" s="76" t="str">
        <f>VLOOKUP(E341,[1]生产部!$C:$I,7,0)</f>
        <v>常白</v>
      </c>
      <c r="AW341" s="41" t="str">
        <f>VLOOKUP(E341,[1]生产部!$C:$I,6,0)</f>
        <v>11号楼D级区域</v>
      </c>
    </row>
    <row r="342" spans="1:49" ht="21" customHeight="1">
      <c r="A342" s="235" t="s">
        <v>2133</v>
      </c>
      <c r="B342" s="229" t="s">
        <v>2112</v>
      </c>
      <c r="C342" s="45" t="s">
        <v>14</v>
      </c>
      <c r="D342" s="46" t="s">
        <v>1692</v>
      </c>
      <c r="E342" s="47" t="s">
        <v>1693</v>
      </c>
      <c r="F342" s="48">
        <v>46195</v>
      </c>
      <c r="G342" s="49">
        <f t="shared" si="5"/>
        <v>0</v>
      </c>
      <c r="H342" s="77">
        <f>SUMIF(积分汇总!$B:$B,D341,积分汇总!$E:$E)</f>
        <v>0</v>
      </c>
      <c r="I342" s="77">
        <f>SUMIF(记录巡查问题条数汇总!$B:$B,D341,记录巡查问题条数汇总!$E:$E)</f>
        <v>0</v>
      </c>
      <c r="J342" s="77"/>
      <c r="K342" s="77">
        <f>SUMIF(安全质量事故!$B:$B,D341,安全质量事故!$G:$G)</f>
        <v>0</v>
      </c>
      <c r="L342" s="72">
        <f>COUNTIF(M342:AQ342,标准数据!$A$2)*标准数据!$B$2+COUNTIF(M342:AQ342,标准数据!$A$3)*标准数据!$B$3+COUNTIF(M342:AQ342,标准数据!$A$4)*标准数据!$B$4</f>
        <v>0</v>
      </c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189"/>
      <c r="AR342" s="55"/>
      <c r="AV342" s="76" t="str">
        <f>VLOOKUP(E342,[1]生产部!$C:$I,7,0)</f>
        <v>班组</v>
      </c>
      <c r="AW342" s="41" t="str">
        <f>VLOOKUP(E342,[1]生产部!$C:$I,6,0)</f>
        <v>11号楼D级区域</v>
      </c>
    </row>
    <row r="343" spans="1:49" ht="21" customHeight="1">
      <c r="A343" s="235" t="s">
        <v>2133</v>
      </c>
      <c r="B343" s="229" t="s">
        <v>2112</v>
      </c>
      <c r="C343" s="45" t="s">
        <v>87</v>
      </c>
      <c r="D343" s="46" t="s">
        <v>1694</v>
      </c>
      <c r="E343" s="52" t="s">
        <v>1695</v>
      </c>
      <c r="F343" s="46">
        <v>46208</v>
      </c>
      <c r="G343" s="49">
        <f t="shared" si="5"/>
        <v>0</v>
      </c>
      <c r="H343" s="77">
        <f>SUMIF(积分汇总!$B:$B,D342,积分汇总!$E:$E)</f>
        <v>0</v>
      </c>
      <c r="I343" s="77">
        <f>SUMIF(记录巡查问题条数汇总!$B:$B,D342,记录巡查问题条数汇总!$E:$E)</f>
        <v>0</v>
      </c>
      <c r="J343" s="77"/>
      <c r="K343" s="77">
        <f>SUMIF(安全质量事故!$B:$B,D342,安全质量事故!$G:$G)</f>
        <v>0</v>
      </c>
      <c r="L343" s="72">
        <f>COUNTIF(M343:AQ343,标准数据!$A$2)*标准数据!$B$2+COUNTIF(M343:AQ343,标准数据!$A$3)*标准数据!$B$3+COUNTIF(M343:AQ343,标准数据!$A$4)*标准数据!$B$4</f>
        <v>0</v>
      </c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189"/>
      <c r="AR343" s="55"/>
      <c r="AS343" s="41"/>
      <c r="AT343" s="41"/>
      <c r="AU343" s="41"/>
      <c r="AV343" s="76" t="str">
        <f>VLOOKUP(E343,[1]生产部!$C:$I,7,0)</f>
        <v>班组</v>
      </c>
      <c r="AW343" s="41" t="str">
        <f>VLOOKUP(E343,[1]生产部!$C:$I,6,0)</f>
        <v>11号楼D级区域</v>
      </c>
    </row>
    <row r="344" spans="1:49" ht="21" customHeight="1">
      <c r="A344" s="235" t="s">
        <v>2133</v>
      </c>
      <c r="B344" s="229" t="s">
        <v>2112</v>
      </c>
      <c r="C344" s="45" t="s">
        <v>14</v>
      </c>
      <c r="D344" s="46" t="s">
        <v>1696</v>
      </c>
      <c r="E344" s="47" t="s">
        <v>1697</v>
      </c>
      <c r="F344" s="48">
        <v>46208</v>
      </c>
      <c r="G344" s="49">
        <f t="shared" si="5"/>
        <v>0</v>
      </c>
      <c r="H344" s="77">
        <f>SUMIF(积分汇总!$B:$B,D343,积分汇总!$E:$E)</f>
        <v>0</v>
      </c>
      <c r="I344" s="77">
        <f>SUMIF(记录巡查问题条数汇总!$B:$B,D343,记录巡查问题条数汇总!$E:$E)</f>
        <v>0</v>
      </c>
      <c r="J344" s="77"/>
      <c r="K344" s="77">
        <f>SUMIF(安全质量事故!$B:$B,D343,安全质量事故!$G:$G)</f>
        <v>0</v>
      </c>
      <c r="L344" s="72">
        <f>COUNTIF(M344:AQ344,标准数据!$A$2)*标准数据!$B$2+COUNTIF(M344:AQ344,标准数据!$A$3)*标准数据!$B$3+COUNTIF(M344:AQ344,标准数据!$A$4)*标准数据!$B$4</f>
        <v>0</v>
      </c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189"/>
      <c r="AR344" s="55"/>
      <c r="AV344" s="76" t="str">
        <f>VLOOKUP(E344,[1]生产部!$C:$I,7,0)</f>
        <v>项目组倒班</v>
      </c>
      <c r="AW344" s="41" t="str">
        <f>VLOOKUP(E344,[1]生产部!$C:$I,6,0)</f>
        <v>11号楼D级区域</v>
      </c>
    </row>
    <row r="345" spans="1:49" ht="21" customHeight="1">
      <c r="A345" s="235" t="s">
        <v>2133</v>
      </c>
      <c r="B345" s="229" t="s">
        <v>2112</v>
      </c>
      <c r="C345" s="45" t="s">
        <v>14</v>
      </c>
      <c r="D345" s="46" t="s">
        <v>1698</v>
      </c>
      <c r="E345" s="47" t="s">
        <v>1699</v>
      </c>
      <c r="F345" s="48">
        <v>46197</v>
      </c>
      <c r="G345" s="49">
        <f t="shared" si="5"/>
        <v>0</v>
      </c>
      <c r="H345" s="77">
        <f>SUMIF(积分汇总!$B:$B,D344,积分汇总!$E:$E)</f>
        <v>0</v>
      </c>
      <c r="I345" s="77">
        <f>SUMIF(记录巡查问题条数汇总!$B:$B,D344,记录巡查问题条数汇总!$E:$E)</f>
        <v>0</v>
      </c>
      <c r="J345" s="77"/>
      <c r="K345" s="77">
        <f>SUMIF(安全质量事故!$B:$B,D344,安全质量事故!$G:$G)</f>
        <v>0</v>
      </c>
      <c r="L345" s="72">
        <f>COUNTIF(M345:AQ345,标准数据!$A$2)*标准数据!$B$2+COUNTIF(M345:AQ345,标准数据!$A$3)*标准数据!$B$3+COUNTIF(M345:AQ345,标准数据!$A$4)*标准数据!$B$4</f>
        <v>0</v>
      </c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189"/>
      <c r="AR345" s="55"/>
      <c r="AS345" s="182"/>
      <c r="AV345" s="76" t="str">
        <f>VLOOKUP(E345,[1]生产部!$C:$I,7,0)</f>
        <v>班组</v>
      </c>
      <c r="AW345" s="41" t="str">
        <f>VLOOKUP(E345,[1]生产部!$C:$I,6,0)</f>
        <v>11号楼D级区域</v>
      </c>
    </row>
    <row r="346" spans="1:49" ht="21" customHeight="1">
      <c r="A346" s="235" t="s">
        <v>2133</v>
      </c>
      <c r="B346" s="229" t="s">
        <v>2112</v>
      </c>
      <c r="C346" s="45" t="s">
        <v>14</v>
      </c>
      <c r="D346" s="46" t="s">
        <v>1700</v>
      </c>
      <c r="E346" s="47" t="s">
        <v>1701</v>
      </c>
      <c r="F346" s="48">
        <v>46208</v>
      </c>
      <c r="G346" s="49">
        <f t="shared" si="5"/>
        <v>0</v>
      </c>
      <c r="H346" s="77">
        <f>SUMIF(积分汇总!$B:$B,D345,积分汇总!$E:$E)</f>
        <v>0</v>
      </c>
      <c r="I346" s="77">
        <f>SUMIF(记录巡查问题条数汇总!$B:$B,D345,记录巡查问题条数汇总!$E:$E)</f>
        <v>0</v>
      </c>
      <c r="J346" s="77"/>
      <c r="K346" s="77">
        <f>SUMIF(安全质量事故!$B:$B,D345,安全质量事故!$G:$G)</f>
        <v>0</v>
      </c>
      <c r="L346" s="72">
        <f>COUNTIF(M346:AQ346,标准数据!$A$2)*标准数据!$B$2+COUNTIF(M346:AQ346,标准数据!$A$3)*标准数据!$B$3+COUNTIF(M346:AQ346,标准数据!$A$4)*标准数据!$B$4</f>
        <v>0</v>
      </c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189"/>
      <c r="AR346" s="55"/>
      <c r="AS346" s="182"/>
      <c r="AV346" s="76" t="str">
        <f>VLOOKUP(E346,[1]生产部!$C:$I,7,0)</f>
        <v>班组</v>
      </c>
      <c r="AW346" s="41" t="str">
        <f>VLOOKUP(E346,[1]生产部!$C:$I,6,0)</f>
        <v>11号楼D级区域</v>
      </c>
    </row>
    <row r="347" spans="1:49" ht="21" customHeight="1">
      <c r="A347" s="235" t="s">
        <v>2133</v>
      </c>
      <c r="B347" s="229" t="s">
        <v>2112</v>
      </c>
      <c r="C347" s="45" t="s">
        <v>14</v>
      </c>
      <c r="D347" s="46" t="s">
        <v>1702</v>
      </c>
      <c r="E347" s="47" t="s">
        <v>1703</v>
      </c>
      <c r="F347" s="48">
        <v>46208</v>
      </c>
      <c r="G347" s="49">
        <f t="shared" si="5"/>
        <v>0</v>
      </c>
      <c r="H347" s="77">
        <f>SUMIF(积分汇总!$B:$B,D346,积分汇总!$E:$E)</f>
        <v>0</v>
      </c>
      <c r="I347" s="77">
        <f>SUMIF(记录巡查问题条数汇总!$B:$B,D346,记录巡查问题条数汇总!$E:$E)</f>
        <v>0</v>
      </c>
      <c r="J347" s="77"/>
      <c r="K347" s="77">
        <f>SUMIF(安全质量事故!$B:$B,D346,安全质量事故!$G:$G)</f>
        <v>0</v>
      </c>
      <c r="L347" s="72">
        <f>COUNTIF(M347:AQ347,标准数据!$A$2)*标准数据!$B$2+COUNTIF(M347:AQ347,标准数据!$A$3)*标准数据!$B$3+COUNTIF(M347:AQ347,标准数据!$A$4)*标准数据!$B$4</f>
        <v>0</v>
      </c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189"/>
      <c r="AR347" s="55"/>
      <c r="AS347" s="182"/>
      <c r="AV347" s="76" t="str">
        <f>VLOOKUP(E347,[1]生产部!$C:$I,7,0)</f>
        <v>班组</v>
      </c>
      <c r="AW347" s="41" t="str">
        <f>VLOOKUP(E347,[1]生产部!$C:$I,6,0)</f>
        <v>11号楼D级区域</v>
      </c>
    </row>
    <row r="348" spans="1:49" ht="21" customHeight="1">
      <c r="A348" s="235" t="s">
        <v>2133</v>
      </c>
      <c r="B348" s="229" t="s">
        <v>2112</v>
      </c>
      <c r="C348" s="45" t="s">
        <v>14</v>
      </c>
      <c r="D348" s="46" t="s">
        <v>1706</v>
      </c>
      <c r="E348" s="47" t="s">
        <v>1707</v>
      </c>
      <c r="F348" s="48">
        <v>46204</v>
      </c>
      <c r="G348" s="49">
        <f t="shared" si="5"/>
        <v>0</v>
      </c>
      <c r="H348" s="77">
        <f>SUMIF(积分汇总!$B:$B,,积分汇总!$E:$E)</f>
        <v>0</v>
      </c>
      <c r="I348" s="77">
        <f>SUMIF(记录巡查问题条数汇总!$B:$B,,记录巡查问题条数汇总!$E:$E)</f>
        <v>0</v>
      </c>
      <c r="J348" s="77"/>
      <c r="K348" s="77">
        <f>SUMIF(安全质量事故!$B:$B,,安全质量事故!$G:$G)</f>
        <v>0</v>
      </c>
      <c r="L348" s="72">
        <f>COUNTIF(M348:AQ348,标准数据!$A$2)*标准数据!$B$2+COUNTIF(M348:AQ348,标准数据!$A$3)*标准数据!$B$3+COUNTIF(M348:AQ348,标准数据!$A$4)*标准数据!$B$4</f>
        <v>0</v>
      </c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189"/>
      <c r="AR348" s="55"/>
      <c r="AS348" s="182"/>
      <c r="AV348" s="76" t="str">
        <f>VLOOKUP(E348,[1]生产部!$C:$I,7,0)</f>
        <v>班组</v>
      </c>
      <c r="AW348" s="41" t="str">
        <f>VLOOKUP(E348,[1]生产部!$C:$I,6,0)</f>
        <v>11号楼D级区域</v>
      </c>
    </row>
    <row r="349" spans="1:49" ht="21" customHeight="1">
      <c r="A349" s="235" t="s">
        <v>2133</v>
      </c>
      <c r="B349" s="229" t="s">
        <v>2112</v>
      </c>
      <c r="C349" s="45" t="s">
        <v>14</v>
      </c>
      <c r="D349" s="46" t="s">
        <v>1712</v>
      </c>
      <c r="E349" s="47" t="s">
        <v>1713</v>
      </c>
      <c r="F349" s="48">
        <v>46195</v>
      </c>
      <c r="G349" s="49">
        <f t="shared" si="5"/>
        <v>0</v>
      </c>
      <c r="H349" s="77">
        <f>SUMIF(积分汇总!$B:$B,D348,积分汇总!$E:$E)</f>
        <v>0</v>
      </c>
      <c r="I349" s="77">
        <f>SUMIF(记录巡查问题条数汇总!$B:$B,D348,记录巡查问题条数汇总!$E:$E)</f>
        <v>0</v>
      </c>
      <c r="J349" s="77"/>
      <c r="K349" s="77">
        <f>SUMIF(安全质量事故!$B:$B,D348,安全质量事故!$G:$G)</f>
        <v>0</v>
      </c>
      <c r="L349" s="72">
        <f>COUNTIF(M349:AQ349,标准数据!$A$2)*标准数据!$B$2+COUNTIF(M349:AQ349,标准数据!$A$3)*标准数据!$B$3+COUNTIF(M349:AQ349,标准数据!$A$4)*标准数据!$B$4</f>
        <v>0</v>
      </c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189"/>
      <c r="AR349" s="55"/>
      <c r="AS349" s="182"/>
      <c r="AV349" s="76" t="str">
        <f>VLOOKUP(E349,[1]生产部!$C:$I,7,0)</f>
        <v>班组</v>
      </c>
      <c r="AW349" s="41" t="str">
        <f>VLOOKUP(E349,[1]生产部!$C:$I,6,0)</f>
        <v>11号楼D级区域</v>
      </c>
    </row>
    <row r="350" spans="1:49" ht="21" customHeight="1">
      <c r="A350" s="235" t="s">
        <v>2133</v>
      </c>
      <c r="B350" s="229" t="s">
        <v>2112</v>
      </c>
      <c r="C350" s="45" t="s">
        <v>14</v>
      </c>
      <c r="D350" s="46" t="s">
        <v>1714</v>
      </c>
      <c r="E350" s="47" t="s">
        <v>1715</v>
      </c>
      <c r="F350" s="48">
        <v>46204</v>
      </c>
      <c r="G350" s="49">
        <f t="shared" si="5"/>
        <v>0</v>
      </c>
      <c r="H350" s="77">
        <f>SUMIF(积分汇总!$B:$B,D349,积分汇总!$E:$E)</f>
        <v>0</v>
      </c>
      <c r="I350" s="77">
        <f>SUMIF(记录巡查问题条数汇总!$B:$B,D349,记录巡查问题条数汇总!$E:$E)</f>
        <v>0</v>
      </c>
      <c r="J350" s="77"/>
      <c r="K350" s="77">
        <f>SUMIF(安全质量事故!$B:$B,D349,安全质量事故!$G:$G)</f>
        <v>0</v>
      </c>
      <c r="L350" s="72">
        <f>COUNTIF(M350:AQ350,标准数据!$A$2)*标准数据!$B$2+COUNTIF(M350:AQ350,标准数据!$A$3)*标准数据!$B$3+COUNTIF(M350:AQ350,标准数据!$A$4)*标准数据!$B$4</f>
        <v>0</v>
      </c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189"/>
      <c r="AR350" s="55"/>
      <c r="AS350" s="182"/>
      <c r="AV350" s="76" t="str">
        <f>VLOOKUP(E350,[1]生产部!$C:$I,7,0)</f>
        <v>班组</v>
      </c>
      <c r="AW350" s="41" t="str">
        <f>VLOOKUP(E350,[1]生产部!$C:$I,6,0)</f>
        <v>11号楼D级区域</v>
      </c>
    </row>
    <row r="351" spans="1:49" ht="21" customHeight="1">
      <c r="A351" s="235" t="s">
        <v>2133</v>
      </c>
      <c r="B351" s="229" t="s">
        <v>2112</v>
      </c>
      <c r="C351" s="45" t="s">
        <v>14</v>
      </c>
      <c r="D351" s="46" t="s">
        <v>1716</v>
      </c>
      <c r="E351" s="47" t="s">
        <v>1717</v>
      </c>
      <c r="F351" s="48">
        <v>46204</v>
      </c>
      <c r="G351" s="49">
        <f t="shared" si="5"/>
        <v>0</v>
      </c>
      <c r="H351" s="77">
        <f>SUMIF(积分汇总!$B:$B,D350,积分汇总!$E:$E)</f>
        <v>0</v>
      </c>
      <c r="I351" s="77">
        <f>SUMIF(记录巡查问题条数汇总!$B:$B,D350,记录巡查问题条数汇总!$E:$E)</f>
        <v>0</v>
      </c>
      <c r="J351" s="77"/>
      <c r="K351" s="77">
        <f>SUMIF(安全质量事故!$B:$B,D350,安全质量事故!$G:$G)</f>
        <v>0</v>
      </c>
      <c r="L351" s="72">
        <f>COUNTIF(M351:AQ351,标准数据!$A$2)*标准数据!$B$2+COUNTIF(M351:AQ351,标准数据!$A$3)*标准数据!$B$3+COUNTIF(M351:AQ351,标准数据!$A$4)*标准数据!$B$4</f>
        <v>0</v>
      </c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189"/>
      <c r="AR351" s="55"/>
      <c r="AS351" s="182"/>
      <c r="AV351" s="76" t="str">
        <f>VLOOKUP(E351,[1]生产部!$C:$I,7,0)</f>
        <v>班组</v>
      </c>
      <c r="AW351" s="41" t="str">
        <f>VLOOKUP(E351,[1]生产部!$C:$I,6,0)</f>
        <v>11号楼D级区域</v>
      </c>
    </row>
    <row r="352" spans="1:49" ht="21" customHeight="1">
      <c r="A352" s="235" t="s">
        <v>2133</v>
      </c>
      <c r="B352" s="229" t="s">
        <v>2112</v>
      </c>
      <c r="C352" s="45" t="s">
        <v>14</v>
      </c>
      <c r="D352" s="46" t="s">
        <v>1718</v>
      </c>
      <c r="E352" s="52" t="s">
        <v>1719</v>
      </c>
      <c r="F352" s="46">
        <v>46208</v>
      </c>
      <c r="G352" s="49">
        <f t="shared" si="5"/>
        <v>0</v>
      </c>
      <c r="H352" s="77">
        <f>SUMIF(积分汇总!$B:$B,D351,积分汇总!$E:$E)</f>
        <v>0</v>
      </c>
      <c r="I352" s="77">
        <f>SUMIF(记录巡查问题条数汇总!$B:$B,D351,记录巡查问题条数汇总!$E:$E)</f>
        <v>0</v>
      </c>
      <c r="J352" s="77"/>
      <c r="K352" s="77">
        <f>SUMIF(安全质量事故!$B:$B,D351,安全质量事故!$G:$G)</f>
        <v>0</v>
      </c>
      <c r="L352" s="72">
        <f>COUNTIF(M352:AQ352,标准数据!$A$2)*标准数据!$B$2+COUNTIF(M352:AQ352,标准数据!$A$3)*标准数据!$B$3+COUNTIF(M352:AQ352,标准数据!$A$4)*标准数据!$B$4</f>
        <v>0</v>
      </c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189"/>
      <c r="AR352" s="55"/>
      <c r="AS352" s="105"/>
      <c r="AT352" s="41"/>
      <c r="AU352" s="41"/>
      <c r="AV352" s="76" t="str">
        <f>VLOOKUP(E352,[1]生产部!$C:$I,7,0)</f>
        <v>班组</v>
      </c>
      <c r="AW352" s="41" t="str">
        <f>VLOOKUP(E352,[1]生产部!$C:$I,6,0)</f>
        <v>11号楼D级区域</v>
      </c>
    </row>
    <row r="353" spans="1:49" ht="21" customHeight="1">
      <c r="A353" s="235" t="s">
        <v>2133</v>
      </c>
      <c r="B353" s="229" t="s">
        <v>2112</v>
      </c>
      <c r="C353" s="45" t="s">
        <v>14</v>
      </c>
      <c r="D353" s="46" t="s">
        <v>1704</v>
      </c>
      <c r="E353" s="47" t="s">
        <v>1705</v>
      </c>
      <c r="F353" s="48">
        <v>46208</v>
      </c>
      <c r="G353" s="49">
        <f t="shared" si="5"/>
        <v>0</v>
      </c>
      <c r="H353" s="77">
        <f>SUMIF(积分汇总!$B:$B,D352,积分汇总!$E:$E)</f>
        <v>0</v>
      </c>
      <c r="I353" s="77">
        <f>SUMIF(记录巡查问题条数汇总!$B:$B,D352,记录巡查问题条数汇总!$E:$E)</f>
        <v>0</v>
      </c>
      <c r="J353" s="77"/>
      <c r="K353" s="77">
        <f>SUMIF(安全质量事故!$B:$B,D352,安全质量事故!$G:$G)</f>
        <v>0</v>
      </c>
      <c r="L353" s="72">
        <f>COUNTIF(M353:AQ353,标准数据!$A$2)*标准数据!$B$2+COUNTIF(M353:AQ353,标准数据!$A$3)*标准数据!$B$3+COUNTIF(M353:AQ353,标准数据!$A$4)*标准数据!$B$4</f>
        <v>0</v>
      </c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189"/>
      <c r="AR353" s="55"/>
      <c r="AS353" s="182" t="s">
        <v>1558</v>
      </c>
      <c r="AV353" s="76" t="str">
        <f>VLOOKUP(E353,[1]生产部!$C:$I,7,0)</f>
        <v>班组</v>
      </c>
      <c r="AW353" s="41" t="str">
        <f>VLOOKUP(E353,[1]生产部!$C:$I,6,0)</f>
        <v>13号楼（11号楼D级区域委培）</v>
      </c>
    </row>
    <row r="354" spans="1:49" ht="21" customHeight="1">
      <c r="A354" s="235" t="s">
        <v>2133</v>
      </c>
      <c r="B354" s="229" t="s">
        <v>2112</v>
      </c>
      <c r="C354" s="45" t="s">
        <v>14</v>
      </c>
      <c r="D354" s="46" t="s">
        <v>1708</v>
      </c>
      <c r="E354" s="47" t="s">
        <v>1709</v>
      </c>
      <c r="F354" s="48">
        <v>46208</v>
      </c>
      <c r="G354" s="49">
        <f t="shared" si="5"/>
        <v>0</v>
      </c>
      <c r="H354" s="77">
        <f>SUMIF(积分汇总!$B:$B,,积分汇总!$E:$E)</f>
        <v>0</v>
      </c>
      <c r="I354" s="77">
        <f>SUMIF(记录巡查问题条数汇总!$B:$B,,记录巡查问题条数汇总!$E:$E)</f>
        <v>0</v>
      </c>
      <c r="J354" s="77"/>
      <c r="K354" s="77">
        <f>SUMIF(安全质量事故!$B:$B,,安全质量事故!$G:$G)</f>
        <v>0</v>
      </c>
      <c r="L354" s="72">
        <f>COUNTIF(M354:AQ354,标准数据!$A$2)*标准数据!$B$2+COUNTIF(M354:AQ354,标准数据!$A$3)*标准数据!$B$3+COUNTIF(M354:AQ354,标准数据!$A$4)*标准数据!$B$4</f>
        <v>0</v>
      </c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189"/>
      <c r="AR354" s="55"/>
      <c r="AS354" s="182" t="s">
        <v>1558</v>
      </c>
      <c r="AV354" s="76" t="str">
        <f>VLOOKUP(E354,[1]生产部!$C:$I,7,0)</f>
        <v>班组</v>
      </c>
      <c r="AW354" s="41" t="str">
        <f>VLOOKUP(E354,[1]生产部!$C:$I,6,0)</f>
        <v>13号楼（11号楼D级区域委培）</v>
      </c>
    </row>
    <row r="355" spans="1:49" ht="21" customHeight="1">
      <c r="A355" s="235" t="s">
        <v>2133</v>
      </c>
      <c r="B355" s="229" t="s">
        <v>2112</v>
      </c>
      <c r="C355" s="45" t="s">
        <v>14</v>
      </c>
      <c r="D355" s="46" t="s">
        <v>1710</v>
      </c>
      <c r="E355" s="47" t="s">
        <v>1711</v>
      </c>
      <c r="F355" s="48">
        <v>46208</v>
      </c>
      <c r="G355" s="49">
        <f t="shared" si="5"/>
        <v>0</v>
      </c>
      <c r="H355" s="77">
        <f>SUMIF(积分汇总!$B:$B,D354,积分汇总!$E:$E)</f>
        <v>0</v>
      </c>
      <c r="I355" s="77">
        <f>SUMIF(记录巡查问题条数汇总!$B:$B,D354,记录巡查问题条数汇总!$E:$E)</f>
        <v>0</v>
      </c>
      <c r="J355" s="77"/>
      <c r="K355" s="77">
        <f>SUMIF(安全质量事故!$B:$B,D354,安全质量事故!$G:$G)</f>
        <v>0</v>
      </c>
      <c r="L355" s="72">
        <f>COUNTIF(M355:AQ355,标准数据!$A$2)*标准数据!$B$2+COUNTIF(M355:AQ355,标准数据!$A$3)*标准数据!$B$3+COUNTIF(M355:AQ355,标准数据!$A$4)*标准数据!$B$4</f>
        <v>0</v>
      </c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189"/>
      <c r="AR355" s="55"/>
      <c r="AS355" s="182" t="s">
        <v>1558</v>
      </c>
      <c r="AV355" s="76" t="str">
        <f>VLOOKUP(E355,[1]生产部!$C:$I,7,0)</f>
        <v>班组</v>
      </c>
      <c r="AW355" s="41" t="str">
        <f>VLOOKUP(E355,[1]生产部!$C:$I,6,0)</f>
        <v>13号楼（11号楼D级区域委培）</v>
      </c>
    </row>
    <row r="356" spans="1:49" ht="21" customHeight="1">
      <c r="A356" s="235" t="s">
        <v>2133</v>
      </c>
      <c r="B356" s="229" t="s">
        <v>2112</v>
      </c>
      <c r="C356" s="45" t="s">
        <v>14</v>
      </c>
      <c r="D356" s="47" t="s">
        <v>1720</v>
      </c>
      <c r="E356" s="52" t="s">
        <v>1721</v>
      </c>
      <c r="F356" s="46">
        <v>46208</v>
      </c>
      <c r="G356" s="49">
        <f t="shared" si="5"/>
        <v>0</v>
      </c>
      <c r="H356" s="77">
        <f>SUMIF(积分汇总!$B:$B,D355,积分汇总!$E:$E)</f>
        <v>0</v>
      </c>
      <c r="I356" s="77">
        <f>SUMIF(记录巡查问题条数汇总!$B:$B,D355,记录巡查问题条数汇总!$E:$E)</f>
        <v>0</v>
      </c>
      <c r="J356" s="77"/>
      <c r="K356" s="77">
        <f>SUMIF(安全质量事故!$B:$B,D355,安全质量事故!$G:$G)</f>
        <v>0</v>
      </c>
      <c r="L356" s="72">
        <f>COUNTIF(M356:AQ356,标准数据!$A$2)*标准数据!$B$2+COUNTIF(M356:AQ356,标准数据!$A$3)*标准数据!$B$3+COUNTIF(M356:AQ356,标准数据!$A$4)*标准数据!$B$4</f>
        <v>0</v>
      </c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189"/>
      <c r="AR356" s="55"/>
      <c r="AS356" s="182" t="s">
        <v>1558</v>
      </c>
      <c r="AV356" s="76" t="str">
        <f>VLOOKUP(E356,[1]生产部!$C:$I,7,0)</f>
        <v>班组</v>
      </c>
      <c r="AW356" s="41" t="str">
        <f>VLOOKUP(E356,[1]生产部!$C:$I,6,0)</f>
        <v>13号楼（11号楼D级区域委培）</v>
      </c>
    </row>
    <row r="357" spans="1:49" s="51" customFormat="1" ht="21" customHeight="1">
      <c r="A357" s="235" t="s">
        <v>2133</v>
      </c>
      <c r="B357" s="229" t="s">
        <v>2112</v>
      </c>
      <c r="C357" s="45" t="s">
        <v>14</v>
      </c>
      <c r="D357" s="46" t="s">
        <v>1722</v>
      </c>
      <c r="E357" s="47" t="s">
        <v>1723</v>
      </c>
      <c r="F357" s="48">
        <v>46208</v>
      </c>
      <c r="G357" s="49">
        <f t="shared" si="5"/>
        <v>0</v>
      </c>
      <c r="H357" s="77">
        <f>SUMIF(积分汇总!$B:$B,D355,积分汇总!$E:$E)</f>
        <v>0</v>
      </c>
      <c r="I357" s="77">
        <f>SUMIF(记录巡查问题条数汇总!$B:$B,D355,记录巡查问题条数汇总!$E:$E)</f>
        <v>0</v>
      </c>
      <c r="J357" s="77"/>
      <c r="K357" s="77">
        <f>SUMIF(安全质量事故!$B:$B,D355,安全质量事故!$G:$G)</f>
        <v>0</v>
      </c>
      <c r="L357" s="72">
        <f>COUNTIF(M357:AQ357,标准数据!$A$2)*标准数据!$B$2+COUNTIF(M357:AQ357,标准数据!$A$3)*标准数据!$B$3+COUNTIF(M357:AQ357,标准数据!$A$4)*标准数据!$B$4</f>
        <v>0</v>
      </c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189"/>
      <c r="AR357" s="55"/>
      <c r="AS357" s="182" t="s">
        <v>1558</v>
      </c>
      <c r="AV357" s="76" t="str">
        <f>VLOOKUP(E357,[1]生产部!$C:$I,7,0)</f>
        <v>班组</v>
      </c>
      <c r="AW357" s="41" t="str">
        <f>VLOOKUP(E357,[1]生产部!$C:$I,6,0)</f>
        <v>13号楼（11号楼D级区域委培）</v>
      </c>
    </row>
    <row r="358" spans="1:49" s="51" customFormat="1" ht="21" customHeight="1">
      <c r="A358" s="235" t="s">
        <v>2133</v>
      </c>
      <c r="B358" s="229" t="s">
        <v>2112</v>
      </c>
      <c r="C358" s="45" t="s">
        <v>14</v>
      </c>
      <c r="D358" s="46" t="s">
        <v>1484</v>
      </c>
      <c r="E358" s="47" t="s">
        <v>1485</v>
      </c>
      <c r="F358" s="48">
        <v>46183</v>
      </c>
      <c r="G358" s="49">
        <f t="shared" si="5"/>
        <v>0</v>
      </c>
      <c r="H358" s="77">
        <f>SUMIF(积分汇总!$B:$B,D356,积分汇总!$E:$E)</f>
        <v>0</v>
      </c>
      <c r="I358" s="77">
        <f>SUMIF(记录巡查问题条数汇总!$B:$B,D356,记录巡查问题条数汇总!$E:$E)</f>
        <v>0</v>
      </c>
      <c r="J358" s="77"/>
      <c r="K358" s="77">
        <f>SUMIF(安全质量事故!$B:$B,D356,安全质量事故!$G:$G)</f>
        <v>0</v>
      </c>
      <c r="L358" s="72">
        <f>COUNTIF(M358:AQ358,标准数据!$A$2)*标准数据!$B$2+COUNTIF(M358:AQ358,标准数据!$A$3)*标准数据!$B$3+COUNTIF(M358:AQ358,标准数据!$A$4)*标准数据!$B$4</f>
        <v>0</v>
      </c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189"/>
      <c r="AR358" s="55"/>
      <c r="AS358" s="182" t="s">
        <v>1558</v>
      </c>
      <c r="AV358" s="76" t="str">
        <f>VLOOKUP(E358,[1]生产部!$C:$I,7,0)</f>
        <v>班组</v>
      </c>
      <c r="AW358" s="41" t="str">
        <f>VLOOKUP(E358,[1]生产部!$C:$I,6,0)</f>
        <v>13号楼（11号楼D级区域委培）</v>
      </c>
    </row>
    <row r="359" spans="1:49" s="51" customFormat="1" ht="21" customHeight="1">
      <c r="A359" s="235" t="s">
        <v>2133</v>
      </c>
      <c r="B359" s="229" t="s">
        <v>2113</v>
      </c>
      <c r="C359" s="45" t="s">
        <v>14</v>
      </c>
      <c r="D359" s="46" t="s">
        <v>218</v>
      </c>
      <c r="E359" s="47" t="s">
        <v>219</v>
      </c>
      <c r="F359" s="48">
        <v>45469</v>
      </c>
      <c r="G359" s="49">
        <f t="shared" si="5"/>
        <v>0</v>
      </c>
      <c r="H359" s="77">
        <f>SUMIF(积分汇总!$B:$B,D355,积分汇总!$E:$E)</f>
        <v>0</v>
      </c>
      <c r="I359" s="77">
        <f>SUMIF(记录巡查问题条数汇总!$B:$B,D355,记录巡查问题条数汇总!$E:$E)</f>
        <v>0</v>
      </c>
      <c r="J359" s="77"/>
      <c r="K359" s="77">
        <f>SUMIF(安全质量事故!$B:$B,D355,安全质量事故!$G:$G)</f>
        <v>0</v>
      </c>
      <c r="L359" s="72">
        <f>COUNTIF(M359:AQ359,标准数据!$A$2)*标准数据!$B$2+COUNTIF(M359:AQ359,标准数据!$A$3)*标准数据!$B$3+COUNTIF(M359:AQ359,标准数据!$A$4)*标准数据!$B$4</f>
        <v>0</v>
      </c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189"/>
      <c r="AR359" s="55"/>
      <c r="AS359" s="182"/>
      <c r="AV359" s="76">
        <f>VLOOKUP(E359,[1]生产部!$C:$I,7,0)</f>
        <v>5104</v>
      </c>
      <c r="AW359" s="41" t="str">
        <f>VLOOKUP(E359,[1]生产部!$C:$I,6,0)</f>
        <v>11号楼</v>
      </c>
    </row>
    <row r="360" spans="1:49" s="51" customFormat="1" ht="21" customHeight="1">
      <c r="A360" s="235" t="s">
        <v>2133</v>
      </c>
      <c r="B360" s="229" t="s">
        <v>2113</v>
      </c>
      <c r="C360" s="45" t="s">
        <v>14</v>
      </c>
      <c r="D360" s="46" t="s">
        <v>301</v>
      </c>
      <c r="E360" s="47" t="s">
        <v>288</v>
      </c>
      <c r="F360" s="48">
        <v>45586</v>
      </c>
      <c r="G360" s="49">
        <f t="shared" si="5"/>
        <v>0</v>
      </c>
      <c r="H360" s="77">
        <f>SUMIF(积分汇总!$B:$B,D359,积分汇总!$E:$E)</f>
        <v>0</v>
      </c>
      <c r="I360" s="77">
        <f>SUMIF(记录巡查问题条数汇总!$B:$B,D359,记录巡查问题条数汇总!$E:$E)</f>
        <v>0</v>
      </c>
      <c r="J360" s="77"/>
      <c r="K360" s="77">
        <f>SUMIF(安全质量事故!$B:$B,D359,安全质量事故!$G:$G)</f>
        <v>0</v>
      </c>
      <c r="L360" s="72">
        <f>COUNTIF(M360:AQ360,标准数据!$A$2)*标准数据!$B$2+COUNTIF(M360:AQ360,标准数据!$A$3)*标准数据!$B$3+COUNTIF(M360:AQ360,标准数据!$A$4)*标准数据!$B$4</f>
        <v>0</v>
      </c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189"/>
      <c r="AR360" s="55"/>
      <c r="AS360" s="182"/>
      <c r="AV360" s="76">
        <f>VLOOKUP(E360,[1]生产部!$C:$I,7,0)</f>
        <v>5104</v>
      </c>
      <c r="AW360" s="41" t="str">
        <f>VLOOKUP(E360,[1]生产部!$C:$I,6,0)</f>
        <v>11号楼</v>
      </c>
    </row>
    <row r="361" spans="1:49" s="51" customFormat="1" ht="21" customHeight="1">
      <c r="A361" s="235" t="s">
        <v>2133</v>
      </c>
      <c r="B361" s="229" t="s">
        <v>2113</v>
      </c>
      <c r="C361" s="45" t="s">
        <v>14</v>
      </c>
      <c r="D361" s="46" t="s">
        <v>408</v>
      </c>
      <c r="E361" s="47" t="s">
        <v>404</v>
      </c>
      <c r="F361" s="48">
        <v>44396</v>
      </c>
      <c r="G361" s="49">
        <f t="shared" si="5"/>
        <v>0</v>
      </c>
      <c r="H361" s="77">
        <f>SUMIF(积分汇总!$B:$B,D360,积分汇总!$E:$E)</f>
        <v>0</v>
      </c>
      <c r="I361" s="77">
        <f>SUMIF(记录巡查问题条数汇总!$B:$B,D360,记录巡查问题条数汇总!$E:$E)</f>
        <v>0</v>
      </c>
      <c r="J361" s="77"/>
      <c r="K361" s="77">
        <f>SUMIF(安全质量事故!$B:$B,D360,安全质量事故!$G:$G)</f>
        <v>0</v>
      </c>
      <c r="L361" s="72">
        <f>COUNTIF(M361:AQ361,标准数据!$A$2)*标准数据!$B$2+COUNTIF(M361:AQ361,标准数据!$A$3)*标准数据!$B$3+COUNTIF(M361:AQ361,标准数据!$A$4)*标准数据!$B$4</f>
        <v>0</v>
      </c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189"/>
      <c r="AR361" s="55"/>
      <c r="AS361" s="182"/>
      <c r="AV361" s="76">
        <f>VLOOKUP(E361,[1]生产部!$C:$I,7,0)</f>
        <v>5104</v>
      </c>
      <c r="AW361" s="41" t="str">
        <f>VLOOKUP(E361,[1]生产部!$C:$I,6,0)</f>
        <v>11号楼</v>
      </c>
    </row>
    <row r="362" spans="1:49" s="51" customFormat="1" ht="21" customHeight="1">
      <c r="A362" s="235" t="s">
        <v>2133</v>
      </c>
      <c r="B362" s="229" t="s">
        <v>2112</v>
      </c>
      <c r="C362" s="204" t="s">
        <v>14</v>
      </c>
      <c r="D362" s="202" t="s">
        <v>1995</v>
      </c>
      <c r="E362" s="201" t="s">
        <v>1996</v>
      </c>
      <c r="F362" s="203">
        <v>46246</v>
      </c>
      <c r="G362" s="49">
        <f t="shared" si="5"/>
        <v>0</v>
      </c>
      <c r="H362" s="77">
        <f>SUMIF(积分汇总!$B:$B,D358,积分汇总!$E:$E)</f>
        <v>0</v>
      </c>
      <c r="I362" s="77">
        <f>SUMIF(记录巡查问题条数汇总!$B:$B,D358,记录巡查问题条数汇总!$E:$E)</f>
        <v>0</v>
      </c>
      <c r="J362" s="77"/>
      <c r="K362" s="77">
        <f>SUMIF(安全质量事故!$B:$B,D358,安全质量事故!$G:$G)</f>
        <v>0</v>
      </c>
      <c r="L362" s="72">
        <f>COUNTIF(M362:AQ362,标准数据!$A$2)*标准数据!$B$2+COUNTIF(M362:AQ362,标准数据!$A$3)*标准数据!$B$3+COUNTIF(M362:AQ362,标准数据!$A$4)*标准数据!$B$4</f>
        <v>0</v>
      </c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189"/>
      <c r="AR362" s="55"/>
      <c r="AS362" s="182"/>
      <c r="AV362" s="76" t="str">
        <f>VLOOKUP(E362,[1]生产部!$C:$I,7,0)</f>
        <v>项目组</v>
      </c>
      <c r="AW362" s="41" t="str">
        <f>VLOOKUP(E362,[1]生产部!$C:$I,6,0)</f>
        <v>11号楼D级区域</v>
      </c>
    </row>
    <row r="363" spans="1:49" s="51" customFormat="1" ht="21" customHeight="1">
      <c r="A363" s="235" t="s">
        <v>2133</v>
      </c>
      <c r="B363" s="229" t="s">
        <v>2112</v>
      </c>
      <c r="C363" s="204" t="s">
        <v>14</v>
      </c>
      <c r="D363" s="202" t="s">
        <v>1997</v>
      </c>
      <c r="E363" s="201" t="s">
        <v>1998</v>
      </c>
      <c r="F363" s="203">
        <v>46225</v>
      </c>
      <c r="G363" s="49">
        <f t="shared" si="5"/>
        <v>0</v>
      </c>
      <c r="H363" s="77">
        <f>SUMIF(积分汇总!$B:$B,D362,积分汇总!$E:$E)</f>
        <v>0</v>
      </c>
      <c r="I363" s="77">
        <f>SUMIF(记录巡查问题条数汇总!$B:$B,D362,记录巡查问题条数汇总!$E:$E)</f>
        <v>0</v>
      </c>
      <c r="J363" s="77"/>
      <c r="K363" s="77">
        <f>SUMIF(安全质量事故!$B:$B,D362,安全质量事故!$G:$G)</f>
        <v>0</v>
      </c>
      <c r="L363" s="72">
        <f>COUNTIF(M363:AQ363,标准数据!$A$2)*标准数据!$B$2+COUNTIF(M363:AQ363,标准数据!$A$3)*标准数据!$B$3+COUNTIF(M363:AQ363,标准数据!$A$4)*标准数据!$B$4</f>
        <v>0</v>
      </c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189"/>
      <c r="AR363" s="55"/>
      <c r="AS363" s="182"/>
      <c r="AV363" s="76" t="str">
        <f>VLOOKUP(E363,[1]生产部!$C:$I,7,0)</f>
        <v>常白</v>
      </c>
      <c r="AW363" s="41" t="str">
        <f>VLOOKUP(E363,[1]生产部!$C:$I,6,0)</f>
        <v>11号楼D级区域</v>
      </c>
    </row>
    <row r="364" spans="1:49" s="51" customFormat="1" ht="21" customHeight="1">
      <c r="A364" s="235" t="s">
        <v>2133</v>
      </c>
      <c r="B364" s="229" t="s">
        <v>2112</v>
      </c>
      <c r="C364" s="204" t="s">
        <v>14</v>
      </c>
      <c r="D364" s="202" t="s">
        <v>1999</v>
      </c>
      <c r="E364" s="201" t="s">
        <v>2000</v>
      </c>
      <c r="F364" s="203">
        <v>46225</v>
      </c>
      <c r="G364" s="49">
        <f t="shared" si="5"/>
        <v>0</v>
      </c>
      <c r="H364" s="77">
        <f>SUMIF(积分汇总!$B:$B,D363,积分汇总!$E:$E)</f>
        <v>0</v>
      </c>
      <c r="I364" s="77">
        <f>SUMIF(记录巡查问题条数汇总!$B:$B,D363,记录巡查问题条数汇总!$E:$E)</f>
        <v>0</v>
      </c>
      <c r="J364" s="77"/>
      <c r="K364" s="77">
        <f>SUMIF(安全质量事故!$B:$B,D363,安全质量事故!$G:$G)</f>
        <v>0</v>
      </c>
      <c r="L364" s="72">
        <f>COUNTIF(M364:AQ364,标准数据!$A$2)*标准数据!$B$2+COUNTIF(M364:AQ364,标准数据!$A$3)*标准数据!$B$3+COUNTIF(M364:AQ364,标准数据!$A$4)*标准数据!$B$4</f>
        <v>0</v>
      </c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189"/>
      <c r="AR364" s="55"/>
      <c r="AS364" s="182"/>
      <c r="AV364" s="76" t="str">
        <f>VLOOKUP(E364,[1]生产部!$C:$I,7,0)</f>
        <v>班组</v>
      </c>
      <c r="AW364" s="41" t="str">
        <f>VLOOKUP(E364,[1]生产部!$C:$I,6,0)</f>
        <v>11号楼D级区域</v>
      </c>
    </row>
    <row r="365" spans="1:49" s="51" customFormat="1" ht="21" customHeight="1">
      <c r="A365" s="235" t="s">
        <v>2133</v>
      </c>
      <c r="B365" s="229" t="s">
        <v>2112</v>
      </c>
      <c r="C365" s="204" t="s">
        <v>14</v>
      </c>
      <c r="D365" s="202" t="s">
        <v>2001</v>
      </c>
      <c r="E365" s="201" t="s">
        <v>2002</v>
      </c>
      <c r="F365" s="203">
        <v>46232</v>
      </c>
      <c r="G365" s="49">
        <f t="shared" si="5"/>
        <v>0</v>
      </c>
      <c r="H365" s="77">
        <f>SUMIF(积分汇总!$B:$B,,积分汇总!$E:$E)</f>
        <v>0</v>
      </c>
      <c r="I365" s="77">
        <f>SUMIF(记录巡查问题条数汇总!$B:$B,,记录巡查问题条数汇总!$E:$E)</f>
        <v>0</v>
      </c>
      <c r="J365" s="77"/>
      <c r="K365" s="77">
        <f>SUMIF(安全质量事故!$B:$B,,安全质量事故!$G:$G)</f>
        <v>0</v>
      </c>
      <c r="L365" s="72">
        <f>COUNTIF(M365:AQ365,标准数据!$A$2)*标准数据!$B$2+COUNTIF(M365:AQ365,标准数据!$A$3)*标准数据!$B$3+COUNTIF(M365:AQ365,标准数据!$A$4)*标准数据!$B$4</f>
        <v>0</v>
      </c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189"/>
      <c r="AR365" s="55"/>
      <c r="AS365" s="182"/>
      <c r="AV365" s="76" t="str">
        <f>VLOOKUP(E365,[1]生产部!$C:$I,7,0)</f>
        <v>常白</v>
      </c>
      <c r="AW365" s="41" t="str">
        <f>VLOOKUP(E365,[1]生产部!$C:$I,6,0)</f>
        <v>11号楼D级区域</v>
      </c>
    </row>
    <row r="366" spans="1:49" s="51" customFormat="1" ht="21" customHeight="1">
      <c r="A366" s="235" t="s">
        <v>2133</v>
      </c>
      <c r="B366" s="229" t="s">
        <v>2112</v>
      </c>
      <c r="C366" s="204" t="s">
        <v>14</v>
      </c>
      <c r="D366" s="202" t="s">
        <v>2003</v>
      </c>
      <c r="E366" s="201" t="s">
        <v>2004</v>
      </c>
      <c r="F366" s="203">
        <v>46225</v>
      </c>
      <c r="G366" s="49">
        <f t="shared" si="5"/>
        <v>0</v>
      </c>
      <c r="H366" s="77">
        <f>SUMIF(积分汇总!$B:$B,,积分汇总!$E:$E)</f>
        <v>0</v>
      </c>
      <c r="I366" s="77">
        <f>SUMIF(记录巡查问题条数汇总!$B:$B,,记录巡查问题条数汇总!$E:$E)</f>
        <v>0</v>
      </c>
      <c r="J366" s="77"/>
      <c r="K366" s="77">
        <f>SUMIF(安全质量事故!$B:$B,,安全质量事故!$G:$G)</f>
        <v>0</v>
      </c>
      <c r="L366" s="72">
        <f>COUNTIF(M366:AQ366,标准数据!$A$2)*标准数据!$B$2+COUNTIF(M366:AQ366,标准数据!$A$3)*标准数据!$B$3+COUNTIF(M366:AQ366,标准数据!$A$4)*标准数据!$B$4</f>
        <v>0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189"/>
      <c r="AR366" s="55"/>
      <c r="AS366" s="182"/>
      <c r="AV366" s="76" t="str">
        <f>VLOOKUP(E366,[1]生产部!$C:$I,7,0)</f>
        <v>常白</v>
      </c>
      <c r="AW366" s="41" t="str">
        <f>VLOOKUP(E366,[1]生产部!$C:$I,6,0)</f>
        <v>11号楼D级区域</v>
      </c>
    </row>
    <row r="367" spans="1:49" s="51" customFormat="1" ht="21" customHeight="1">
      <c r="A367" s="235" t="s">
        <v>2133</v>
      </c>
      <c r="B367" s="229" t="s">
        <v>2112</v>
      </c>
      <c r="C367" s="204" t="s">
        <v>14</v>
      </c>
      <c r="D367" s="202" t="s">
        <v>2005</v>
      </c>
      <c r="E367" s="201" t="s">
        <v>2006</v>
      </c>
      <c r="F367" s="203">
        <v>46225</v>
      </c>
      <c r="G367" s="49">
        <f t="shared" si="5"/>
        <v>0</v>
      </c>
      <c r="H367" s="77">
        <f>SUMIF(积分汇总!$B:$B,,积分汇总!$E:$E)</f>
        <v>0</v>
      </c>
      <c r="I367" s="77">
        <f>SUMIF(记录巡查问题条数汇总!$B:$B,,记录巡查问题条数汇总!$E:$E)</f>
        <v>0</v>
      </c>
      <c r="J367" s="77"/>
      <c r="K367" s="77">
        <f>SUMIF(安全质量事故!$B:$B,,安全质量事故!$G:$G)</f>
        <v>0</v>
      </c>
      <c r="L367" s="72">
        <f>COUNTIF(M367:AQ367,标准数据!$A$2)*标准数据!$B$2+COUNTIF(M367:AQ367,标准数据!$A$3)*标准数据!$B$3+COUNTIF(M367:AQ367,标准数据!$A$4)*标准数据!$B$4</f>
        <v>0</v>
      </c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189"/>
      <c r="AR367" s="55"/>
      <c r="AS367" s="182"/>
      <c r="AV367" s="76" t="str">
        <f>VLOOKUP(E367,[1]生产部!$C:$I,7,0)</f>
        <v>班组</v>
      </c>
      <c r="AW367" s="41" t="str">
        <f>VLOOKUP(E367,[1]生产部!$C:$I,6,0)</f>
        <v>13号楼（11号楼D级区域委培）</v>
      </c>
    </row>
    <row r="368" spans="1:49" s="51" customFormat="1" ht="21" customHeight="1">
      <c r="A368" s="235" t="s">
        <v>2133</v>
      </c>
      <c r="B368" s="229" t="s">
        <v>2112</v>
      </c>
      <c r="C368" s="204" t="s">
        <v>14</v>
      </c>
      <c r="D368" s="202" t="s">
        <v>2007</v>
      </c>
      <c r="E368" s="201" t="s">
        <v>2008</v>
      </c>
      <c r="F368" s="203">
        <v>46225</v>
      </c>
      <c r="G368" s="49">
        <f t="shared" si="5"/>
        <v>0</v>
      </c>
      <c r="H368" s="77">
        <f>SUMIF(积分汇总!$B:$B,D367,积分汇总!$E:$E)</f>
        <v>0</v>
      </c>
      <c r="I368" s="77">
        <f>SUMIF(记录巡查问题条数汇总!$B:$B,D367,记录巡查问题条数汇总!$E:$E)</f>
        <v>0</v>
      </c>
      <c r="J368" s="77"/>
      <c r="K368" s="77">
        <f>SUMIF(安全质量事故!$B:$B,D367,安全质量事故!$G:$G)</f>
        <v>0</v>
      </c>
      <c r="L368" s="72">
        <f>COUNTIF(M368:AQ368,标准数据!$A$2)*标准数据!$B$2+COUNTIF(M368:AQ368,标准数据!$A$3)*标准数据!$B$3+COUNTIF(M368:AQ368,标准数据!$A$4)*标准数据!$B$4</f>
        <v>0</v>
      </c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189"/>
      <c r="AR368" s="55"/>
      <c r="AS368" s="182"/>
      <c r="AV368" s="76" t="str">
        <f>VLOOKUP(E368,[1]生产部!$C:$I,7,0)</f>
        <v>班组</v>
      </c>
      <c r="AW368" s="41" t="str">
        <f>VLOOKUP(E368,[1]生产部!$C:$I,6,0)</f>
        <v>13号楼（11号楼D级区域委培）</v>
      </c>
    </row>
    <row r="369" spans="1:49" s="51" customFormat="1" ht="21" customHeight="1">
      <c r="A369" s="235" t="s">
        <v>2133</v>
      </c>
      <c r="B369" s="229" t="s">
        <v>2112</v>
      </c>
      <c r="C369" s="204" t="s">
        <v>14</v>
      </c>
      <c r="D369" s="202" t="s">
        <v>2009</v>
      </c>
      <c r="E369" s="201" t="s">
        <v>2010</v>
      </c>
      <c r="F369" s="203">
        <v>46225</v>
      </c>
      <c r="G369" s="49">
        <f t="shared" si="5"/>
        <v>0</v>
      </c>
      <c r="H369" s="77">
        <f>SUMIF(积分汇总!$B:$B,D368,积分汇总!$E:$E)</f>
        <v>0</v>
      </c>
      <c r="I369" s="77">
        <f>SUMIF(记录巡查问题条数汇总!$B:$B,D368,记录巡查问题条数汇总!$E:$E)</f>
        <v>0</v>
      </c>
      <c r="J369" s="77"/>
      <c r="K369" s="77">
        <f>SUMIF(安全质量事故!$B:$B,D368,安全质量事故!$G:$G)</f>
        <v>0</v>
      </c>
      <c r="L369" s="72">
        <f>COUNTIF(M369:AQ369,标准数据!$A$2)*标准数据!$B$2+COUNTIF(M369:AQ369,标准数据!$A$3)*标准数据!$B$3+COUNTIF(M369:AQ369,标准数据!$A$4)*标准数据!$B$4</f>
        <v>0</v>
      </c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189"/>
      <c r="AR369" s="55"/>
      <c r="AS369" s="182"/>
      <c r="AV369" s="76" t="str">
        <f>VLOOKUP(E369,[1]生产部!$C:$I,7,0)</f>
        <v>班组</v>
      </c>
      <c r="AW369" s="41" t="str">
        <f>VLOOKUP(E369,[1]生产部!$C:$I,6,0)</f>
        <v>13号楼（11号楼D级区域委培）</v>
      </c>
    </row>
    <row r="370" spans="1:49" s="51" customFormat="1" ht="21" customHeight="1">
      <c r="A370" s="235" t="s">
        <v>2133</v>
      </c>
      <c r="B370" s="229" t="s">
        <v>2112</v>
      </c>
      <c r="C370" s="204" t="s">
        <v>14</v>
      </c>
      <c r="D370" s="202" t="s">
        <v>2011</v>
      </c>
      <c r="E370" s="201" t="s">
        <v>2012</v>
      </c>
      <c r="F370" s="203">
        <v>46232</v>
      </c>
      <c r="G370" s="49">
        <f t="shared" si="5"/>
        <v>0</v>
      </c>
      <c r="H370" s="77">
        <f>SUMIF(积分汇总!$B:$B,D369,积分汇总!$E:$E)</f>
        <v>0</v>
      </c>
      <c r="I370" s="77">
        <f>SUMIF(记录巡查问题条数汇总!$B:$B,D369,记录巡查问题条数汇总!$E:$E)</f>
        <v>0</v>
      </c>
      <c r="J370" s="77"/>
      <c r="K370" s="77">
        <f>SUMIF(安全质量事故!$B:$B,D369,安全质量事故!$G:$G)</f>
        <v>0</v>
      </c>
      <c r="L370" s="72">
        <f>COUNTIF(M370:AQ370,标准数据!$A$2)*标准数据!$B$2+COUNTIF(M370:AQ370,标准数据!$A$3)*标准数据!$B$3+COUNTIF(M370:AQ370,标准数据!$A$4)*标准数据!$B$4</f>
        <v>0</v>
      </c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189"/>
      <c r="AR370" s="55"/>
      <c r="AS370" s="182"/>
      <c r="AV370" s="76" t="str">
        <f>VLOOKUP(E370,[1]生产部!$C:$I,7,0)</f>
        <v>班组</v>
      </c>
      <c r="AW370" s="41" t="str">
        <f>VLOOKUP(E370,[1]生产部!$C:$I,6,0)</f>
        <v>13号楼（11号楼D级区域委培）</v>
      </c>
    </row>
    <row r="371" spans="1:49" s="51" customFormat="1" ht="21" customHeight="1">
      <c r="A371" s="235" t="s">
        <v>2133</v>
      </c>
      <c r="B371" s="229" t="s">
        <v>2112</v>
      </c>
      <c r="C371" s="204" t="s">
        <v>14</v>
      </c>
      <c r="D371" s="202" t="s">
        <v>2013</v>
      </c>
      <c r="E371" s="201" t="s">
        <v>2014</v>
      </c>
      <c r="F371" s="203">
        <v>46232</v>
      </c>
      <c r="G371" s="49">
        <f t="shared" si="5"/>
        <v>0</v>
      </c>
      <c r="H371" s="77">
        <f>SUMIF(积分汇总!$B:$B,,积分汇总!$E:$E)</f>
        <v>0</v>
      </c>
      <c r="I371" s="77">
        <f>SUMIF(记录巡查问题条数汇总!$B:$B,,记录巡查问题条数汇总!$E:$E)</f>
        <v>0</v>
      </c>
      <c r="J371" s="77"/>
      <c r="K371" s="77">
        <f>SUMIF(安全质量事故!$B:$B,,安全质量事故!$G:$G)</f>
        <v>0</v>
      </c>
      <c r="L371" s="72">
        <f>COUNTIF(M371:AQ371,标准数据!$A$2)*标准数据!$B$2+COUNTIF(M371:AQ371,标准数据!$A$3)*标准数据!$B$3+COUNTIF(M371:AQ371,标准数据!$A$4)*标准数据!$B$4</f>
        <v>0</v>
      </c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189"/>
      <c r="AR371" s="55"/>
      <c r="AS371" s="182"/>
      <c r="AV371" s="76" t="str">
        <f>VLOOKUP(E371,[1]生产部!$C:$I,7,0)</f>
        <v>班组</v>
      </c>
      <c r="AW371" s="41" t="str">
        <f>VLOOKUP(E371,[1]生产部!$C:$I,6,0)</f>
        <v>13号楼（11号楼D级区域委培）</v>
      </c>
    </row>
    <row r="372" spans="1:49" s="51" customFormat="1" ht="21" customHeight="1">
      <c r="A372" s="235" t="s">
        <v>2133</v>
      </c>
      <c r="B372" s="229" t="s">
        <v>2112</v>
      </c>
      <c r="C372" s="204" t="s">
        <v>14</v>
      </c>
      <c r="D372" s="202" t="s">
        <v>2015</v>
      </c>
      <c r="E372" s="201" t="s">
        <v>2016</v>
      </c>
      <c r="F372" s="203">
        <v>46232</v>
      </c>
      <c r="G372" s="49">
        <f t="shared" si="5"/>
        <v>0</v>
      </c>
      <c r="H372" s="77">
        <f>SUMIF(积分汇总!$B:$B,D371,积分汇总!$E:$E)</f>
        <v>0</v>
      </c>
      <c r="I372" s="77">
        <f>SUMIF(记录巡查问题条数汇总!$B:$B,D371,记录巡查问题条数汇总!$E:$E)</f>
        <v>0</v>
      </c>
      <c r="J372" s="77"/>
      <c r="K372" s="77">
        <f>SUMIF(安全质量事故!$B:$B,D371,安全质量事故!$G:$G)</f>
        <v>0</v>
      </c>
      <c r="L372" s="72">
        <f>COUNTIF(M372:AQ372,标准数据!$A$2)*标准数据!$B$2+COUNTIF(M372:AQ372,标准数据!$A$3)*标准数据!$B$3+COUNTIF(M372:AQ372,标准数据!$A$4)*标准数据!$B$4</f>
        <v>0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189"/>
      <c r="AR372" s="55"/>
      <c r="AS372" s="182"/>
      <c r="AV372" s="76" t="str">
        <f>VLOOKUP(E372,[1]生产部!$C:$I,7,0)</f>
        <v>班组</v>
      </c>
      <c r="AW372" s="41" t="str">
        <f>VLOOKUP(E372,[1]生产部!$C:$I,6,0)</f>
        <v>13号楼（11号楼D级区域委培）</v>
      </c>
    </row>
    <row r="373" spans="1:49" ht="21" customHeight="1">
      <c r="A373" s="235" t="s">
        <v>2133</v>
      </c>
      <c r="B373" s="229" t="s">
        <v>2112</v>
      </c>
      <c r="C373" s="45" t="s">
        <v>129</v>
      </c>
      <c r="D373" s="46" t="s">
        <v>282</v>
      </c>
      <c r="E373" s="47" t="s">
        <v>270</v>
      </c>
      <c r="F373" s="48">
        <v>45546</v>
      </c>
      <c r="G373" s="49">
        <f t="shared" si="5"/>
        <v>0</v>
      </c>
      <c r="H373" s="77">
        <f>SUMIF(积分汇总!$B:$B,D372,积分汇总!$E:$E)</f>
        <v>0</v>
      </c>
      <c r="I373" s="77">
        <f>SUMIF(记录巡查问题条数汇总!$B:$B,D372,记录巡查问题条数汇总!$E:$E)</f>
        <v>0</v>
      </c>
      <c r="J373" s="77"/>
      <c r="K373" s="77">
        <f>SUMIF(安全质量事故!$B:$B,D372,安全质量事故!$G:$G)</f>
        <v>0</v>
      </c>
      <c r="L373" s="72">
        <f>COUNTIF(M373:AQ373,标准数据!$A$2)*标准数据!$B$2+COUNTIF(M373:AQ373,标准数据!$A$3)*标准数据!$B$3+COUNTIF(M373:AQ373,标准数据!$A$4)*标准数据!$B$4</f>
        <v>0</v>
      </c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189"/>
      <c r="AR373" s="55"/>
      <c r="AV373" s="76" t="str">
        <f>VLOOKUP(E373,[1]生产部!$C:$I,7,0)</f>
        <v>班组</v>
      </c>
      <c r="AW373" s="41" t="str">
        <f>VLOOKUP(E373,[1]生产部!$C:$I,6,0)</f>
        <v>11号楼D级区域</v>
      </c>
    </row>
    <row r="374" spans="1:49" ht="21" customHeight="1">
      <c r="A374" s="235" t="s">
        <v>2133</v>
      </c>
      <c r="B374" s="229" t="s">
        <v>2112</v>
      </c>
      <c r="C374" s="45" t="s">
        <v>129</v>
      </c>
      <c r="D374" s="46" t="s">
        <v>941</v>
      </c>
      <c r="E374" s="47" t="s">
        <v>905</v>
      </c>
      <c r="F374" s="48">
        <v>45847</v>
      </c>
      <c r="G374" s="49">
        <f t="shared" si="5"/>
        <v>0</v>
      </c>
      <c r="H374" s="77">
        <f>SUMIF(积分汇总!$B:$B,D373,积分汇总!$E:$E)</f>
        <v>0</v>
      </c>
      <c r="I374" s="77">
        <f>SUMIF(记录巡查问题条数汇总!$B:$B,D373,记录巡查问题条数汇总!$E:$E)</f>
        <v>0</v>
      </c>
      <c r="J374" s="77"/>
      <c r="K374" s="77">
        <f>SUMIF(安全质量事故!$B:$B,D373,安全质量事故!$G:$G)</f>
        <v>0</v>
      </c>
      <c r="L374" s="72">
        <f>COUNTIF(M374:AQ374,标准数据!$A$2)*标准数据!$B$2+COUNTIF(M374:AQ374,标准数据!$A$3)*标准数据!$B$3+COUNTIF(M374:AQ374,标准数据!$A$4)*标准数据!$B$4</f>
        <v>0</v>
      </c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189"/>
      <c r="AR374" s="55"/>
      <c r="AV374" s="76" t="str">
        <f>VLOOKUP(E374,[1]生产部!$C:$I,7,0)</f>
        <v>班组</v>
      </c>
      <c r="AW374" s="41" t="str">
        <f>VLOOKUP(E374,[1]生产部!$C:$I,6,0)</f>
        <v>11号楼D级区域</v>
      </c>
    </row>
    <row r="375" spans="1:49" ht="21" customHeight="1">
      <c r="A375" s="235" t="s">
        <v>2133</v>
      </c>
      <c r="B375" s="229" t="s">
        <v>2112</v>
      </c>
      <c r="C375" s="45" t="s">
        <v>129</v>
      </c>
      <c r="D375" s="46" t="s">
        <v>300</v>
      </c>
      <c r="E375" s="47" t="s">
        <v>287</v>
      </c>
      <c r="F375" s="48">
        <v>45574</v>
      </c>
      <c r="G375" s="49">
        <f t="shared" si="5"/>
        <v>0</v>
      </c>
      <c r="H375" s="77">
        <f>SUMIF(积分汇总!$B:$B,D374,积分汇总!$E:$E)</f>
        <v>0</v>
      </c>
      <c r="I375" s="77">
        <f>SUMIF(记录巡查问题条数汇总!$B:$B,D374,记录巡查问题条数汇总!$E:$E)</f>
        <v>0</v>
      </c>
      <c r="J375" s="77"/>
      <c r="K375" s="77">
        <f>SUMIF(安全质量事故!$B:$B,D374,安全质量事故!$G:$G)</f>
        <v>0</v>
      </c>
      <c r="L375" s="72">
        <f>COUNTIF(M375:AQ375,标准数据!$A$2)*标准数据!$B$2+COUNTIF(M375:AQ375,标准数据!$A$3)*标准数据!$B$3+COUNTIF(M375:AQ375,标准数据!$A$4)*标准数据!$B$4</f>
        <v>0</v>
      </c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189"/>
      <c r="AR375" s="55"/>
      <c r="AV375" s="76" t="str">
        <f>VLOOKUP(E375,[1]生产部!$C:$I,7,0)</f>
        <v>班组</v>
      </c>
      <c r="AW375" s="41" t="str">
        <f>VLOOKUP(E375,[1]生产部!$C:$I,6,0)</f>
        <v>11号楼D级区域</v>
      </c>
    </row>
    <row r="376" spans="1:49" ht="21" customHeight="1">
      <c r="A376" s="235" t="s">
        <v>2133</v>
      </c>
      <c r="B376" s="229" t="s">
        <v>2112</v>
      </c>
      <c r="C376" s="45" t="s">
        <v>146</v>
      </c>
      <c r="D376" s="46" t="s">
        <v>189</v>
      </c>
      <c r="E376" s="47" t="s">
        <v>126</v>
      </c>
      <c r="F376" s="48">
        <v>45238</v>
      </c>
      <c r="G376" s="49">
        <f t="shared" si="5"/>
        <v>0</v>
      </c>
      <c r="H376" s="77">
        <f>SUMIF(积分汇总!$B:$B,,积分汇总!$E:$E)</f>
        <v>0</v>
      </c>
      <c r="I376" s="77">
        <f>SUMIF(记录巡查问题条数汇总!$B:$B,,记录巡查问题条数汇总!$E:$E)</f>
        <v>0</v>
      </c>
      <c r="J376" s="77"/>
      <c r="K376" s="77">
        <f>SUMIF(安全质量事故!$B:$B,,安全质量事故!$G:$G)</f>
        <v>0</v>
      </c>
      <c r="L376" s="72">
        <f>COUNTIF(M376:AQ376,标准数据!$A$2)*标准数据!$B$2+COUNTIF(M376:AQ376,标准数据!$A$3)*标准数据!$B$3+COUNTIF(M376:AQ376,标准数据!$A$4)*标准数据!$B$4</f>
        <v>0</v>
      </c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189"/>
      <c r="AR376" s="55"/>
      <c r="AV376" s="76" t="str">
        <f>VLOOKUP(E376,[1]生产部!$C:$I,7,0)</f>
        <v>班组</v>
      </c>
      <c r="AW376" s="41" t="str">
        <f>VLOOKUP(E376,[1]生产部!$C:$I,6,0)</f>
        <v>11号楼D级区域</v>
      </c>
    </row>
    <row r="377" spans="1:49" ht="21" customHeight="1">
      <c r="A377" s="235" t="s">
        <v>2133</v>
      </c>
      <c r="B377" s="229" t="s">
        <v>2112</v>
      </c>
      <c r="C377" s="45" t="s">
        <v>129</v>
      </c>
      <c r="D377" s="46" t="s">
        <v>344</v>
      </c>
      <c r="E377" s="47" t="s">
        <v>337</v>
      </c>
      <c r="F377" s="48">
        <v>45630</v>
      </c>
      <c r="G377" s="49">
        <f t="shared" si="5"/>
        <v>0</v>
      </c>
      <c r="H377" s="77">
        <f>SUMIF(积分汇总!$B:$B,D376,积分汇总!$E:$E)</f>
        <v>0</v>
      </c>
      <c r="I377" s="77">
        <f>SUMIF(记录巡查问题条数汇总!$B:$B,D376,记录巡查问题条数汇总!$E:$E)</f>
        <v>0</v>
      </c>
      <c r="J377" s="77"/>
      <c r="K377" s="77">
        <f>SUMIF(安全质量事故!$B:$B,D376,安全质量事故!$G:$G)</f>
        <v>0</v>
      </c>
      <c r="L377" s="72">
        <f>COUNTIF(M377:AQ377,标准数据!$A$2)*标准数据!$B$2+COUNTIF(M377:AQ377,标准数据!$A$3)*标准数据!$B$3+COUNTIF(M377:AQ377,标准数据!$A$4)*标准数据!$B$4</f>
        <v>0</v>
      </c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189"/>
      <c r="AR377" s="55"/>
      <c r="AV377" s="76" t="str">
        <f>VLOOKUP(E377,[1]生产部!$C:$I,7,0)</f>
        <v>项目组倒班</v>
      </c>
      <c r="AW377" s="41" t="str">
        <f>VLOOKUP(E377,[1]生产部!$C:$I,6,0)</f>
        <v>11号楼D级区域</v>
      </c>
    </row>
    <row r="378" spans="1:49" ht="21" customHeight="1">
      <c r="A378" s="235" t="s">
        <v>2133</v>
      </c>
      <c r="B378" s="229" t="s">
        <v>2112</v>
      </c>
      <c r="C378" s="45" t="s">
        <v>129</v>
      </c>
      <c r="D378" s="46" t="s">
        <v>486</v>
      </c>
      <c r="E378" s="47" t="s">
        <v>453</v>
      </c>
      <c r="F378" s="48">
        <v>45847</v>
      </c>
      <c r="G378" s="49">
        <f t="shared" si="5"/>
        <v>0</v>
      </c>
      <c r="H378" s="77">
        <f>SUMIF(积分汇总!$B:$B,D377,积分汇总!$E:$E)</f>
        <v>0</v>
      </c>
      <c r="I378" s="77">
        <f>SUMIF(记录巡查问题条数汇总!$B:$B,D377,记录巡查问题条数汇总!$E:$E)</f>
        <v>0</v>
      </c>
      <c r="J378" s="77"/>
      <c r="K378" s="77">
        <f>SUMIF(安全质量事故!$B:$B,D377,安全质量事故!$G:$G)</f>
        <v>0</v>
      </c>
      <c r="L378" s="72">
        <f>COUNTIF(M378:AQ378,标准数据!$A$2)*标准数据!$B$2+COUNTIF(M378:AQ378,标准数据!$A$3)*标准数据!$B$3+COUNTIF(M378:AQ378,标准数据!$A$4)*标准数据!$B$4</f>
        <v>0</v>
      </c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189"/>
      <c r="AR378" s="55"/>
      <c r="AV378" s="76" t="str">
        <f>VLOOKUP(E378,[1]生产部!$C:$I,7,0)</f>
        <v>班组</v>
      </c>
      <c r="AW378" s="41" t="str">
        <f>VLOOKUP(E378,[1]生产部!$C:$I,6,0)</f>
        <v>11号楼D级区域</v>
      </c>
    </row>
    <row r="379" spans="1:49" ht="21" customHeight="1">
      <c r="A379" s="235" t="s">
        <v>2133</v>
      </c>
      <c r="B379" s="229" t="s">
        <v>2112</v>
      </c>
      <c r="C379" s="45" t="s">
        <v>129</v>
      </c>
      <c r="D379" s="46" t="s">
        <v>762</v>
      </c>
      <c r="E379" s="47" t="s">
        <v>690</v>
      </c>
      <c r="F379" s="48">
        <v>45973</v>
      </c>
      <c r="G379" s="49">
        <f t="shared" si="5"/>
        <v>0</v>
      </c>
      <c r="H379" s="77">
        <f>SUMIF(积分汇总!$B:$B,D378,积分汇总!$E:$E)</f>
        <v>0</v>
      </c>
      <c r="I379" s="77">
        <f>SUMIF(记录巡查问题条数汇总!$B:$B,D378,记录巡查问题条数汇总!$E:$E)</f>
        <v>0</v>
      </c>
      <c r="J379" s="77"/>
      <c r="K379" s="77">
        <f>SUMIF(安全质量事故!$B:$B,D378,安全质量事故!$G:$G)</f>
        <v>0</v>
      </c>
      <c r="L379" s="72">
        <f>COUNTIF(M379:AQ379,标准数据!$A$2)*标准数据!$B$2+COUNTIF(M379:AQ379,标准数据!$A$3)*标准数据!$B$3+COUNTIF(M379:AQ379,标准数据!$A$4)*标准数据!$B$4</f>
        <v>0</v>
      </c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189"/>
      <c r="AR379" s="55"/>
      <c r="AV379" s="76" t="str">
        <f>VLOOKUP(E379,[1]生产部!$C:$I,7,0)</f>
        <v>常白</v>
      </c>
      <c r="AW379" s="41" t="str">
        <f>VLOOKUP(E379,[1]生产部!$C:$I,6,0)</f>
        <v>11号楼D级区域</v>
      </c>
    </row>
    <row r="380" spans="1:49" ht="21" customHeight="1">
      <c r="A380" s="235" t="s">
        <v>2133</v>
      </c>
      <c r="B380" s="229" t="s">
        <v>2112</v>
      </c>
      <c r="C380" s="45" t="s">
        <v>129</v>
      </c>
      <c r="D380" s="46" t="s">
        <v>481</v>
      </c>
      <c r="E380" s="47" t="s">
        <v>444</v>
      </c>
      <c r="F380" s="48">
        <v>45540</v>
      </c>
      <c r="G380" s="49">
        <f t="shared" si="5"/>
        <v>0</v>
      </c>
      <c r="H380" s="77">
        <f>SUMIF(积分汇总!$B:$B,D379,积分汇总!$E:$E)</f>
        <v>0</v>
      </c>
      <c r="I380" s="77">
        <f>SUMIF(记录巡查问题条数汇总!$B:$B,D379,记录巡查问题条数汇总!$E:$E)</f>
        <v>0</v>
      </c>
      <c r="J380" s="77"/>
      <c r="K380" s="77">
        <f>SUMIF(安全质量事故!$B:$B,D379,安全质量事故!$G:$G)</f>
        <v>0</v>
      </c>
      <c r="L380" s="72">
        <f>COUNTIF(M380:AQ380,标准数据!$A$2)*标准数据!$B$2+COUNTIF(M380:AQ380,标准数据!$A$3)*标准数据!$B$3+COUNTIF(M380:AQ380,标准数据!$A$4)*标准数据!$B$4</f>
        <v>0</v>
      </c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189"/>
      <c r="AR380" s="55"/>
      <c r="AV380" s="76" t="str">
        <f>VLOOKUP(E380,[1]生产部!$C:$I,7,0)</f>
        <v>班组</v>
      </c>
      <c r="AW380" s="41" t="str">
        <f>VLOOKUP(E380,[1]生产部!$C:$I,6,0)</f>
        <v>11号楼D级区域</v>
      </c>
    </row>
    <row r="381" spans="1:49" ht="21" customHeight="1">
      <c r="A381" s="235" t="s">
        <v>2133</v>
      </c>
      <c r="B381" s="229" t="s">
        <v>2112</v>
      </c>
      <c r="C381" s="45" t="s">
        <v>129</v>
      </c>
      <c r="D381" s="46" t="s">
        <v>1155</v>
      </c>
      <c r="E381" s="47" t="s">
        <v>1156</v>
      </c>
      <c r="F381" s="48">
        <v>46113</v>
      </c>
      <c r="G381" s="49">
        <f t="shared" si="5"/>
        <v>0</v>
      </c>
      <c r="H381" s="77">
        <f>SUMIF(积分汇总!$B:$B,D380,积分汇总!$E:$E)</f>
        <v>0</v>
      </c>
      <c r="I381" s="77">
        <f>SUMIF(记录巡查问题条数汇总!$B:$B,D380,记录巡查问题条数汇总!$E:$E)</f>
        <v>0</v>
      </c>
      <c r="J381" s="77"/>
      <c r="K381" s="77">
        <f>SUMIF(安全质量事故!$B:$B,D380,安全质量事故!$G:$G)</f>
        <v>0</v>
      </c>
      <c r="L381" s="72">
        <f>COUNTIF(M381:AQ381,标准数据!$A$2)*标准数据!$B$2+COUNTIF(M381:AQ381,标准数据!$A$3)*标准数据!$B$3+COUNTIF(M381:AQ381,标准数据!$A$4)*标准数据!$B$4</f>
        <v>0</v>
      </c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189"/>
      <c r="AR381" s="55"/>
      <c r="AV381" s="76" t="str">
        <f>VLOOKUP(E381,[1]生产部!$C:$I,7,0)</f>
        <v>常白</v>
      </c>
      <c r="AW381" s="41" t="str">
        <f>VLOOKUP(E381,[1]生产部!$C:$I,6,0)</f>
        <v>11号楼D级区域</v>
      </c>
    </row>
    <row r="382" spans="1:49" ht="21" customHeight="1">
      <c r="A382" s="235" t="s">
        <v>2133</v>
      </c>
      <c r="B382" s="229" t="s">
        <v>2112</v>
      </c>
      <c r="C382" s="45" t="s">
        <v>129</v>
      </c>
      <c r="D382" s="54" t="s">
        <v>725</v>
      </c>
      <c r="E382" s="47" t="s">
        <v>691</v>
      </c>
      <c r="F382" s="48">
        <v>45840</v>
      </c>
      <c r="G382" s="49">
        <f t="shared" si="5"/>
        <v>0</v>
      </c>
      <c r="H382" s="77">
        <f>SUMIF(积分汇总!$B:$B,,积分汇总!$E:$E)</f>
        <v>0</v>
      </c>
      <c r="I382" s="77">
        <f>SUMIF(记录巡查问题条数汇总!$B:$B,,记录巡查问题条数汇总!$E:$E)</f>
        <v>0</v>
      </c>
      <c r="J382" s="77"/>
      <c r="K382" s="77">
        <f>SUMIF(安全质量事故!$B:$B,,安全质量事故!$G:$G)</f>
        <v>0</v>
      </c>
      <c r="L382" s="72">
        <f>COUNTIF(M382:AQ382,标准数据!$A$2)*标准数据!$B$2+COUNTIF(M382:AQ382,标准数据!$A$3)*标准数据!$B$3+COUNTIF(M382:AQ382,标准数据!$A$4)*标准数据!$B$4</f>
        <v>0</v>
      </c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189"/>
      <c r="AR382" s="55"/>
      <c r="AV382" s="76" t="str">
        <f>VLOOKUP(E382,[1]生产部!$C:$I,7,0)</f>
        <v>班组</v>
      </c>
      <c r="AW382" s="41" t="str">
        <f>VLOOKUP(E382,[1]生产部!$C:$I,6,0)</f>
        <v>11号楼D级区域</v>
      </c>
    </row>
    <row r="383" spans="1:49" ht="21" customHeight="1">
      <c r="A383" s="234" t="s">
        <v>345</v>
      </c>
      <c r="B383" s="229" t="s">
        <v>2116</v>
      </c>
      <c r="C383" s="45" t="s">
        <v>81</v>
      </c>
      <c r="D383" s="46" t="s">
        <v>488</v>
      </c>
      <c r="E383" s="47" t="s">
        <v>440</v>
      </c>
      <c r="F383" s="48">
        <v>45833</v>
      </c>
      <c r="G383" s="49">
        <f t="shared" si="5"/>
        <v>0</v>
      </c>
      <c r="H383" s="77">
        <f>SUMIF(积分汇总!$B:$B,D382,积分汇总!$E:$E)</f>
        <v>0</v>
      </c>
      <c r="I383" s="77">
        <f>SUMIF(记录巡查问题条数汇总!$B:$B,D382,记录巡查问题条数汇总!$E:$E)</f>
        <v>0</v>
      </c>
      <c r="J383" s="77"/>
      <c r="K383" s="77">
        <f>SUMIF(安全质量事故!$B:$B,D382,安全质量事故!$G:$G)</f>
        <v>0</v>
      </c>
      <c r="L383" s="72">
        <f>COUNTIF(M383:AQ383,标准数据!$A$2)*标准数据!$B$2+COUNTIF(M383:AQ383,标准数据!$A$3)*标准数据!$B$3+COUNTIF(M383:AQ383,标准数据!$A$4)*标准数据!$B$4</f>
        <v>0</v>
      </c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189"/>
      <c r="AR383" s="55"/>
      <c r="AS383" s="285" t="s">
        <v>1036</v>
      </c>
      <c r="AT383" s="285"/>
      <c r="AU383" s="283"/>
      <c r="AV383" s="76" t="str">
        <f>VLOOKUP(E383,[1]生产部!$C:$I,7,0)</f>
        <v>倒班</v>
      </c>
      <c r="AW383" s="41" t="str">
        <f>VLOOKUP(E383,[1]生产部!$C:$I,6,0)</f>
        <v>5号楼</v>
      </c>
    </row>
    <row r="384" spans="1:49" ht="21" customHeight="1">
      <c r="A384" s="234" t="s">
        <v>1937</v>
      </c>
      <c r="B384" s="229" t="s">
        <v>2116</v>
      </c>
      <c r="C384" s="45" t="s">
        <v>81</v>
      </c>
      <c r="D384" s="46" t="s">
        <v>750</v>
      </c>
      <c r="E384" s="47" t="s">
        <v>683</v>
      </c>
      <c r="F384" s="48">
        <v>45971</v>
      </c>
      <c r="G384" s="49">
        <f t="shared" si="5"/>
        <v>0</v>
      </c>
      <c r="H384" s="77">
        <f>SUMIF(积分汇总!$B:$B,D383,积分汇总!$E:$E)</f>
        <v>0</v>
      </c>
      <c r="I384" s="77">
        <f>SUMIF(记录巡查问题条数汇总!$B:$B,D383,记录巡查问题条数汇总!$E:$E)</f>
        <v>0</v>
      </c>
      <c r="J384" s="77"/>
      <c r="K384" s="77">
        <f>SUMIF(安全质量事故!$B:$B,D383,安全质量事故!$G:$G)</f>
        <v>0</v>
      </c>
      <c r="L384" s="72">
        <f>COUNTIF(M384:AQ384,标准数据!$A$2)*标准数据!$B$2+COUNTIF(M384:AQ384,标准数据!$A$3)*标准数据!$B$3+COUNTIF(M384:AQ384,标准数据!$A$4)*标准数据!$B$4</f>
        <v>0</v>
      </c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189"/>
      <c r="AR384" s="55"/>
      <c r="AS384" s="225" t="s">
        <v>1031</v>
      </c>
      <c r="AT384" s="226" t="s">
        <v>1027</v>
      </c>
      <c r="AU384" s="226" t="s">
        <v>1037</v>
      </c>
      <c r="AV384" s="76" t="str">
        <f>VLOOKUP(E384,[1]生产部!$C:$I,7,0)</f>
        <v>班组</v>
      </c>
      <c r="AW384" s="41" t="str">
        <f>VLOOKUP(E384,[1]生产部!$C:$I,6,0)</f>
        <v>5号楼</v>
      </c>
    </row>
    <row r="385" spans="1:49" ht="21" customHeight="1">
      <c r="A385" s="234" t="s">
        <v>1937</v>
      </c>
      <c r="B385" s="229" t="s">
        <v>2116</v>
      </c>
      <c r="C385" s="45" t="s">
        <v>81</v>
      </c>
      <c r="D385" s="46" t="s">
        <v>1806</v>
      </c>
      <c r="E385" s="47" t="s">
        <v>1807</v>
      </c>
      <c r="F385" s="48">
        <v>46197</v>
      </c>
      <c r="G385" s="49">
        <f t="shared" si="5"/>
        <v>0</v>
      </c>
      <c r="H385" s="77">
        <f>SUMIF(积分汇总!$B:$B,,积分汇总!$E:$E)</f>
        <v>0</v>
      </c>
      <c r="I385" s="77">
        <f>SUMIF(记录巡查问题条数汇总!$B:$B,,记录巡查问题条数汇总!$E:$E)</f>
        <v>0</v>
      </c>
      <c r="J385" s="77"/>
      <c r="K385" s="77">
        <f>SUMIF(安全质量事故!$B:$B,,安全质量事故!$G:$G)</f>
        <v>0</v>
      </c>
      <c r="L385" s="72">
        <f>COUNTIF(M385:AQ385,标准数据!$A$2)*标准数据!$B$2+COUNTIF(M385:AQ385,标准数据!$A$3)*标准数据!$B$3+COUNTIF(M385:AQ385,标准数据!$A$4)*标准数据!$B$4</f>
        <v>0</v>
      </c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189"/>
      <c r="AR385" s="55"/>
      <c r="AS385" s="50" t="e">
        <f>AS381/(#REF!+#REF!+#REF!)</f>
        <v>#REF!</v>
      </c>
      <c r="AT385" s="60" t="e">
        <f>AT381/(#REF!+#REF!+#REF!)</f>
        <v>#REF!</v>
      </c>
      <c r="AU385" s="60" t="e">
        <f>AU381/(#REF!+#REF!+#REF!)</f>
        <v>#REF!</v>
      </c>
      <c r="AV385" s="76" t="str">
        <f>VLOOKUP(E385,[1]生产部!$C:$I,7,0)</f>
        <v>常白</v>
      </c>
      <c r="AW385" s="41" t="str">
        <f>VLOOKUP(E385,[1]生产部!$C:$I,6,0)</f>
        <v>5号楼</v>
      </c>
    </row>
    <row r="386" spans="1:49" ht="21" customHeight="1">
      <c r="A386" s="234" t="s">
        <v>1937</v>
      </c>
      <c r="B386" s="229" t="s">
        <v>2116</v>
      </c>
      <c r="C386" s="45" t="s">
        <v>81</v>
      </c>
      <c r="D386" s="46" t="s">
        <v>1808</v>
      </c>
      <c r="E386" s="47" t="s">
        <v>1809</v>
      </c>
      <c r="F386" s="48">
        <v>46208</v>
      </c>
      <c r="G386" s="49">
        <f t="shared" si="5"/>
        <v>0</v>
      </c>
      <c r="H386" s="77">
        <f>SUMIF(积分汇总!$B:$B,#REF!,积分汇总!$E:$E)</f>
        <v>0</v>
      </c>
      <c r="I386" s="77">
        <f>SUMIF(记录巡查问题条数汇总!$B:$B,#REF!,记录巡查问题条数汇总!$E:$E)</f>
        <v>0</v>
      </c>
      <c r="J386" s="77"/>
      <c r="K386" s="77">
        <f>SUMIF(安全质量事故!$B:$B,#REF!,安全质量事故!$G:$G)</f>
        <v>0</v>
      </c>
      <c r="L386" s="72">
        <f>COUNTIF(M386:AQ386,标准数据!$A$2)*标准数据!$B$2+COUNTIF(M386:AQ386,标准数据!$A$3)*标准数据!$B$3+COUNTIF(M386:AQ386,标准数据!$A$4)*标准数据!$B$4</f>
        <v>0</v>
      </c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189"/>
      <c r="AR386" s="55"/>
      <c r="AS386" s="41"/>
      <c r="AT386" s="41"/>
      <c r="AU386" s="41"/>
      <c r="AV386" s="76" t="str">
        <f>VLOOKUP(E386,[1]生产部!$C:$I,7,0)</f>
        <v>项目组</v>
      </c>
      <c r="AW386" s="41" t="str">
        <f>VLOOKUP(E386,[1]生产部!$C:$I,6,0)</f>
        <v>5号楼</v>
      </c>
    </row>
    <row r="387" spans="1:49" ht="21" customHeight="1">
      <c r="A387" s="234" t="s">
        <v>1937</v>
      </c>
      <c r="B387" s="229" t="s">
        <v>2116</v>
      </c>
      <c r="C387" s="45" t="s">
        <v>81</v>
      </c>
      <c r="D387" s="46" t="s">
        <v>1810</v>
      </c>
      <c r="E387" s="47" t="s">
        <v>1811</v>
      </c>
      <c r="F387" s="48">
        <v>46208</v>
      </c>
      <c r="G387" s="49">
        <f t="shared" si="5"/>
        <v>0</v>
      </c>
      <c r="H387" s="77">
        <f>SUMIF(积分汇总!$B:$B,D386,积分汇总!$E:$E)</f>
        <v>0</v>
      </c>
      <c r="I387" s="77">
        <f>SUMIF(记录巡查问题条数汇总!$B:$B,D386,记录巡查问题条数汇总!$E:$E)</f>
        <v>0</v>
      </c>
      <c r="J387" s="77"/>
      <c r="K387" s="77">
        <f>SUMIF(安全质量事故!$B:$B,D386,安全质量事故!$G:$G)</f>
        <v>0</v>
      </c>
      <c r="L387" s="72">
        <f>COUNTIF(M387:AQ387,标准数据!$A$2)*标准数据!$B$2+COUNTIF(M387:AQ387,标准数据!$A$3)*标准数据!$B$3+COUNTIF(M387:AQ387,标准数据!$A$4)*标准数据!$B$4</f>
        <v>0</v>
      </c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189"/>
      <c r="AR387" s="55"/>
      <c r="AS387" s="41"/>
      <c r="AV387" s="76" t="str">
        <f>VLOOKUP(E387,[1]生产部!$C:$I,7,0)</f>
        <v>项目组倒班</v>
      </c>
      <c r="AW387" s="41" t="str">
        <f>VLOOKUP(E387,[1]生产部!$C:$I,6,0)</f>
        <v>5号楼</v>
      </c>
    </row>
    <row r="388" spans="1:49" ht="21" customHeight="1">
      <c r="A388" s="234" t="s">
        <v>1937</v>
      </c>
      <c r="B388" s="229" t="s">
        <v>2116</v>
      </c>
      <c r="C388" s="45" t="s">
        <v>81</v>
      </c>
      <c r="D388" s="46" t="s">
        <v>1812</v>
      </c>
      <c r="E388" s="47" t="s">
        <v>1813</v>
      </c>
      <c r="F388" s="48">
        <v>46208</v>
      </c>
      <c r="G388" s="49">
        <f t="shared" si="5"/>
        <v>0</v>
      </c>
      <c r="H388" s="77">
        <f>SUMIF(积分汇总!$B:$B,D387,积分汇总!$E:$E)</f>
        <v>0</v>
      </c>
      <c r="I388" s="77">
        <f>SUMIF(记录巡查问题条数汇总!$B:$B,D387,记录巡查问题条数汇总!$E:$E)</f>
        <v>0</v>
      </c>
      <c r="J388" s="77"/>
      <c r="K388" s="77">
        <f>SUMIF(安全质量事故!$B:$B,D387,安全质量事故!$G:$G)</f>
        <v>0</v>
      </c>
      <c r="L388" s="72">
        <f>COUNTIF(M388:AQ388,标准数据!$A$2)*标准数据!$B$2+COUNTIF(M388:AQ388,标准数据!$A$3)*标准数据!$B$3+COUNTIF(M388:AQ388,标准数据!$A$4)*标准数据!$B$4</f>
        <v>0</v>
      </c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189"/>
      <c r="AR388" s="55"/>
      <c r="AS388" s="41"/>
      <c r="AV388" s="76" t="str">
        <f>VLOOKUP(E388,[1]生产部!$C:$I,7,0)</f>
        <v>班组</v>
      </c>
      <c r="AW388" s="41" t="str">
        <f>VLOOKUP(E388,[1]生产部!$C:$I,6,0)</f>
        <v>5号楼</v>
      </c>
    </row>
    <row r="389" spans="1:49" ht="21" customHeight="1">
      <c r="A389" s="234" t="s">
        <v>1937</v>
      </c>
      <c r="B389" s="229" t="s">
        <v>2116</v>
      </c>
      <c r="C389" s="45" t="s">
        <v>81</v>
      </c>
      <c r="D389" s="46" t="s">
        <v>1814</v>
      </c>
      <c r="E389" s="47" t="s">
        <v>1815</v>
      </c>
      <c r="F389" s="48">
        <v>46208</v>
      </c>
      <c r="G389" s="49">
        <f t="shared" si="5"/>
        <v>0</v>
      </c>
      <c r="H389" s="77">
        <f>SUMIF(积分汇总!$B:$B,D388,积分汇总!$E:$E)</f>
        <v>0</v>
      </c>
      <c r="I389" s="77">
        <f>SUMIF(记录巡查问题条数汇总!$B:$B,D388,记录巡查问题条数汇总!$E:$E)</f>
        <v>0</v>
      </c>
      <c r="J389" s="77"/>
      <c r="K389" s="77">
        <f>SUMIF(安全质量事故!$B:$B,D388,安全质量事故!$G:$G)</f>
        <v>0</v>
      </c>
      <c r="L389" s="72">
        <f>COUNTIF(M389:AQ389,标准数据!$A$2)*标准数据!$B$2+COUNTIF(M389:AQ389,标准数据!$A$3)*标准数据!$B$3+COUNTIF(M389:AQ389,标准数据!$A$4)*标准数据!$B$4</f>
        <v>0</v>
      </c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189"/>
      <c r="AR389" s="55"/>
      <c r="AS389" s="41"/>
      <c r="AV389" s="76" t="str">
        <f>VLOOKUP(E389,[1]生产部!$C:$I,7,0)</f>
        <v>项目组倒班</v>
      </c>
      <c r="AW389" s="41" t="str">
        <f>VLOOKUP(E389,[1]生产部!$C:$I,6,0)</f>
        <v>5号楼</v>
      </c>
    </row>
    <row r="390" spans="1:49" ht="21" customHeight="1">
      <c r="A390" s="234" t="s">
        <v>1937</v>
      </c>
      <c r="B390" s="229" t="s">
        <v>2116</v>
      </c>
      <c r="C390" s="45" t="s">
        <v>13</v>
      </c>
      <c r="D390" s="46" t="s">
        <v>1507</v>
      </c>
      <c r="E390" s="47" t="s">
        <v>1508</v>
      </c>
      <c r="F390" s="48">
        <v>45833</v>
      </c>
      <c r="G390" s="49">
        <f t="shared" si="5"/>
        <v>0</v>
      </c>
      <c r="H390" s="77">
        <f>SUMIF(积分汇总!$B:$B,D389,积分汇总!$E:$E)</f>
        <v>0</v>
      </c>
      <c r="I390" s="77">
        <f>SUMIF(记录巡查问题条数汇总!$B:$B,D389,记录巡查问题条数汇总!$E:$E)</f>
        <v>0</v>
      </c>
      <c r="J390" s="77"/>
      <c r="K390" s="77">
        <f>SUMIF(安全质量事故!$B:$B,D389,安全质量事故!$G:$G)</f>
        <v>0</v>
      </c>
      <c r="L390" s="72">
        <f>COUNTIF(M390:AQ390,标准数据!$A$2)*标准数据!$B$2+COUNTIF(M390:AQ390,标准数据!$A$3)*标准数据!$B$3+COUNTIF(M390:AQ390,标准数据!$A$4)*标准数据!$B$4</f>
        <v>0</v>
      </c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189"/>
      <c r="AR390" s="55"/>
      <c r="AS390" s="41"/>
      <c r="AV390" s="76" t="str">
        <f>VLOOKUP(E390,[1]生产部!$C:$I,7,0)</f>
        <v>项目组倒班</v>
      </c>
      <c r="AW390" s="41" t="str">
        <f>VLOOKUP(E390,[1]生产部!$C:$I,6,0)</f>
        <v>5号楼</v>
      </c>
    </row>
    <row r="391" spans="1:49" ht="21" customHeight="1">
      <c r="A391" s="234" t="s">
        <v>1937</v>
      </c>
      <c r="B391" s="229" t="s">
        <v>2116</v>
      </c>
      <c r="C391" s="45" t="s">
        <v>154</v>
      </c>
      <c r="D391" s="46" t="s">
        <v>393</v>
      </c>
      <c r="E391" s="47" t="s">
        <v>387</v>
      </c>
      <c r="F391" s="48">
        <v>38803</v>
      </c>
      <c r="G391" s="49">
        <f t="shared" si="5"/>
        <v>0</v>
      </c>
      <c r="H391" s="77">
        <f>SUMIF(积分汇总!$B:$B,D389,积分汇总!$E:$E)</f>
        <v>0</v>
      </c>
      <c r="I391" s="77">
        <f>SUMIF(记录巡查问题条数汇总!$B:$B,D389,记录巡查问题条数汇总!$E:$E)</f>
        <v>0</v>
      </c>
      <c r="J391" s="77"/>
      <c r="K391" s="77">
        <f>SUMIF(安全质量事故!$B:$B,D389,安全质量事故!$G:$G)</f>
        <v>0</v>
      </c>
      <c r="L391" s="72">
        <f>COUNTIF(M391:AQ391,标准数据!$A$2)*标准数据!$B$2+COUNTIF(M391:AQ391,标准数据!$A$3)*标准数据!$B$3+COUNTIF(M391:AQ391,标准数据!$A$4)*标准数据!$B$4</f>
        <v>0</v>
      </c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189"/>
      <c r="AR391" s="55"/>
      <c r="AS391" s="41"/>
      <c r="AV391" s="76" t="str">
        <f>VLOOKUP(E391,[1]生产部!$C:$I,7,0)</f>
        <v>班组</v>
      </c>
      <c r="AW391" s="41" t="str">
        <f>VLOOKUP(E391,[1]生产部!$C:$I,6,0)</f>
        <v>5号楼</v>
      </c>
    </row>
    <row r="392" spans="1:49" ht="21" customHeight="1">
      <c r="A392" s="234" t="s">
        <v>1937</v>
      </c>
      <c r="B392" s="229" t="s">
        <v>2116</v>
      </c>
      <c r="C392" s="45" t="s">
        <v>131</v>
      </c>
      <c r="D392" s="46" t="s">
        <v>346</v>
      </c>
      <c r="E392" s="47" t="s">
        <v>341</v>
      </c>
      <c r="F392" s="48">
        <v>42508</v>
      </c>
      <c r="G392" s="49">
        <f t="shared" si="5"/>
        <v>0</v>
      </c>
      <c r="H392" s="77">
        <f>SUMIF(积分汇总!$B:$B,D391,积分汇总!$E:$E)</f>
        <v>0</v>
      </c>
      <c r="I392" s="77">
        <f>SUMIF(记录巡查问题条数汇总!$B:$B,D391,记录巡查问题条数汇总!$E:$E)</f>
        <v>0</v>
      </c>
      <c r="J392" s="77"/>
      <c r="K392" s="77">
        <f>SUMIF(安全质量事故!$B:$B,D391,安全质量事故!$G:$G)</f>
        <v>0</v>
      </c>
      <c r="L392" s="72">
        <f>COUNTIF(M392:AQ392,标准数据!$A$2)*标准数据!$B$2+COUNTIF(M392:AQ392,标准数据!$A$3)*标准数据!$B$3+COUNTIF(M392:AQ392,标准数据!$A$4)*标准数据!$B$4</f>
        <v>0</v>
      </c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47"/>
      <c r="AD392" s="56"/>
      <c r="AE392" s="56"/>
      <c r="AF392" s="47"/>
      <c r="AG392" s="47"/>
      <c r="AH392" s="47"/>
      <c r="AI392" s="47"/>
      <c r="AJ392" s="47"/>
      <c r="AK392" s="47"/>
      <c r="AL392" s="90"/>
      <c r="AM392" s="90"/>
      <c r="AN392" s="47"/>
      <c r="AO392" s="90"/>
      <c r="AP392" s="90"/>
      <c r="AQ392" s="191"/>
      <c r="AR392" s="47"/>
      <c r="AS392" s="41"/>
      <c r="AT392" s="41"/>
      <c r="AU392" s="41"/>
      <c r="AV392" s="76" t="str">
        <f>VLOOKUP(E392,[1]生产部!$C:$I,7,0)</f>
        <v>倒班</v>
      </c>
      <c r="AW392" s="41" t="str">
        <f>VLOOKUP(E392,[1]生产部!$C:$I,6,0)</f>
        <v>5号楼</v>
      </c>
    </row>
    <row r="393" spans="1:49" ht="21" customHeight="1">
      <c r="A393" s="234" t="s">
        <v>1937</v>
      </c>
      <c r="B393" s="229" t="s">
        <v>2116</v>
      </c>
      <c r="C393" s="45" t="s">
        <v>131</v>
      </c>
      <c r="D393" s="46" t="s">
        <v>394</v>
      </c>
      <c r="E393" s="47" t="s">
        <v>388</v>
      </c>
      <c r="F393" s="48">
        <v>43003</v>
      </c>
      <c r="G393" s="49">
        <f t="shared" si="5"/>
        <v>0</v>
      </c>
      <c r="H393" s="77">
        <f>SUMIF(积分汇总!$B:$B,D392,积分汇总!$E:$E)</f>
        <v>0</v>
      </c>
      <c r="I393" s="77">
        <f>SUMIF(记录巡查问题条数汇总!$B:$B,D392,记录巡查问题条数汇总!$E:$E)</f>
        <v>0</v>
      </c>
      <c r="J393" s="77"/>
      <c r="K393" s="77">
        <f>SUMIF(安全质量事故!$B:$B,D392,安全质量事故!$G:$G)</f>
        <v>0</v>
      </c>
      <c r="L393" s="72">
        <f>COUNTIF(M393:AQ393,标准数据!$A$2)*标准数据!$B$2+COUNTIF(M393:AQ393,标准数据!$A$3)*标准数据!$B$3+COUNTIF(M393:AQ393,标准数据!$A$4)*标准数据!$B$4</f>
        <v>0</v>
      </c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189"/>
      <c r="AR393" s="55"/>
      <c r="AS393" s="41"/>
      <c r="AT393" s="41"/>
      <c r="AU393" s="41"/>
      <c r="AV393" s="76" t="str">
        <f>VLOOKUP(E393,[1]生产部!$C:$I,7,0)</f>
        <v>班组</v>
      </c>
      <c r="AW393" s="41" t="str">
        <f>VLOOKUP(E393,[1]生产部!$C:$I,6,0)</f>
        <v>5号楼</v>
      </c>
    </row>
    <row r="394" spans="1:49" ht="21" customHeight="1">
      <c r="A394" s="234" t="s">
        <v>1937</v>
      </c>
      <c r="B394" s="229" t="s">
        <v>2116</v>
      </c>
      <c r="C394" s="45" t="s">
        <v>131</v>
      </c>
      <c r="D394" s="46" t="s">
        <v>763</v>
      </c>
      <c r="E394" s="47" t="s">
        <v>389</v>
      </c>
      <c r="F394" s="48">
        <v>41855</v>
      </c>
      <c r="G394" s="49">
        <f t="shared" si="5"/>
        <v>0</v>
      </c>
      <c r="H394" s="77">
        <f>SUMIF(积分汇总!$B:$B,D393,积分汇总!$E:$E)</f>
        <v>0</v>
      </c>
      <c r="I394" s="77">
        <f>SUMIF(记录巡查问题条数汇总!$B:$B,D393,记录巡查问题条数汇总!$E:$E)</f>
        <v>0</v>
      </c>
      <c r="J394" s="77"/>
      <c r="K394" s="77">
        <f>SUMIF(安全质量事故!$B:$B,D393,安全质量事故!$G:$G)</f>
        <v>0</v>
      </c>
      <c r="L394" s="72">
        <f>COUNTIF(M394:AQ394,标准数据!$A$2)*标准数据!$B$2+COUNTIF(M394:AQ394,标准数据!$A$3)*标准数据!$B$3+COUNTIF(M394:AQ394,标准数据!$A$4)*标准数据!$B$4</f>
        <v>0</v>
      </c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189"/>
      <c r="AR394" s="55"/>
      <c r="AS394" s="41"/>
      <c r="AV394" s="76" t="str">
        <f>VLOOKUP(E394,[1]生产部!$C:$I,7,0)</f>
        <v>班组</v>
      </c>
      <c r="AW394" s="41" t="str">
        <f>VLOOKUP(E394,[1]生产部!$C:$I,6,0)</f>
        <v>5号楼</v>
      </c>
    </row>
    <row r="395" spans="1:49" ht="21" customHeight="1">
      <c r="A395" s="234" t="s">
        <v>1937</v>
      </c>
      <c r="B395" s="229" t="s">
        <v>2116</v>
      </c>
      <c r="C395" s="45" t="s">
        <v>131</v>
      </c>
      <c r="D395" s="46" t="s">
        <v>1504</v>
      </c>
      <c r="E395" s="47" t="s">
        <v>1505</v>
      </c>
      <c r="F395" s="48">
        <v>45994</v>
      </c>
      <c r="G395" s="49">
        <f t="shared" si="5"/>
        <v>0</v>
      </c>
      <c r="H395" s="77">
        <f>SUMIF(积分汇总!$B:$B,D394,积分汇总!$E:$E)</f>
        <v>0</v>
      </c>
      <c r="I395" s="77">
        <f>SUMIF(记录巡查问题条数汇总!$B:$B,D394,记录巡查问题条数汇总!$E:$E)</f>
        <v>0</v>
      </c>
      <c r="J395" s="77"/>
      <c r="K395" s="77">
        <f>SUMIF(安全质量事故!$B:$B,D394,安全质量事故!$G:$G)</f>
        <v>0</v>
      </c>
      <c r="L395" s="72">
        <f>COUNTIF(M395:AQ395,标准数据!$A$2)*标准数据!$B$2+COUNTIF(M395:AQ395,标准数据!$A$3)*标准数据!$B$3+COUNTIF(M395:AQ395,标准数据!$A$4)*标准数据!$B$4</f>
        <v>0</v>
      </c>
      <c r="M395" s="103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189"/>
      <c r="AR395" s="55"/>
      <c r="AS395" s="193" t="s">
        <v>1506</v>
      </c>
      <c r="AV395" s="76" t="str">
        <f>VLOOKUP(E395,[1]生产部!$C:$I,7,0)</f>
        <v>班组</v>
      </c>
      <c r="AW395" s="41" t="str">
        <f>VLOOKUP(E395,[1]生产部!$C:$I,6,0)</f>
        <v>5号楼</v>
      </c>
    </row>
    <row r="396" spans="1:49" ht="21" customHeight="1">
      <c r="A396" s="234" t="s">
        <v>1937</v>
      </c>
      <c r="B396" s="229" t="s">
        <v>2116</v>
      </c>
      <c r="C396" s="45" t="s">
        <v>14</v>
      </c>
      <c r="D396" s="46" t="s">
        <v>407</v>
      </c>
      <c r="E396" s="47" t="s">
        <v>403</v>
      </c>
      <c r="F396" s="48">
        <v>45791</v>
      </c>
      <c r="G396" s="49">
        <f t="shared" si="5"/>
        <v>0</v>
      </c>
      <c r="H396" s="77">
        <f>SUMIF(积分汇总!$B:$B,D395,积分汇总!$E:$E)</f>
        <v>0</v>
      </c>
      <c r="I396" s="77">
        <f>SUMIF(记录巡查问题条数汇总!$B:$B,D395,记录巡查问题条数汇总!$E:$E)</f>
        <v>0</v>
      </c>
      <c r="J396" s="77"/>
      <c r="K396" s="77">
        <f>SUMIF(安全质量事故!$B:$B,D395,安全质量事故!$G:$G)</f>
        <v>0</v>
      </c>
      <c r="L396" s="72">
        <f>COUNTIF(M396:AQ396,标准数据!$A$2)*标准数据!$B$2+COUNTIF(M396:AQ396,标准数据!$A$3)*标准数据!$B$3+COUNTIF(M396:AQ396,标准数据!$A$4)*标准数据!$B$4</f>
        <v>0</v>
      </c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189"/>
      <c r="AR396" s="55"/>
      <c r="AS396" s="41"/>
      <c r="AT396" s="41"/>
      <c r="AU396" s="41"/>
      <c r="AV396" s="76" t="str">
        <f>VLOOKUP(E396,[1]生产部!$C:$I,7,0)</f>
        <v>班组</v>
      </c>
      <c r="AW396" s="41" t="str">
        <f>VLOOKUP(E396,[1]生产部!$C:$I,6,0)</f>
        <v>5号楼</v>
      </c>
    </row>
    <row r="397" spans="1:49" ht="21" customHeight="1">
      <c r="A397" s="234" t="s">
        <v>1937</v>
      </c>
      <c r="B397" s="229" t="s">
        <v>2116</v>
      </c>
      <c r="C397" s="45" t="s">
        <v>14</v>
      </c>
      <c r="D397" s="46" t="s">
        <v>413</v>
      </c>
      <c r="E397" s="47" t="s">
        <v>409</v>
      </c>
      <c r="F397" s="48">
        <v>45798</v>
      </c>
      <c r="G397" s="49">
        <f t="shared" si="5"/>
        <v>0</v>
      </c>
      <c r="H397" s="77">
        <f>SUMIF(积分汇总!$B:$B,D396,积分汇总!$E:$E)</f>
        <v>0</v>
      </c>
      <c r="I397" s="77">
        <f>SUMIF(记录巡查问题条数汇总!$B:$B,D396,记录巡查问题条数汇总!$E:$E)</f>
        <v>0</v>
      </c>
      <c r="J397" s="77"/>
      <c r="K397" s="77">
        <f>SUMIF(安全质量事故!$B:$B,D396,安全质量事故!$G:$G)</f>
        <v>0</v>
      </c>
      <c r="L397" s="72">
        <f>COUNTIF(M397:AQ397,标准数据!$A$2)*标准数据!$B$2+COUNTIF(M397:AQ397,标准数据!$A$3)*标准数据!$B$3+COUNTIF(M397:AQ397,标准数据!$A$4)*标准数据!$B$4</f>
        <v>0</v>
      </c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90"/>
      <c r="AB397" s="56"/>
      <c r="AC397" s="56"/>
      <c r="AD397" s="56"/>
      <c r="AE397" s="56"/>
      <c r="AF397" s="56"/>
      <c r="AG397" s="56"/>
      <c r="AH397" s="56"/>
      <c r="AI397" s="56"/>
      <c r="AJ397" s="47"/>
      <c r="AK397" s="90"/>
      <c r="AL397" s="56"/>
      <c r="AM397" s="56"/>
      <c r="AN397" s="56"/>
      <c r="AO397" s="56"/>
      <c r="AP397" s="56"/>
      <c r="AQ397" s="189"/>
      <c r="AR397" s="55"/>
      <c r="AS397" s="41"/>
      <c r="AV397" s="76" t="str">
        <f>VLOOKUP(E397,[1]生产部!$C:$I,7,0)</f>
        <v>班组</v>
      </c>
      <c r="AW397" s="41" t="str">
        <f>VLOOKUP(E397,[1]生产部!$C:$I,6,0)</f>
        <v>5号楼</v>
      </c>
    </row>
    <row r="398" spans="1:49" ht="21" customHeight="1">
      <c r="A398" s="234" t="s">
        <v>1937</v>
      </c>
      <c r="B398" s="229" t="s">
        <v>2116</v>
      </c>
      <c r="C398" s="45" t="s">
        <v>87</v>
      </c>
      <c r="D398" s="46" t="s">
        <v>427</v>
      </c>
      <c r="E398" s="52" t="s">
        <v>422</v>
      </c>
      <c r="F398" s="46">
        <v>45812</v>
      </c>
      <c r="G398" s="49">
        <f t="shared" si="5"/>
        <v>0</v>
      </c>
      <c r="H398" s="77">
        <f>SUMIF(积分汇总!$B:$B,D397,积分汇总!$E:$E)</f>
        <v>0</v>
      </c>
      <c r="I398" s="77">
        <f>SUMIF(记录巡查问题条数汇总!$B:$B,D397,记录巡查问题条数汇总!$E:$E)</f>
        <v>0</v>
      </c>
      <c r="J398" s="77"/>
      <c r="K398" s="77">
        <f>SUMIF(安全质量事故!$B:$B,D397,安全质量事故!$G:$G)</f>
        <v>0</v>
      </c>
      <c r="L398" s="72">
        <f>COUNTIF(M398:AQ398,标准数据!$A$2)*标准数据!$B$2+COUNTIF(M398:AQ398,标准数据!$A$3)*标准数据!$B$3+COUNTIF(M398:AQ398,标准数据!$A$4)*标准数据!$B$4</f>
        <v>0</v>
      </c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189"/>
      <c r="AR398" s="55"/>
      <c r="AS398" s="41"/>
      <c r="AT398" s="41"/>
      <c r="AU398" s="41"/>
      <c r="AV398" s="76" t="str">
        <f>VLOOKUP(E398,[1]生产部!$C:$I,7,0)</f>
        <v>项目组倒班</v>
      </c>
      <c r="AW398" s="41" t="str">
        <f>VLOOKUP(E398,[1]生产部!$C:$I,6,0)</f>
        <v>5号楼</v>
      </c>
    </row>
    <row r="399" spans="1:49" ht="21" customHeight="1">
      <c r="A399" s="234" t="s">
        <v>1937</v>
      </c>
      <c r="B399" s="229" t="s">
        <v>2116</v>
      </c>
      <c r="C399" s="45" t="s">
        <v>87</v>
      </c>
      <c r="D399" s="46" t="s">
        <v>356</v>
      </c>
      <c r="E399" s="47" t="s">
        <v>355</v>
      </c>
      <c r="F399" s="48">
        <v>45672</v>
      </c>
      <c r="G399" s="49">
        <f t="shared" si="5"/>
        <v>0</v>
      </c>
      <c r="H399" s="77">
        <f>SUMIF(积分汇总!$B:$B,D398,积分汇总!$E:$E)</f>
        <v>0</v>
      </c>
      <c r="I399" s="77">
        <f>SUMIF(记录巡查问题条数汇总!$B:$B,D398,记录巡查问题条数汇总!$E:$E)</f>
        <v>0</v>
      </c>
      <c r="J399" s="77"/>
      <c r="K399" s="77">
        <f>SUMIF(安全质量事故!$B:$B,D398,安全质量事故!$G:$G)</f>
        <v>0</v>
      </c>
      <c r="L399" s="72">
        <f>COUNTIF(M399:AQ399,标准数据!$A$2)*标准数据!$B$2+COUNTIF(M399:AQ399,标准数据!$A$3)*标准数据!$B$3+COUNTIF(M399:AQ399,标准数据!$A$4)*标准数据!$B$4</f>
        <v>0</v>
      </c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90"/>
      <c r="AL399" s="90"/>
      <c r="AM399" s="90"/>
      <c r="AN399" s="90"/>
      <c r="AO399" s="90"/>
      <c r="AP399" s="90"/>
      <c r="AQ399" s="192"/>
      <c r="AR399" s="90"/>
      <c r="AS399" s="41"/>
      <c r="AT399" s="41"/>
      <c r="AU399" s="41"/>
      <c r="AV399" s="76" t="str">
        <f>VLOOKUP(E399,[1]生产部!$C:$I,7,0)</f>
        <v>常白</v>
      </c>
      <c r="AW399" s="41" t="str">
        <f>VLOOKUP(E399,[1]生产部!$C:$I,6,0)</f>
        <v>5号楼</v>
      </c>
    </row>
    <row r="400" spans="1:49" ht="21" customHeight="1">
      <c r="A400" s="234" t="s">
        <v>1937</v>
      </c>
      <c r="B400" s="229" t="s">
        <v>2116</v>
      </c>
      <c r="C400" s="45" t="s">
        <v>14</v>
      </c>
      <c r="D400" s="46" t="s">
        <v>617</v>
      </c>
      <c r="E400" s="47" t="s">
        <v>574</v>
      </c>
      <c r="F400" s="48">
        <v>44389</v>
      </c>
      <c r="G400" s="49">
        <f t="shared" si="5"/>
        <v>0</v>
      </c>
      <c r="H400" s="77">
        <f>SUMIF(积分汇总!$B:$B,D399,积分汇总!$E:$E)</f>
        <v>0</v>
      </c>
      <c r="I400" s="77">
        <f>SUMIF(记录巡查问题条数汇总!$B:$B,D399,记录巡查问题条数汇总!$E:$E)</f>
        <v>0</v>
      </c>
      <c r="J400" s="77"/>
      <c r="K400" s="77">
        <f>SUMIF(安全质量事故!$B:$B,D399,安全质量事故!$G:$G)</f>
        <v>0</v>
      </c>
      <c r="L400" s="72">
        <f>COUNTIF(M400:AQ400,标准数据!$A$2)*标准数据!$B$2+COUNTIF(M400:AQ400,标准数据!$A$3)*标准数据!$B$3+COUNTIF(M400:AQ400,标准数据!$A$4)*标准数据!$B$4</f>
        <v>0</v>
      </c>
      <c r="M400" s="90"/>
      <c r="N400" s="90"/>
      <c r="O400" s="56"/>
      <c r="P400" s="90"/>
      <c r="Q400" s="90"/>
      <c r="R400" s="90"/>
      <c r="S400" s="90"/>
      <c r="T400" s="90"/>
      <c r="U400" s="90"/>
      <c r="V400" s="56"/>
      <c r="W400" s="90"/>
      <c r="X400" s="90"/>
      <c r="Y400" s="90"/>
      <c r="Z400" s="90"/>
      <c r="AA400" s="90"/>
      <c r="AB400" s="90"/>
      <c r="AC400" s="56"/>
      <c r="AD400" s="90"/>
      <c r="AE400" s="90"/>
      <c r="AF400" s="90"/>
      <c r="AG400" s="90"/>
      <c r="AH400" s="90"/>
      <c r="AI400" s="56"/>
      <c r="AJ400" s="90"/>
      <c r="AK400" s="90"/>
      <c r="AL400" s="90"/>
      <c r="AM400" s="90"/>
      <c r="AN400" s="56"/>
      <c r="AO400" s="90"/>
      <c r="AP400" s="90"/>
      <c r="AQ400" s="189"/>
      <c r="AR400" s="55"/>
      <c r="AS400" s="41"/>
      <c r="AT400" s="41"/>
      <c r="AU400" s="41"/>
      <c r="AV400" s="76" t="str">
        <f>VLOOKUP(E400,[1]生产部!$C:$I,7,0)</f>
        <v>项目组倒班</v>
      </c>
      <c r="AW400" s="41" t="str">
        <f>VLOOKUP(E400,[1]生产部!$C:$I,6,0)</f>
        <v>5号楼</v>
      </c>
    </row>
    <row r="401" spans="1:49" ht="21" customHeight="1">
      <c r="A401" s="234" t="s">
        <v>1937</v>
      </c>
      <c r="B401" s="229" t="s">
        <v>2116</v>
      </c>
      <c r="C401" s="45" t="s">
        <v>14</v>
      </c>
      <c r="D401" s="46" t="s">
        <v>618</v>
      </c>
      <c r="E401" s="47" t="s">
        <v>575</v>
      </c>
      <c r="F401" s="48">
        <v>45908</v>
      </c>
      <c r="G401" s="49">
        <f t="shared" si="5"/>
        <v>0</v>
      </c>
      <c r="H401" s="77">
        <f>SUMIF(积分汇总!$B:$B,D400,积分汇总!$E:$E)</f>
        <v>0</v>
      </c>
      <c r="I401" s="77">
        <f>SUMIF(记录巡查问题条数汇总!$B:$B,D400,记录巡查问题条数汇总!$E:$E)</f>
        <v>0</v>
      </c>
      <c r="J401" s="77"/>
      <c r="K401" s="77">
        <f>SUMIF(安全质量事故!$B:$B,D400,安全质量事故!$G:$G)</f>
        <v>0</v>
      </c>
      <c r="L401" s="72">
        <f>COUNTIF(M401:AQ401,标准数据!$A$2)*标准数据!$B$2+COUNTIF(M401:AQ401,标准数据!$A$3)*标准数据!$B$3+COUNTIF(M401:AQ401,标准数据!$A$4)*标准数据!$B$4</f>
        <v>0</v>
      </c>
      <c r="M401" s="90"/>
      <c r="N401" s="90"/>
      <c r="O401" s="56"/>
      <c r="P401" s="90"/>
      <c r="Q401" s="90"/>
      <c r="R401" s="90"/>
      <c r="S401" s="90"/>
      <c r="T401" s="90"/>
      <c r="U401" s="90"/>
      <c r="V401" s="56"/>
      <c r="W401" s="90"/>
      <c r="X401" s="90"/>
      <c r="Y401" s="90"/>
      <c r="Z401" s="90"/>
      <c r="AA401" s="90"/>
      <c r="AB401" s="90"/>
      <c r="AC401" s="56"/>
      <c r="AD401" s="90"/>
      <c r="AE401" s="90"/>
      <c r="AF401" s="90"/>
      <c r="AG401" s="90"/>
      <c r="AH401" s="90"/>
      <c r="AI401" s="56"/>
      <c r="AJ401" s="90"/>
      <c r="AK401" s="90"/>
      <c r="AL401" s="90"/>
      <c r="AM401" s="90"/>
      <c r="AN401" s="56"/>
      <c r="AO401" s="90"/>
      <c r="AP401" s="90"/>
      <c r="AQ401" s="189"/>
      <c r="AR401" s="55"/>
      <c r="AS401" s="41"/>
      <c r="AT401" s="41"/>
      <c r="AU401" s="41"/>
      <c r="AV401" s="76" t="str">
        <f>VLOOKUP(E401,[1]生产部!$C:$I,7,0)</f>
        <v>班组</v>
      </c>
      <c r="AW401" s="41" t="str">
        <f>VLOOKUP(E401,[1]生产部!$C:$I,6,0)</f>
        <v>5号楼</v>
      </c>
    </row>
    <row r="402" spans="1:49" ht="21" customHeight="1">
      <c r="A402" s="234" t="s">
        <v>1937</v>
      </c>
      <c r="B402" s="229" t="s">
        <v>2116</v>
      </c>
      <c r="C402" s="45" t="s">
        <v>14</v>
      </c>
      <c r="D402" s="46" t="s">
        <v>619</v>
      </c>
      <c r="E402" s="47" t="s">
        <v>576</v>
      </c>
      <c r="F402" s="48">
        <v>45910</v>
      </c>
      <c r="G402" s="49">
        <f t="shared" si="5"/>
        <v>0</v>
      </c>
      <c r="H402" s="77">
        <f>SUMIF(积分汇总!$B:$B,D401,积分汇总!$E:$E)</f>
        <v>0</v>
      </c>
      <c r="I402" s="77">
        <f>SUMIF(记录巡查问题条数汇总!$B:$B,D401,记录巡查问题条数汇总!$E:$E)</f>
        <v>0</v>
      </c>
      <c r="J402" s="77"/>
      <c r="K402" s="77">
        <f>SUMIF(安全质量事故!$B:$B,D401,安全质量事故!$G:$G)</f>
        <v>0</v>
      </c>
      <c r="L402" s="72">
        <f>COUNTIF(M402:AQ402,标准数据!$A$2)*标准数据!$B$2+COUNTIF(M402:AQ402,标准数据!$A$3)*标准数据!$B$3+COUNTIF(M402:AQ402,标准数据!$A$4)*标准数据!$B$4</f>
        <v>0</v>
      </c>
      <c r="M402" s="90"/>
      <c r="N402" s="90"/>
      <c r="O402" s="56"/>
      <c r="P402" s="90"/>
      <c r="Q402" s="90"/>
      <c r="R402" s="90"/>
      <c r="S402" s="90"/>
      <c r="T402" s="90"/>
      <c r="U402" s="90"/>
      <c r="V402" s="56"/>
      <c r="W402" s="90"/>
      <c r="X402" s="90"/>
      <c r="Y402" s="90"/>
      <c r="Z402" s="90"/>
      <c r="AA402" s="90"/>
      <c r="AB402" s="90"/>
      <c r="AC402" s="56"/>
      <c r="AD402" s="90"/>
      <c r="AE402" s="90"/>
      <c r="AF402" s="90"/>
      <c r="AG402" s="90"/>
      <c r="AH402" s="90"/>
      <c r="AI402" s="56"/>
      <c r="AJ402" s="90"/>
      <c r="AK402" s="90"/>
      <c r="AL402" s="90"/>
      <c r="AM402" s="90"/>
      <c r="AN402" s="56"/>
      <c r="AO402" s="90"/>
      <c r="AP402" s="90"/>
      <c r="AQ402" s="189"/>
      <c r="AR402" s="55"/>
      <c r="AS402" s="41"/>
      <c r="AT402" s="41"/>
      <c r="AU402" s="41"/>
      <c r="AV402" s="76" t="str">
        <f>VLOOKUP(E402,[1]生产部!$C:$I,7,0)</f>
        <v>班组</v>
      </c>
      <c r="AW402" s="41" t="str">
        <f>VLOOKUP(E402,[1]生产部!$C:$I,6,0)</f>
        <v>5号楼</v>
      </c>
    </row>
    <row r="403" spans="1:49" ht="21" customHeight="1">
      <c r="A403" s="234" t="s">
        <v>1937</v>
      </c>
      <c r="B403" s="229" t="s">
        <v>2116</v>
      </c>
      <c r="C403" s="45" t="s">
        <v>14</v>
      </c>
      <c r="D403" s="46" t="s">
        <v>669</v>
      </c>
      <c r="E403" s="47" t="s">
        <v>650</v>
      </c>
      <c r="F403" s="48">
        <v>45924</v>
      </c>
      <c r="G403" s="49">
        <f t="shared" si="5"/>
        <v>0</v>
      </c>
      <c r="H403" s="77">
        <f>SUMIF(积分汇总!$B:$B,D402,积分汇总!$E:$E)</f>
        <v>0</v>
      </c>
      <c r="I403" s="77">
        <f>SUMIF(记录巡查问题条数汇总!$B:$B,D402,记录巡查问题条数汇总!$E:$E)</f>
        <v>0</v>
      </c>
      <c r="J403" s="77"/>
      <c r="K403" s="77">
        <f>SUMIF(安全质量事故!$B:$B,D402,安全质量事故!$G:$G)</f>
        <v>0</v>
      </c>
      <c r="L403" s="72">
        <f>COUNTIF(M403:AQ403,标准数据!$A$2)*标准数据!$B$2+COUNTIF(M403:AQ403,标准数据!$A$3)*标准数据!$B$3+COUNTIF(M403:AQ403,标准数据!$A$4)*标准数据!$B$4</f>
        <v>0</v>
      </c>
      <c r="M403" s="90"/>
      <c r="N403" s="90"/>
      <c r="O403" s="56"/>
      <c r="P403" s="90"/>
      <c r="Q403" s="90"/>
      <c r="R403" s="90"/>
      <c r="S403" s="90"/>
      <c r="T403" s="90"/>
      <c r="U403" s="90"/>
      <c r="V403" s="56"/>
      <c r="W403" s="90"/>
      <c r="X403" s="90"/>
      <c r="Y403" s="90"/>
      <c r="Z403" s="90"/>
      <c r="AA403" s="90"/>
      <c r="AB403" s="90"/>
      <c r="AC403" s="56"/>
      <c r="AD403" s="90"/>
      <c r="AE403" s="90"/>
      <c r="AF403" s="90"/>
      <c r="AG403" s="90"/>
      <c r="AH403" s="90"/>
      <c r="AI403" s="56"/>
      <c r="AJ403" s="90"/>
      <c r="AK403" s="90"/>
      <c r="AL403" s="90"/>
      <c r="AM403" s="90"/>
      <c r="AN403" s="56"/>
      <c r="AO403" s="90"/>
      <c r="AP403" s="90"/>
      <c r="AQ403" s="189"/>
      <c r="AR403" s="55"/>
      <c r="AS403" s="41"/>
      <c r="AT403" s="41"/>
      <c r="AU403" s="41"/>
      <c r="AV403" s="76" t="str">
        <f>VLOOKUP(E403,[1]生产部!$C:$I,7,0)</f>
        <v>常白</v>
      </c>
      <c r="AW403" s="41" t="str">
        <f>VLOOKUP(E403,[1]生产部!$C:$I,6,0)</f>
        <v>5号楼</v>
      </c>
    </row>
    <row r="404" spans="1:49" ht="21" customHeight="1">
      <c r="A404" s="234" t="s">
        <v>1937</v>
      </c>
      <c r="B404" s="229" t="s">
        <v>2116</v>
      </c>
      <c r="C404" s="45" t="s">
        <v>14</v>
      </c>
      <c r="D404" s="46" t="s">
        <v>754</v>
      </c>
      <c r="E404" s="47" t="s">
        <v>682</v>
      </c>
      <c r="F404" s="48">
        <v>45875</v>
      </c>
      <c r="G404" s="49">
        <f t="shared" ref="G404:G467" si="6">(L404+H404+I404+J404-K404)</f>
        <v>0</v>
      </c>
      <c r="H404" s="77">
        <f>SUMIF(积分汇总!$B:$B,D403,积分汇总!$E:$E)</f>
        <v>0</v>
      </c>
      <c r="I404" s="77">
        <f>SUMIF(记录巡查问题条数汇总!$B:$B,D403,记录巡查问题条数汇总!$E:$E)</f>
        <v>0</v>
      </c>
      <c r="J404" s="77"/>
      <c r="K404" s="77">
        <f>SUMIF(安全质量事故!$B:$B,D403,安全质量事故!$G:$G)</f>
        <v>0</v>
      </c>
      <c r="L404" s="72">
        <f>COUNTIF(M404:AQ404,标准数据!$A$2)*标准数据!$B$2+COUNTIF(M404:AQ404,标准数据!$A$3)*标准数据!$B$3+COUNTIF(M404:AQ404,标准数据!$A$4)*标准数据!$B$4</f>
        <v>0</v>
      </c>
      <c r="M404" s="90"/>
      <c r="N404" s="90"/>
      <c r="O404" s="56"/>
      <c r="P404" s="90"/>
      <c r="Q404" s="90"/>
      <c r="R404" s="90"/>
      <c r="S404" s="90"/>
      <c r="T404" s="90"/>
      <c r="U404" s="90"/>
      <c r="V404" s="56"/>
      <c r="W404" s="90"/>
      <c r="X404" s="90"/>
      <c r="Y404" s="90"/>
      <c r="Z404" s="90"/>
      <c r="AA404" s="90"/>
      <c r="AB404" s="90"/>
      <c r="AC404" s="56"/>
      <c r="AD404" s="90"/>
      <c r="AE404" s="90"/>
      <c r="AF404" s="90"/>
      <c r="AG404" s="90"/>
      <c r="AH404" s="90"/>
      <c r="AI404" s="56"/>
      <c r="AJ404" s="90"/>
      <c r="AK404" s="90"/>
      <c r="AL404" s="90"/>
      <c r="AM404" s="90"/>
      <c r="AN404" s="56"/>
      <c r="AO404" s="90"/>
      <c r="AP404" s="90"/>
      <c r="AQ404" s="189"/>
      <c r="AR404" s="55"/>
      <c r="AS404" s="41"/>
      <c r="AT404" s="41"/>
      <c r="AU404" s="41"/>
      <c r="AV404" s="76" t="str">
        <f>VLOOKUP(E404,[1]生产部!$C:$I,7,0)</f>
        <v>班组</v>
      </c>
      <c r="AW404" s="41" t="str">
        <f>VLOOKUP(E404,[1]生产部!$C:$I,6,0)</f>
        <v>5号楼</v>
      </c>
    </row>
    <row r="405" spans="1:49" ht="21" customHeight="1">
      <c r="A405" s="234" t="s">
        <v>1937</v>
      </c>
      <c r="B405" s="229" t="s">
        <v>2116</v>
      </c>
      <c r="C405" s="45" t="s">
        <v>14</v>
      </c>
      <c r="D405" s="46" t="s">
        <v>1920</v>
      </c>
      <c r="E405" s="47" t="s">
        <v>684</v>
      </c>
      <c r="F405" s="48">
        <v>45889</v>
      </c>
      <c r="G405" s="49">
        <f t="shared" si="6"/>
        <v>0</v>
      </c>
      <c r="H405" s="77">
        <f>SUMIF(积分汇总!$B:$B,D404,积分汇总!$E:$E)</f>
        <v>0</v>
      </c>
      <c r="I405" s="77">
        <f>SUMIF(记录巡查问题条数汇总!$B:$B,D404,记录巡查问题条数汇总!$E:$E)</f>
        <v>0</v>
      </c>
      <c r="J405" s="77"/>
      <c r="K405" s="77">
        <f>SUMIF(安全质量事故!$B:$B,D404,安全质量事故!$G:$G)</f>
        <v>0</v>
      </c>
      <c r="L405" s="72">
        <f>COUNTIF(M405:AQ405,标准数据!$A$2)*标准数据!$B$2+COUNTIF(M405:AQ405,标准数据!$A$3)*标准数据!$B$3+COUNTIF(M405:AQ405,标准数据!$A$4)*标准数据!$B$4</f>
        <v>0</v>
      </c>
      <c r="M405" s="90"/>
      <c r="N405" s="90"/>
      <c r="O405" s="56"/>
      <c r="P405" s="90"/>
      <c r="Q405" s="90"/>
      <c r="R405" s="90"/>
      <c r="S405" s="90"/>
      <c r="T405" s="90"/>
      <c r="U405" s="90"/>
      <c r="V405" s="56"/>
      <c r="W405" s="90"/>
      <c r="X405" s="90"/>
      <c r="Y405" s="90"/>
      <c r="Z405" s="90"/>
      <c r="AA405" s="90"/>
      <c r="AB405" s="90"/>
      <c r="AC405" s="56"/>
      <c r="AD405" s="90"/>
      <c r="AE405" s="90"/>
      <c r="AF405" s="90"/>
      <c r="AG405" s="90"/>
      <c r="AH405" s="90"/>
      <c r="AI405" s="56"/>
      <c r="AJ405" s="90"/>
      <c r="AK405" s="90"/>
      <c r="AL405" s="90"/>
      <c r="AM405" s="90"/>
      <c r="AN405" s="56"/>
      <c r="AO405" s="90"/>
      <c r="AP405" s="90"/>
      <c r="AQ405" s="189"/>
      <c r="AR405" s="55"/>
      <c r="AS405" s="41"/>
      <c r="AT405" s="41"/>
      <c r="AU405" s="41"/>
      <c r="AV405" s="76" t="str">
        <f>VLOOKUP(E405,[1]生产部!$C:$I,7,0)</f>
        <v>常白</v>
      </c>
      <c r="AW405" s="41" t="str">
        <f>VLOOKUP(E405,[1]生产部!$C:$I,6,0)</f>
        <v>5号楼</v>
      </c>
    </row>
    <row r="406" spans="1:49" ht="21" customHeight="1">
      <c r="A406" s="234" t="s">
        <v>1937</v>
      </c>
      <c r="B406" s="229" t="s">
        <v>2116</v>
      </c>
      <c r="C406" s="45" t="s">
        <v>14</v>
      </c>
      <c r="D406" s="46" t="s">
        <v>987</v>
      </c>
      <c r="E406" s="47" t="s">
        <v>957</v>
      </c>
      <c r="F406" s="48">
        <v>45951</v>
      </c>
      <c r="G406" s="49">
        <f t="shared" si="6"/>
        <v>0</v>
      </c>
      <c r="H406" s="77">
        <f>SUMIF(积分汇总!$B:$B,D405,积分汇总!$E:$E)</f>
        <v>0</v>
      </c>
      <c r="I406" s="77">
        <f>SUMIF(记录巡查问题条数汇总!$B:$B,D405,记录巡查问题条数汇总!$E:$E)</f>
        <v>0</v>
      </c>
      <c r="J406" s="77"/>
      <c r="K406" s="77">
        <f>SUMIF(安全质量事故!$B:$B,D405,安全质量事故!$G:$G)</f>
        <v>0</v>
      </c>
      <c r="L406" s="72">
        <f>COUNTIF(M406:AQ406,标准数据!$A$2)*标准数据!$B$2+COUNTIF(M406:AQ406,标准数据!$A$3)*标准数据!$B$3+COUNTIF(M406:AQ406,标准数据!$A$4)*标准数据!$B$4</f>
        <v>0</v>
      </c>
      <c r="M406" s="90"/>
      <c r="N406" s="90"/>
      <c r="O406" s="56"/>
      <c r="P406" s="90"/>
      <c r="Q406" s="90"/>
      <c r="R406" s="90"/>
      <c r="S406" s="90"/>
      <c r="T406" s="90"/>
      <c r="U406" s="90"/>
      <c r="V406" s="56"/>
      <c r="W406" s="90"/>
      <c r="X406" s="90"/>
      <c r="Y406" s="90"/>
      <c r="Z406" s="90"/>
      <c r="AA406" s="90"/>
      <c r="AB406" s="90"/>
      <c r="AC406" s="56"/>
      <c r="AD406" s="90"/>
      <c r="AE406" s="90"/>
      <c r="AF406" s="90"/>
      <c r="AG406" s="90"/>
      <c r="AH406" s="90"/>
      <c r="AI406" s="56"/>
      <c r="AJ406" s="90"/>
      <c r="AK406" s="90"/>
      <c r="AL406" s="90"/>
      <c r="AM406" s="90"/>
      <c r="AN406" s="56"/>
      <c r="AO406" s="90"/>
      <c r="AP406" s="90"/>
      <c r="AQ406" s="189"/>
      <c r="AR406" s="55"/>
      <c r="AS406" s="41"/>
      <c r="AT406" s="41"/>
      <c r="AU406" s="41"/>
      <c r="AV406" s="76" t="str">
        <f>VLOOKUP(E406,[1]生产部!$C:$I,7,0)</f>
        <v>班组</v>
      </c>
      <c r="AW406" s="41" t="str">
        <f>VLOOKUP(E406,[1]生产部!$C:$I,6,0)</f>
        <v>5号楼</v>
      </c>
    </row>
    <row r="407" spans="1:49" ht="21" customHeight="1">
      <c r="A407" s="234" t="s">
        <v>1937</v>
      </c>
      <c r="B407" s="229" t="s">
        <v>2116</v>
      </c>
      <c r="C407" s="45" t="s">
        <v>14</v>
      </c>
      <c r="D407" s="46" t="s">
        <v>988</v>
      </c>
      <c r="E407" s="47" t="s">
        <v>958</v>
      </c>
      <c r="F407" s="48">
        <v>45965</v>
      </c>
      <c r="G407" s="49">
        <f t="shared" si="6"/>
        <v>0</v>
      </c>
      <c r="H407" s="77">
        <f>SUMIF(积分汇总!$B:$B,D406,积分汇总!$E:$E)</f>
        <v>0</v>
      </c>
      <c r="I407" s="77">
        <f>SUMIF(记录巡查问题条数汇总!$B:$B,D406,记录巡查问题条数汇总!$E:$E)</f>
        <v>0</v>
      </c>
      <c r="J407" s="77"/>
      <c r="K407" s="77">
        <f>SUMIF(安全质量事故!$B:$B,D406,安全质量事故!$G:$G)</f>
        <v>0</v>
      </c>
      <c r="L407" s="72">
        <f>COUNTIF(M407:AQ407,标准数据!$A$2)*标准数据!$B$2+COUNTIF(M407:AQ407,标准数据!$A$3)*标准数据!$B$3+COUNTIF(M407:AQ407,标准数据!$A$4)*标准数据!$B$4</f>
        <v>0</v>
      </c>
      <c r="M407" s="90"/>
      <c r="N407" s="90"/>
      <c r="O407" s="56"/>
      <c r="P407" s="90"/>
      <c r="Q407" s="90"/>
      <c r="R407" s="90"/>
      <c r="S407" s="90"/>
      <c r="T407" s="90"/>
      <c r="U407" s="90"/>
      <c r="V407" s="56"/>
      <c r="W407" s="90"/>
      <c r="X407" s="90"/>
      <c r="Y407" s="90"/>
      <c r="Z407" s="90"/>
      <c r="AA407" s="90"/>
      <c r="AB407" s="90"/>
      <c r="AC407" s="56"/>
      <c r="AD407" s="90"/>
      <c r="AE407" s="90"/>
      <c r="AF407" s="90"/>
      <c r="AG407" s="90"/>
      <c r="AH407" s="90"/>
      <c r="AI407" s="56"/>
      <c r="AJ407" s="90"/>
      <c r="AK407" s="90"/>
      <c r="AL407" s="90"/>
      <c r="AM407" s="90"/>
      <c r="AN407" s="56"/>
      <c r="AO407" s="90"/>
      <c r="AP407" s="90"/>
      <c r="AQ407" s="189"/>
      <c r="AR407" s="55"/>
      <c r="AS407" s="41"/>
      <c r="AT407" s="41"/>
      <c r="AU407" s="41"/>
      <c r="AV407" s="76" t="str">
        <f>VLOOKUP(E407,[1]生产部!$C:$I,7,0)</f>
        <v>班组</v>
      </c>
      <c r="AW407" s="41" t="str">
        <f>VLOOKUP(E407,[1]生产部!$C:$I,6,0)</f>
        <v>5号楼</v>
      </c>
    </row>
    <row r="408" spans="1:49" ht="21" customHeight="1">
      <c r="A408" s="234" t="s">
        <v>1937</v>
      </c>
      <c r="B408" s="229" t="s">
        <v>2116</v>
      </c>
      <c r="C408" s="45" t="s">
        <v>14</v>
      </c>
      <c r="D408" s="46" t="s">
        <v>989</v>
      </c>
      <c r="E408" s="47" t="s">
        <v>959</v>
      </c>
      <c r="F408" s="48">
        <v>45979</v>
      </c>
      <c r="G408" s="49">
        <f t="shared" si="6"/>
        <v>0</v>
      </c>
      <c r="H408" s="77">
        <f>SUMIF(积分汇总!$B:$B,D407,积分汇总!$E:$E)</f>
        <v>0</v>
      </c>
      <c r="I408" s="77">
        <f>SUMIF(记录巡查问题条数汇总!$B:$B,D407,记录巡查问题条数汇总!$E:$E)</f>
        <v>0</v>
      </c>
      <c r="J408" s="77"/>
      <c r="K408" s="77">
        <f>SUMIF(安全质量事故!$B:$B,D407,安全质量事故!$G:$G)</f>
        <v>0</v>
      </c>
      <c r="L408" s="72">
        <f>COUNTIF(M408:AQ408,标准数据!$A$2)*标准数据!$B$2+COUNTIF(M408:AQ408,标准数据!$A$3)*标准数据!$B$3+COUNTIF(M408:AQ408,标准数据!$A$4)*标准数据!$B$4</f>
        <v>0</v>
      </c>
      <c r="M408" s="90"/>
      <c r="N408" s="90"/>
      <c r="O408" s="56"/>
      <c r="P408" s="90"/>
      <c r="Q408" s="90"/>
      <c r="R408" s="90"/>
      <c r="S408" s="90"/>
      <c r="T408" s="90"/>
      <c r="U408" s="90"/>
      <c r="V408" s="56"/>
      <c r="W408" s="90"/>
      <c r="X408" s="90"/>
      <c r="Y408" s="90"/>
      <c r="Z408" s="90"/>
      <c r="AA408" s="90"/>
      <c r="AB408" s="90"/>
      <c r="AC408" s="56"/>
      <c r="AD408" s="90"/>
      <c r="AE408" s="90"/>
      <c r="AF408" s="90"/>
      <c r="AG408" s="90"/>
      <c r="AH408" s="90"/>
      <c r="AI408" s="56"/>
      <c r="AJ408" s="90"/>
      <c r="AK408" s="90"/>
      <c r="AL408" s="90"/>
      <c r="AM408" s="90"/>
      <c r="AN408" s="56"/>
      <c r="AO408" s="90"/>
      <c r="AP408" s="90"/>
      <c r="AQ408" s="189"/>
      <c r="AR408" s="55"/>
      <c r="AS408" s="41"/>
      <c r="AT408" s="41"/>
      <c r="AU408" s="41"/>
      <c r="AV408" s="76" t="str">
        <f>VLOOKUP(E408,[1]生产部!$C:$I,7,0)</f>
        <v>班组</v>
      </c>
      <c r="AW408" s="41" t="str">
        <f>VLOOKUP(E408,[1]生产部!$C:$I,6,0)</f>
        <v>5号楼</v>
      </c>
    </row>
    <row r="409" spans="1:49" ht="21" customHeight="1">
      <c r="A409" s="234" t="s">
        <v>1937</v>
      </c>
      <c r="B409" s="229" t="s">
        <v>2116</v>
      </c>
      <c r="C409" s="45" t="s">
        <v>14</v>
      </c>
      <c r="D409" s="46" t="s">
        <v>1004</v>
      </c>
      <c r="E409" s="47" t="s">
        <v>1005</v>
      </c>
      <c r="F409" s="48">
        <v>46085</v>
      </c>
      <c r="G409" s="49">
        <f t="shared" si="6"/>
        <v>0</v>
      </c>
      <c r="H409" s="77">
        <f>SUMIF(积分汇总!$B:$B,#REF!,积分汇总!$E:$E)</f>
        <v>0</v>
      </c>
      <c r="I409" s="77">
        <f>SUMIF(记录巡查问题条数汇总!$B:$B,#REF!,记录巡查问题条数汇总!$E:$E)</f>
        <v>0</v>
      </c>
      <c r="J409" s="77"/>
      <c r="K409" s="77">
        <f>SUMIF(安全质量事故!$B:$B,#REF!,安全质量事故!$G:$G)</f>
        <v>0</v>
      </c>
      <c r="L409" s="72">
        <f>COUNTIF(M409:AQ409,标准数据!$A$2)*标准数据!$B$2+COUNTIF(M409:AQ409,标准数据!$A$3)*标准数据!$B$3+COUNTIF(M409:AQ409,标准数据!$A$4)*标准数据!$B$4</f>
        <v>0</v>
      </c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47"/>
      <c r="AM409" s="90"/>
      <c r="AN409" s="56"/>
      <c r="AO409" s="47"/>
      <c r="AP409" s="90"/>
      <c r="AQ409" s="189"/>
      <c r="AR409" s="55"/>
      <c r="AV409" s="76" t="str">
        <f>VLOOKUP(E409,[1]生产部!$C:$I,7,0)</f>
        <v>班组</v>
      </c>
      <c r="AW409" s="41" t="str">
        <f>VLOOKUP(E409,[1]生产部!$C:$I,6,0)</f>
        <v>5号楼</v>
      </c>
    </row>
    <row r="410" spans="1:49" ht="21" customHeight="1">
      <c r="A410" s="234" t="s">
        <v>1937</v>
      </c>
      <c r="B410" s="229" t="s">
        <v>2116</v>
      </c>
      <c r="C410" s="45" t="s">
        <v>14</v>
      </c>
      <c r="D410" s="46" t="s">
        <v>481</v>
      </c>
      <c r="E410" s="47" t="s">
        <v>1403</v>
      </c>
      <c r="F410" s="48">
        <v>46155</v>
      </c>
      <c r="G410" s="49">
        <f t="shared" si="6"/>
        <v>0</v>
      </c>
      <c r="H410" s="77">
        <f>SUMIF(积分汇总!$B:$B,D409,积分汇总!$E:$E)</f>
        <v>0</v>
      </c>
      <c r="I410" s="77">
        <f>SUMIF(记录巡查问题条数汇总!$B:$B,D409,记录巡查问题条数汇总!$E:$E)</f>
        <v>0</v>
      </c>
      <c r="J410" s="77"/>
      <c r="K410" s="77">
        <f>SUMIF(安全质量事故!$B:$B,D409,安全质量事故!$G:$G)</f>
        <v>0</v>
      </c>
      <c r="L410" s="72">
        <f>COUNTIF(M410:AQ410,标准数据!$A$2)*标准数据!$B$2+COUNTIF(M410:AQ410,标准数据!$A$3)*标准数据!$B$3+COUNTIF(M410:AQ410,标准数据!$A$4)*标准数据!$B$4</f>
        <v>0</v>
      </c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56"/>
      <c r="AD410" s="90"/>
      <c r="AE410" s="90"/>
      <c r="AF410" s="90"/>
      <c r="AG410" s="90"/>
      <c r="AH410" s="90"/>
      <c r="AI410" s="56"/>
      <c r="AJ410" s="90"/>
      <c r="AK410" s="90"/>
      <c r="AL410" s="90"/>
      <c r="AM410" s="90"/>
      <c r="AN410" s="56"/>
      <c r="AO410" s="90"/>
      <c r="AP410" s="90"/>
      <c r="AQ410" s="189"/>
      <c r="AR410" s="55"/>
      <c r="AS410" s="41"/>
      <c r="AT410" s="41"/>
      <c r="AU410" s="41"/>
      <c r="AV410" s="76" t="str">
        <f>VLOOKUP(E410,[1]生产部!$C:$I,7,0)</f>
        <v>班组</v>
      </c>
      <c r="AW410" s="41" t="str">
        <f>VLOOKUP(E410,[1]生产部!$C:$I,6,0)</f>
        <v>5号楼</v>
      </c>
    </row>
    <row r="411" spans="1:49" ht="21" customHeight="1">
      <c r="A411" s="234" t="s">
        <v>1937</v>
      </c>
      <c r="B411" s="229" t="s">
        <v>2116</v>
      </c>
      <c r="C411" s="45" t="s">
        <v>87</v>
      </c>
      <c r="D411" s="46" t="s">
        <v>1509</v>
      </c>
      <c r="E411" s="47" t="s">
        <v>1510</v>
      </c>
      <c r="F411" s="48">
        <v>46043</v>
      </c>
      <c r="G411" s="49">
        <f t="shared" si="6"/>
        <v>0</v>
      </c>
      <c r="H411" s="77">
        <f>SUMIF(积分汇总!$B:$B,D410,积分汇总!$E:$E)</f>
        <v>0</v>
      </c>
      <c r="I411" s="77">
        <f>SUMIF(记录巡查问题条数汇总!$B:$B,D410,记录巡查问题条数汇总!$E:$E)</f>
        <v>0</v>
      </c>
      <c r="J411" s="77"/>
      <c r="K411" s="77">
        <f>SUMIF(安全质量事故!$B:$B,D410,安全质量事故!$G:$G)</f>
        <v>0</v>
      </c>
      <c r="L411" s="72">
        <f>COUNTIF(M411:AQ411,标准数据!$A$2)*标准数据!$B$2+COUNTIF(M411:AQ411,标准数据!$A$3)*标准数据!$B$3+COUNTIF(M411:AQ411,标准数据!$A$4)*标准数据!$B$4</f>
        <v>0</v>
      </c>
      <c r="M411" s="103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189"/>
      <c r="AR411" s="55"/>
      <c r="AS411" s="193" t="s">
        <v>1543</v>
      </c>
      <c r="AV411" s="76" t="str">
        <f>VLOOKUP(E411,[1]生产部!$C:$I,7,0)</f>
        <v>常白</v>
      </c>
      <c r="AW411" s="41" t="str">
        <f>VLOOKUP(E411,[1]生产部!$C:$I,6,0)</f>
        <v>5号楼</v>
      </c>
    </row>
    <row r="412" spans="1:49" ht="21" customHeight="1">
      <c r="A412" s="234" t="s">
        <v>1937</v>
      </c>
      <c r="B412" s="229" t="s">
        <v>2116</v>
      </c>
      <c r="C412" s="45" t="s">
        <v>14</v>
      </c>
      <c r="D412" s="46" t="s">
        <v>1511</v>
      </c>
      <c r="E412" s="47" t="s">
        <v>1512</v>
      </c>
      <c r="F412" s="48">
        <v>46162</v>
      </c>
      <c r="G412" s="49">
        <f t="shared" si="6"/>
        <v>0</v>
      </c>
      <c r="H412" s="77">
        <f>SUMIF(积分汇总!$B:$B,D411,积分汇总!$E:$E)</f>
        <v>0</v>
      </c>
      <c r="I412" s="77">
        <f>SUMIF(记录巡查问题条数汇总!$B:$B,D411,记录巡查问题条数汇总!$E:$E)</f>
        <v>0</v>
      </c>
      <c r="J412" s="77"/>
      <c r="K412" s="77">
        <f>SUMIF(安全质量事故!$B:$B,D411,安全质量事故!$G:$G)</f>
        <v>0</v>
      </c>
      <c r="L412" s="72">
        <f>COUNTIF(M412:AQ412,标准数据!$A$2)*标准数据!$B$2+COUNTIF(M412:AQ412,标准数据!$A$3)*标准数据!$B$3+COUNTIF(M412:AQ412,标准数据!$A$4)*标准数据!$B$4</f>
        <v>0</v>
      </c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90"/>
      <c r="AB412" s="56"/>
      <c r="AC412" s="56"/>
      <c r="AD412" s="56"/>
      <c r="AE412" s="56"/>
      <c r="AF412" s="56"/>
      <c r="AG412" s="56"/>
      <c r="AH412" s="56"/>
      <c r="AI412" s="56"/>
      <c r="AJ412" s="47"/>
      <c r="AK412" s="90"/>
      <c r="AL412" s="56"/>
      <c r="AM412" s="56"/>
      <c r="AN412" s="56"/>
      <c r="AO412" s="56"/>
      <c r="AP412" s="56"/>
      <c r="AQ412" s="189"/>
      <c r="AR412" s="55"/>
      <c r="AS412" s="193" t="s">
        <v>1537</v>
      </c>
      <c r="AV412" s="76" t="str">
        <f>VLOOKUP(E412,[1]生产部!$C:$I,7,0)</f>
        <v>常白</v>
      </c>
      <c r="AW412" s="41" t="str">
        <f>VLOOKUP(E412,[1]生产部!$C:$I,6,0)</f>
        <v>5号楼</v>
      </c>
    </row>
    <row r="413" spans="1:49" ht="21" customHeight="1">
      <c r="A413" s="234" t="s">
        <v>1937</v>
      </c>
      <c r="B413" s="229" t="s">
        <v>2116</v>
      </c>
      <c r="C413" s="45" t="s">
        <v>87</v>
      </c>
      <c r="D413" s="46" t="s">
        <v>1513</v>
      </c>
      <c r="E413" s="52" t="s">
        <v>1514</v>
      </c>
      <c r="F413" s="46">
        <v>46169</v>
      </c>
      <c r="G413" s="49">
        <f t="shared" si="6"/>
        <v>0</v>
      </c>
      <c r="H413" s="77">
        <f>SUMIF(积分汇总!$B:$B,D412,积分汇总!$E:$E)</f>
        <v>0</v>
      </c>
      <c r="I413" s="77">
        <f>SUMIF(记录巡查问题条数汇总!$B:$B,D412,记录巡查问题条数汇总!$E:$E)</f>
        <v>0</v>
      </c>
      <c r="J413" s="77"/>
      <c r="K413" s="77">
        <f>SUMIF(安全质量事故!$B:$B,D412,安全质量事故!$G:$G)</f>
        <v>0</v>
      </c>
      <c r="L413" s="72">
        <f>COUNTIF(M413:AQ413,标准数据!$A$2)*标准数据!$B$2+COUNTIF(M413:AQ413,标准数据!$A$3)*标准数据!$B$3+COUNTIF(M413:AQ413,标准数据!$A$4)*标准数据!$B$4</f>
        <v>0</v>
      </c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189"/>
      <c r="AR413" s="55"/>
      <c r="AS413" s="193" t="s">
        <v>1537</v>
      </c>
      <c r="AT413" s="41"/>
      <c r="AU413" s="41"/>
      <c r="AV413" s="76" t="str">
        <f>VLOOKUP(E413,[1]生产部!$C:$I,7,0)</f>
        <v>常白</v>
      </c>
      <c r="AW413" s="41" t="str">
        <f>VLOOKUP(E413,[1]生产部!$C:$I,6,0)</f>
        <v>5号楼</v>
      </c>
    </row>
    <row r="414" spans="1:49" ht="21" customHeight="1">
      <c r="A414" s="234" t="s">
        <v>1937</v>
      </c>
      <c r="B414" s="229" t="s">
        <v>2116</v>
      </c>
      <c r="C414" s="45" t="s">
        <v>87</v>
      </c>
      <c r="D414" s="46" t="s">
        <v>1515</v>
      </c>
      <c r="E414" s="47" t="s">
        <v>1516</v>
      </c>
      <c r="F414" s="48">
        <v>45952</v>
      </c>
      <c r="G414" s="49">
        <f t="shared" si="6"/>
        <v>0</v>
      </c>
      <c r="H414" s="77">
        <f>SUMIF(积分汇总!$B:$B,D413,积分汇总!$E:$E)</f>
        <v>0</v>
      </c>
      <c r="I414" s="77">
        <f>SUMIF(记录巡查问题条数汇总!$B:$B,D413,记录巡查问题条数汇总!$E:$E)</f>
        <v>0</v>
      </c>
      <c r="J414" s="77"/>
      <c r="K414" s="77">
        <f>SUMIF(安全质量事故!$B:$B,D413,安全质量事故!$G:$G)</f>
        <v>0</v>
      </c>
      <c r="L414" s="72">
        <f>COUNTIF(M414:AQ414,标准数据!$A$2)*标准数据!$B$2+COUNTIF(M414:AQ414,标准数据!$A$3)*标准数据!$B$3+COUNTIF(M414:AQ414,标准数据!$A$4)*标准数据!$B$4</f>
        <v>0</v>
      </c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90"/>
      <c r="AL414" s="90"/>
      <c r="AM414" s="90"/>
      <c r="AN414" s="90"/>
      <c r="AO414" s="90"/>
      <c r="AP414" s="90"/>
      <c r="AQ414" s="192"/>
      <c r="AR414" s="90"/>
      <c r="AS414" s="193" t="s">
        <v>1538</v>
      </c>
      <c r="AT414" s="41"/>
      <c r="AU414" s="41"/>
      <c r="AV414" s="76" t="str">
        <f>VLOOKUP(E414,[1]生产部!$C:$I,7,0)</f>
        <v>常白</v>
      </c>
      <c r="AW414" s="41" t="str">
        <f>VLOOKUP(E414,[1]生产部!$C:$I,6,0)</f>
        <v>5号楼</v>
      </c>
    </row>
    <row r="415" spans="1:49" ht="21" customHeight="1">
      <c r="A415" s="234" t="s">
        <v>1937</v>
      </c>
      <c r="B415" s="229" t="s">
        <v>2116</v>
      </c>
      <c r="C415" s="45" t="s">
        <v>14</v>
      </c>
      <c r="D415" s="46" t="s">
        <v>1517</v>
      </c>
      <c r="E415" s="47" t="s">
        <v>1518</v>
      </c>
      <c r="F415" s="48">
        <v>45965</v>
      </c>
      <c r="G415" s="49">
        <f t="shared" si="6"/>
        <v>0</v>
      </c>
      <c r="H415" s="77">
        <f>SUMIF(积分汇总!$B:$B,D414,积分汇总!$E:$E)</f>
        <v>0</v>
      </c>
      <c r="I415" s="77">
        <f>SUMIF(记录巡查问题条数汇总!$B:$B,D414,记录巡查问题条数汇总!$E:$E)</f>
        <v>0</v>
      </c>
      <c r="J415" s="77"/>
      <c r="K415" s="77">
        <f>SUMIF(安全质量事故!$B:$B,D414,安全质量事故!$G:$G)</f>
        <v>0</v>
      </c>
      <c r="L415" s="72">
        <f>COUNTIF(M415:AQ415,标准数据!$A$2)*标准数据!$B$2+COUNTIF(M415:AQ415,标准数据!$A$3)*标准数据!$B$3+COUNTIF(M415:AQ415,标准数据!$A$4)*标准数据!$B$4</f>
        <v>0</v>
      </c>
      <c r="M415" s="56"/>
      <c r="N415" s="90"/>
      <c r="O415" s="56"/>
      <c r="P415" s="90"/>
      <c r="Q415" s="90"/>
      <c r="R415" s="90"/>
      <c r="S415" s="90"/>
      <c r="T415" s="90"/>
      <c r="U415" s="90"/>
      <c r="V415" s="56"/>
      <c r="W415" s="90"/>
      <c r="X415" s="90"/>
      <c r="Y415" s="90"/>
      <c r="Z415" s="90"/>
      <c r="AA415" s="90"/>
      <c r="AB415" s="90"/>
      <c r="AC415" s="56"/>
      <c r="AD415" s="90"/>
      <c r="AE415" s="90"/>
      <c r="AF415" s="90"/>
      <c r="AG415" s="90"/>
      <c r="AH415" s="90"/>
      <c r="AI415" s="56"/>
      <c r="AJ415" s="90"/>
      <c r="AK415" s="90"/>
      <c r="AL415" s="90"/>
      <c r="AM415" s="90"/>
      <c r="AN415" s="56"/>
      <c r="AO415" s="90"/>
      <c r="AP415" s="90"/>
      <c r="AQ415" s="189"/>
      <c r="AR415" s="55"/>
      <c r="AS415" s="193" t="s">
        <v>1434</v>
      </c>
      <c r="AT415" s="41"/>
      <c r="AU415" s="41"/>
      <c r="AV415" s="76" t="str">
        <f>VLOOKUP(E415,[1]生产部!$C:$I,7,0)</f>
        <v>常白</v>
      </c>
      <c r="AW415" s="41" t="str">
        <f>VLOOKUP(E415,[1]生产部!$C:$I,6,0)</f>
        <v>5号楼</v>
      </c>
    </row>
    <row r="416" spans="1:49" ht="21" customHeight="1">
      <c r="A416" s="234" t="s">
        <v>1937</v>
      </c>
      <c r="B416" s="229" t="s">
        <v>2116</v>
      </c>
      <c r="C416" s="45" t="s">
        <v>14</v>
      </c>
      <c r="D416" s="46" t="s">
        <v>1519</v>
      </c>
      <c r="E416" s="47" t="s">
        <v>1520</v>
      </c>
      <c r="F416" s="48">
        <v>45979</v>
      </c>
      <c r="G416" s="49">
        <f t="shared" si="6"/>
        <v>0</v>
      </c>
      <c r="H416" s="77">
        <f>SUMIF(积分汇总!$B:$B,D415,积分汇总!$E:$E)</f>
        <v>0</v>
      </c>
      <c r="I416" s="77">
        <f>SUMIF(记录巡查问题条数汇总!$B:$B,D415,记录巡查问题条数汇总!$E:$E)</f>
        <v>0</v>
      </c>
      <c r="J416" s="77"/>
      <c r="K416" s="77">
        <f>SUMIF(安全质量事故!$B:$B,D415,安全质量事故!$G:$G)</f>
        <v>0</v>
      </c>
      <c r="L416" s="72">
        <f>COUNTIF(M416:AQ416,标准数据!$A$2)*标准数据!$B$2+COUNTIF(M416:AQ416,标准数据!$A$3)*标准数据!$B$3+COUNTIF(M416:AQ416,标准数据!$A$4)*标准数据!$B$4</f>
        <v>0</v>
      </c>
      <c r="M416" s="56"/>
      <c r="N416" s="90"/>
      <c r="O416" s="56"/>
      <c r="P416" s="90"/>
      <c r="Q416" s="90"/>
      <c r="R416" s="90"/>
      <c r="S416" s="90"/>
      <c r="T416" s="90"/>
      <c r="U416" s="90"/>
      <c r="V416" s="56"/>
      <c r="W416" s="90"/>
      <c r="X416" s="90"/>
      <c r="Y416" s="90"/>
      <c r="Z416" s="90"/>
      <c r="AA416" s="90"/>
      <c r="AB416" s="90"/>
      <c r="AC416" s="56"/>
      <c r="AD416" s="90"/>
      <c r="AE416" s="90"/>
      <c r="AF416" s="90"/>
      <c r="AG416" s="90"/>
      <c r="AH416" s="90"/>
      <c r="AI416" s="56"/>
      <c r="AJ416" s="90"/>
      <c r="AK416" s="90"/>
      <c r="AL416" s="90"/>
      <c r="AM416" s="90"/>
      <c r="AN416" s="56"/>
      <c r="AO416" s="90"/>
      <c r="AP416" s="90"/>
      <c r="AQ416" s="189"/>
      <c r="AR416" s="55"/>
      <c r="AS416" s="193" t="s">
        <v>1539</v>
      </c>
      <c r="AT416" s="41"/>
      <c r="AU416" s="41"/>
      <c r="AV416" s="76" t="str">
        <f>VLOOKUP(E416,[1]生产部!$C:$I,7,0)</f>
        <v>常白</v>
      </c>
      <c r="AW416" s="41" t="str">
        <f>VLOOKUP(E416,[1]生产部!$C:$I,6,0)</f>
        <v>5号楼</v>
      </c>
    </row>
    <row r="417" spans="1:49" ht="21" customHeight="1">
      <c r="A417" s="234" t="s">
        <v>1937</v>
      </c>
      <c r="B417" s="229" t="s">
        <v>2116</v>
      </c>
      <c r="C417" s="45" t="s">
        <v>14</v>
      </c>
      <c r="D417" s="46" t="s">
        <v>1521</v>
      </c>
      <c r="E417" s="47" t="s">
        <v>1522</v>
      </c>
      <c r="F417" s="48">
        <v>46181</v>
      </c>
      <c r="G417" s="49">
        <f t="shared" si="6"/>
        <v>0</v>
      </c>
      <c r="H417" s="77">
        <f>SUMIF(积分汇总!$B:$B,D416,积分汇总!$E:$E)</f>
        <v>0</v>
      </c>
      <c r="I417" s="77">
        <f>SUMIF(记录巡查问题条数汇总!$B:$B,D416,记录巡查问题条数汇总!$E:$E)</f>
        <v>0</v>
      </c>
      <c r="J417" s="77"/>
      <c r="K417" s="77">
        <f>SUMIF(安全质量事故!$B:$B,D416,安全质量事故!$G:$G)</f>
        <v>0</v>
      </c>
      <c r="L417" s="72">
        <f>COUNTIF(M417:AQ417,标准数据!$A$2)*标准数据!$B$2+COUNTIF(M417:AQ417,标准数据!$A$3)*标准数据!$B$3+COUNTIF(M417:AQ417,标准数据!$A$4)*标准数据!$B$4</f>
        <v>0</v>
      </c>
      <c r="M417" s="90"/>
      <c r="N417" s="90"/>
      <c r="O417" s="56"/>
      <c r="P417" s="90"/>
      <c r="Q417" s="90"/>
      <c r="R417" s="90"/>
      <c r="S417" s="90"/>
      <c r="T417" s="90"/>
      <c r="U417" s="90"/>
      <c r="V417" s="56"/>
      <c r="W417" s="90"/>
      <c r="X417" s="90"/>
      <c r="Y417" s="90"/>
      <c r="Z417" s="90"/>
      <c r="AA417" s="90"/>
      <c r="AB417" s="90"/>
      <c r="AC417" s="56"/>
      <c r="AD417" s="90"/>
      <c r="AE417" s="90"/>
      <c r="AF417" s="90"/>
      <c r="AG417" s="90"/>
      <c r="AH417" s="90"/>
      <c r="AI417" s="56"/>
      <c r="AJ417" s="90"/>
      <c r="AK417" s="90"/>
      <c r="AL417" s="90"/>
      <c r="AM417" s="90"/>
      <c r="AN417" s="56"/>
      <c r="AO417" s="90"/>
      <c r="AP417" s="90"/>
      <c r="AQ417" s="189"/>
      <c r="AR417" s="55"/>
      <c r="AS417" s="193"/>
      <c r="AT417" s="41"/>
      <c r="AU417" s="41"/>
      <c r="AV417" s="76" t="str">
        <f>VLOOKUP(E417,[1]生产部!$C:$I,7,0)</f>
        <v>常白</v>
      </c>
      <c r="AW417" s="41" t="str">
        <f>VLOOKUP(E417,[1]生产部!$C:$I,6,0)</f>
        <v>5号楼</v>
      </c>
    </row>
    <row r="418" spans="1:49" ht="21" customHeight="1">
      <c r="A418" s="234" t="s">
        <v>1937</v>
      </c>
      <c r="B418" s="229" t="s">
        <v>2116</v>
      </c>
      <c r="C418" s="45" t="s">
        <v>14</v>
      </c>
      <c r="D418" s="46" t="s">
        <v>1523</v>
      </c>
      <c r="E418" s="47" t="s">
        <v>1524</v>
      </c>
      <c r="F418" s="48">
        <v>44389</v>
      </c>
      <c r="G418" s="49">
        <f t="shared" si="6"/>
        <v>0</v>
      </c>
      <c r="H418" s="77">
        <f>SUMIF(积分汇总!$B:$B,D417,积分汇总!$E:$E)</f>
        <v>0</v>
      </c>
      <c r="I418" s="77">
        <f>SUMIF(记录巡查问题条数汇总!$B:$B,D417,记录巡查问题条数汇总!$E:$E)</f>
        <v>0</v>
      </c>
      <c r="J418" s="77"/>
      <c r="K418" s="77">
        <f>SUMIF(安全质量事故!$B:$B,D417,安全质量事故!$G:$G)</f>
        <v>0</v>
      </c>
      <c r="L418" s="72">
        <f>COUNTIF(M418:AQ418,标准数据!$A$2)*标准数据!$B$2+COUNTIF(M418:AQ418,标准数据!$A$3)*标准数据!$B$3+COUNTIF(M418:AQ418,标准数据!$A$4)*标准数据!$B$4</f>
        <v>0</v>
      </c>
      <c r="M418" s="56"/>
      <c r="N418" s="90"/>
      <c r="O418" s="56"/>
      <c r="P418" s="90"/>
      <c r="Q418" s="90"/>
      <c r="R418" s="90"/>
      <c r="S418" s="90"/>
      <c r="T418" s="90"/>
      <c r="U418" s="90"/>
      <c r="V418" s="56"/>
      <c r="W418" s="90"/>
      <c r="X418" s="90"/>
      <c r="Y418" s="90"/>
      <c r="Z418" s="90"/>
      <c r="AA418" s="90"/>
      <c r="AB418" s="90"/>
      <c r="AC418" s="56"/>
      <c r="AD418" s="90"/>
      <c r="AE418" s="90"/>
      <c r="AF418" s="90"/>
      <c r="AG418" s="90"/>
      <c r="AH418" s="90"/>
      <c r="AI418" s="56"/>
      <c r="AJ418" s="90"/>
      <c r="AK418" s="90"/>
      <c r="AL418" s="90"/>
      <c r="AM418" s="90"/>
      <c r="AN418" s="56"/>
      <c r="AO418" s="90"/>
      <c r="AP418" s="90"/>
      <c r="AQ418" s="189"/>
      <c r="AR418" s="55"/>
      <c r="AS418" s="193" t="s">
        <v>1540</v>
      </c>
      <c r="AT418" s="41"/>
      <c r="AU418" s="41"/>
      <c r="AV418" s="76" t="str">
        <f>VLOOKUP(E418,[1]生产部!$C:$I,7,0)</f>
        <v>班组</v>
      </c>
      <c r="AW418" s="41" t="str">
        <f>VLOOKUP(E418,[1]生产部!$C:$I,6,0)</f>
        <v>5号楼</v>
      </c>
    </row>
    <row r="419" spans="1:49" ht="21" customHeight="1">
      <c r="A419" s="234" t="s">
        <v>1937</v>
      </c>
      <c r="B419" s="229" t="s">
        <v>2116</v>
      </c>
      <c r="C419" s="45" t="s">
        <v>14</v>
      </c>
      <c r="D419" s="46" t="s">
        <v>1525</v>
      </c>
      <c r="E419" s="47" t="s">
        <v>1526</v>
      </c>
      <c r="F419" s="48">
        <v>45994</v>
      </c>
      <c r="G419" s="49">
        <f t="shared" si="6"/>
        <v>0</v>
      </c>
      <c r="H419" s="77">
        <f>SUMIF(积分汇总!$B:$B,D418,积分汇总!$E:$E)</f>
        <v>0</v>
      </c>
      <c r="I419" s="77">
        <f>SUMIF(记录巡查问题条数汇总!$B:$B,D418,记录巡查问题条数汇总!$E:$E)</f>
        <v>0</v>
      </c>
      <c r="J419" s="77"/>
      <c r="K419" s="77">
        <f>SUMIF(安全质量事故!$B:$B,D418,安全质量事故!$G:$G)</f>
        <v>0</v>
      </c>
      <c r="L419" s="72">
        <f>COUNTIF(M419:AQ419,标准数据!$A$2)*标准数据!$B$2+COUNTIF(M419:AQ419,标准数据!$A$3)*标准数据!$B$3+COUNTIF(M419:AQ419,标准数据!$A$4)*标准数据!$B$4</f>
        <v>0</v>
      </c>
      <c r="M419" s="56"/>
      <c r="N419" s="90"/>
      <c r="O419" s="56"/>
      <c r="P419" s="90"/>
      <c r="Q419" s="90"/>
      <c r="R419" s="90"/>
      <c r="S419" s="90"/>
      <c r="T419" s="90"/>
      <c r="U419" s="90"/>
      <c r="V419" s="56"/>
      <c r="W419" s="90"/>
      <c r="X419" s="90"/>
      <c r="Y419" s="90"/>
      <c r="Z419" s="90"/>
      <c r="AA419" s="90"/>
      <c r="AB419" s="90"/>
      <c r="AC419" s="56"/>
      <c r="AD419" s="90"/>
      <c r="AE419" s="90"/>
      <c r="AF419" s="90"/>
      <c r="AG419" s="90"/>
      <c r="AH419" s="90"/>
      <c r="AI419" s="56"/>
      <c r="AJ419" s="90"/>
      <c r="AK419" s="90"/>
      <c r="AL419" s="90"/>
      <c r="AM419" s="90"/>
      <c r="AN419" s="56"/>
      <c r="AO419" s="90"/>
      <c r="AP419" s="90"/>
      <c r="AQ419" s="189"/>
      <c r="AR419" s="55"/>
      <c r="AS419" s="193" t="s">
        <v>1538</v>
      </c>
      <c r="AT419" s="41"/>
      <c r="AU419" s="41"/>
      <c r="AV419" s="76" t="str">
        <f>VLOOKUP(E419,[1]生产部!$C:$I,7,0)</f>
        <v>常白</v>
      </c>
      <c r="AW419" s="41" t="str">
        <f>VLOOKUP(E419,[1]生产部!$C:$I,6,0)</f>
        <v>5号楼</v>
      </c>
    </row>
    <row r="420" spans="1:49" ht="21" customHeight="1">
      <c r="A420" s="234" t="s">
        <v>1937</v>
      </c>
      <c r="B420" s="229" t="s">
        <v>2116</v>
      </c>
      <c r="C420" s="45" t="s">
        <v>14</v>
      </c>
      <c r="D420" s="46" t="s">
        <v>1527</v>
      </c>
      <c r="E420" s="47" t="s">
        <v>1528</v>
      </c>
      <c r="F420" s="48">
        <v>45945</v>
      </c>
      <c r="G420" s="49">
        <f t="shared" si="6"/>
        <v>0</v>
      </c>
      <c r="H420" s="77">
        <f>SUMIF(积分汇总!$B:$B,D419,积分汇总!$E:$E)</f>
        <v>0</v>
      </c>
      <c r="I420" s="77">
        <f>SUMIF(记录巡查问题条数汇总!$B:$B,D419,记录巡查问题条数汇总!$E:$E)</f>
        <v>0</v>
      </c>
      <c r="J420" s="77"/>
      <c r="K420" s="77">
        <f>SUMIF(安全质量事故!$B:$B,D419,安全质量事故!$G:$G)</f>
        <v>0</v>
      </c>
      <c r="L420" s="72">
        <f>COUNTIF(M420:AQ420,标准数据!$A$2)*标准数据!$B$2+COUNTIF(M420:AQ420,标准数据!$A$3)*标准数据!$B$3+COUNTIF(M420:AQ420,标准数据!$A$4)*标准数据!$B$4</f>
        <v>0</v>
      </c>
      <c r="M420" s="56"/>
      <c r="N420" s="90"/>
      <c r="O420" s="56"/>
      <c r="P420" s="90"/>
      <c r="Q420" s="90"/>
      <c r="R420" s="90"/>
      <c r="S420" s="90"/>
      <c r="T420" s="90"/>
      <c r="U420" s="90"/>
      <c r="V420" s="56"/>
      <c r="W420" s="90"/>
      <c r="X420" s="90"/>
      <c r="Y420" s="90"/>
      <c r="Z420" s="90"/>
      <c r="AA420" s="90"/>
      <c r="AB420" s="90"/>
      <c r="AC420" s="56"/>
      <c r="AD420" s="90"/>
      <c r="AE420" s="90"/>
      <c r="AF420" s="90"/>
      <c r="AG420" s="90"/>
      <c r="AH420" s="90"/>
      <c r="AI420" s="56"/>
      <c r="AJ420" s="90"/>
      <c r="AK420" s="90"/>
      <c r="AL420" s="90"/>
      <c r="AM420" s="90"/>
      <c r="AN420" s="56"/>
      <c r="AO420" s="90"/>
      <c r="AP420" s="90"/>
      <c r="AQ420" s="189"/>
      <c r="AR420" s="55"/>
      <c r="AS420" s="193" t="s">
        <v>1541</v>
      </c>
      <c r="AT420" s="41"/>
      <c r="AU420" s="41"/>
      <c r="AV420" s="76" t="str">
        <f>VLOOKUP(E420,[1]生产部!$C:$I,7,0)</f>
        <v>班组</v>
      </c>
      <c r="AW420" s="41" t="str">
        <f>VLOOKUP(E420,[1]生产部!$C:$I,6,0)</f>
        <v>5号楼</v>
      </c>
    </row>
    <row r="421" spans="1:49" ht="21" customHeight="1">
      <c r="A421" s="234" t="s">
        <v>1937</v>
      </c>
      <c r="B421" s="229" t="s">
        <v>2116</v>
      </c>
      <c r="C421" s="45" t="s">
        <v>14</v>
      </c>
      <c r="D421" s="46" t="s">
        <v>1529</v>
      </c>
      <c r="E421" s="47" t="s">
        <v>1530</v>
      </c>
      <c r="F421" s="48">
        <v>46176</v>
      </c>
      <c r="G421" s="49">
        <f t="shared" si="6"/>
        <v>0</v>
      </c>
      <c r="H421" s="77">
        <f>SUMIF(积分汇总!$B:$B,#REF!,积分汇总!$E:$E)</f>
        <v>0</v>
      </c>
      <c r="I421" s="77">
        <f>SUMIF(记录巡查问题条数汇总!$B:$B,#REF!,记录巡查问题条数汇总!$E:$E)</f>
        <v>0</v>
      </c>
      <c r="J421" s="77"/>
      <c r="K421" s="77">
        <f>SUMIF(安全质量事故!$B:$B,#REF!,安全质量事故!$G:$G)</f>
        <v>0</v>
      </c>
      <c r="L421" s="72">
        <f>COUNTIF(M421:AQ421,标准数据!$A$2)*标准数据!$B$2+COUNTIF(M421:AQ421,标准数据!$A$3)*标准数据!$B$3+COUNTIF(M421:AQ421,标准数据!$A$4)*标准数据!$B$4</f>
        <v>0</v>
      </c>
      <c r="M421" s="90"/>
      <c r="N421" s="90"/>
      <c r="O421" s="56"/>
      <c r="P421" s="90"/>
      <c r="Q421" s="90"/>
      <c r="R421" s="90"/>
      <c r="S421" s="90"/>
      <c r="T421" s="90"/>
      <c r="U421" s="90"/>
      <c r="V421" s="56"/>
      <c r="W421" s="90"/>
      <c r="X421" s="90"/>
      <c r="Y421" s="90"/>
      <c r="Z421" s="90"/>
      <c r="AA421" s="90"/>
      <c r="AB421" s="90"/>
      <c r="AC421" s="56"/>
      <c r="AD421" s="90"/>
      <c r="AE421" s="90"/>
      <c r="AF421" s="90"/>
      <c r="AG421" s="90"/>
      <c r="AH421" s="90"/>
      <c r="AI421" s="56"/>
      <c r="AJ421" s="90"/>
      <c r="AK421" s="90"/>
      <c r="AL421" s="90"/>
      <c r="AM421" s="90"/>
      <c r="AN421" s="56"/>
      <c r="AO421" s="90"/>
      <c r="AP421" s="90"/>
      <c r="AQ421" s="189"/>
      <c r="AR421" s="55"/>
      <c r="AS421" s="193"/>
      <c r="AT421" s="41"/>
      <c r="AU421" s="41"/>
      <c r="AV421" s="76" t="str">
        <f>VLOOKUP(E421,[1]生产部!$C:$I,7,0)</f>
        <v>常白</v>
      </c>
      <c r="AW421" s="41" t="str">
        <f>VLOOKUP(E421,[1]生产部!$C:$I,6,0)</f>
        <v>5号楼</v>
      </c>
    </row>
    <row r="422" spans="1:49" ht="21" customHeight="1">
      <c r="A422" s="234" t="s">
        <v>1937</v>
      </c>
      <c r="B422" s="229" t="s">
        <v>2116</v>
      </c>
      <c r="C422" s="45" t="s">
        <v>14</v>
      </c>
      <c r="D422" s="46" t="s">
        <v>1531</v>
      </c>
      <c r="E422" s="47" t="s">
        <v>1532</v>
      </c>
      <c r="F422" s="48">
        <v>45945</v>
      </c>
      <c r="G422" s="49">
        <f t="shared" si="6"/>
        <v>0</v>
      </c>
      <c r="H422" s="77">
        <f>SUMIF(积分汇总!$B:$B,D421,积分汇总!$E:$E)</f>
        <v>0</v>
      </c>
      <c r="I422" s="77">
        <f>SUMIF(记录巡查问题条数汇总!$B:$B,D421,记录巡查问题条数汇总!$E:$E)</f>
        <v>0</v>
      </c>
      <c r="J422" s="77"/>
      <c r="K422" s="77">
        <f>SUMIF(安全质量事故!$B:$B,D421,安全质量事故!$G:$G)</f>
        <v>0</v>
      </c>
      <c r="L422" s="72">
        <f>COUNTIF(M422:AQ422,标准数据!$A$2)*标准数据!$B$2+COUNTIF(M422:AQ422,标准数据!$A$3)*标准数据!$B$3+COUNTIF(M422:AQ422,标准数据!$A$4)*标准数据!$B$4</f>
        <v>0</v>
      </c>
      <c r="M422" s="56"/>
      <c r="N422" s="90"/>
      <c r="O422" s="56"/>
      <c r="P422" s="90"/>
      <c r="Q422" s="90"/>
      <c r="R422" s="90"/>
      <c r="S422" s="90"/>
      <c r="T422" s="90"/>
      <c r="U422" s="90"/>
      <c r="V422" s="56"/>
      <c r="W422" s="90"/>
      <c r="X422" s="90"/>
      <c r="Y422" s="90"/>
      <c r="Z422" s="90"/>
      <c r="AA422" s="90"/>
      <c r="AB422" s="90"/>
      <c r="AC422" s="56"/>
      <c r="AD422" s="90"/>
      <c r="AE422" s="90"/>
      <c r="AF422" s="90"/>
      <c r="AG422" s="90"/>
      <c r="AH422" s="90"/>
      <c r="AI422" s="56"/>
      <c r="AJ422" s="90"/>
      <c r="AK422" s="90"/>
      <c r="AL422" s="90"/>
      <c r="AM422" s="90"/>
      <c r="AN422" s="56"/>
      <c r="AO422" s="90"/>
      <c r="AP422" s="90"/>
      <c r="AQ422" s="189"/>
      <c r="AR422" s="55"/>
      <c r="AS422" s="193" t="s">
        <v>1539</v>
      </c>
      <c r="AT422" s="41"/>
      <c r="AU422" s="41"/>
      <c r="AV422" s="76" t="str">
        <f>VLOOKUP(E422,[1]生产部!$C:$I,7,0)</f>
        <v>班组</v>
      </c>
      <c r="AW422" s="41" t="str">
        <f>VLOOKUP(E422,[1]生产部!$C:$I,6,0)</f>
        <v>5号楼</v>
      </c>
    </row>
    <row r="423" spans="1:49" ht="21" customHeight="1">
      <c r="A423" s="234" t="s">
        <v>1937</v>
      </c>
      <c r="B423" s="229" t="s">
        <v>2116</v>
      </c>
      <c r="C423" s="45" t="s">
        <v>14</v>
      </c>
      <c r="D423" s="46" t="s">
        <v>1533</v>
      </c>
      <c r="E423" s="47" t="s">
        <v>1534</v>
      </c>
      <c r="F423" s="48">
        <v>46160</v>
      </c>
      <c r="G423" s="49">
        <f t="shared" si="6"/>
        <v>0</v>
      </c>
      <c r="H423" s="77">
        <f>SUMIF(积分汇总!$B:$B,D422,积分汇总!$E:$E)</f>
        <v>0</v>
      </c>
      <c r="I423" s="77">
        <f>SUMIF(记录巡查问题条数汇总!$B:$B,D422,记录巡查问题条数汇总!$E:$E)</f>
        <v>0</v>
      </c>
      <c r="J423" s="77"/>
      <c r="K423" s="77">
        <f>SUMIF(安全质量事故!$B:$B,D422,安全质量事故!$G:$G)</f>
        <v>0</v>
      </c>
      <c r="L423" s="72">
        <f>COUNTIF(M423:AQ423,标准数据!$A$2)*标准数据!$B$2+COUNTIF(M423:AQ423,标准数据!$A$3)*标准数据!$B$3+COUNTIF(M423:AQ423,标准数据!$A$4)*标准数据!$B$4</f>
        <v>0</v>
      </c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47"/>
      <c r="AM423" s="90"/>
      <c r="AN423" s="56"/>
      <c r="AO423" s="47"/>
      <c r="AP423" s="90"/>
      <c r="AQ423" s="189"/>
      <c r="AR423" s="55"/>
      <c r="AS423" s="193"/>
      <c r="AV423" s="76" t="str">
        <f>VLOOKUP(E423,[1]生产部!$C:$I,7,0)</f>
        <v>班组</v>
      </c>
      <c r="AW423" s="41" t="str">
        <f>VLOOKUP(E423,[1]生产部!$C:$I,6,0)</f>
        <v>5号楼</v>
      </c>
    </row>
    <row r="424" spans="1:49" ht="21" customHeight="1">
      <c r="A424" s="234" t="s">
        <v>1937</v>
      </c>
      <c r="B424" s="229" t="s">
        <v>2116</v>
      </c>
      <c r="C424" s="45" t="s">
        <v>14</v>
      </c>
      <c r="D424" s="46" t="s">
        <v>1535</v>
      </c>
      <c r="E424" s="47" t="s">
        <v>1536</v>
      </c>
      <c r="F424" s="48">
        <v>45959</v>
      </c>
      <c r="G424" s="49">
        <f t="shared" si="6"/>
        <v>0</v>
      </c>
      <c r="H424" s="77">
        <f>SUMIF(积分汇总!$B:$B,D423,积分汇总!$E:$E)</f>
        <v>0</v>
      </c>
      <c r="I424" s="77">
        <f>SUMIF(记录巡查问题条数汇总!$B:$B,D423,记录巡查问题条数汇总!$E:$E)</f>
        <v>0</v>
      </c>
      <c r="J424" s="77"/>
      <c r="K424" s="77">
        <f>SUMIF(安全质量事故!$B:$B,D423,安全质量事故!$G:$G)</f>
        <v>0</v>
      </c>
      <c r="L424" s="72">
        <f>COUNTIF(M424:AQ424,标准数据!$A$2)*标准数据!$B$2+COUNTIF(M424:AQ424,标准数据!$A$3)*标准数据!$B$3+COUNTIF(M424:AQ424,标准数据!$A$4)*标准数据!$B$4</f>
        <v>0</v>
      </c>
      <c r="M424" s="56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56"/>
      <c r="AC424" s="56"/>
      <c r="AD424" s="56"/>
      <c r="AE424" s="56"/>
      <c r="AF424" s="56"/>
      <c r="AG424" s="56"/>
      <c r="AH424" s="56"/>
      <c r="AI424" s="56"/>
      <c r="AJ424" s="47"/>
      <c r="AK424" s="90"/>
      <c r="AL424" s="56"/>
      <c r="AM424" s="56"/>
      <c r="AN424" s="56"/>
      <c r="AO424" s="56"/>
      <c r="AP424" s="56"/>
      <c r="AQ424" s="189"/>
      <c r="AR424" s="55"/>
      <c r="AS424" s="193" t="s">
        <v>1542</v>
      </c>
      <c r="AV424" s="76" t="str">
        <f>VLOOKUP(E424,[1]生产部!$C:$I,7,0)</f>
        <v>班组</v>
      </c>
      <c r="AW424" s="41" t="str">
        <f>VLOOKUP(E424,[1]生产部!$C:$I,6,0)</f>
        <v>5号楼</v>
      </c>
    </row>
    <row r="425" spans="1:49" ht="21" customHeight="1">
      <c r="A425" s="234" t="s">
        <v>1937</v>
      </c>
      <c r="B425" s="229" t="s">
        <v>2116</v>
      </c>
      <c r="C425" s="45" t="s">
        <v>14</v>
      </c>
      <c r="D425" s="46" t="s">
        <v>1816</v>
      </c>
      <c r="E425" s="47" t="s">
        <v>1817</v>
      </c>
      <c r="F425" s="48">
        <v>46197</v>
      </c>
      <c r="G425" s="49">
        <f t="shared" si="6"/>
        <v>0</v>
      </c>
      <c r="H425" s="77">
        <f>SUMIF(积分汇总!$B:$B,D424,积分汇总!$E:$E)</f>
        <v>0</v>
      </c>
      <c r="I425" s="77">
        <f>SUMIF(记录巡查问题条数汇总!$B:$B,D424,记录巡查问题条数汇总!$E:$E)</f>
        <v>0</v>
      </c>
      <c r="J425" s="77"/>
      <c r="K425" s="77">
        <f>SUMIF(安全质量事故!$B:$B,D424,安全质量事故!$G:$G)</f>
        <v>0</v>
      </c>
      <c r="L425" s="72">
        <f>COUNTIF(M425:AQ425,标准数据!$A$2)*标准数据!$B$2+COUNTIF(M425:AQ425,标准数据!$A$3)*标准数据!$B$3+COUNTIF(M425:AQ425,标准数据!$A$4)*标准数据!$B$4</f>
        <v>0</v>
      </c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47"/>
      <c r="AD425" s="56"/>
      <c r="AE425" s="56"/>
      <c r="AF425" s="47"/>
      <c r="AG425" s="47"/>
      <c r="AH425" s="47"/>
      <c r="AI425" s="47"/>
      <c r="AJ425" s="47"/>
      <c r="AK425" s="47"/>
      <c r="AL425" s="90"/>
      <c r="AM425" s="90"/>
      <c r="AN425" s="47"/>
      <c r="AO425" s="90"/>
      <c r="AP425" s="90"/>
      <c r="AQ425" s="191"/>
      <c r="AR425" s="47"/>
      <c r="AT425" s="41"/>
      <c r="AU425" s="41"/>
      <c r="AV425" s="76" t="str">
        <f>VLOOKUP(E425,[1]生产部!$C:$I,7,0)</f>
        <v>班组</v>
      </c>
      <c r="AW425" s="41" t="str">
        <f>VLOOKUP(E425,[1]生产部!$C:$I,6,0)</f>
        <v>5号楼</v>
      </c>
    </row>
    <row r="426" spans="1:49" ht="21" customHeight="1">
      <c r="A426" s="234" t="s">
        <v>1937</v>
      </c>
      <c r="B426" s="229" t="s">
        <v>2116</v>
      </c>
      <c r="C426" s="45" t="s">
        <v>14</v>
      </c>
      <c r="D426" s="46" t="s">
        <v>1818</v>
      </c>
      <c r="E426" s="47" t="s">
        <v>1819</v>
      </c>
      <c r="F426" s="48">
        <v>46204</v>
      </c>
      <c r="G426" s="49">
        <f t="shared" si="6"/>
        <v>0</v>
      </c>
      <c r="H426" s="77">
        <f>SUMIF(积分汇总!$B:$B,D425,积分汇总!$E:$E)</f>
        <v>0</v>
      </c>
      <c r="I426" s="77">
        <f>SUMIF(记录巡查问题条数汇总!$B:$B,D425,记录巡查问题条数汇总!$E:$E)</f>
        <v>0</v>
      </c>
      <c r="J426" s="77"/>
      <c r="K426" s="77">
        <f>SUMIF(安全质量事故!$B:$B,D425,安全质量事故!$G:$G)</f>
        <v>0</v>
      </c>
      <c r="L426" s="72">
        <f>COUNTIF(M426:AQ426,标准数据!$A$2)*标准数据!$B$2+COUNTIF(M426:AQ426,标准数据!$A$3)*标准数据!$B$3+COUNTIF(M426:AQ426,标准数据!$A$4)*标准数据!$B$4</f>
        <v>0</v>
      </c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189"/>
      <c r="AR426" s="55"/>
      <c r="AT426" s="41"/>
      <c r="AU426" s="41"/>
      <c r="AV426" s="76" t="str">
        <f>VLOOKUP(E426,[1]生产部!$C:$I,7,0)</f>
        <v>项目组</v>
      </c>
      <c r="AW426" s="41" t="str">
        <f>VLOOKUP(E426,[1]生产部!$C:$I,6,0)</f>
        <v>5号楼</v>
      </c>
    </row>
    <row r="427" spans="1:49" ht="21" customHeight="1">
      <c r="A427" s="234" t="s">
        <v>1937</v>
      </c>
      <c r="B427" s="229" t="s">
        <v>2116</v>
      </c>
      <c r="C427" s="45" t="s">
        <v>14</v>
      </c>
      <c r="D427" s="46" t="s">
        <v>1820</v>
      </c>
      <c r="E427" s="47" t="s">
        <v>1821</v>
      </c>
      <c r="F427" s="48">
        <v>46204</v>
      </c>
      <c r="G427" s="49">
        <f t="shared" si="6"/>
        <v>0</v>
      </c>
      <c r="H427" s="77">
        <f>SUMIF(积分汇总!$B:$B,D426,积分汇总!$E:$E)</f>
        <v>0</v>
      </c>
      <c r="I427" s="77">
        <f>SUMIF(记录巡查问题条数汇总!$B:$B,D426,记录巡查问题条数汇总!$E:$E)</f>
        <v>0</v>
      </c>
      <c r="J427" s="77"/>
      <c r="K427" s="77">
        <f>SUMIF(安全质量事故!$B:$B,D426,安全质量事故!$G:$G)</f>
        <v>0</v>
      </c>
      <c r="L427" s="72">
        <f>COUNTIF(M427:AQ427,标准数据!$A$2)*标准数据!$B$2+COUNTIF(M427:AQ427,标准数据!$A$3)*标准数据!$B$3+COUNTIF(M427:AQ427,标准数据!$A$4)*标准数据!$B$4</f>
        <v>0</v>
      </c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189"/>
      <c r="AR427" s="55"/>
      <c r="AV427" s="76" t="str">
        <f>VLOOKUP(E427,[1]生产部!$C:$I,7,0)</f>
        <v>项目组</v>
      </c>
      <c r="AW427" s="41" t="str">
        <f>VLOOKUP(E427,[1]生产部!$C:$I,6,0)</f>
        <v>5号楼</v>
      </c>
    </row>
    <row r="428" spans="1:49" ht="21" customHeight="1">
      <c r="A428" s="234" t="s">
        <v>1937</v>
      </c>
      <c r="B428" s="229" t="s">
        <v>2116</v>
      </c>
      <c r="C428" s="45" t="s">
        <v>14</v>
      </c>
      <c r="D428" s="46" t="s">
        <v>1822</v>
      </c>
      <c r="E428" s="47" t="s">
        <v>1823</v>
      </c>
      <c r="F428" s="48">
        <v>46197</v>
      </c>
      <c r="G428" s="49">
        <f t="shared" si="6"/>
        <v>0</v>
      </c>
      <c r="H428" s="77">
        <f>SUMIF(积分汇总!$B:$B,D427,积分汇总!$E:$E)</f>
        <v>0</v>
      </c>
      <c r="I428" s="77">
        <f>SUMIF(记录巡查问题条数汇总!$B:$B,D427,记录巡查问题条数汇总!$E:$E)</f>
        <v>0</v>
      </c>
      <c r="J428" s="77"/>
      <c r="K428" s="77">
        <f>SUMIF(安全质量事故!$B:$B,D427,安全质量事故!$G:$G)</f>
        <v>0</v>
      </c>
      <c r="L428" s="72">
        <f>COUNTIF(M428:AQ428,标准数据!$A$2)*标准数据!$B$2+COUNTIF(M428:AQ428,标准数据!$A$3)*标准数据!$B$3+COUNTIF(M428:AQ428,标准数据!$A$4)*标准数据!$B$4</f>
        <v>0</v>
      </c>
      <c r="M428" s="103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189"/>
      <c r="AR428" s="55"/>
      <c r="AV428" s="76" t="str">
        <f>VLOOKUP(E428,[1]生产部!$C:$I,7,0)</f>
        <v>常白</v>
      </c>
      <c r="AW428" s="41" t="str">
        <f>VLOOKUP(E428,[1]生产部!$C:$I,6,0)</f>
        <v>5号楼</v>
      </c>
    </row>
    <row r="429" spans="1:49" ht="21" customHeight="1">
      <c r="A429" s="234" t="s">
        <v>1937</v>
      </c>
      <c r="B429" s="229" t="s">
        <v>2116</v>
      </c>
      <c r="C429" s="45" t="s">
        <v>14</v>
      </c>
      <c r="D429" s="46" t="s">
        <v>1824</v>
      </c>
      <c r="E429" s="47" t="s">
        <v>1825</v>
      </c>
      <c r="F429" s="48">
        <v>46204</v>
      </c>
      <c r="G429" s="49">
        <f t="shared" si="6"/>
        <v>0</v>
      </c>
      <c r="H429" s="77">
        <f>SUMIF(积分汇总!$B:$B,D428,积分汇总!$E:$E)</f>
        <v>0</v>
      </c>
      <c r="I429" s="77">
        <f>SUMIF(记录巡查问题条数汇总!$B:$B,D428,记录巡查问题条数汇总!$E:$E)</f>
        <v>0</v>
      </c>
      <c r="J429" s="77"/>
      <c r="K429" s="77">
        <f>SUMIF(安全质量事故!$B:$B,D428,安全质量事故!$G:$G)</f>
        <v>0</v>
      </c>
      <c r="L429" s="72">
        <f>COUNTIF(M429:AQ429,标准数据!$A$2)*标准数据!$B$2+COUNTIF(M429:AQ429,标准数据!$A$3)*标准数据!$B$3+COUNTIF(M429:AQ429,标准数据!$A$4)*标准数据!$B$4</f>
        <v>0</v>
      </c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189"/>
      <c r="AR429" s="55"/>
      <c r="AT429" s="41"/>
      <c r="AU429" s="41"/>
      <c r="AV429" s="76" t="str">
        <f>VLOOKUP(E429,[1]生产部!$C:$I,7,0)</f>
        <v>常白</v>
      </c>
      <c r="AW429" s="41" t="str">
        <f>VLOOKUP(E429,[1]生产部!$C:$I,6,0)</f>
        <v>5号楼</v>
      </c>
    </row>
    <row r="430" spans="1:49" ht="21" customHeight="1">
      <c r="A430" s="234" t="s">
        <v>1937</v>
      </c>
      <c r="B430" s="229" t="s">
        <v>2116</v>
      </c>
      <c r="C430" s="45" t="s">
        <v>14</v>
      </c>
      <c r="D430" s="46" t="s">
        <v>1826</v>
      </c>
      <c r="E430" s="47" t="s">
        <v>1827</v>
      </c>
      <c r="F430" s="48">
        <v>46204</v>
      </c>
      <c r="G430" s="49">
        <f t="shared" si="6"/>
        <v>0</v>
      </c>
      <c r="H430" s="77">
        <f>SUMIF(积分汇总!$B:$B,D429,积分汇总!$E:$E)</f>
        <v>0</v>
      </c>
      <c r="I430" s="77">
        <f>SUMIF(记录巡查问题条数汇总!$B:$B,D429,记录巡查问题条数汇总!$E:$E)</f>
        <v>0</v>
      </c>
      <c r="J430" s="77"/>
      <c r="K430" s="77">
        <f>SUMIF(安全质量事故!$B:$B,D429,安全质量事故!$G:$G)</f>
        <v>0</v>
      </c>
      <c r="L430" s="72">
        <f>COUNTIF(M430:AQ430,标准数据!$A$2)*标准数据!$B$2+COUNTIF(M430:AQ430,标准数据!$A$3)*标准数据!$B$3+COUNTIF(M430:AQ430,标准数据!$A$4)*标准数据!$B$4</f>
        <v>0</v>
      </c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90"/>
      <c r="AB430" s="56"/>
      <c r="AC430" s="56"/>
      <c r="AD430" s="56"/>
      <c r="AE430" s="56"/>
      <c r="AF430" s="56"/>
      <c r="AG430" s="56"/>
      <c r="AH430" s="56"/>
      <c r="AI430" s="56"/>
      <c r="AJ430" s="47"/>
      <c r="AK430" s="90"/>
      <c r="AL430" s="56"/>
      <c r="AM430" s="56"/>
      <c r="AN430" s="56"/>
      <c r="AO430" s="56"/>
      <c r="AP430" s="56"/>
      <c r="AQ430" s="189"/>
      <c r="AR430" s="55"/>
      <c r="AV430" s="76" t="str">
        <f>VLOOKUP(E430,[1]生产部!$C:$I,7,0)</f>
        <v>常白</v>
      </c>
      <c r="AW430" s="41" t="str">
        <f>VLOOKUP(E430,[1]生产部!$C:$I,6,0)</f>
        <v>5号楼</v>
      </c>
    </row>
    <row r="431" spans="1:49" ht="21" customHeight="1">
      <c r="A431" s="234" t="s">
        <v>1937</v>
      </c>
      <c r="B431" s="229" t="s">
        <v>2116</v>
      </c>
      <c r="C431" s="45" t="s">
        <v>14</v>
      </c>
      <c r="D431" s="46" t="s">
        <v>1828</v>
      </c>
      <c r="E431" s="52" t="s">
        <v>1829</v>
      </c>
      <c r="F431" s="46">
        <v>46204</v>
      </c>
      <c r="G431" s="49">
        <f t="shared" si="6"/>
        <v>0</v>
      </c>
      <c r="H431" s="77">
        <f>SUMIF(积分汇总!$B:$B,D430,积分汇总!$E:$E)</f>
        <v>0</v>
      </c>
      <c r="I431" s="77">
        <f>SUMIF(记录巡查问题条数汇总!$B:$B,D430,记录巡查问题条数汇总!$E:$E)</f>
        <v>0</v>
      </c>
      <c r="J431" s="77"/>
      <c r="K431" s="77">
        <f>SUMIF(安全质量事故!$B:$B,D430,安全质量事故!$G:$G)</f>
        <v>0</v>
      </c>
      <c r="L431" s="72">
        <f>COUNTIF(M431:AQ431,标准数据!$A$2)*标准数据!$B$2+COUNTIF(M431:AQ431,标准数据!$A$3)*标准数据!$B$3+COUNTIF(M431:AQ431,标准数据!$A$4)*标准数据!$B$4</f>
        <v>0</v>
      </c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189"/>
      <c r="AR431" s="55"/>
      <c r="AT431" s="41"/>
      <c r="AU431" s="41"/>
      <c r="AV431" s="76" t="str">
        <f>VLOOKUP(E431,[1]生产部!$C:$I,7,0)</f>
        <v>常白</v>
      </c>
      <c r="AW431" s="41" t="str">
        <f>VLOOKUP(E431,[1]生产部!$C:$I,6,0)</f>
        <v>5号楼</v>
      </c>
    </row>
    <row r="432" spans="1:49" ht="21" customHeight="1">
      <c r="A432" s="234" t="s">
        <v>1937</v>
      </c>
      <c r="B432" s="229" t="s">
        <v>2116</v>
      </c>
      <c r="C432" s="45" t="s">
        <v>14</v>
      </c>
      <c r="D432" s="46" t="s">
        <v>1830</v>
      </c>
      <c r="E432" s="47" t="s">
        <v>1831</v>
      </c>
      <c r="F432" s="48">
        <v>46204</v>
      </c>
      <c r="G432" s="49">
        <f t="shared" si="6"/>
        <v>0</v>
      </c>
      <c r="H432" s="77">
        <f>SUMIF(积分汇总!$B:$B,D431,积分汇总!$E:$E)</f>
        <v>0</v>
      </c>
      <c r="I432" s="77">
        <f>SUMIF(记录巡查问题条数汇总!$B:$B,D431,记录巡查问题条数汇总!$E:$E)</f>
        <v>0</v>
      </c>
      <c r="J432" s="77"/>
      <c r="K432" s="77">
        <f>SUMIF(安全质量事故!$B:$B,D431,安全质量事故!$G:$G)</f>
        <v>0</v>
      </c>
      <c r="L432" s="72">
        <f>COUNTIF(M432:AQ432,标准数据!$A$2)*标准数据!$B$2+COUNTIF(M432:AQ432,标准数据!$A$3)*标准数据!$B$3+COUNTIF(M432:AQ432,标准数据!$A$4)*标准数据!$B$4</f>
        <v>0</v>
      </c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90"/>
      <c r="AL432" s="90"/>
      <c r="AM432" s="90"/>
      <c r="AN432" s="90"/>
      <c r="AO432" s="90"/>
      <c r="AP432" s="90"/>
      <c r="AQ432" s="192"/>
      <c r="AR432" s="90"/>
      <c r="AT432" s="41"/>
      <c r="AU432" s="41"/>
      <c r="AV432" s="76" t="str">
        <f>VLOOKUP(E432,[1]生产部!$C:$I,7,0)</f>
        <v>常白</v>
      </c>
      <c r="AW432" s="41" t="str">
        <f>VLOOKUP(E432,[1]生产部!$C:$I,6,0)</f>
        <v>5号楼</v>
      </c>
    </row>
    <row r="433" spans="1:49" ht="21" customHeight="1">
      <c r="A433" s="234" t="s">
        <v>1937</v>
      </c>
      <c r="B433" s="229" t="s">
        <v>2116</v>
      </c>
      <c r="C433" s="45" t="s">
        <v>14</v>
      </c>
      <c r="D433" s="46" t="s">
        <v>1832</v>
      </c>
      <c r="E433" s="47" t="s">
        <v>1833</v>
      </c>
      <c r="F433" s="48">
        <v>46204</v>
      </c>
      <c r="G433" s="49">
        <f t="shared" si="6"/>
        <v>0</v>
      </c>
      <c r="H433" s="77">
        <f>SUMIF(积分汇总!$B:$B,D432,积分汇总!$E:$E)</f>
        <v>0</v>
      </c>
      <c r="I433" s="77">
        <f>SUMIF(记录巡查问题条数汇总!$B:$B,D432,记录巡查问题条数汇总!$E:$E)</f>
        <v>0</v>
      </c>
      <c r="J433" s="77"/>
      <c r="K433" s="77">
        <f>SUMIF(安全质量事故!$B:$B,D432,安全质量事故!$G:$G)</f>
        <v>0</v>
      </c>
      <c r="L433" s="72">
        <f>COUNTIF(M433:AQ433,标准数据!$A$2)*标准数据!$B$2+COUNTIF(M433:AQ433,标准数据!$A$3)*标准数据!$B$3+COUNTIF(M433:AQ433,标准数据!$A$4)*标准数据!$B$4</f>
        <v>0</v>
      </c>
      <c r="M433" s="90"/>
      <c r="N433" s="90"/>
      <c r="O433" s="56"/>
      <c r="P433" s="90"/>
      <c r="Q433" s="90"/>
      <c r="R433" s="90"/>
      <c r="S433" s="90"/>
      <c r="T433" s="90"/>
      <c r="U433" s="90"/>
      <c r="V433" s="56"/>
      <c r="W433" s="90"/>
      <c r="X433" s="90"/>
      <c r="Y433" s="90"/>
      <c r="Z433" s="90"/>
      <c r="AA433" s="90"/>
      <c r="AB433" s="90"/>
      <c r="AC433" s="56"/>
      <c r="AD433" s="90"/>
      <c r="AE433" s="90"/>
      <c r="AF433" s="90"/>
      <c r="AG433" s="90"/>
      <c r="AH433" s="90"/>
      <c r="AI433" s="56"/>
      <c r="AJ433" s="90"/>
      <c r="AK433" s="90"/>
      <c r="AL433" s="90"/>
      <c r="AM433" s="90"/>
      <c r="AN433" s="56"/>
      <c r="AO433" s="90"/>
      <c r="AP433" s="90"/>
      <c r="AQ433" s="189"/>
      <c r="AR433" s="55"/>
      <c r="AT433" s="41"/>
      <c r="AU433" s="41"/>
      <c r="AV433" s="76" t="str">
        <f>VLOOKUP(E433,[1]生产部!$C:$I,7,0)</f>
        <v>班组</v>
      </c>
      <c r="AW433" s="41" t="str">
        <f>VLOOKUP(E433,[1]生产部!$C:$I,6,0)</f>
        <v>5号楼</v>
      </c>
    </row>
    <row r="434" spans="1:49" ht="21" customHeight="1">
      <c r="A434" s="234" t="s">
        <v>1937</v>
      </c>
      <c r="B434" s="229" t="s">
        <v>2116</v>
      </c>
      <c r="C434" s="45" t="s">
        <v>14</v>
      </c>
      <c r="D434" s="46" t="s">
        <v>1834</v>
      </c>
      <c r="E434" s="47" t="s">
        <v>1835</v>
      </c>
      <c r="F434" s="48">
        <v>46204</v>
      </c>
      <c r="G434" s="49">
        <f t="shared" si="6"/>
        <v>0</v>
      </c>
      <c r="H434" s="77">
        <f>SUMIF(积分汇总!$B:$B,D433,积分汇总!$E:$E)</f>
        <v>0</v>
      </c>
      <c r="I434" s="77">
        <f>SUMIF(记录巡查问题条数汇总!$B:$B,D433,记录巡查问题条数汇总!$E:$E)</f>
        <v>0</v>
      </c>
      <c r="J434" s="77"/>
      <c r="K434" s="77">
        <f>SUMIF(安全质量事故!$B:$B,D433,安全质量事故!$G:$G)</f>
        <v>0</v>
      </c>
      <c r="L434" s="72">
        <f>COUNTIF(M434:AQ434,标准数据!$A$2)*标准数据!$B$2+COUNTIF(M434:AQ434,标准数据!$A$3)*标准数据!$B$3+COUNTIF(M434:AQ434,标准数据!$A$4)*标准数据!$B$4</f>
        <v>0</v>
      </c>
      <c r="M434" s="90"/>
      <c r="N434" s="90"/>
      <c r="O434" s="56"/>
      <c r="P434" s="90"/>
      <c r="Q434" s="90"/>
      <c r="R434" s="90"/>
      <c r="S434" s="90"/>
      <c r="T434" s="90"/>
      <c r="U434" s="90"/>
      <c r="V434" s="56"/>
      <c r="W434" s="90"/>
      <c r="X434" s="90"/>
      <c r="Y434" s="90"/>
      <c r="Z434" s="90"/>
      <c r="AA434" s="90"/>
      <c r="AB434" s="90"/>
      <c r="AC434" s="56"/>
      <c r="AD434" s="90"/>
      <c r="AE434" s="90"/>
      <c r="AF434" s="90"/>
      <c r="AG434" s="90"/>
      <c r="AH434" s="90"/>
      <c r="AI434" s="56"/>
      <c r="AJ434" s="90"/>
      <c r="AK434" s="90"/>
      <c r="AL434" s="90"/>
      <c r="AM434" s="90"/>
      <c r="AN434" s="56"/>
      <c r="AO434" s="90"/>
      <c r="AP434" s="90"/>
      <c r="AQ434" s="189"/>
      <c r="AR434" s="55"/>
      <c r="AT434" s="41"/>
      <c r="AU434" s="41"/>
      <c r="AV434" s="76" t="str">
        <f>VLOOKUP(E434,[1]生产部!$C:$I,7,0)</f>
        <v>常白</v>
      </c>
      <c r="AW434" s="41" t="str">
        <f>VLOOKUP(E434,[1]生产部!$C:$I,6,0)</f>
        <v>5号楼</v>
      </c>
    </row>
    <row r="435" spans="1:49" ht="21" customHeight="1">
      <c r="A435" s="234" t="s">
        <v>1937</v>
      </c>
      <c r="B435" s="229" t="s">
        <v>2116</v>
      </c>
      <c r="C435" s="45" t="s">
        <v>14</v>
      </c>
      <c r="D435" s="46" t="s">
        <v>1836</v>
      </c>
      <c r="E435" s="47" t="s">
        <v>1837</v>
      </c>
      <c r="F435" s="48">
        <v>46204</v>
      </c>
      <c r="G435" s="49">
        <f t="shared" si="6"/>
        <v>0</v>
      </c>
      <c r="H435" s="77">
        <f>SUMIF(积分汇总!$B:$B,D434,积分汇总!$E:$E)</f>
        <v>0</v>
      </c>
      <c r="I435" s="77">
        <f>SUMIF(记录巡查问题条数汇总!$B:$B,D434,记录巡查问题条数汇总!$E:$E)</f>
        <v>0</v>
      </c>
      <c r="J435" s="77"/>
      <c r="K435" s="77">
        <f>SUMIF(安全质量事故!$B:$B,D434,安全质量事故!$G:$G)</f>
        <v>0</v>
      </c>
      <c r="L435" s="72">
        <f>COUNTIF(M435:AQ435,标准数据!$A$2)*标准数据!$B$2+COUNTIF(M435:AQ435,标准数据!$A$3)*标准数据!$B$3+COUNTIF(M435:AQ435,标准数据!$A$4)*标准数据!$B$4</f>
        <v>0</v>
      </c>
      <c r="M435" s="90"/>
      <c r="N435" s="90"/>
      <c r="O435" s="56"/>
      <c r="P435" s="90"/>
      <c r="Q435" s="90"/>
      <c r="R435" s="90"/>
      <c r="S435" s="90"/>
      <c r="T435" s="90"/>
      <c r="U435" s="90"/>
      <c r="V435" s="56"/>
      <c r="W435" s="90"/>
      <c r="X435" s="90"/>
      <c r="Y435" s="90"/>
      <c r="Z435" s="90"/>
      <c r="AA435" s="90"/>
      <c r="AB435" s="90"/>
      <c r="AC435" s="56"/>
      <c r="AD435" s="90"/>
      <c r="AE435" s="90"/>
      <c r="AF435" s="90"/>
      <c r="AG435" s="90"/>
      <c r="AH435" s="90"/>
      <c r="AI435" s="56"/>
      <c r="AJ435" s="90"/>
      <c r="AK435" s="90"/>
      <c r="AL435" s="90"/>
      <c r="AM435" s="90"/>
      <c r="AN435" s="56"/>
      <c r="AO435" s="90"/>
      <c r="AP435" s="90"/>
      <c r="AQ435" s="189"/>
      <c r="AR435" s="55"/>
      <c r="AT435" s="41"/>
      <c r="AU435" s="41"/>
      <c r="AV435" s="76" t="str">
        <f>VLOOKUP(E435,[1]生产部!$C:$I,7,0)</f>
        <v>班组</v>
      </c>
      <c r="AW435" s="41" t="str">
        <f>VLOOKUP(E435,[1]生产部!$C:$I,6,0)</f>
        <v>5号楼</v>
      </c>
    </row>
    <row r="436" spans="1:49" ht="21" customHeight="1">
      <c r="A436" s="234" t="s">
        <v>1937</v>
      </c>
      <c r="B436" s="229" t="s">
        <v>2116</v>
      </c>
      <c r="C436" s="45" t="s">
        <v>14</v>
      </c>
      <c r="D436" s="46" t="s">
        <v>1838</v>
      </c>
      <c r="E436" s="47" t="s">
        <v>1839</v>
      </c>
      <c r="F436" s="48">
        <v>46208</v>
      </c>
      <c r="G436" s="49">
        <f t="shared" si="6"/>
        <v>0</v>
      </c>
      <c r="H436" s="77">
        <f>SUMIF(积分汇总!$B:$B,D435,积分汇总!$E:$E)</f>
        <v>0</v>
      </c>
      <c r="I436" s="77">
        <f>SUMIF(记录巡查问题条数汇总!$B:$B,D435,记录巡查问题条数汇总!$E:$E)</f>
        <v>0</v>
      </c>
      <c r="J436" s="77"/>
      <c r="K436" s="77">
        <f>SUMIF(安全质量事故!$B:$B,D435,安全质量事故!$G:$G)</f>
        <v>0</v>
      </c>
      <c r="L436" s="72">
        <f>COUNTIF(M436:AQ436,标准数据!$A$2)*标准数据!$B$2+COUNTIF(M436:AQ436,标准数据!$A$3)*标准数据!$B$3+COUNTIF(M436:AQ436,标准数据!$A$4)*标准数据!$B$4</f>
        <v>0</v>
      </c>
      <c r="M436" s="90"/>
      <c r="N436" s="90"/>
      <c r="O436" s="56"/>
      <c r="P436" s="90"/>
      <c r="Q436" s="90"/>
      <c r="R436" s="90"/>
      <c r="S436" s="90"/>
      <c r="T436" s="90"/>
      <c r="U436" s="90"/>
      <c r="V436" s="56"/>
      <c r="W436" s="90"/>
      <c r="X436" s="90"/>
      <c r="Y436" s="90"/>
      <c r="Z436" s="90"/>
      <c r="AA436" s="90"/>
      <c r="AB436" s="90"/>
      <c r="AC436" s="56"/>
      <c r="AD436" s="90"/>
      <c r="AE436" s="90"/>
      <c r="AF436" s="90"/>
      <c r="AG436" s="90"/>
      <c r="AH436" s="90"/>
      <c r="AI436" s="56"/>
      <c r="AJ436" s="90"/>
      <c r="AK436" s="90"/>
      <c r="AL436" s="90"/>
      <c r="AM436" s="90"/>
      <c r="AN436" s="56"/>
      <c r="AO436" s="90"/>
      <c r="AP436" s="90"/>
      <c r="AQ436" s="189"/>
      <c r="AR436" s="55"/>
      <c r="AT436" s="41"/>
      <c r="AU436" s="41"/>
      <c r="AV436" s="76" t="str">
        <f>VLOOKUP(E436,[1]生产部!$C:$I,7,0)</f>
        <v>班组</v>
      </c>
      <c r="AW436" s="41" t="str">
        <f>VLOOKUP(E436,[1]生产部!$C:$I,6,0)</f>
        <v>5号楼</v>
      </c>
    </row>
    <row r="437" spans="1:49" ht="21" customHeight="1">
      <c r="A437" s="234" t="s">
        <v>1937</v>
      </c>
      <c r="B437" s="229" t="s">
        <v>2116</v>
      </c>
      <c r="C437" s="45" t="s">
        <v>14</v>
      </c>
      <c r="D437" s="46" t="s">
        <v>1840</v>
      </c>
      <c r="E437" s="47" t="s">
        <v>1841</v>
      </c>
      <c r="F437" s="48">
        <v>46208</v>
      </c>
      <c r="G437" s="49">
        <f t="shared" si="6"/>
        <v>0</v>
      </c>
      <c r="H437" s="77">
        <f>SUMIF(积分汇总!$B:$B,#REF!,积分汇总!$E:$E)</f>
        <v>0</v>
      </c>
      <c r="I437" s="77">
        <f>SUMIF(记录巡查问题条数汇总!$B:$B,#REF!,记录巡查问题条数汇总!$E:$E)</f>
        <v>0</v>
      </c>
      <c r="J437" s="77"/>
      <c r="K437" s="77">
        <f>SUMIF(安全质量事故!$B:$B,#REF!,安全质量事故!$G:$G)</f>
        <v>0</v>
      </c>
      <c r="L437" s="72">
        <f>COUNTIF(M437:AQ437,标准数据!$A$2)*标准数据!$B$2+COUNTIF(M437:AQ437,标准数据!$A$3)*标准数据!$B$3+COUNTIF(M437:AQ437,标准数据!$A$4)*标准数据!$B$4</f>
        <v>0</v>
      </c>
      <c r="M437" s="90"/>
      <c r="N437" s="90"/>
      <c r="O437" s="56"/>
      <c r="P437" s="90"/>
      <c r="Q437" s="90"/>
      <c r="R437" s="90"/>
      <c r="S437" s="90"/>
      <c r="T437" s="90"/>
      <c r="U437" s="90"/>
      <c r="V437" s="56"/>
      <c r="W437" s="90"/>
      <c r="X437" s="90"/>
      <c r="Y437" s="90"/>
      <c r="Z437" s="90"/>
      <c r="AA437" s="90"/>
      <c r="AB437" s="90"/>
      <c r="AC437" s="56"/>
      <c r="AD437" s="90"/>
      <c r="AE437" s="90"/>
      <c r="AF437" s="90"/>
      <c r="AG437" s="90"/>
      <c r="AH437" s="90"/>
      <c r="AI437" s="56"/>
      <c r="AJ437" s="90"/>
      <c r="AK437" s="90"/>
      <c r="AL437" s="90"/>
      <c r="AM437" s="90"/>
      <c r="AN437" s="56"/>
      <c r="AO437" s="90"/>
      <c r="AP437" s="90"/>
      <c r="AQ437" s="189"/>
      <c r="AR437" s="55"/>
      <c r="AT437" s="41"/>
      <c r="AU437" s="41"/>
      <c r="AV437" s="76" t="str">
        <f>VLOOKUP(E437,[1]生产部!$C:$I,7,0)</f>
        <v>班组</v>
      </c>
      <c r="AW437" s="41" t="str">
        <f>VLOOKUP(E437,[1]生产部!$C:$I,6,0)</f>
        <v>5号楼</v>
      </c>
    </row>
    <row r="438" spans="1:49" ht="21" customHeight="1">
      <c r="A438" s="234" t="s">
        <v>1937</v>
      </c>
      <c r="B438" s="229" t="s">
        <v>2116</v>
      </c>
      <c r="C438" s="45" t="s">
        <v>14</v>
      </c>
      <c r="D438" s="46" t="s">
        <v>1842</v>
      </c>
      <c r="E438" s="47" t="s">
        <v>1843</v>
      </c>
      <c r="F438" s="48">
        <v>46197</v>
      </c>
      <c r="G438" s="49">
        <f t="shared" si="6"/>
        <v>0</v>
      </c>
      <c r="H438" s="77">
        <f>SUMIF(积分汇总!$B:$B,D437,积分汇总!$E:$E)</f>
        <v>0</v>
      </c>
      <c r="I438" s="77">
        <f>SUMIF(记录巡查问题条数汇总!$B:$B,D437,记录巡查问题条数汇总!$E:$E)</f>
        <v>0</v>
      </c>
      <c r="J438" s="77"/>
      <c r="K438" s="77">
        <f>SUMIF(安全质量事故!$B:$B,D437,安全质量事故!$G:$G)</f>
        <v>0</v>
      </c>
      <c r="L438" s="72">
        <f>COUNTIF(M438:AQ438,标准数据!$A$2)*标准数据!$B$2+COUNTIF(M438:AQ438,标准数据!$A$3)*标准数据!$B$3+COUNTIF(M438:AQ438,标准数据!$A$4)*标准数据!$B$4</f>
        <v>0</v>
      </c>
      <c r="M438" s="90"/>
      <c r="N438" s="90"/>
      <c r="O438" s="56"/>
      <c r="P438" s="90"/>
      <c r="Q438" s="90"/>
      <c r="R438" s="90"/>
      <c r="S438" s="90"/>
      <c r="T438" s="90"/>
      <c r="U438" s="90"/>
      <c r="V438" s="56"/>
      <c r="W438" s="90"/>
      <c r="X438" s="90"/>
      <c r="Y438" s="90"/>
      <c r="Z438" s="90"/>
      <c r="AA438" s="90"/>
      <c r="AB438" s="90"/>
      <c r="AC438" s="56"/>
      <c r="AD438" s="90"/>
      <c r="AE438" s="90"/>
      <c r="AF438" s="90"/>
      <c r="AG438" s="90"/>
      <c r="AH438" s="90"/>
      <c r="AI438" s="56"/>
      <c r="AJ438" s="90"/>
      <c r="AK438" s="90"/>
      <c r="AL438" s="90"/>
      <c r="AM438" s="90"/>
      <c r="AN438" s="56"/>
      <c r="AO438" s="90"/>
      <c r="AP438" s="90"/>
      <c r="AQ438" s="189"/>
      <c r="AR438" s="55"/>
      <c r="AT438" s="41"/>
      <c r="AU438" s="41"/>
      <c r="AV438" s="76" t="str">
        <f>VLOOKUP(E438,[1]生产部!$C:$I,7,0)</f>
        <v>班组</v>
      </c>
      <c r="AW438" s="41" t="str">
        <f>VLOOKUP(E438,[1]生产部!$C:$I,6,0)</f>
        <v>5号楼</v>
      </c>
    </row>
    <row r="439" spans="1:49" ht="21" customHeight="1">
      <c r="A439" s="234" t="s">
        <v>1937</v>
      </c>
      <c r="B439" s="229" t="s">
        <v>2116</v>
      </c>
      <c r="C439" s="45" t="s">
        <v>14</v>
      </c>
      <c r="D439" s="46" t="s">
        <v>1844</v>
      </c>
      <c r="E439" s="47" t="s">
        <v>1845</v>
      </c>
      <c r="F439" s="48">
        <v>46204</v>
      </c>
      <c r="G439" s="49">
        <f t="shared" si="6"/>
        <v>0</v>
      </c>
      <c r="H439" s="77">
        <f>SUMIF(积分汇总!$B:$B,D438,积分汇总!$E:$E)</f>
        <v>0</v>
      </c>
      <c r="I439" s="77">
        <f>SUMIF(记录巡查问题条数汇总!$B:$B,D438,记录巡查问题条数汇总!$E:$E)</f>
        <v>0</v>
      </c>
      <c r="J439" s="77"/>
      <c r="K439" s="77">
        <f>SUMIF(安全质量事故!$B:$B,D438,安全质量事故!$G:$G)</f>
        <v>0</v>
      </c>
      <c r="L439" s="72">
        <f>COUNTIF(M439:AQ439,标准数据!$A$2)*标准数据!$B$2+COUNTIF(M439:AQ439,标准数据!$A$3)*标准数据!$B$3+COUNTIF(M439:AQ439,标准数据!$A$4)*标准数据!$B$4</f>
        <v>0</v>
      </c>
      <c r="M439" s="90"/>
      <c r="N439" s="90"/>
      <c r="O439" s="56"/>
      <c r="P439" s="90"/>
      <c r="Q439" s="90"/>
      <c r="R439" s="90"/>
      <c r="S439" s="90"/>
      <c r="T439" s="90"/>
      <c r="U439" s="90"/>
      <c r="V439" s="56"/>
      <c r="W439" s="90"/>
      <c r="X439" s="90"/>
      <c r="Y439" s="90"/>
      <c r="Z439" s="90"/>
      <c r="AA439" s="90"/>
      <c r="AB439" s="90"/>
      <c r="AC439" s="56"/>
      <c r="AD439" s="90"/>
      <c r="AE439" s="90"/>
      <c r="AF439" s="90"/>
      <c r="AG439" s="90"/>
      <c r="AH439" s="90"/>
      <c r="AI439" s="56"/>
      <c r="AJ439" s="90"/>
      <c r="AK439" s="90"/>
      <c r="AL439" s="90"/>
      <c r="AM439" s="90"/>
      <c r="AN439" s="56"/>
      <c r="AO439" s="90"/>
      <c r="AP439" s="90"/>
      <c r="AQ439" s="189"/>
      <c r="AR439" s="55"/>
      <c r="AT439" s="41"/>
      <c r="AU439" s="41"/>
      <c r="AV439" s="76" t="str">
        <f>VLOOKUP(E439,[1]生产部!$C:$I,7,0)</f>
        <v>班组</v>
      </c>
      <c r="AW439" s="41" t="str">
        <f>VLOOKUP(E439,[1]生产部!$C:$I,6,0)</f>
        <v>5号楼</v>
      </c>
    </row>
    <row r="440" spans="1:49" ht="21" customHeight="1">
      <c r="A440" s="234" t="s">
        <v>1937</v>
      </c>
      <c r="B440" s="229" t="s">
        <v>2116</v>
      </c>
      <c r="C440" s="45" t="s">
        <v>14</v>
      </c>
      <c r="D440" s="46" t="s">
        <v>1846</v>
      </c>
      <c r="E440" s="47" t="s">
        <v>1847</v>
      </c>
      <c r="F440" s="48">
        <v>46204</v>
      </c>
      <c r="G440" s="49">
        <f t="shared" si="6"/>
        <v>0</v>
      </c>
      <c r="H440" s="77">
        <f>SUMIF(积分汇总!$B:$B,D439,积分汇总!$E:$E)</f>
        <v>0</v>
      </c>
      <c r="I440" s="77">
        <f>SUMIF(记录巡查问题条数汇总!$B:$B,D439,记录巡查问题条数汇总!$E:$E)</f>
        <v>0</v>
      </c>
      <c r="J440" s="77"/>
      <c r="K440" s="77">
        <f>SUMIF(安全质量事故!$B:$B,D439,安全质量事故!$G:$G)</f>
        <v>0</v>
      </c>
      <c r="L440" s="72">
        <f>COUNTIF(M440:AQ440,标准数据!$A$2)*标准数据!$B$2+COUNTIF(M440:AQ440,标准数据!$A$3)*标准数据!$B$3+COUNTIF(M440:AQ440,标准数据!$A$4)*标准数据!$B$4</f>
        <v>0</v>
      </c>
      <c r="M440" s="90"/>
      <c r="N440" s="90"/>
      <c r="O440" s="56"/>
      <c r="P440" s="90"/>
      <c r="Q440" s="90"/>
      <c r="R440" s="90"/>
      <c r="S440" s="90"/>
      <c r="T440" s="90"/>
      <c r="U440" s="90"/>
      <c r="V440" s="56"/>
      <c r="W440" s="90"/>
      <c r="X440" s="90"/>
      <c r="Y440" s="90"/>
      <c r="Z440" s="90"/>
      <c r="AA440" s="90"/>
      <c r="AB440" s="90"/>
      <c r="AC440" s="56"/>
      <c r="AD440" s="90"/>
      <c r="AE440" s="90"/>
      <c r="AF440" s="90"/>
      <c r="AG440" s="90"/>
      <c r="AH440" s="90"/>
      <c r="AI440" s="56"/>
      <c r="AJ440" s="90"/>
      <c r="AK440" s="90"/>
      <c r="AL440" s="90"/>
      <c r="AM440" s="90"/>
      <c r="AN440" s="56"/>
      <c r="AO440" s="90"/>
      <c r="AP440" s="90"/>
      <c r="AQ440" s="189"/>
      <c r="AR440" s="55"/>
      <c r="AT440" s="41"/>
      <c r="AU440" s="41"/>
      <c r="AV440" s="76" t="str">
        <f>VLOOKUP(E440,[1]生产部!$C:$I,7,0)</f>
        <v>班组</v>
      </c>
      <c r="AW440" s="41" t="str">
        <f>VLOOKUP(E440,[1]生产部!$C:$I,6,0)</f>
        <v>5号楼</v>
      </c>
    </row>
    <row r="441" spans="1:49" ht="21" customHeight="1">
      <c r="A441" s="234" t="s">
        <v>1937</v>
      </c>
      <c r="B441" s="229" t="s">
        <v>2116</v>
      </c>
      <c r="C441" s="45" t="s">
        <v>14</v>
      </c>
      <c r="D441" s="46" t="s">
        <v>1848</v>
      </c>
      <c r="E441" s="47" t="s">
        <v>1849</v>
      </c>
      <c r="F441" s="48">
        <v>46197</v>
      </c>
      <c r="G441" s="49">
        <f t="shared" si="6"/>
        <v>0</v>
      </c>
      <c r="H441" s="77">
        <f>SUMIF(积分汇总!$B:$B,D440,积分汇总!$E:$E)</f>
        <v>0</v>
      </c>
      <c r="I441" s="77">
        <f>SUMIF(记录巡查问题条数汇总!$B:$B,D440,记录巡查问题条数汇总!$E:$E)</f>
        <v>0</v>
      </c>
      <c r="J441" s="77"/>
      <c r="K441" s="77">
        <f>SUMIF(安全质量事故!$B:$B,D440,安全质量事故!$G:$G)</f>
        <v>0</v>
      </c>
      <c r="L441" s="72">
        <f>COUNTIF(M441:AQ441,标准数据!$A$2)*标准数据!$B$2+COUNTIF(M441:AQ441,标准数据!$A$3)*标准数据!$B$3+COUNTIF(M441:AQ441,标准数据!$A$4)*标准数据!$B$4</f>
        <v>0</v>
      </c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47"/>
      <c r="AM441" s="90"/>
      <c r="AN441" s="56"/>
      <c r="AO441" s="47"/>
      <c r="AP441" s="90"/>
      <c r="AQ441" s="189"/>
      <c r="AR441" s="55"/>
      <c r="AV441" s="76" t="str">
        <f>VLOOKUP(E441,[1]生产部!$C:$I,7,0)</f>
        <v>班组</v>
      </c>
      <c r="AW441" s="41" t="str">
        <f>VLOOKUP(E441,[1]生产部!$C:$I,6,0)</f>
        <v>5号楼</v>
      </c>
    </row>
    <row r="442" spans="1:49" ht="21" customHeight="1">
      <c r="A442" s="234" t="s">
        <v>1937</v>
      </c>
      <c r="B442" s="229" t="s">
        <v>2116</v>
      </c>
      <c r="C442" s="45" t="s">
        <v>14</v>
      </c>
      <c r="D442" s="46" t="s">
        <v>1852</v>
      </c>
      <c r="E442" s="47" t="s">
        <v>1853</v>
      </c>
      <c r="F442" s="48">
        <v>46215</v>
      </c>
      <c r="G442" s="49">
        <f t="shared" si="6"/>
        <v>0</v>
      </c>
      <c r="H442" s="77">
        <f>SUMIF(积分汇总!$B:$B,#REF!,积分汇总!$E:$E)</f>
        <v>0</v>
      </c>
      <c r="I442" s="77">
        <f>SUMIF(记录巡查问题条数汇总!$B:$B,#REF!,记录巡查问题条数汇总!$E:$E)</f>
        <v>0</v>
      </c>
      <c r="J442" s="77"/>
      <c r="K442" s="77">
        <f>SUMIF(安全质量事故!$B:$B,#REF!,安全质量事故!$G:$G)</f>
        <v>0</v>
      </c>
      <c r="L442" s="72">
        <f>COUNTIF(M442:AQ442,标准数据!$A$2)*标准数据!$B$2+COUNTIF(M442:AQ442,标准数据!$A$3)*标准数据!$B$3+COUNTIF(M442:AQ442,标准数据!$A$4)*标准数据!$B$4</f>
        <v>0</v>
      </c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189"/>
      <c r="AR442" s="55"/>
      <c r="AV442" s="76" t="str">
        <f>VLOOKUP(E442,[1]生产部!$C:$I,7,0)</f>
        <v>常白</v>
      </c>
      <c r="AW442" s="41" t="str">
        <f>VLOOKUP(E442,[1]生产部!$C:$I,6,0)</f>
        <v>5号楼</v>
      </c>
    </row>
    <row r="443" spans="1:49" ht="21" customHeight="1">
      <c r="A443" s="234" t="s">
        <v>1937</v>
      </c>
      <c r="B443" s="229" t="s">
        <v>2116</v>
      </c>
      <c r="C443" s="45" t="s">
        <v>14</v>
      </c>
      <c r="D443" s="46" t="s">
        <v>1854</v>
      </c>
      <c r="E443" s="47" t="s">
        <v>1855</v>
      </c>
      <c r="F443" s="48">
        <v>46215</v>
      </c>
      <c r="G443" s="49">
        <f t="shared" si="6"/>
        <v>0</v>
      </c>
      <c r="H443" s="77">
        <f>SUMIF(积分汇总!$B:$B,D442,积分汇总!$E:$E)</f>
        <v>0</v>
      </c>
      <c r="I443" s="77">
        <f>SUMIF(记录巡查问题条数汇总!$B:$B,D442,记录巡查问题条数汇总!$E:$E)</f>
        <v>0</v>
      </c>
      <c r="J443" s="77"/>
      <c r="K443" s="77">
        <f>SUMIF(安全质量事故!$B:$B,D442,安全质量事故!$G:$G)</f>
        <v>0</v>
      </c>
      <c r="L443" s="72">
        <f>COUNTIF(M443:AQ443,标准数据!$A$2)*标准数据!$B$2+COUNTIF(M443:AQ443,标准数据!$A$3)*标准数据!$B$3+COUNTIF(M443:AQ443,标准数据!$A$4)*标准数据!$B$4</f>
        <v>0</v>
      </c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189"/>
      <c r="AR443" s="55"/>
      <c r="AT443" s="41"/>
      <c r="AU443" s="41"/>
      <c r="AV443" s="76" t="str">
        <f>VLOOKUP(E443,[1]生产部!$C:$I,7,0)</f>
        <v>常白</v>
      </c>
      <c r="AW443" s="41" t="str">
        <f>VLOOKUP(E443,[1]生产部!$C:$I,6,0)</f>
        <v>5号楼</v>
      </c>
    </row>
    <row r="444" spans="1:49" ht="21" customHeight="1">
      <c r="A444" s="234" t="s">
        <v>1937</v>
      </c>
      <c r="B444" s="229" t="s">
        <v>2116</v>
      </c>
      <c r="C444" s="45" t="s">
        <v>14</v>
      </c>
      <c r="D444" s="46" t="s">
        <v>1856</v>
      </c>
      <c r="E444" s="52" t="s">
        <v>1857</v>
      </c>
      <c r="F444" s="46">
        <v>46215</v>
      </c>
      <c r="G444" s="49">
        <f t="shared" si="6"/>
        <v>0</v>
      </c>
      <c r="H444" s="77">
        <f>SUMIF(积分汇总!$B:$B,D443,积分汇总!$E:$E)</f>
        <v>0</v>
      </c>
      <c r="I444" s="77">
        <f>SUMIF(记录巡查问题条数汇总!$B:$B,D443,记录巡查问题条数汇总!$E:$E)</f>
        <v>0</v>
      </c>
      <c r="J444" s="77"/>
      <c r="K444" s="77">
        <f>SUMIF(安全质量事故!$B:$B,D443,安全质量事故!$G:$G)</f>
        <v>0</v>
      </c>
      <c r="L444" s="72">
        <f>COUNTIF(M444:AQ444,标准数据!$A$2)*标准数据!$B$2+COUNTIF(M444:AQ444,标准数据!$A$3)*标准数据!$B$3+COUNTIF(M444:AQ444,标准数据!$A$4)*标准数据!$B$4</f>
        <v>0</v>
      </c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189"/>
      <c r="AR444" s="55"/>
      <c r="AT444" s="41"/>
      <c r="AU444" s="41"/>
      <c r="AV444" s="76" t="str">
        <f>VLOOKUP(E444,[1]生产部!$C:$I,7,0)</f>
        <v>班组</v>
      </c>
      <c r="AW444" s="41" t="str">
        <f>VLOOKUP(E444,[1]生产部!$C:$I,6,0)</f>
        <v>5号楼</v>
      </c>
    </row>
    <row r="445" spans="1:49" ht="21" customHeight="1">
      <c r="A445" s="234" t="s">
        <v>1937</v>
      </c>
      <c r="B445" s="229" t="s">
        <v>2116</v>
      </c>
      <c r="C445" s="45" t="s">
        <v>14</v>
      </c>
      <c r="D445" s="46" t="s">
        <v>1858</v>
      </c>
      <c r="E445" s="47" t="s">
        <v>1859</v>
      </c>
      <c r="F445" s="48">
        <v>46215</v>
      </c>
      <c r="G445" s="49">
        <f t="shared" si="6"/>
        <v>0</v>
      </c>
      <c r="H445" s="77">
        <f>SUMIF(积分汇总!$B:$B,D444,积分汇总!$E:$E)</f>
        <v>0</v>
      </c>
      <c r="I445" s="77">
        <f>SUMIF(记录巡查问题条数汇总!$B:$B,D444,记录巡查问题条数汇总!$E:$E)</f>
        <v>0</v>
      </c>
      <c r="J445" s="77"/>
      <c r="K445" s="77">
        <f>SUMIF(安全质量事故!$B:$B,D444,安全质量事故!$G:$G)</f>
        <v>0</v>
      </c>
      <c r="L445" s="72">
        <f>COUNTIF(M445:AQ445,标准数据!$A$2)*标准数据!$B$2+COUNTIF(M445:AQ445,标准数据!$A$3)*标准数据!$B$3+COUNTIF(M445:AQ445,标准数据!$A$4)*标准数据!$B$4</f>
        <v>0</v>
      </c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56"/>
      <c r="AD445" s="90"/>
      <c r="AE445" s="90"/>
      <c r="AF445" s="90"/>
      <c r="AG445" s="90"/>
      <c r="AH445" s="90"/>
      <c r="AI445" s="56"/>
      <c r="AJ445" s="90"/>
      <c r="AK445" s="90"/>
      <c r="AL445" s="90"/>
      <c r="AM445" s="90"/>
      <c r="AN445" s="56"/>
      <c r="AO445" s="90"/>
      <c r="AP445" s="90"/>
      <c r="AQ445" s="189"/>
      <c r="AR445" s="55"/>
      <c r="AT445" s="41"/>
      <c r="AU445" s="41"/>
      <c r="AV445" s="76" t="str">
        <f>VLOOKUP(E445,[1]生产部!$C:$I,7,0)</f>
        <v>常白</v>
      </c>
      <c r="AW445" s="41" t="str">
        <f>VLOOKUP(E445,[1]生产部!$C:$I,6,0)</f>
        <v>5号楼</v>
      </c>
    </row>
    <row r="446" spans="1:49" ht="21" customHeight="1">
      <c r="A446" s="234" t="s">
        <v>1937</v>
      </c>
      <c r="B446" s="229" t="s">
        <v>2116</v>
      </c>
      <c r="C446" s="45" t="s">
        <v>14</v>
      </c>
      <c r="D446" s="46" t="s">
        <v>1860</v>
      </c>
      <c r="E446" s="47" t="s">
        <v>1861</v>
      </c>
      <c r="F446" s="48">
        <v>46215</v>
      </c>
      <c r="G446" s="49">
        <f t="shared" si="6"/>
        <v>0</v>
      </c>
      <c r="H446" s="77">
        <f>SUMIF(积分汇总!$B:$B,D445,积分汇总!$E:$E)</f>
        <v>0</v>
      </c>
      <c r="I446" s="77">
        <f>SUMIF(记录巡查问题条数汇总!$B:$B,D445,记录巡查问题条数汇总!$E:$E)</f>
        <v>0</v>
      </c>
      <c r="J446" s="77"/>
      <c r="K446" s="77">
        <f>SUMIF(安全质量事故!$B:$B,D445,安全质量事故!$G:$G)</f>
        <v>0</v>
      </c>
      <c r="L446" s="72">
        <f>COUNTIF(M446:AQ446,标准数据!$A$2)*标准数据!$B$2+COUNTIF(M446:AQ446,标准数据!$A$3)*标准数据!$B$3+COUNTIF(M446:AQ446,标准数据!$A$4)*标准数据!$B$4</f>
        <v>0</v>
      </c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56"/>
      <c r="AD446" s="90"/>
      <c r="AE446" s="90"/>
      <c r="AF446" s="90"/>
      <c r="AG446" s="90"/>
      <c r="AH446" s="90"/>
      <c r="AI446" s="56"/>
      <c r="AJ446" s="90"/>
      <c r="AK446" s="90"/>
      <c r="AL446" s="90"/>
      <c r="AM446" s="90"/>
      <c r="AN446" s="56"/>
      <c r="AO446" s="90"/>
      <c r="AP446" s="90"/>
      <c r="AQ446" s="189"/>
      <c r="AR446" s="55"/>
      <c r="AT446" s="41"/>
      <c r="AU446" s="41"/>
      <c r="AV446" s="76" t="str">
        <f>VLOOKUP(E446,[1]生产部!$C:$I,7,0)</f>
        <v>常白</v>
      </c>
      <c r="AW446" s="41" t="str">
        <f>VLOOKUP(E446,[1]生产部!$C:$I,6,0)</f>
        <v>5号楼</v>
      </c>
    </row>
    <row r="447" spans="1:49" ht="21" customHeight="1">
      <c r="A447" s="234" t="s">
        <v>1937</v>
      </c>
      <c r="B447" s="229" t="s">
        <v>2116</v>
      </c>
      <c r="C447" s="45" t="s">
        <v>14</v>
      </c>
      <c r="D447" s="46" t="s">
        <v>1862</v>
      </c>
      <c r="E447" s="47" t="s">
        <v>1863</v>
      </c>
      <c r="F447" s="48">
        <v>46215</v>
      </c>
      <c r="G447" s="49">
        <f t="shared" si="6"/>
        <v>0</v>
      </c>
      <c r="H447" s="77">
        <f>SUMIF(积分汇总!$B:$B,D446,积分汇总!$E:$E)</f>
        <v>0</v>
      </c>
      <c r="I447" s="77">
        <f>SUMIF(记录巡查问题条数汇总!$B:$B,D446,记录巡查问题条数汇总!$E:$E)</f>
        <v>0</v>
      </c>
      <c r="J447" s="77"/>
      <c r="K447" s="77">
        <f>SUMIF(安全质量事故!$B:$B,D446,安全质量事故!$G:$G)</f>
        <v>0</v>
      </c>
      <c r="L447" s="72">
        <f>COUNTIF(M447:AQ447,标准数据!$A$2)*标准数据!$B$2+COUNTIF(M447:AQ447,标准数据!$A$3)*标准数据!$B$3+COUNTIF(M447:AQ447,标准数据!$A$4)*标准数据!$B$4</f>
        <v>0</v>
      </c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56"/>
      <c r="AD447" s="90"/>
      <c r="AE447" s="90"/>
      <c r="AF447" s="90"/>
      <c r="AG447" s="90"/>
      <c r="AH447" s="90"/>
      <c r="AI447" s="56"/>
      <c r="AJ447" s="90"/>
      <c r="AK447" s="90"/>
      <c r="AL447" s="90"/>
      <c r="AM447" s="90"/>
      <c r="AN447" s="56"/>
      <c r="AO447" s="90"/>
      <c r="AP447" s="90"/>
      <c r="AQ447" s="189"/>
      <c r="AR447" s="55"/>
      <c r="AT447" s="41"/>
      <c r="AU447" s="41"/>
      <c r="AV447" s="76" t="str">
        <f>VLOOKUP(E447,[1]生产部!$C:$I,7,0)</f>
        <v>班组</v>
      </c>
      <c r="AW447" s="41" t="str">
        <f>VLOOKUP(E447,[1]生产部!$C:$I,6,0)</f>
        <v>5号楼</v>
      </c>
    </row>
    <row r="448" spans="1:49" ht="21" customHeight="1">
      <c r="A448" s="234" t="s">
        <v>1937</v>
      </c>
      <c r="B448" s="229" t="s">
        <v>2116</v>
      </c>
      <c r="C448" s="45" t="s">
        <v>14</v>
      </c>
      <c r="D448" s="46" t="s">
        <v>1864</v>
      </c>
      <c r="E448" s="47" t="s">
        <v>1865</v>
      </c>
      <c r="F448" s="48">
        <v>46215</v>
      </c>
      <c r="G448" s="49">
        <f t="shared" si="6"/>
        <v>0</v>
      </c>
      <c r="H448" s="77">
        <f>SUMIF(积分汇总!$B:$B,D447,积分汇总!$E:$E)</f>
        <v>0</v>
      </c>
      <c r="I448" s="77">
        <f>SUMIF(记录巡查问题条数汇总!$B:$B,D447,记录巡查问题条数汇总!$E:$E)</f>
        <v>0</v>
      </c>
      <c r="J448" s="77"/>
      <c r="K448" s="77">
        <f>SUMIF(安全质量事故!$B:$B,D447,安全质量事故!$G:$G)</f>
        <v>0</v>
      </c>
      <c r="L448" s="72">
        <f>COUNTIF(M448:AQ448,标准数据!$A$2)*标准数据!$B$2+COUNTIF(M448:AQ448,标准数据!$A$3)*标准数据!$B$3+COUNTIF(M448:AQ448,标准数据!$A$4)*标准数据!$B$4</f>
        <v>0</v>
      </c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56"/>
      <c r="AD448" s="90"/>
      <c r="AE448" s="90"/>
      <c r="AF448" s="90"/>
      <c r="AG448" s="90"/>
      <c r="AH448" s="90"/>
      <c r="AI448" s="56"/>
      <c r="AJ448" s="90"/>
      <c r="AK448" s="90"/>
      <c r="AL448" s="90"/>
      <c r="AM448" s="90"/>
      <c r="AN448" s="56"/>
      <c r="AO448" s="90"/>
      <c r="AP448" s="90"/>
      <c r="AQ448" s="189"/>
      <c r="AR448" s="55"/>
      <c r="AT448" s="41"/>
      <c r="AU448" s="41"/>
      <c r="AV448" s="76" t="str">
        <f>VLOOKUP(E448,[1]生产部!$C:$I,7,0)</f>
        <v>班组</v>
      </c>
      <c r="AW448" s="41" t="str">
        <f>VLOOKUP(E448,[1]生产部!$C:$I,6,0)</f>
        <v>5号楼</v>
      </c>
    </row>
    <row r="449" spans="1:49" ht="21" customHeight="1">
      <c r="A449" s="234" t="s">
        <v>1937</v>
      </c>
      <c r="B449" s="229" t="s">
        <v>2116</v>
      </c>
      <c r="C449" s="45" t="s">
        <v>14</v>
      </c>
      <c r="D449" s="46" t="s">
        <v>1159</v>
      </c>
      <c r="E449" s="47" t="s">
        <v>1870</v>
      </c>
      <c r="F449" s="48">
        <v>46215</v>
      </c>
      <c r="G449" s="49">
        <f t="shared" si="6"/>
        <v>0</v>
      </c>
      <c r="H449" s="77">
        <f>SUMIF(积分汇总!$B:$B,#REF!,积分汇总!$E:$E)</f>
        <v>0</v>
      </c>
      <c r="I449" s="77">
        <f>SUMIF(记录巡查问题条数汇总!$B:$B,#REF!,记录巡查问题条数汇总!$E:$E)</f>
        <v>0</v>
      </c>
      <c r="J449" s="77"/>
      <c r="K449" s="77">
        <f>SUMIF(安全质量事故!$B:$B,#REF!,安全质量事故!$G:$G)</f>
        <v>0</v>
      </c>
      <c r="L449" s="72">
        <f>COUNTIF(M449:AQ449,标准数据!$A$2)*标准数据!$B$2+COUNTIF(M449:AQ449,标准数据!$A$3)*标准数据!$B$3+COUNTIF(M449:AQ449,标准数据!$A$4)*标准数据!$B$4</f>
        <v>0</v>
      </c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56"/>
      <c r="AD449" s="90"/>
      <c r="AE449" s="90"/>
      <c r="AF449" s="90"/>
      <c r="AG449" s="90"/>
      <c r="AH449" s="90"/>
      <c r="AI449" s="56"/>
      <c r="AJ449" s="90"/>
      <c r="AK449" s="90"/>
      <c r="AL449" s="90"/>
      <c r="AM449" s="90"/>
      <c r="AN449" s="56"/>
      <c r="AO449" s="90"/>
      <c r="AP449" s="90"/>
      <c r="AQ449" s="189"/>
      <c r="AR449" s="55"/>
      <c r="AT449" s="41"/>
      <c r="AU449" s="41"/>
      <c r="AV449" s="76" t="str">
        <f>VLOOKUP(E449,[1]生产部!$C:$I,7,0)</f>
        <v>常白</v>
      </c>
      <c r="AW449" s="41" t="str">
        <f>VLOOKUP(E449,[1]生产部!$C:$I,6,0)</f>
        <v>5号楼</v>
      </c>
    </row>
    <row r="450" spans="1:49" ht="21" customHeight="1">
      <c r="A450" s="234" t="s">
        <v>1937</v>
      </c>
      <c r="B450" s="229" t="s">
        <v>2116</v>
      </c>
      <c r="C450" s="45" t="s">
        <v>14</v>
      </c>
      <c r="D450" s="46" t="s">
        <v>1871</v>
      </c>
      <c r="E450" s="47" t="s">
        <v>1872</v>
      </c>
      <c r="F450" s="48">
        <v>46215</v>
      </c>
      <c r="G450" s="49">
        <f t="shared" si="6"/>
        <v>0</v>
      </c>
      <c r="H450" s="77">
        <f>SUMIF(积分汇总!$B:$B,D449,积分汇总!$E:$E)</f>
        <v>0</v>
      </c>
      <c r="I450" s="77">
        <f>SUMIF(记录巡查问题条数汇总!$B:$B,D449,记录巡查问题条数汇总!$E:$E)</f>
        <v>0</v>
      </c>
      <c r="J450" s="77"/>
      <c r="K450" s="77">
        <f>SUMIF(安全质量事故!$B:$B,D449,安全质量事故!$G:$G)</f>
        <v>0</v>
      </c>
      <c r="L450" s="72">
        <f>COUNTIF(M450:AQ450,标准数据!$A$2)*标准数据!$B$2+COUNTIF(M450:AQ450,标准数据!$A$3)*标准数据!$B$3+COUNTIF(M450:AQ450,标准数据!$A$4)*标准数据!$B$4</f>
        <v>0</v>
      </c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56"/>
      <c r="AD450" s="90"/>
      <c r="AE450" s="90"/>
      <c r="AF450" s="90"/>
      <c r="AG450" s="90"/>
      <c r="AH450" s="90"/>
      <c r="AI450" s="56"/>
      <c r="AJ450" s="90"/>
      <c r="AK450" s="90"/>
      <c r="AL450" s="90"/>
      <c r="AM450" s="90"/>
      <c r="AN450" s="56"/>
      <c r="AO450" s="90"/>
      <c r="AP450" s="90"/>
      <c r="AQ450" s="189"/>
      <c r="AR450" s="55"/>
      <c r="AT450" s="41"/>
      <c r="AU450" s="41"/>
      <c r="AV450" s="76" t="str">
        <f>VLOOKUP(E450,[1]生产部!$C:$I,7,0)</f>
        <v>常白</v>
      </c>
      <c r="AW450" s="41" t="str">
        <f>VLOOKUP(E450,[1]生产部!$C:$I,6,0)</f>
        <v>5号楼</v>
      </c>
    </row>
    <row r="451" spans="1:49" ht="21" customHeight="1">
      <c r="A451" s="234" t="s">
        <v>1937</v>
      </c>
      <c r="B451" s="229" t="s">
        <v>2116</v>
      </c>
      <c r="C451" s="45" t="s">
        <v>14</v>
      </c>
      <c r="D451" s="46" t="s">
        <v>1873</v>
      </c>
      <c r="E451" s="47" t="s">
        <v>1874</v>
      </c>
      <c r="F451" s="48">
        <v>46215</v>
      </c>
      <c r="G451" s="49">
        <f t="shared" si="6"/>
        <v>0</v>
      </c>
      <c r="H451" s="77">
        <f>SUMIF(积分汇总!$B:$B,D450,积分汇总!$E:$E)</f>
        <v>0</v>
      </c>
      <c r="I451" s="77">
        <f>SUMIF(记录巡查问题条数汇总!$B:$B,D450,记录巡查问题条数汇总!$E:$E)</f>
        <v>0</v>
      </c>
      <c r="J451" s="77"/>
      <c r="K451" s="77">
        <f>SUMIF(安全质量事故!$B:$B,D450,安全质量事故!$G:$G)</f>
        <v>0</v>
      </c>
      <c r="L451" s="72">
        <f>COUNTIF(M451:AQ451,标准数据!$A$2)*标准数据!$B$2+COUNTIF(M451:AQ451,标准数据!$A$3)*标准数据!$B$3+COUNTIF(M451:AQ451,标准数据!$A$4)*标准数据!$B$4</f>
        <v>0</v>
      </c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47"/>
      <c r="AM451" s="90"/>
      <c r="AN451" s="56"/>
      <c r="AO451" s="47"/>
      <c r="AP451" s="90"/>
      <c r="AQ451" s="189"/>
      <c r="AR451" s="55"/>
      <c r="AV451" s="76" t="str">
        <f>VLOOKUP(E451,[1]生产部!$C:$I,7,0)</f>
        <v>班组</v>
      </c>
      <c r="AW451" s="41" t="str">
        <f>VLOOKUP(E451,[1]生产部!$C:$I,6,0)</f>
        <v>5号楼</v>
      </c>
    </row>
    <row r="452" spans="1:49" ht="21" customHeight="1">
      <c r="A452" s="234" t="s">
        <v>1937</v>
      </c>
      <c r="B452" s="229" t="s">
        <v>2116</v>
      </c>
      <c r="C452" s="45" t="s">
        <v>14</v>
      </c>
      <c r="D452" s="46" t="s">
        <v>1875</v>
      </c>
      <c r="E452" s="47" t="s">
        <v>1876</v>
      </c>
      <c r="F452" s="48">
        <v>46215</v>
      </c>
      <c r="G452" s="49">
        <f t="shared" si="6"/>
        <v>0</v>
      </c>
      <c r="H452" s="77">
        <f>SUMIF(积分汇总!$B:$B,D451,积分汇总!$E:$E)</f>
        <v>0</v>
      </c>
      <c r="I452" s="77">
        <f>SUMIF(记录巡查问题条数汇总!$B:$B,D451,记录巡查问题条数汇总!$E:$E)</f>
        <v>0</v>
      </c>
      <c r="J452" s="77"/>
      <c r="K452" s="77">
        <f>SUMIF(安全质量事故!$B:$B,D451,安全质量事故!$G:$G)</f>
        <v>0</v>
      </c>
      <c r="L452" s="72">
        <f>COUNTIF(M452:AQ452,标准数据!$A$2)*标准数据!$B$2+COUNTIF(M452:AQ452,标准数据!$A$3)*标准数据!$B$3+COUNTIF(M452:AQ452,标准数据!$A$4)*标准数据!$B$4</f>
        <v>0</v>
      </c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3"/>
      <c r="X452" s="93"/>
      <c r="Y452" s="93"/>
      <c r="Z452" s="93"/>
      <c r="AA452" s="93"/>
      <c r="AB452" s="56"/>
      <c r="AC452" s="56"/>
      <c r="AD452" s="56"/>
      <c r="AE452" s="56"/>
      <c r="AF452" s="56"/>
      <c r="AG452" s="56"/>
      <c r="AH452" s="56"/>
      <c r="AI452" s="56"/>
      <c r="AJ452" s="47"/>
      <c r="AK452" s="90"/>
      <c r="AL452" s="56"/>
      <c r="AM452" s="56"/>
      <c r="AN452" s="56"/>
      <c r="AO452" s="56"/>
      <c r="AP452" s="56"/>
      <c r="AQ452" s="189"/>
      <c r="AR452" s="55"/>
      <c r="AV452" s="76" t="str">
        <f>VLOOKUP(E452,[1]生产部!$C:$I,7,0)</f>
        <v>常白</v>
      </c>
      <c r="AW452" s="41" t="str">
        <f>VLOOKUP(E452,[1]生产部!$C:$I,6,0)</f>
        <v>5号楼</v>
      </c>
    </row>
    <row r="453" spans="1:49" ht="21" customHeight="1">
      <c r="A453" s="234" t="s">
        <v>1937</v>
      </c>
      <c r="B453" s="229" t="s">
        <v>2116</v>
      </c>
      <c r="C453" s="45" t="s">
        <v>129</v>
      </c>
      <c r="D453" s="46" t="s">
        <v>380</v>
      </c>
      <c r="E453" s="47" t="s">
        <v>377</v>
      </c>
      <c r="F453" s="48">
        <v>45735</v>
      </c>
      <c r="G453" s="49">
        <f t="shared" si="6"/>
        <v>0</v>
      </c>
      <c r="H453" s="77">
        <f>SUMIF(积分汇总!$B:$B,#REF!,积分汇总!$E:$E)</f>
        <v>0</v>
      </c>
      <c r="I453" s="77">
        <f>SUMIF(记录巡查问题条数汇总!$B:$B,#REF!,记录巡查问题条数汇总!$E:$E)</f>
        <v>0</v>
      </c>
      <c r="J453" s="77"/>
      <c r="K453" s="77">
        <f>SUMIF(安全质量事故!$B:$B,#REF!,安全质量事故!$G:$G)</f>
        <v>0</v>
      </c>
      <c r="L453" s="72">
        <f>COUNTIF(M453:AQ453,标准数据!$A$2)*标准数据!$B$2+COUNTIF(M453:AQ453,标准数据!$A$3)*标准数据!$B$3+COUNTIF(M453:AQ453,标准数据!$A$4)*标准数据!$B$4</f>
        <v>0</v>
      </c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189"/>
      <c r="AR453" s="55"/>
      <c r="AV453" s="76" t="str">
        <f>VLOOKUP(E453,[1]生产部!$C:$I,7,0)</f>
        <v>常白</v>
      </c>
      <c r="AW453" s="41" t="str">
        <f>VLOOKUP(E453,[1]生产部!$C:$I,6,0)</f>
        <v>5号楼</v>
      </c>
    </row>
    <row r="454" spans="1:49" ht="21" customHeight="1">
      <c r="A454" s="234" t="s">
        <v>1937</v>
      </c>
      <c r="B454" s="229" t="s">
        <v>2116</v>
      </c>
      <c r="C454" s="45" t="s">
        <v>129</v>
      </c>
      <c r="D454" s="46" t="s">
        <v>620</v>
      </c>
      <c r="E454" s="47" t="s">
        <v>577</v>
      </c>
      <c r="F454" s="48">
        <v>45896</v>
      </c>
      <c r="G454" s="49">
        <f t="shared" si="6"/>
        <v>0</v>
      </c>
      <c r="H454" s="77">
        <f>SUMIF(积分汇总!$B:$B,D453,积分汇总!$E:$E)</f>
        <v>0</v>
      </c>
      <c r="I454" s="77">
        <f>SUMIF(记录巡查问题条数汇总!$B:$B,D453,记录巡查问题条数汇总!$E:$E)</f>
        <v>0</v>
      </c>
      <c r="J454" s="77"/>
      <c r="K454" s="77">
        <f>SUMIF(安全质量事故!$B:$B,D453,安全质量事故!$G:$G)</f>
        <v>0</v>
      </c>
      <c r="L454" s="72">
        <f>COUNTIF(M454:AQ454,标准数据!$A$2)*标准数据!$B$2+COUNTIF(M454:AQ454,标准数据!$A$3)*标准数据!$B$3+COUNTIF(M454:AQ454,标准数据!$A$4)*标准数据!$B$4</f>
        <v>0</v>
      </c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56"/>
      <c r="AC454" s="56"/>
      <c r="AD454" s="56"/>
      <c r="AE454" s="56"/>
      <c r="AF454" s="56"/>
      <c r="AG454" s="56"/>
      <c r="AH454" s="56"/>
      <c r="AI454" s="56"/>
      <c r="AJ454" s="47"/>
      <c r="AK454" s="90"/>
      <c r="AL454" s="56"/>
      <c r="AM454" s="56"/>
      <c r="AN454" s="56"/>
      <c r="AO454" s="56"/>
      <c r="AP454" s="56"/>
      <c r="AQ454" s="189"/>
      <c r="AR454" s="55"/>
      <c r="AV454" s="76" t="str">
        <f>VLOOKUP(E454,[1]生产部!$C:$I,7,0)</f>
        <v>常白</v>
      </c>
      <c r="AW454" s="41" t="str">
        <f>VLOOKUP(E454,[1]生产部!$C:$I,6,0)</f>
        <v>5号楼</v>
      </c>
    </row>
    <row r="455" spans="1:49" ht="21" customHeight="1">
      <c r="A455" s="234" t="s">
        <v>1937</v>
      </c>
      <c r="B455" s="229" t="s">
        <v>2116</v>
      </c>
      <c r="C455" s="45" t="s">
        <v>129</v>
      </c>
      <c r="D455" s="46" t="s">
        <v>939</v>
      </c>
      <c r="E455" s="47" t="s">
        <v>878</v>
      </c>
      <c r="F455" s="48">
        <v>45903</v>
      </c>
      <c r="G455" s="49">
        <f t="shared" si="6"/>
        <v>0</v>
      </c>
      <c r="H455" s="77">
        <f>SUMIF(积分汇总!$B:$B,D454,积分汇总!$E:$E)</f>
        <v>0</v>
      </c>
      <c r="I455" s="77">
        <f>SUMIF(记录巡查问题条数汇总!$B:$B,D454,记录巡查问题条数汇总!$E:$E)</f>
        <v>0</v>
      </c>
      <c r="J455" s="77"/>
      <c r="K455" s="77">
        <f>SUMIF(安全质量事故!$B:$B,D454,安全质量事故!$G:$G)</f>
        <v>0</v>
      </c>
      <c r="L455" s="72">
        <f>COUNTIF(M455:AQ455,标准数据!$A$2)*标准数据!$B$2+COUNTIF(M455:AQ455,标准数据!$A$3)*标准数据!$B$3+COUNTIF(M455:AQ455,标准数据!$A$4)*标准数据!$B$4</f>
        <v>0</v>
      </c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56"/>
      <c r="AC455" s="56"/>
      <c r="AD455" s="56"/>
      <c r="AE455" s="56"/>
      <c r="AF455" s="56"/>
      <c r="AG455" s="56"/>
      <c r="AH455" s="56"/>
      <c r="AI455" s="56"/>
      <c r="AJ455" s="47"/>
      <c r="AK455" s="90"/>
      <c r="AL455" s="56"/>
      <c r="AM455" s="56"/>
      <c r="AN455" s="56"/>
      <c r="AO455" s="56"/>
      <c r="AP455" s="56"/>
      <c r="AQ455" s="189"/>
      <c r="AR455" s="55"/>
      <c r="AV455" s="76" t="str">
        <f>VLOOKUP(E455,[1]生产部!$C:$I,7,0)</f>
        <v>班组</v>
      </c>
      <c r="AW455" s="41" t="str">
        <f>VLOOKUP(E455,[1]生产部!$C:$I,6,0)</f>
        <v>5号楼</v>
      </c>
    </row>
    <row r="456" spans="1:49" ht="21" customHeight="1">
      <c r="A456" s="234" t="s">
        <v>1937</v>
      </c>
      <c r="B456" s="229" t="s">
        <v>2116</v>
      </c>
      <c r="C456" s="45" t="s">
        <v>146</v>
      </c>
      <c r="D456" s="46" t="s">
        <v>1006</v>
      </c>
      <c r="E456" s="47" t="s">
        <v>1007</v>
      </c>
      <c r="F456" s="48">
        <v>46085</v>
      </c>
      <c r="G456" s="49">
        <f t="shared" si="6"/>
        <v>0</v>
      </c>
      <c r="H456" s="77">
        <f>SUMIF(积分汇总!$B:$B,#REF!,积分汇总!$E:$E)</f>
        <v>0</v>
      </c>
      <c r="I456" s="77">
        <f>SUMIF(记录巡查问题条数汇总!$B:$B,#REF!,记录巡查问题条数汇总!$E:$E)</f>
        <v>0</v>
      </c>
      <c r="J456" s="77"/>
      <c r="K456" s="77">
        <f>SUMIF(安全质量事故!$B:$B,#REF!,安全质量事故!$G:$G)</f>
        <v>0</v>
      </c>
      <c r="L456" s="72">
        <f>COUNTIF(M456:AQ456,标准数据!$A$2)*标准数据!$B$2+COUNTIF(M456:AQ456,标准数据!$A$3)*标准数据!$B$3+COUNTIF(M456:AQ456,标准数据!$A$4)*标准数据!$B$4</f>
        <v>0</v>
      </c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56"/>
      <c r="AC456" s="56"/>
      <c r="AD456" s="56"/>
      <c r="AE456" s="56"/>
      <c r="AF456" s="56"/>
      <c r="AG456" s="56"/>
      <c r="AH456" s="56"/>
      <c r="AI456" s="56"/>
      <c r="AJ456" s="47"/>
      <c r="AK456" s="90"/>
      <c r="AL456" s="56"/>
      <c r="AM456" s="56"/>
      <c r="AN456" s="56"/>
      <c r="AO456" s="56"/>
      <c r="AP456" s="56"/>
      <c r="AQ456" s="189"/>
      <c r="AR456" s="55"/>
      <c r="AV456" s="76" t="str">
        <f>VLOOKUP(E456,[1]生产部!$C:$I,7,0)</f>
        <v>班组</v>
      </c>
      <c r="AW456" s="41" t="str">
        <f>VLOOKUP(E456,[1]生产部!$C:$I,6,0)</f>
        <v>5号楼</v>
      </c>
    </row>
    <row r="457" spans="1:49" ht="21" customHeight="1">
      <c r="A457" s="234" t="s">
        <v>1937</v>
      </c>
      <c r="B457" s="229" t="s">
        <v>2116</v>
      </c>
      <c r="C457" s="45" t="s">
        <v>146</v>
      </c>
      <c r="D457" s="46" t="s">
        <v>1804</v>
      </c>
      <c r="E457" s="47" t="s">
        <v>1805</v>
      </c>
      <c r="F457" s="48">
        <v>46204</v>
      </c>
      <c r="G457" s="49">
        <f t="shared" si="6"/>
        <v>0</v>
      </c>
      <c r="H457" s="77">
        <f>SUMIF(积分汇总!$B:$B,D456,积分汇总!$E:$E)</f>
        <v>0</v>
      </c>
      <c r="I457" s="77">
        <f>SUMIF(记录巡查问题条数汇总!$B:$B,D456,记录巡查问题条数汇总!$E:$E)</f>
        <v>0</v>
      </c>
      <c r="J457" s="77"/>
      <c r="K457" s="77">
        <f>SUMIF(安全质量事故!$B:$B,D456,安全质量事故!$G:$G)</f>
        <v>0</v>
      </c>
      <c r="L457" s="72">
        <f>COUNTIF(M457:AQ457,标准数据!$A$2)*标准数据!$B$2+COUNTIF(M457:AQ457,标准数据!$A$3)*标准数据!$B$3+COUNTIF(M457:AQ457,标准数据!$A$4)*标准数据!$B$4</f>
        <v>0</v>
      </c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56"/>
      <c r="AC457" s="56"/>
      <c r="AD457" s="56"/>
      <c r="AE457" s="56"/>
      <c r="AF457" s="56"/>
      <c r="AG457" s="56"/>
      <c r="AH457" s="56"/>
      <c r="AI457" s="56"/>
      <c r="AJ457" s="47"/>
      <c r="AK457" s="90"/>
      <c r="AL457" s="56"/>
      <c r="AM457" s="56"/>
      <c r="AN457" s="56"/>
      <c r="AO457" s="56"/>
      <c r="AP457" s="56"/>
      <c r="AQ457" s="189"/>
      <c r="AR457" s="55"/>
      <c r="AV457" s="76" t="str">
        <f>VLOOKUP(E457,[1]生产部!$C:$I,7,0)</f>
        <v>班组</v>
      </c>
      <c r="AW457" s="41" t="str">
        <f>VLOOKUP(E457,[1]生产部!$C:$I,6,0)</f>
        <v>5号楼</v>
      </c>
    </row>
    <row r="458" spans="1:49" ht="21" customHeight="1">
      <c r="A458" s="237" t="s">
        <v>499</v>
      </c>
      <c r="B458" s="229" t="s">
        <v>2117</v>
      </c>
      <c r="C458" s="45" t="s">
        <v>81</v>
      </c>
      <c r="D458" s="46" t="s">
        <v>726</v>
      </c>
      <c r="E458" s="52" t="s">
        <v>707</v>
      </c>
      <c r="F458" s="46">
        <v>44151</v>
      </c>
      <c r="G458" s="49">
        <f t="shared" si="6"/>
        <v>0</v>
      </c>
      <c r="H458" s="77">
        <f>SUMIF(积分汇总!$B:$B,D457,积分汇总!$E:$E)</f>
        <v>0</v>
      </c>
      <c r="I458" s="77">
        <f>SUMIF(记录巡查问题条数汇总!$B:$B,D457,记录巡查问题条数汇总!$E:$E)</f>
        <v>0</v>
      </c>
      <c r="J458" s="77"/>
      <c r="K458" s="77">
        <f>SUMIF(安全质量事故!$B:$B,D457,安全质量事故!$G:$G)</f>
        <v>0</v>
      </c>
      <c r="L458" s="72">
        <f>COUNTIF(M458:AQ458,标准数据!$A$2)*标准数据!$B$2+COUNTIF(M458:AQ458,标准数据!$A$3)*标准数据!$B$3+COUNTIF(M458:AQ458,标准数据!$A$4)*标准数据!$B$4</f>
        <v>0</v>
      </c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190"/>
      <c r="AR458" s="55"/>
      <c r="AS458" s="283" t="s">
        <v>1031</v>
      </c>
      <c r="AT458" s="284" t="s">
        <v>1027</v>
      </c>
      <c r="AU458" s="284" t="s">
        <v>1037</v>
      </c>
      <c r="AV458" s="76" t="str">
        <f>VLOOKUP(E458,[1]生产部!$C:$I,7,0)</f>
        <v>包装</v>
      </c>
      <c r="AW458" s="41" t="str">
        <f>VLOOKUP(E458,[1]生产部!$C:$I,6,0)</f>
        <v>12号楼D级区域</v>
      </c>
    </row>
    <row r="459" spans="1:49" ht="21" customHeight="1">
      <c r="A459" s="237" t="s">
        <v>1940</v>
      </c>
      <c r="B459" s="229" t="s">
        <v>2115</v>
      </c>
      <c r="C459" s="45" t="s">
        <v>81</v>
      </c>
      <c r="D459" s="46" t="s">
        <v>823</v>
      </c>
      <c r="E459" s="52" t="s">
        <v>778</v>
      </c>
      <c r="F459" s="46">
        <v>43299</v>
      </c>
      <c r="G459" s="49">
        <f t="shared" si="6"/>
        <v>0</v>
      </c>
      <c r="H459" s="77">
        <f>SUMIF(积分汇总!$B:$B,D458,积分汇总!$E:$E)</f>
        <v>0</v>
      </c>
      <c r="I459" s="77">
        <f>SUMIF(记录巡查问题条数汇总!$B:$B,D458,记录巡查问题条数汇总!$E:$E)</f>
        <v>0</v>
      </c>
      <c r="J459" s="77"/>
      <c r="K459" s="77">
        <f>SUMIF(安全质量事故!$B:$B,D458,安全质量事故!$G:$G)</f>
        <v>0</v>
      </c>
      <c r="L459" s="72">
        <f>COUNTIF(M459:AQ459,标准数据!$A$2)*标准数据!$B$2+COUNTIF(M459:AQ459,标准数据!$A$3)*标准数据!$B$3+COUNTIF(M459:AQ459,标准数据!$A$4)*标准数据!$B$4</f>
        <v>0</v>
      </c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190"/>
      <c r="AR459" s="55"/>
      <c r="AS459" s="64">
        <f>COUNTIF($M$458:$AQ$678,"a")</f>
        <v>0</v>
      </c>
      <c r="AT459" s="64">
        <f>COUNTIF($M$458:$AQ$678,"b")</f>
        <v>0</v>
      </c>
      <c r="AU459" s="64">
        <f>COUNTIF($M$458:$AQ$678,"c")</f>
        <v>0</v>
      </c>
      <c r="AV459" s="76" t="str">
        <f>VLOOKUP(E459,[1]生产部!$C:$I,7,0)</f>
        <v>项目组</v>
      </c>
      <c r="AW459" s="41" t="str">
        <f>VLOOKUP(E459,[1]生产部!$C:$I,6,0)</f>
        <v>12号楼CNC区域</v>
      </c>
    </row>
    <row r="460" spans="1:49" ht="21" customHeight="1">
      <c r="A460" s="237" t="s">
        <v>1940</v>
      </c>
      <c r="B460" s="229" t="s">
        <v>2118</v>
      </c>
      <c r="C460" s="45" t="s">
        <v>81</v>
      </c>
      <c r="D460" s="46" t="s">
        <v>1786</v>
      </c>
      <c r="E460" s="47" t="s">
        <v>1787</v>
      </c>
      <c r="F460" s="48">
        <v>46206</v>
      </c>
      <c r="G460" s="49">
        <f t="shared" si="6"/>
        <v>0</v>
      </c>
      <c r="H460" s="77">
        <f>SUMIF(积分汇总!$B:$B,D459,积分汇总!$E:$E)</f>
        <v>0</v>
      </c>
      <c r="I460" s="77">
        <f>SUMIF(记录巡查问题条数汇总!$B:$B,D459,记录巡查问题条数汇总!$E:$E)</f>
        <v>0</v>
      </c>
      <c r="J460" s="77"/>
      <c r="K460" s="77">
        <f>SUMIF(安全质量事故!$B:$B,D459,安全质量事故!$G:$G)</f>
        <v>0</v>
      </c>
      <c r="L460" s="72">
        <f>COUNTIF(M460:AQ460,标准数据!$A$2)*标准数据!$B$2+COUNTIF(M460:AQ460,标准数据!$A$3)*标准数据!$B$3+COUNTIF(M460:AQ460,标准数据!$A$4)*标准数据!$B$4</f>
        <v>0</v>
      </c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190"/>
      <c r="AR460" s="55"/>
      <c r="AS460" s="50" t="e">
        <f>AS459/($AS$459+$AT$459+$AU$459)</f>
        <v>#DIV/0!</v>
      </c>
      <c r="AT460" s="60" t="e">
        <f>AT459/($AS$459+$AT$459+$AU$459)</f>
        <v>#DIV/0!</v>
      </c>
      <c r="AU460" s="60" t="e">
        <f>AU459/($AS$459+$AT$459+$AU$459)</f>
        <v>#DIV/0!</v>
      </c>
      <c r="AV460" s="76" t="str">
        <f>VLOOKUP(E460,[1]生产部!$C:$I,7,0)</f>
        <v>项目组</v>
      </c>
      <c r="AW460" s="41" t="str">
        <f>VLOOKUP(E460,[1]生产部!$C:$I,6,0)</f>
        <v>12号楼中试</v>
      </c>
    </row>
    <row r="461" spans="1:49" ht="21" customHeight="1">
      <c r="A461" s="237" t="s">
        <v>1940</v>
      </c>
      <c r="B461" s="229" t="s">
        <v>2119</v>
      </c>
      <c r="C461" s="45" t="s">
        <v>81</v>
      </c>
      <c r="D461" s="46" t="s">
        <v>1482</v>
      </c>
      <c r="E461" s="47" t="s">
        <v>1483</v>
      </c>
      <c r="F461" s="48">
        <v>46176</v>
      </c>
      <c r="G461" s="49">
        <f t="shared" si="6"/>
        <v>0</v>
      </c>
      <c r="H461" s="77">
        <f>SUMIF(积分汇总!$B:$B,D456,积分汇总!$E:$E)</f>
        <v>0</v>
      </c>
      <c r="I461" s="77">
        <f>SUMIF(记录巡查问题条数汇总!$B:$B,D456,记录巡查问题条数汇总!$E:$E)</f>
        <v>0</v>
      </c>
      <c r="J461" s="77"/>
      <c r="K461" s="77">
        <f>SUMIF(安全质量事故!$B:$B,D456,安全质量事故!$G:$G)</f>
        <v>0</v>
      </c>
      <c r="L461" s="72">
        <f>COUNTIF(M461:AQ461,标准数据!$A$2)*标准数据!$B$2+COUNTIF(M461:AQ461,标准数据!$A$3)*标准数据!$B$3+COUNTIF(M461:AQ461,标准数据!$A$4)*标准数据!$B$4</f>
        <v>0</v>
      </c>
      <c r="M461" s="90"/>
      <c r="N461" s="90"/>
      <c r="O461" s="90"/>
      <c r="P461" s="90"/>
      <c r="Q461" s="90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189"/>
      <c r="AR461" s="55"/>
      <c r="AS461" s="41"/>
      <c r="AT461" s="41"/>
      <c r="AU461" s="41"/>
      <c r="AV461" s="76" t="str">
        <f>VLOOKUP(E461,[1]生产部!$C:$I,7,0)</f>
        <v>常白</v>
      </c>
      <c r="AW461" s="41" t="str">
        <f>VLOOKUP(E461,[1]生产部!$C:$I,6,0)</f>
        <v>13号楼（12号楼CNC区域委培）</v>
      </c>
    </row>
    <row r="462" spans="1:49" ht="21" customHeight="1">
      <c r="A462" s="237" t="s">
        <v>1940</v>
      </c>
      <c r="B462" s="229" t="s">
        <v>2119</v>
      </c>
      <c r="C462" s="45" t="s">
        <v>81</v>
      </c>
      <c r="D462" s="46" t="s">
        <v>1882</v>
      </c>
      <c r="E462" s="47" t="s">
        <v>1883</v>
      </c>
      <c r="F462" s="48">
        <v>46208</v>
      </c>
      <c r="G462" s="49">
        <f t="shared" si="6"/>
        <v>0</v>
      </c>
      <c r="H462" s="77">
        <f>SUMIF(积分汇总!$B:$B,D461,积分汇总!$E:$E)</f>
        <v>0</v>
      </c>
      <c r="I462" s="77">
        <f>SUMIF(记录巡查问题条数汇总!$B:$B,D461,记录巡查问题条数汇总!$E:$E)</f>
        <v>0</v>
      </c>
      <c r="J462" s="77"/>
      <c r="K462" s="77">
        <f>SUMIF(安全质量事故!$B:$B,D461,安全质量事故!$G:$G)</f>
        <v>0</v>
      </c>
      <c r="L462" s="72">
        <f>COUNTIF(M462:AQ462,标准数据!$A$2)*标准数据!$B$2+COUNTIF(M462:AQ462,标准数据!$A$3)*标准数据!$B$3+COUNTIF(M462:AQ462,标准数据!$A$4)*标准数据!$B$4</f>
        <v>0</v>
      </c>
      <c r="M462" s="55"/>
      <c r="N462" s="55"/>
      <c r="O462" s="55"/>
      <c r="P462" s="55"/>
      <c r="Q462" s="90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189"/>
      <c r="AR462" s="55"/>
      <c r="AS462" s="41"/>
      <c r="AT462" s="41"/>
      <c r="AU462" s="41"/>
      <c r="AV462" s="76" t="str">
        <f>VLOOKUP(E462,[1]生产部!$C:$I,7,0)</f>
        <v>项目组</v>
      </c>
      <c r="AW462" s="41" t="str">
        <f>VLOOKUP(E462,[1]生产部!$C:$I,6,0)</f>
        <v>13号楼（12号楼中试委培）</v>
      </c>
    </row>
    <row r="463" spans="1:49" ht="21" customHeight="1">
      <c r="A463" s="237" t="s">
        <v>1940</v>
      </c>
      <c r="B463" s="229" t="s">
        <v>2119</v>
      </c>
      <c r="C463" s="45" t="s">
        <v>13</v>
      </c>
      <c r="D463" s="46" t="s">
        <v>1884</v>
      </c>
      <c r="E463" s="47" t="s">
        <v>1885</v>
      </c>
      <c r="F463" s="48">
        <v>46208</v>
      </c>
      <c r="G463" s="49">
        <f t="shared" si="6"/>
        <v>0</v>
      </c>
      <c r="H463" s="77">
        <f>SUMIF(积分汇总!$B:$B,D462,积分汇总!$E:$E)</f>
        <v>0</v>
      </c>
      <c r="I463" s="77">
        <f>SUMIF(记录巡查问题条数汇总!$B:$B,D462,记录巡查问题条数汇总!$E:$E)</f>
        <v>0</v>
      </c>
      <c r="J463" s="77"/>
      <c r="K463" s="77">
        <f>SUMIF(安全质量事故!$B:$B,D462,安全质量事故!$G:$G)</f>
        <v>0</v>
      </c>
      <c r="L463" s="72">
        <f>COUNTIF(M463:AQ463,标准数据!$A$2)*标准数据!$B$2+COUNTIF(M463:AQ463,标准数据!$A$3)*标准数据!$B$3+COUNTIF(M463:AQ463,标准数据!$A$4)*标准数据!$B$4</f>
        <v>0</v>
      </c>
      <c r="M463" s="55"/>
      <c r="N463" s="55"/>
      <c r="O463" s="55"/>
      <c r="P463" s="55"/>
      <c r="Q463" s="90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189"/>
      <c r="AR463" s="55"/>
      <c r="AS463" s="41"/>
      <c r="AT463" s="41"/>
      <c r="AU463" s="41"/>
      <c r="AV463" s="76" t="str">
        <f>VLOOKUP(E463,[1]生产部!$C:$I,7,0)</f>
        <v>项目组</v>
      </c>
      <c r="AW463" s="41" t="str">
        <f>VLOOKUP(E463,[1]生产部!$C:$I,6,0)</f>
        <v>13号楼（12号楼中试委培）</v>
      </c>
    </row>
    <row r="464" spans="1:49" ht="21" customHeight="1">
      <c r="A464" s="237" t="s">
        <v>1940</v>
      </c>
      <c r="B464" s="229" t="s">
        <v>2119</v>
      </c>
      <c r="C464" s="45" t="s">
        <v>13</v>
      </c>
      <c r="D464" s="46" t="s">
        <v>1886</v>
      </c>
      <c r="E464" s="47" t="s">
        <v>1887</v>
      </c>
      <c r="F464" s="48">
        <v>46215</v>
      </c>
      <c r="G464" s="49">
        <f t="shared" si="6"/>
        <v>0</v>
      </c>
      <c r="H464" s="77">
        <f>SUMIF(积分汇总!$B:$B,D463,积分汇总!$E:$E)</f>
        <v>0</v>
      </c>
      <c r="I464" s="77">
        <f>SUMIF(记录巡查问题条数汇总!$B:$B,D463,记录巡查问题条数汇总!$E:$E)</f>
        <v>0</v>
      </c>
      <c r="J464" s="77"/>
      <c r="K464" s="77">
        <f>SUMIF(安全质量事故!$B:$B,D463,安全质量事故!$G:$G)</f>
        <v>0</v>
      </c>
      <c r="L464" s="72">
        <f>COUNTIF(M464:AQ464,标准数据!$A$2)*标准数据!$B$2+COUNTIF(M464:AQ464,标准数据!$A$3)*标准数据!$B$3+COUNTIF(M464:AQ464,标准数据!$A$4)*标准数据!$B$4</f>
        <v>0</v>
      </c>
      <c r="M464" s="55"/>
      <c r="N464" s="55"/>
      <c r="O464" s="55"/>
      <c r="P464" s="55"/>
      <c r="Q464" s="90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189"/>
      <c r="AR464" s="55"/>
      <c r="AS464" s="41"/>
      <c r="AT464" s="41"/>
      <c r="AU464" s="41"/>
      <c r="AV464" s="76" t="str">
        <f>VLOOKUP(E464,[1]生产部!$C:$I,7,0)</f>
        <v>项目组</v>
      </c>
      <c r="AW464" s="41" t="str">
        <f>VLOOKUP(E464,[1]生产部!$C:$I,6,0)</f>
        <v>13号楼（12号楼D级区域委培）</v>
      </c>
    </row>
    <row r="465" spans="1:49" ht="21" customHeight="1">
      <c r="A465" s="237" t="s">
        <v>1940</v>
      </c>
      <c r="B465" s="229" t="s">
        <v>2119</v>
      </c>
      <c r="C465" s="45" t="s">
        <v>81</v>
      </c>
      <c r="D465" s="46" t="s">
        <v>1788</v>
      </c>
      <c r="E465" s="47" t="s">
        <v>1789</v>
      </c>
      <c r="F465" s="48">
        <v>46197</v>
      </c>
      <c r="G465" s="49">
        <f t="shared" si="6"/>
        <v>0</v>
      </c>
      <c r="H465" s="77">
        <f>SUMIF(积分汇总!$B:$B,D460,积分汇总!$E:$E)</f>
        <v>0</v>
      </c>
      <c r="I465" s="77">
        <f>SUMIF(记录巡查问题条数汇总!$B:$B,D460,记录巡查问题条数汇总!$E:$E)</f>
        <v>0</v>
      </c>
      <c r="J465" s="77"/>
      <c r="K465" s="77">
        <f>SUMIF(安全质量事故!$B:$B,D460,安全质量事故!$G:$G)</f>
        <v>0</v>
      </c>
      <c r="L465" s="72">
        <f>COUNTIF(M465:AQ465,标准数据!$A$2)*标准数据!$B$2+COUNTIF(M465:AQ465,标准数据!$A$3)*标准数据!$B$3+COUNTIF(M465:AQ465,标准数据!$A$4)*标准数据!$B$4</f>
        <v>0</v>
      </c>
      <c r="M465" s="90"/>
      <c r="N465" s="90"/>
      <c r="O465" s="90"/>
      <c r="P465" s="90"/>
      <c r="Q465" s="90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189"/>
      <c r="AR465" s="55"/>
      <c r="AS465" s="41"/>
      <c r="AT465" s="41"/>
      <c r="AU465" s="41"/>
      <c r="AV465" s="76" t="str">
        <f>VLOOKUP(E465,[1]生产部!$C:$I,7,0)</f>
        <v>项目组</v>
      </c>
      <c r="AW465" s="41" t="str">
        <f>VLOOKUP(E465,[1]生产部!$C:$I,6,0)</f>
        <v>13号楼（12号楼中试委培）</v>
      </c>
    </row>
    <row r="466" spans="1:49" ht="21" customHeight="1">
      <c r="A466" s="237" t="s">
        <v>1940</v>
      </c>
      <c r="B466" s="229" t="s">
        <v>2117</v>
      </c>
      <c r="C466" s="45" t="s">
        <v>81</v>
      </c>
      <c r="D466" s="46" t="s">
        <v>1790</v>
      </c>
      <c r="E466" s="47" t="s">
        <v>1791</v>
      </c>
      <c r="F466" s="48">
        <v>46208</v>
      </c>
      <c r="G466" s="49">
        <f t="shared" si="6"/>
        <v>0</v>
      </c>
      <c r="H466" s="77">
        <f>SUMIF(积分汇总!$B:$B,D465,积分汇总!$E:$E)</f>
        <v>0</v>
      </c>
      <c r="I466" s="77">
        <f>SUMIF(记录巡查问题条数汇总!$B:$B,D465,记录巡查问题条数汇总!$E:$E)</f>
        <v>0</v>
      </c>
      <c r="J466" s="77"/>
      <c r="K466" s="77">
        <f>SUMIF(安全质量事故!$B:$B,D465,安全质量事故!$G:$G)</f>
        <v>0</v>
      </c>
      <c r="L466" s="72">
        <f>COUNTIF(M466:AQ466,标准数据!$A$2)*标准数据!$B$2+COUNTIF(M466:AQ466,标准数据!$A$3)*标准数据!$B$3+COUNTIF(M466:AQ466,标准数据!$A$4)*标准数据!$B$4</f>
        <v>0</v>
      </c>
      <c r="M466" s="55"/>
      <c r="N466" s="55"/>
      <c r="O466" s="55"/>
      <c r="P466" s="55"/>
      <c r="Q466" s="90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189"/>
      <c r="AR466" s="55"/>
      <c r="AS466" s="41"/>
      <c r="AT466" s="41"/>
      <c r="AU466" s="41"/>
      <c r="AV466" s="76" t="str">
        <f>VLOOKUP(E466,[1]生产部!$C:$I,7,0)</f>
        <v>班组</v>
      </c>
      <c r="AW466" s="41" t="str">
        <f>VLOOKUP(E466,[1]生产部!$C:$I,6,0)</f>
        <v>12号楼D级区域</v>
      </c>
    </row>
    <row r="467" spans="1:49" ht="21" customHeight="1">
      <c r="A467" s="237" t="s">
        <v>1940</v>
      </c>
      <c r="B467" s="229" t="s">
        <v>2117</v>
      </c>
      <c r="C467" s="204" t="s">
        <v>13</v>
      </c>
      <c r="D467" s="202" t="s">
        <v>2017</v>
      </c>
      <c r="E467" s="201" t="s">
        <v>2018</v>
      </c>
      <c r="F467" s="203">
        <v>46225</v>
      </c>
      <c r="G467" s="49">
        <f t="shared" si="6"/>
        <v>0</v>
      </c>
      <c r="H467" s="77">
        <f>SUMIF(积分汇总!$B:$B,D466,积分汇总!$E:$E)</f>
        <v>0</v>
      </c>
      <c r="I467" s="77">
        <f>SUMIF(记录巡查问题条数汇总!$B:$B,D466,记录巡查问题条数汇总!$E:$E)</f>
        <v>0</v>
      </c>
      <c r="J467" s="77"/>
      <c r="K467" s="77">
        <f>SUMIF(安全质量事故!$B:$B,D466,安全质量事故!$G:$G)</f>
        <v>0</v>
      </c>
      <c r="L467" s="72">
        <f>COUNTIF(M467:AQ467,标准数据!$A$2)*标准数据!$B$2+COUNTIF(M467:AQ467,标准数据!$A$3)*标准数据!$B$3+COUNTIF(M467:AQ467,标准数据!$A$4)*标准数据!$B$4</f>
        <v>0</v>
      </c>
      <c r="M467" s="55"/>
      <c r="N467" s="55"/>
      <c r="O467" s="55"/>
      <c r="P467" s="55"/>
      <c r="Q467" s="90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189"/>
      <c r="AR467" s="55"/>
      <c r="AS467" s="41"/>
      <c r="AT467" s="41"/>
      <c r="AU467" s="41"/>
      <c r="AV467" s="76" t="str">
        <f>VLOOKUP(E467,[1]生产部!$C:$I,7,0)</f>
        <v>项目组</v>
      </c>
      <c r="AW467" s="41" t="str">
        <f>VLOOKUP(E467,[1]生产部!$C:$I,6,0)</f>
        <v>12号楼CNC区域</v>
      </c>
    </row>
    <row r="468" spans="1:49" ht="21" customHeight="1">
      <c r="A468" s="237" t="s">
        <v>1940</v>
      </c>
      <c r="B468" s="229" t="s">
        <v>2117</v>
      </c>
      <c r="C468" s="204" t="s">
        <v>13</v>
      </c>
      <c r="D468" s="202" t="s">
        <v>2019</v>
      </c>
      <c r="E468" s="201" t="s">
        <v>2020</v>
      </c>
      <c r="F468" s="203">
        <v>45847</v>
      </c>
      <c r="G468" s="49">
        <f t="shared" ref="G468:G531" si="7">(L468+H468+I468+J468-K468)</f>
        <v>0</v>
      </c>
      <c r="H468" s="77">
        <f>SUMIF(积分汇总!$B:$B,D467,积分汇总!$E:$E)</f>
        <v>0</v>
      </c>
      <c r="I468" s="77">
        <f>SUMIF(记录巡查问题条数汇总!$B:$B,D467,记录巡查问题条数汇总!$E:$E)</f>
        <v>0</v>
      </c>
      <c r="J468" s="77"/>
      <c r="K468" s="77">
        <f>SUMIF(安全质量事故!$B:$B,D467,安全质量事故!$G:$G)</f>
        <v>0</v>
      </c>
      <c r="L468" s="72">
        <f>COUNTIF(M468:AQ468,标准数据!$A$2)*标准数据!$B$2+COUNTIF(M468:AQ468,标准数据!$A$3)*标准数据!$B$3+COUNTIF(M468:AQ468,标准数据!$A$4)*标准数据!$B$4</f>
        <v>0</v>
      </c>
      <c r="M468" s="55"/>
      <c r="N468" s="55"/>
      <c r="O468" s="55"/>
      <c r="P468" s="55"/>
      <c r="Q468" s="90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189"/>
      <c r="AR468" s="55"/>
      <c r="AS468" s="41"/>
      <c r="AT468" s="41"/>
      <c r="AU468" s="41"/>
      <c r="AV468" s="76" t="str">
        <f>VLOOKUP(E468,[1]生产部!$C:$I,7,0)</f>
        <v>项目组</v>
      </c>
      <c r="AW468" s="41" t="str">
        <f>VLOOKUP(E468,[1]生产部!$C:$I,6,0)</f>
        <v>12号楼D级区域</v>
      </c>
    </row>
    <row r="469" spans="1:49" ht="21" customHeight="1">
      <c r="A469" s="237" t="s">
        <v>1940</v>
      </c>
      <c r="B469" s="229" t="s">
        <v>2115</v>
      </c>
      <c r="C469" s="45" t="s">
        <v>154</v>
      </c>
      <c r="D469" s="46" t="s">
        <v>560</v>
      </c>
      <c r="E469" s="47" t="s">
        <v>521</v>
      </c>
      <c r="F469" s="48">
        <v>45875</v>
      </c>
      <c r="G469" s="49">
        <f t="shared" si="7"/>
        <v>0</v>
      </c>
      <c r="H469" s="77">
        <f>SUMIF(积分汇总!$B:$B,D468,积分汇总!$E:$E)</f>
        <v>0</v>
      </c>
      <c r="I469" s="77">
        <f>SUMIF(记录巡查问题条数汇总!$B:$B,D468,记录巡查问题条数汇总!$E:$E)</f>
        <v>0</v>
      </c>
      <c r="J469" s="77"/>
      <c r="K469" s="77">
        <f>SUMIF(安全质量事故!$B:$B,D468,安全质量事故!$G:$G)</f>
        <v>0</v>
      </c>
      <c r="L469" s="72">
        <f>COUNTIF(M469:AQ469,标准数据!$A$2)*标准数据!$B$2+COUNTIF(M469:AQ469,标准数据!$A$3)*标准数据!$B$3+COUNTIF(M469:AQ469,标准数据!$A$4)*标准数据!$B$4</f>
        <v>0</v>
      </c>
      <c r="M469" s="90"/>
      <c r="N469" s="90"/>
      <c r="O469" s="90"/>
      <c r="P469" s="90"/>
      <c r="Q469" s="90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189"/>
      <c r="AR469" s="55"/>
      <c r="AS469" s="41"/>
      <c r="AT469" s="41"/>
      <c r="AU469" s="41"/>
      <c r="AV469" s="76" t="str">
        <f>VLOOKUP(E469,[1]生产部!$C:$I,7,0)</f>
        <v>班组</v>
      </c>
      <c r="AW469" s="41" t="str">
        <f>VLOOKUP(E469,[1]生产部!$C:$I,6,0)</f>
        <v>12号楼CNC区域</v>
      </c>
    </row>
    <row r="470" spans="1:49" ht="21" customHeight="1">
      <c r="A470" s="237" t="s">
        <v>1940</v>
      </c>
      <c r="B470" s="229" t="s">
        <v>2115</v>
      </c>
      <c r="C470" s="45" t="s">
        <v>154</v>
      </c>
      <c r="D470" s="46" t="s">
        <v>843</v>
      </c>
      <c r="E470" s="47" t="s">
        <v>779</v>
      </c>
      <c r="F470" s="48">
        <v>44018</v>
      </c>
      <c r="G470" s="49">
        <f t="shared" si="7"/>
        <v>0</v>
      </c>
      <c r="H470" s="77">
        <f>SUMIF(积分汇总!$B:$B,D469,积分汇总!$E:$E)</f>
        <v>0</v>
      </c>
      <c r="I470" s="77">
        <f>SUMIF(记录巡查问题条数汇总!$B:$B,D469,记录巡查问题条数汇总!$E:$E)</f>
        <v>0</v>
      </c>
      <c r="J470" s="77"/>
      <c r="K470" s="77">
        <f>SUMIF(安全质量事故!$B:$B,D469,安全质量事故!$G:$G)</f>
        <v>0</v>
      </c>
      <c r="L470" s="72">
        <f>COUNTIF(M470:AQ470,标准数据!$A$2)*标准数据!$B$2+COUNTIF(M470:AQ470,标准数据!$A$3)*标准数据!$B$3+COUNTIF(M470:AQ470,标准数据!$A$4)*标准数据!$B$4</f>
        <v>0</v>
      </c>
      <c r="M470" s="90"/>
      <c r="N470" s="90"/>
      <c r="O470" s="90"/>
      <c r="P470" s="90"/>
      <c r="Q470" s="90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189"/>
      <c r="AR470" s="55"/>
      <c r="AS470" s="41"/>
      <c r="AT470" s="41"/>
      <c r="AU470" s="41"/>
      <c r="AV470" s="76" t="str">
        <f>VLOOKUP(E470,[1]生产部!$C:$I,7,0)</f>
        <v>常白</v>
      </c>
      <c r="AW470" s="41" t="str">
        <f>VLOOKUP(E470,[1]生产部!$C:$I,6,0)</f>
        <v>12号楼CNC区域</v>
      </c>
    </row>
    <row r="471" spans="1:49" ht="21" customHeight="1">
      <c r="A471" s="237" t="s">
        <v>1940</v>
      </c>
      <c r="B471" s="229" t="s">
        <v>2115</v>
      </c>
      <c r="C471" s="45" t="s">
        <v>154</v>
      </c>
      <c r="D471" s="46" t="s">
        <v>844</v>
      </c>
      <c r="E471" s="47" t="s">
        <v>792</v>
      </c>
      <c r="F471" s="48">
        <v>41340</v>
      </c>
      <c r="G471" s="49">
        <f t="shared" si="7"/>
        <v>0</v>
      </c>
      <c r="H471" s="77">
        <f>SUMIF(积分汇总!$B:$B,D470,积分汇总!$E:$E)</f>
        <v>0</v>
      </c>
      <c r="I471" s="77">
        <f>SUMIF(记录巡查问题条数汇总!$B:$B,D470,记录巡查问题条数汇总!$E:$E)</f>
        <v>0</v>
      </c>
      <c r="J471" s="77"/>
      <c r="K471" s="77">
        <f>SUMIF(安全质量事故!$B:$B,D470,安全质量事故!$G:$G)</f>
        <v>0</v>
      </c>
      <c r="L471" s="72">
        <f>COUNTIF(M471:AQ471,标准数据!$A$2)*标准数据!$B$2+COUNTIF(M471:AQ471,标准数据!$A$3)*标准数据!$B$3+COUNTIF(M471:AQ471,标准数据!$A$4)*标准数据!$B$4</f>
        <v>0</v>
      </c>
      <c r="M471" s="90"/>
      <c r="N471" s="90"/>
      <c r="O471" s="90"/>
      <c r="P471" s="90"/>
      <c r="Q471" s="90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189"/>
      <c r="AR471" s="55"/>
      <c r="AS471" s="41"/>
      <c r="AT471" s="41"/>
      <c r="AU471" s="41"/>
      <c r="AV471" s="76" t="str">
        <f>VLOOKUP(E471,[1]生产部!$C:$I,7,0)</f>
        <v>班组</v>
      </c>
      <c r="AW471" s="41" t="str">
        <f>VLOOKUP(E471,[1]生产部!$C:$I,6,0)</f>
        <v>12号楼CNC区域</v>
      </c>
    </row>
    <row r="472" spans="1:49" s="51" customFormat="1" ht="21" customHeight="1">
      <c r="A472" s="237" t="s">
        <v>1940</v>
      </c>
      <c r="B472" s="229" t="s">
        <v>2117</v>
      </c>
      <c r="C472" s="45" t="s">
        <v>154</v>
      </c>
      <c r="D472" s="46" t="s">
        <v>667</v>
      </c>
      <c r="E472" s="47" t="s">
        <v>653</v>
      </c>
      <c r="F472" s="48">
        <v>45943</v>
      </c>
      <c r="G472" s="49">
        <f t="shared" si="7"/>
        <v>0</v>
      </c>
      <c r="H472" s="77">
        <f>SUMIF(积分汇总!$B:$B,D471,积分汇总!$E:$E)</f>
        <v>0</v>
      </c>
      <c r="I472" s="77">
        <f>SUMIF(记录巡查问题条数汇总!$B:$B,D471,记录巡查问题条数汇总!$E:$E)</f>
        <v>0</v>
      </c>
      <c r="J472" s="77"/>
      <c r="K472" s="77">
        <f>SUMIF(安全质量事故!$B:$B,D471,安全质量事故!$G:$G)</f>
        <v>0</v>
      </c>
      <c r="L472" s="72">
        <f>COUNTIF(M472:AQ472,标准数据!$A$2)*标准数据!$B$2+COUNTIF(M472:AQ472,标准数据!$A$3)*标准数据!$B$3+COUNTIF(M472:AQ472,标准数据!$A$4)*标准数据!$B$4</f>
        <v>0</v>
      </c>
      <c r="M472" s="90"/>
      <c r="N472" s="90"/>
      <c r="O472" s="90"/>
      <c r="P472" s="90"/>
      <c r="Q472" s="90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189"/>
      <c r="AR472" s="55"/>
      <c r="AS472" s="41"/>
      <c r="AT472" s="41"/>
      <c r="AU472" s="41"/>
      <c r="AV472" s="76" t="str">
        <f>VLOOKUP(E472,[1]生产部!$C:$I,7,0)</f>
        <v>班组</v>
      </c>
      <c r="AW472" s="41" t="str">
        <f>VLOOKUP(E472,[1]生产部!$C:$I,6,0)</f>
        <v>12号楼D级区域</v>
      </c>
    </row>
    <row r="473" spans="1:49" ht="21" customHeight="1">
      <c r="A473" s="237" t="s">
        <v>1940</v>
      </c>
      <c r="B473" s="229" t="s">
        <v>2115</v>
      </c>
      <c r="C473" s="45" t="s">
        <v>154</v>
      </c>
      <c r="D473" s="46" t="s">
        <v>721</v>
      </c>
      <c r="E473" s="47" t="s">
        <v>687</v>
      </c>
      <c r="F473" s="48">
        <v>45980</v>
      </c>
      <c r="G473" s="49">
        <f t="shared" si="7"/>
        <v>0</v>
      </c>
      <c r="H473" s="77">
        <f>SUMIF(积分汇总!$B:$B,D472,积分汇总!$E:$E)</f>
        <v>0</v>
      </c>
      <c r="I473" s="77">
        <f>SUMIF(记录巡查问题条数汇总!$B:$B,D472,记录巡查问题条数汇总!$E:$E)</f>
        <v>0</v>
      </c>
      <c r="J473" s="77"/>
      <c r="K473" s="77">
        <f>SUMIF(安全质量事故!$B:$B,D472,安全质量事故!$G:$G)</f>
        <v>0</v>
      </c>
      <c r="L473" s="72">
        <f>COUNTIF(M473:AQ473,标准数据!$A$2)*标准数据!$B$2+COUNTIF(M473:AQ473,标准数据!$A$3)*标准数据!$B$3+COUNTIF(M473:AQ473,标准数据!$A$4)*标准数据!$B$4</f>
        <v>0</v>
      </c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189"/>
      <c r="AR473" s="55"/>
      <c r="AS473" s="41"/>
      <c r="AT473" s="41"/>
      <c r="AU473" s="41"/>
      <c r="AV473" s="76" t="str">
        <f>VLOOKUP(E473,[1]生产部!$C:$I,7,0)</f>
        <v>常白</v>
      </c>
      <c r="AW473" s="41" t="str">
        <f>VLOOKUP(E473,[1]生产部!$C:$I,6,0)</f>
        <v>12号楼CNC区域</v>
      </c>
    </row>
    <row r="474" spans="1:49" ht="21" customHeight="1">
      <c r="A474" s="237" t="s">
        <v>1940</v>
      </c>
      <c r="B474" s="229" t="s">
        <v>2119</v>
      </c>
      <c r="C474" s="45" t="s">
        <v>154</v>
      </c>
      <c r="D474" s="46" t="s">
        <v>1477</v>
      </c>
      <c r="E474" s="47" t="s">
        <v>1478</v>
      </c>
      <c r="F474" s="48">
        <v>46183</v>
      </c>
      <c r="G474" s="49">
        <f t="shared" si="7"/>
        <v>0</v>
      </c>
      <c r="H474" s="77">
        <f>SUMIF(积分汇总!$B:$B,D473,积分汇总!$E:$E)</f>
        <v>0</v>
      </c>
      <c r="I474" s="77">
        <f>SUMIF(记录巡查问题条数汇总!$B:$B,D473,记录巡查问题条数汇总!$E:$E)</f>
        <v>0</v>
      </c>
      <c r="J474" s="77"/>
      <c r="K474" s="77">
        <f>SUMIF(安全质量事故!$B:$B,D473,安全质量事故!$G:$G)</f>
        <v>0</v>
      </c>
      <c r="L474" s="72">
        <f>COUNTIF(M474:AQ474,标准数据!$A$2)*标准数据!$B$2+COUNTIF(M474:AQ474,标准数据!$A$3)*标准数据!$B$3+COUNTIF(M474:AQ474,标准数据!$A$4)*标准数据!$B$4</f>
        <v>0</v>
      </c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189"/>
      <c r="AR474" s="55"/>
      <c r="AS474" s="194" t="s">
        <v>1479</v>
      </c>
      <c r="AT474" s="41"/>
      <c r="AU474" s="41"/>
      <c r="AV474" s="76" t="str">
        <f>VLOOKUP(E474,[1]生产部!$C:$I,7,0)</f>
        <v>班组</v>
      </c>
      <c r="AW474" s="41" t="str">
        <f>VLOOKUP(E474,[1]生产部!$C:$I,6,0)</f>
        <v>13号楼（12号楼D级区域委培）</v>
      </c>
    </row>
    <row r="475" spans="1:49" ht="21" customHeight="1">
      <c r="A475" s="237" t="s">
        <v>1940</v>
      </c>
      <c r="B475" s="229" t="s">
        <v>2117</v>
      </c>
      <c r="C475" s="45" t="s">
        <v>14</v>
      </c>
      <c r="D475" s="46" t="s">
        <v>562</v>
      </c>
      <c r="E475" s="47" t="s">
        <v>523</v>
      </c>
      <c r="F475" s="48">
        <v>45875</v>
      </c>
      <c r="G475" s="49">
        <f t="shared" si="7"/>
        <v>0</v>
      </c>
      <c r="H475" s="77">
        <f>SUMIF(积分汇总!$B:$B,D474,积分汇总!$E:$E)</f>
        <v>0</v>
      </c>
      <c r="I475" s="77">
        <f>SUMIF(记录巡查问题条数汇总!$B:$B,D474,记录巡查问题条数汇总!$E:$E)</f>
        <v>0</v>
      </c>
      <c r="J475" s="77"/>
      <c r="K475" s="77">
        <f>SUMIF(安全质量事故!$B:$B,D474,安全质量事故!$G:$G)</f>
        <v>0</v>
      </c>
      <c r="L475" s="72">
        <f>COUNTIF(M475:AQ475,标准数据!$A$2)*标准数据!$B$2+COUNTIF(M475:AQ475,标准数据!$A$3)*标准数据!$B$3+COUNTIF(M475:AQ475,标准数据!$A$4)*标准数据!$B$4</f>
        <v>0</v>
      </c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189"/>
      <c r="AR475" s="55"/>
      <c r="AS475" s="41"/>
      <c r="AT475" s="41"/>
      <c r="AU475" s="41"/>
      <c r="AV475" s="76" t="str">
        <f>VLOOKUP(E475,[1]生产部!$C:$I,7,0)</f>
        <v>常白</v>
      </c>
      <c r="AW475" s="41" t="str">
        <f>VLOOKUP(E475,[1]生产部!$C:$I,6,0)</f>
        <v>12号楼D级区域</v>
      </c>
    </row>
    <row r="476" spans="1:49" ht="21" customHeight="1">
      <c r="A476" s="237" t="s">
        <v>1940</v>
      </c>
      <c r="B476" s="229" t="s">
        <v>2115</v>
      </c>
      <c r="C476" s="45" t="s">
        <v>14</v>
      </c>
      <c r="D476" s="46" t="s">
        <v>563</v>
      </c>
      <c r="E476" s="47" t="s">
        <v>524</v>
      </c>
      <c r="F476" s="48">
        <v>45889</v>
      </c>
      <c r="G476" s="49">
        <f t="shared" si="7"/>
        <v>0</v>
      </c>
      <c r="H476" s="77">
        <f>SUMIF(积分汇总!$B:$B,D475,积分汇总!$E:$E)</f>
        <v>0</v>
      </c>
      <c r="I476" s="77">
        <f>SUMIF(记录巡查问题条数汇总!$B:$B,D475,记录巡查问题条数汇总!$E:$E)</f>
        <v>0</v>
      </c>
      <c r="J476" s="77"/>
      <c r="K476" s="77">
        <f>SUMIF(安全质量事故!$B:$B,D475,安全质量事故!$G:$G)</f>
        <v>0</v>
      </c>
      <c r="L476" s="72">
        <f>COUNTIF(M476:AQ476,标准数据!$A$2)*标准数据!$B$2+COUNTIF(M476:AQ476,标准数据!$A$3)*标准数据!$B$3+COUNTIF(M476:AQ476,标准数据!$A$4)*标准数据!$B$4</f>
        <v>0</v>
      </c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189"/>
      <c r="AR476" s="55"/>
      <c r="AV476" s="76" t="str">
        <f>VLOOKUP(E476,[1]生产部!$C:$I,7,0)</f>
        <v>常白</v>
      </c>
      <c r="AW476" s="41" t="str">
        <f>VLOOKUP(E476,[1]生产部!$C:$I,6,0)</f>
        <v>12号楼CNC区域</v>
      </c>
    </row>
    <row r="477" spans="1:49" ht="21" customHeight="1">
      <c r="A477" s="237" t="s">
        <v>1940</v>
      </c>
      <c r="B477" s="229" t="s">
        <v>2115</v>
      </c>
      <c r="C477" s="45" t="s">
        <v>14</v>
      </c>
      <c r="D477" s="46" t="s">
        <v>247</v>
      </c>
      <c r="E477" s="47" t="s">
        <v>223</v>
      </c>
      <c r="F477" s="48">
        <v>44753</v>
      </c>
      <c r="G477" s="49">
        <f t="shared" si="7"/>
        <v>0</v>
      </c>
      <c r="H477" s="77">
        <f>SUMIF(积分汇总!$B:$B,D476,积分汇总!$E:$E)</f>
        <v>0</v>
      </c>
      <c r="I477" s="77">
        <f>SUMIF(记录巡查问题条数汇总!$B:$B,D476,记录巡查问题条数汇总!$E:$E)</f>
        <v>0</v>
      </c>
      <c r="J477" s="77"/>
      <c r="K477" s="77">
        <f>SUMIF(安全质量事故!$B:$B,D476,安全质量事故!$G:$G)</f>
        <v>0</v>
      </c>
      <c r="L477" s="72">
        <f>COUNTIF(M477:AQ477,标准数据!$A$2)*标准数据!$B$2+COUNTIF(M477:AQ477,标准数据!$A$3)*标准数据!$B$3+COUNTIF(M477:AQ477,标准数据!$A$4)*标准数据!$B$4</f>
        <v>0</v>
      </c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189"/>
      <c r="AR477" s="55"/>
      <c r="AV477" s="76" t="str">
        <f>VLOOKUP(E477,[1]生产部!$C:$I,7,0)</f>
        <v>项目组</v>
      </c>
      <c r="AW477" s="41" t="str">
        <f>VLOOKUP(E477,[1]生产部!$C:$I,6,0)</f>
        <v>12号楼CNC区域</v>
      </c>
    </row>
    <row r="478" spans="1:49" ht="21" customHeight="1">
      <c r="A478" s="237" t="s">
        <v>1940</v>
      </c>
      <c r="B478" s="229" t="s">
        <v>2115</v>
      </c>
      <c r="C478" s="45" t="s">
        <v>14</v>
      </c>
      <c r="D478" s="46" t="s">
        <v>561</v>
      </c>
      <c r="E478" s="47" t="s">
        <v>522</v>
      </c>
      <c r="F478" s="48">
        <v>45139</v>
      </c>
      <c r="G478" s="49">
        <f t="shared" si="7"/>
        <v>0</v>
      </c>
      <c r="H478" s="77">
        <f>SUMIF(积分汇总!$B:$B,D477,积分汇总!$E:$E)</f>
        <v>0</v>
      </c>
      <c r="I478" s="77">
        <f>SUMIF(记录巡查问题条数汇总!$B:$B,D477,记录巡查问题条数汇总!$E:$E)</f>
        <v>0</v>
      </c>
      <c r="J478" s="77"/>
      <c r="K478" s="77">
        <f>SUMIF(安全质量事故!$B:$B,D477,安全质量事故!$G:$G)</f>
        <v>0</v>
      </c>
      <c r="L478" s="72">
        <f>COUNTIF(M478:AQ478,标准数据!$A$2)*标准数据!$B$2+COUNTIF(M478:AQ478,标准数据!$A$3)*标准数据!$B$3+COUNTIF(M478:AQ478,标准数据!$A$4)*标准数据!$B$4</f>
        <v>0</v>
      </c>
      <c r="M478" s="90"/>
      <c r="N478" s="90"/>
      <c r="O478" s="90"/>
      <c r="P478" s="90"/>
      <c r="Q478" s="90"/>
      <c r="R478" s="90"/>
      <c r="S478" s="90"/>
      <c r="T478" s="90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189"/>
      <c r="AR478" s="55"/>
      <c r="AV478" s="76" t="str">
        <f>VLOOKUP(E478,[1]生产部!$C:$I,7,0)</f>
        <v>班组</v>
      </c>
      <c r="AW478" s="41" t="str">
        <f>VLOOKUP(E478,[1]生产部!$C:$I,6,0)</f>
        <v>12号楼CNC区域</v>
      </c>
    </row>
    <row r="479" spans="1:49" ht="21" customHeight="1">
      <c r="A479" s="237" t="s">
        <v>1940</v>
      </c>
      <c r="B479" s="229" t="s">
        <v>2115</v>
      </c>
      <c r="C479" s="45" t="s">
        <v>14</v>
      </c>
      <c r="D479" s="46" t="s">
        <v>623</v>
      </c>
      <c r="E479" s="47" t="s">
        <v>588</v>
      </c>
      <c r="F479" s="48" t="s">
        <v>1038</v>
      </c>
      <c r="G479" s="49">
        <f t="shared" si="7"/>
        <v>0</v>
      </c>
      <c r="H479" s="77">
        <f>SUMIF(积分汇总!$B:$B,D478,积分汇总!$E:$E)</f>
        <v>0</v>
      </c>
      <c r="I479" s="77">
        <f>SUMIF(记录巡查问题条数汇总!$B:$B,D478,记录巡查问题条数汇总!$E:$E)</f>
        <v>0</v>
      </c>
      <c r="J479" s="77"/>
      <c r="K479" s="77">
        <f>SUMIF(安全质量事故!$B:$B,D478,安全质量事故!$G:$G)</f>
        <v>0</v>
      </c>
      <c r="L479" s="72">
        <f>COUNTIF(M479:AQ479,标准数据!$A$2)*标准数据!$B$2+COUNTIF(M479:AQ479,标准数据!$A$3)*标准数据!$B$3+COUNTIF(M479:AQ479,标准数据!$A$4)*标准数据!$B$4</f>
        <v>0</v>
      </c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189"/>
      <c r="AR479" s="55"/>
      <c r="AV479" s="76" t="str">
        <f>VLOOKUP(E479,[1]生产部!$C:$I,7,0)</f>
        <v>常白</v>
      </c>
      <c r="AW479" s="41" t="str">
        <f>VLOOKUP(E479,[1]生产部!$C:$I,6,0)</f>
        <v>12号楼CNC区域</v>
      </c>
    </row>
    <row r="480" spans="1:49" ht="21" customHeight="1">
      <c r="A480" s="237" t="s">
        <v>1940</v>
      </c>
      <c r="B480" s="229" t="s">
        <v>2115</v>
      </c>
      <c r="C480" s="45" t="s">
        <v>14</v>
      </c>
      <c r="D480" s="46" t="s">
        <v>624</v>
      </c>
      <c r="E480" s="47" t="s">
        <v>589</v>
      </c>
      <c r="F480" s="48" t="s">
        <v>1038</v>
      </c>
      <c r="G480" s="49">
        <f t="shared" si="7"/>
        <v>0</v>
      </c>
      <c r="H480" s="77">
        <f>SUMIF(积分汇总!$B:$B,D479,积分汇总!$E:$E)</f>
        <v>0</v>
      </c>
      <c r="I480" s="77">
        <f>SUMIF(记录巡查问题条数汇总!$B:$B,D479,记录巡查问题条数汇总!$E:$E)</f>
        <v>0</v>
      </c>
      <c r="J480" s="77"/>
      <c r="K480" s="77">
        <f>SUMIF(安全质量事故!$B:$B,D479,安全质量事故!$G:$G)</f>
        <v>0</v>
      </c>
      <c r="L480" s="72">
        <f>COUNTIF(M480:AQ480,标准数据!$A$2)*标准数据!$B$2+COUNTIF(M480:AQ480,标准数据!$A$3)*标准数据!$B$3+COUNTIF(M480:AQ480,标准数据!$A$4)*标准数据!$B$4</f>
        <v>0</v>
      </c>
      <c r="M480" s="90"/>
      <c r="N480" s="90"/>
      <c r="O480" s="90"/>
      <c r="P480" s="90"/>
      <c r="Q480" s="90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189"/>
      <c r="AR480" s="55"/>
      <c r="AV480" s="76" t="str">
        <f>VLOOKUP(E480,[1]生产部!$C:$I,7,0)</f>
        <v>项目组</v>
      </c>
      <c r="AW480" s="41" t="str">
        <f>VLOOKUP(E480,[1]生产部!$C:$I,6,0)</f>
        <v>12号楼CNC区域</v>
      </c>
    </row>
    <row r="481" spans="1:49" ht="21" customHeight="1">
      <c r="A481" s="237" t="s">
        <v>1940</v>
      </c>
      <c r="B481" s="229" t="s">
        <v>2115</v>
      </c>
      <c r="C481" s="45" t="s">
        <v>14</v>
      </c>
      <c r="D481" s="46" t="s">
        <v>228</v>
      </c>
      <c r="E481" s="47" t="s">
        <v>229</v>
      </c>
      <c r="F481" s="48">
        <v>45483</v>
      </c>
      <c r="G481" s="49">
        <f t="shared" si="7"/>
        <v>0</v>
      </c>
      <c r="H481" s="77">
        <f>SUMIF(积分汇总!$B:$B,#REF!,积分汇总!$E:$E)</f>
        <v>0</v>
      </c>
      <c r="I481" s="77">
        <f>SUMIF(记录巡查问题条数汇总!$B:$B,#REF!,记录巡查问题条数汇总!$E:$E)</f>
        <v>0</v>
      </c>
      <c r="J481" s="77"/>
      <c r="K481" s="77">
        <f>SUMIF(安全质量事故!$B:$B,#REF!,安全质量事故!$G:$G)</f>
        <v>0</v>
      </c>
      <c r="L481" s="72">
        <f>COUNTIF(M481:AQ481,标准数据!$A$2)*标准数据!$B$2+COUNTIF(M481:AQ481,标准数据!$A$3)*标准数据!$B$3+COUNTIF(M481:AQ481,标准数据!$A$4)*标准数据!$B$4</f>
        <v>0</v>
      </c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189"/>
      <c r="AR481" s="55"/>
      <c r="AV481" s="76" t="str">
        <f>VLOOKUP(E481,[1]生产部!$C:$I,7,0)</f>
        <v>班组</v>
      </c>
      <c r="AW481" s="41" t="str">
        <f>VLOOKUP(E481,[1]生产部!$C:$I,6,0)</f>
        <v>12号楼CNC区域</v>
      </c>
    </row>
    <row r="482" spans="1:49" ht="21" customHeight="1">
      <c r="A482" s="237" t="s">
        <v>1940</v>
      </c>
      <c r="B482" s="229" t="s">
        <v>2115</v>
      </c>
      <c r="C482" s="45" t="s">
        <v>87</v>
      </c>
      <c r="D482" s="46" t="s">
        <v>551</v>
      </c>
      <c r="E482" s="47" t="s">
        <v>516</v>
      </c>
      <c r="F482" s="48">
        <v>45889</v>
      </c>
      <c r="G482" s="49">
        <f t="shared" si="7"/>
        <v>0</v>
      </c>
      <c r="H482" s="77">
        <f>SUMIF(积分汇总!$B:$B,D481,积分汇总!$E:$E)</f>
        <v>0</v>
      </c>
      <c r="I482" s="77">
        <f>SUMIF(记录巡查问题条数汇总!$B:$B,D481,记录巡查问题条数汇总!$E:$E)</f>
        <v>0</v>
      </c>
      <c r="J482" s="77"/>
      <c r="K482" s="77">
        <f>SUMIF(安全质量事故!$B:$B,D481,安全质量事故!$G:$G)</f>
        <v>0</v>
      </c>
      <c r="L482" s="72">
        <f>COUNTIF(M482:AQ482,标准数据!$A$2)*标准数据!$B$2+COUNTIF(M482:AQ482,标准数据!$A$3)*标准数据!$B$3+COUNTIF(M482:AQ482,标准数据!$A$4)*标准数据!$B$4</f>
        <v>0</v>
      </c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189"/>
      <c r="AR482" s="55"/>
      <c r="AS482" s="41"/>
      <c r="AT482" s="41"/>
      <c r="AU482" s="41"/>
      <c r="AV482" s="76" t="str">
        <f>VLOOKUP(E482,[1]生产部!$C:$I,7,0)</f>
        <v>班组</v>
      </c>
      <c r="AW482" s="41" t="str">
        <f>VLOOKUP(E482,[1]生产部!$C:$I,6,0)</f>
        <v>12号楼CNC区域</v>
      </c>
    </row>
    <row r="483" spans="1:49" ht="21" customHeight="1">
      <c r="A483" s="237" t="s">
        <v>1940</v>
      </c>
      <c r="B483" s="229" t="s">
        <v>2112</v>
      </c>
      <c r="C483" s="45" t="s">
        <v>87</v>
      </c>
      <c r="D483" s="46" t="s">
        <v>646</v>
      </c>
      <c r="E483" s="47" t="s">
        <v>578</v>
      </c>
      <c r="F483" s="48">
        <v>45896</v>
      </c>
      <c r="G483" s="49">
        <f t="shared" si="7"/>
        <v>0</v>
      </c>
      <c r="H483" s="77">
        <f>SUMIF(积分汇总!$B:$B,D482,积分汇总!$E:$E)</f>
        <v>0</v>
      </c>
      <c r="I483" s="77">
        <f>SUMIF(记录巡查问题条数汇总!$B:$B,D482,记录巡查问题条数汇总!$E:$E)</f>
        <v>0</v>
      </c>
      <c r="J483" s="77"/>
      <c r="K483" s="77">
        <f>SUMIF(安全质量事故!$B:$B,D482,安全质量事故!$G:$G)</f>
        <v>0</v>
      </c>
      <c r="L483" s="72">
        <f>COUNTIF(M483:AQ483,标准数据!$A$2)*标准数据!$B$2+COUNTIF(M483:AQ483,标准数据!$A$3)*标准数据!$B$3+COUNTIF(M483:AQ483,标准数据!$A$4)*标准数据!$B$4</f>
        <v>0</v>
      </c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189"/>
      <c r="AR483" s="55"/>
      <c r="AS483" s="41"/>
      <c r="AT483" s="41"/>
      <c r="AU483" s="41"/>
      <c r="AV483" s="76" t="str">
        <f>VLOOKUP(E483,[1]生产部!$C:$I,7,0)</f>
        <v>班组</v>
      </c>
      <c r="AW483" s="41" t="str">
        <f>VLOOKUP(E483,[1]生产部!$C:$I,6,0)</f>
        <v>12号楼CNC区域</v>
      </c>
    </row>
    <row r="484" spans="1:49" ht="21" customHeight="1">
      <c r="A484" s="237" t="s">
        <v>1940</v>
      </c>
      <c r="B484" s="229" t="s">
        <v>2115</v>
      </c>
      <c r="C484" s="45" t="s">
        <v>14</v>
      </c>
      <c r="D484" s="46" t="s">
        <v>647</v>
      </c>
      <c r="E484" s="47" t="s">
        <v>580</v>
      </c>
      <c r="F484" s="48">
        <v>45896</v>
      </c>
      <c r="G484" s="49">
        <f t="shared" si="7"/>
        <v>0</v>
      </c>
      <c r="H484" s="77">
        <f>SUMIF(积分汇总!$B:$B,D483,积分汇总!$E:$E)</f>
        <v>0</v>
      </c>
      <c r="I484" s="77">
        <f>SUMIF(记录巡查问题条数汇总!$B:$B,D483,记录巡查问题条数汇总!$E:$E)</f>
        <v>0</v>
      </c>
      <c r="J484" s="77"/>
      <c r="K484" s="77">
        <f>SUMIF(安全质量事故!$B:$B,D483,安全质量事故!$G:$G)</f>
        <v>0</v>
      </c>
      <c r="L484" s="72">
        <f>COUNTIF(M484:AQ484,标准数据!$A$2)*标准数据!$B$2+COUNTIF(M484:AQ484,标准数据!$A$3)*标准数据!$B$3+COUNTIF(M484:AQ484,标准数据!$A$4)*标准数据!$B$4</f>
        <v>0</v>
      </c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189"/>
      <c r="AR484" s="55"/>
      <c r="AV484" s="76" t="str">
        <f>VLOOKUP(E484,[1]生产部!$C:$I,7,0)</f>
        <v>班组</v>
      </c>
      <c r="AW484" s="41" t="str">
        <f>VLOOKUP(E484,[1]生产部!$C:$I,6,0)</f>
        <v>12号楼CNC区域</v>
      </c>
    </row>
    <row r="485" spans="1:49" ht="21" customHeight="1">
      <c r="A485" s="237" t="s">
        <v>1940</v>
      </c>
      <c r="B485" s="229" t="s">
        <v>2117</v>
      </c>
      <c r="C485" s="45" t="s">
        <v>14</v>
      </c>
      <c r="D485" s="46" t="s">
        <v>641</v>
      </c>
      <c r="E485" s="47" t="s">
        <v>582</v>
      </c>
      <c r="F485" s="48">
        <v>45910</v>
      </c>
      <c r="G485" s="49">
        <f t="shared" si="7"/>
        <v>0</v>
      </c>
      <c r="H485" s="77">
        <f>SUMIF(积分汇总!$B:$B,D484,积分汇总!$E:$E)</f>
        <v>0</v>
      </c>
      <c r="I485" s="77">
        <f>SUMIF(记录巡查问题条数汇总!$B:$B,D484,记录巡查问题条数汇总!$E:$E)</f>
        <v>0</v>
      </c>
      <c r="J485" s="77"/>
      <c r="K485" s="77">
        <f>SUMIF(安全质量事故!$B:$B,D484,安全质量事故!$G:$G)</f>
        <v>0</v>
      </c>
      <c r="L485" s="72">
        <f>COUNTIF(M485:AQ485,标准数据!$A$2)*标准数据!$B$2+COUNTIF(M485:AQ485,标准数据!$A$3)*标准数据!$B$3+COUNTIF(M485:AQ485,标准数据!$A$4)*标准数据!$B$4</f>
        <v>0</v>
      </c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189"/>
      <c r="AR485" s="55"/>
      <c r="AV485" s="76" t="str">
        <f>VLOOKUP(E485,[1]生产部!$C:$I,7,0)</f>
        <v>班组</v>
      </c>
      <c r="AW485" s="41" t="str">
        <f>VLOOKUP(E485,[1]生产部!$C:$I,6,0)</f>
        <v>12号楼D级区域</v>
      </c>
    </row>
    <row r="486" spans="1:49" ht="21" customHeight="1">
      <c r="A486" s="237" t="s">
        <v>1940</v>
      </c>
      <c r="B486" s="229" t="s">
        <v>2117</v>
      </c>
      <c r="C486" s="45" t="s">
        <v>87</v>
      </c>
      <c r="D486" s="46" t="s">
        <v>642</v>
      </c>
      <c r="E486" s="52" t="s">
        <v>583</v>
      </c>
      <c r="F486" s="46">
        <v>45910</v>
      </c>
      <c r="G486" s="49">
        <f t="shared" si="7"/>
        <v>0</v>
      </c>
      <c r="H486" s="77">
        <f>SUMIF(积分汇总!$B:$B,D485,积分汇总!$E:$E)</f>
        <v>0</v>
      </c>
      <c r="I486" s="77">
        <f>SUMIF(记录巡查问题条数汇总!$B:$B,D485,记录巡查问题条数汇总!$E:$E)</f>
        <v>0</v>
      </c>
      <c r="J486" s="77"/>
      <c r="K486" s="77">
        <f>SUMIF(安全质量事故!$B:$B,D485,安全质量事故!$G:$G)</f>
        <v>0</v>
      </c>
      <c r="L486" s="72">
        <f>COUNTIF(M486:AQ486,标准数据!$A$2)*标准数据!$B$2+COUNTIF(M486:AQ486,标准数据!$A$3)*标准数据!$B$3+COUNTIF(M486:AQ486,标准数据!$A$4)*标准数据!$B$4</f>
        <v>0</v>
      </c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189"/>
      <c r="AR486" s="55"/>
      <c r="AS486" s="41"/>
      <c r="AT486" s="41"/>
      <c r="AU486" s="41"/>
      <c r="AV486" s="76" t="str">
        <f>VLOOKUP(E486,[1]生产部!$C:$I,7,0)</f>
        <v>班组</v>
      </c>
      <c r="AW486" s="41" t="str">
        <f>VLOOKUP(E486,[1]生产部!$C:$I,6,0)</f>
        <v>12号楼D级区域</v>
      </c>
    </row>
    <row r="487" spans="1:49" ht="21" customHeight="1">
      <c r="A487" s="237" t="s">
        <v>1940</v>
      </c>
      <c r="B487" s="229" t="s">
        <v>2115</v>
      </c>
      <c r="C487" s="45" t="s">
        <v>87</v>
      </c>
      <c r="D487" s="46" t="s">
        <v>727</v>
      </c>
      <c r="E487" s="52" t="s">
        <v>693</v>
      </c>
      <c r="F487" s="46">
        <v>45509</v>
      </c>
      <c r="G487" s="49">
        <f t="shared" si="7"/>
        <v>0</v>
      </c>
      <c r="H487" s="77">
        <f>SUMIF(积分汇总!$B:$B,D486,积分汇总!$E:$E)</f>
        <v>0</v>
      </c>
      <c r="I487" s="77">
        <f>SUMIF(记录巡查问题条数汇总!$B:$B,D486,记录巡查问题条数汇总!$E:$E)</f>
        <v>0</v>
      </c>
      <c r="J487" s="77"/>
      <c r="K487" s="77">
        <f>SUMIF(安全质量事故!$B:$B,D486,安全质量事故!$G:$G)</f>
        <v>0</v>
      </c>
      <c r="L487" s="72">
        <f>COUNTIF(M487:AQ487,标准数据!$A$2)*标准数据!$B$2+COUNTIF(M487:AQ487,标准数据!$A$3)*标准数据!$B$3+COUNTIF(M487:AQ487,标准数据!$A$4)*标准数据!$B$4</f>
        <v>0</v>
      </c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189"/>
      <c r="AR487" s="55"/>
      <c r="AS487" s="41"/>
      <c r="AT487" s="41"/>
      <c r="AU487" s="41"/>
      <c r="AV487" s="76" t="str">
        <f>VLOOKUP(E487,[1]生产部!$C:$I,7,0)</f>
        <v>班组</v>
      </c>
      <c r="AW487" s="41" t="str">
        <f>VLOOKUP(E487,[1]生产部!$C:$I,6,0)</f>
        <v>12号楼CNC区域</v>
      </c>
    </row>
    <row r="488" spans="1:49" ht="21" customHeight="1">
      <c r="A488" s="237" t="s">
        <v>1940</v>
      </c>
      <c r="B488" s="229" t="s">
        <v>2117</v>
      </c>
      <c r="C488" s="45" t="s">
        <v>87</v>
      </c>
      <c r="D488" s="46" t="s">
        <v>728</v>
      </c>
      <c r="E488" s="52" t="s">
        <v>694</v>
      </c>
      <c r="F488" s="46">
        <v>45475</v>
      </c>
      <c r="G488" s="49">
        <f t="shared" si="7"/>
        <v>0</v>
      </c>
      <c r="H488" s="77">
        <f>SUMIF(积分汇总!$B:$B,D487,积分汇总!$E:$E)</f>
        <v>0</v>
      </c>
      <c r="I488" s="77">
        <f>SUMIF(记录巡查问题条数汇总!$B:$B,D487,记录巡查问题条数汇总!$E:$E)</f>
        <v>0</v>
      </c>
      <c r="J488" s="77"/>
      <c r="K488" s="77">
        <f>SUMIF(安全质量事故!$B:$B,D487,安全质量事故!$G:$G)</f>
        <v>0</v>
      </c>
      <c r="L488" s="72">
        <f>COUNTIF(M488:AQ488,标准数据!$A$2)*标准数据!$B$2+COUNTIF(M488:AQ488,标准数据!$A$3)*标准数据!$B$3+COUNTIF(M488:AQ488,标准数据!$A$4)*标准数据!$B$4</f>
        <v>0</v>
      </c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189"/>
      <c r="AR488" s="55"/>
      <c r="AS488" s="41"/>
      <c r="AT488" s="41"/>
      <c r="AU488" s="41"/>
      <c r="AV488" s="76" t="str">
        <f>VLOOKUP(E488,[1]生产部!$C:$I,7,0)</f>
        <v>班组</v>
      </c>
      <c r="AW488" s="41" t="str">
        <f>VLOOKUP(E488,[1]生产部!$C:$I,6,0)</f>
        <v>12号楼D级区域</v>
      </c>
    </row>
    <row r="489" spans="1:49" ht="21" customHeight="1">
      <c r="A489" s="237" t="s">
        <v>1940</v>
      </c>
      <c r="B489" s="229" t="s">
        <v>2118</v>
      </c>
      <c r="C489" s="45" t="s">
        <v>14</v>
      </c>
      <c r="D489" s="46" t="s">
        <v>729</v>
      </c>
      <c r="E489" s="47" t="s">
        <v>695</v>
      </c>
      <c r="F489" s="48">
        <v>45966</v>
      </c>
      <c r="G489" s="49">
        <f t="shared" si="7"/>
        <v>0</v>
      </c>
      <c r="H489" s="77">
        <f>SUMIF(积分汇总!$B:$B,D488,积分汇总!$E:$E)</f>
        <v>0</v>
      </c>
      <c r="I489" s="77">
        <f>SUMIF(记录巡查问题条数汇总!$B:$B,D488,记录巡查问题条数汇总!$E:$E)</f>
        <v>0</v>
      </c>
      <c r="J489" s="77"/>
      <c r="K489" s="77">
        <f>SUMIF(安全质量事故!$B:$B,D488,安全质量事故!$G:$G)</f>
        <v>0</v>
      </c>
      <c r="L489" s="72">
        <f>COUNTIF(M489:AQ489,标准数据!$A$2)*标准数据!$B$2+COUNTIF(M489:AQ489,标准数据!$A$3)*标准数据!$B$3+COUNTIF(M489:AQ489,标准数据!$A$4)*标准数据!$B$4</f>
        <v>0</v>
      </c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189"/>
      <c r="AR489" s="55"/>
      <c r="AS489" s="41"/>
      <c r="AT489" s="41"/>
      <c r="AU489" s="41"/>
      <c r="AV489" s="76" t="str">
        <f>VLOOKUP(E489,[1]生产部!$C:$I,7,0)</f>
        <v>项目组</v>
      </c>
      <c r="AW489" s="41" t="str">
        <f>VLOOKUP(E489,[1]生产部!$C:$I,6,0)</f>
        <v>12号楼中试</v>
      </c>
    </row>
    <row r="490" spans="1:49" ht="21" customHeight="1">
      <c r="A490" s="237" t="s">
        <v>1940</v>
      </c>
      <c r="B490" s="229" t="s">
        <v>2112</v>
      </c>
      <c r="C490" s="45" t="s">
        <v>14</v>
      </c>
      <c r="D490" s="46" t="s">
        <v>730</v>
      </c>
      <c r="E490" s="47" t="s">
        <v>696</v>
      </c>
      <c r="F490" s="48">
        <v>45966</v>
      </c>
      <c r="G490" s="49">
        <f t="shared" si="7"/>
        <v>0</v>
      </c>
      <c r="H490" s="77">
        <f>SUMIF(积分汇总!$B:$B,D489,积分汇总!$E:$E)</f>
        <v>0</v>
      </c>
      <c r="I490" s="77">
        <f>SUMIF(记录巡查问题条数汇总!$B:$B,D489,记录巡查问题条数汇总!$E:$E)</f>
        <v>0</v>
      </c>
      <c r="J490" s="77"/>
      <c r="K490" s="77">
        <f>SUMIF(安全质量事故!$B:$B,D489,安全质量事故!$G:$G)</f>
        <v>0</v>
      </c>
      <c r="L490" s="72">
        <f>COUNTIF(M490:AQ490,标准数据!$A$2)*标准数据!$B$2+COUNTIF(M490:AQ490,标准数据!$A$3)*标准数据!$B$3+COUNTIF(M490:AQ490,标准数据!$A$4)*标准数据!$B$4</f>
        <v>0</v>
      </c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189"/>
      <c r="AR490" s="55"/>
      <c r="AV490" s="76" t="str">
        <f>VLOOKUP(E490,[1]生产部!$C:$I,7,0)</f>
        <v>班组</v>
      </c>
      <c r="AW490" s="41" t="str">
        <f>VLOOKUP(E490,[1]生产部!$C:$I,6,0)</f>
        <v>12号楼CNC区域</v>
      </c>
    </row>
    <row r="491" spans="1:49" ht="21" customHeight="1">
      <c r="A491" s="237" t="s">
        <v>1940</v>
      </c>
      <c r="B491" s="229" t="s">
        <v>2117</v>
      </c>
      <c r="C491" s="45" t="s">
        <v>14</v>
      </c>
      <c r="D491" s="46" t="s">
        <v>731</v>
      </c>
      <c r="E491" s="52" t="s">
        <v>697</v>
      </c>
      <c r="F491" s="48">
        <v>45971</v>
      </c>
      <c r="G491" s="49">
        <f t="shared" si="7"/>
        <v>0</v>
      </c>
      <c r="H491" s="77">
        <f>SUMIF(积分汇总!$B:$B,D490,积分汇总!$E:$E)</f>
        <v>0</v>
      </c>
      <c r="I491" s="77">
        <f>SUMIF(记录巡查问题条数汇总!$B:$B,D490,记录巡查问题条数汇总!$E:$E)</f>
        <v>0</v>
      </c>
      <c r="J491" s="77"/>
      <c r="K491" s="77">
        <f>SUMIF(安全质量事故!$B:$B,D490,安全质量事故!$G:$G)</f>
        <v>0</v>
      </c>
      <c r="L491" s="72">
        <f>COUNTIF(M491:AQ491,标准数据!$A$2)*标准数据!$B$2+COUNTIF(M491:AQ491,标准数据!$A$3)*标准数据!$B$3+COUNTIF(M491:AQ491,标准数据!$A$4)*标准数据!$B$4</f>
        <v>0</v>
      </c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192"/>
      <c r="AR491" s="90"/>
      <c r="AV491" s="76" t="str">
        <f>VLOOKUP(E491,[1]生产部!$C:$I,7,0)</f>
        <v>项目组倒班</v>
      </c>
      <c r="AW491" s="41" t="str">
        <f>VLOOKUP(E491,[1]生产部!$C:$I,6,0)</f>
        <v>12号楼中试</v>
      </c>
    </row>
    <row r="492" spans="1:49" ht="21" customHeight="1">
      <c r="A492" s="237" t="s">
        <v>1940</v>
      </c>
      <c r="B492" s="229" t="s">
        <v>2117</v>
      </c>
      <c r="C492" s="45" t="s">
        <v>87</v>
      </c>
      <c r="D492" s="46" t="s">
        <v>732</v>
      </c>
      <c r="E492" s="52" t="s">
        <v>698</v>
      </c>
      <c r="F492" s="46">
        <v>45985</v>
      </c>
      <c r="G492" s="49">
        <f t="shared" si="7"/>
        <v>0</v>
      </c>
      <c r="H492" s="77">
        <f>SUMIF(积分汇总!$B:$B,D491,积分汇总!$E:$E)</f>
        <v>0</v>
      </c>
      <c r="I492" s="77">
        <f>SUMIF(记录巡查问题条数汇总!$B:$B,D491,记录巡查问题条数汇总!$E:$E)</f>
        <v>0</v>
      </c>
      <c r="J492" s="77"/>
      <c r="K492" s="77">
        <f>SUMIF(安全质量事故!$B:$B,D491,安全质量事故!$G:$G)</f>
        <v>0</v>
      </c>
      <c r="L492" s="72">
        <f>COUNTIF(M492:AQ492,标准数据!$A$2)*标准数据!$B$2+COUNTIF(M492:AQ492,标准数据!$A$3)*标准数据!$B$3+COUNTIF(M492:AQ492,标准数据!$A$4)*标准数据!$B$4</f>
        <v>0</v>
      </c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189"/>
      <c r="AR492" s="55"/>
      <c r="AS492" s="41"/>
      <c r="AT492" s="41"/>
      <c r="AU492" s="41"/>
      <c r="AV492" s="76" t="str">
        <f>VLOOKUP(E492,[1]生产部!$C:$I,7,0)</f>
        <v>班组</v>
      </c>
      <c r="AW492" s="41" t="str">
        <f>VLOOKUP(E492,[1]生产部!$C:$I,6,0)</f>
        <v>12号楼D级区域</v>
      </c>
    </row>
    <row r="493" spans="1:49" ht="21" customHeight="1">
      <c r="A493" s="237" t="s">
        <v>1940</v>
      </c>
      <c r="B493" s="229" t="s">
        <v>2117</v>
      </c>
      <c r="C493" s="45" t="s">
        <v>87</v>
      </c>
      <c r="D493" s="46" t="s">
        <v>733</v>
      </c>
      <c r="E493" s="52" t="s">
        <v>704</v>
      </c>
      <c r="F493" s="46">
        <v>45959</v>
      </c>
      <c r="G493" s="49">
        <f t="shared" si="7"/>
        <v>0</v>
      </c>
      <c r="H493" s="77">
        <f>SUMIF(积分汇总!$B:$B,D492,积分汇总!$E:$E)</f>
        <v>0</v>
      </c>
      <c r="I493" s="77">
        <f>SUMIF(记录巡查问题条数汇总!$B:$B,D492,记录巡查问题条数汇总!$E:$E)</f>
        <v>0</v>
      </c>
      <c r="J493" s="77"/>
      <c r="K493" s="77">
        <f>SUMIF(安全质量事故!$B:$B,D492,安全质量事故!$G:$G)</f>
        <v>0</v>
      </c>
      <c r="L493" s="72">
        <f>COUNTIF(M493:AQ493,标准数据!$A$2)*标准数据!$B$2+COUNTIF(M493:AQ493,标准数据!$A$3)*标准数据!$B$3+COUNTIF(M493:AQ493,标准数据!$A$4)*标准数据!$B$4</f>
        <v>0</v>
      </c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189"/>
      <c r="AR493" s="55"/>
      <c r="AS493" s="41"/>
      <c r="AT493" s="41"/>
      <c r="AU493" s="41"/>
      <c r="AV493" s="76" t="str">
        <f>VLOOKUP(E493,[1]生产部!$C:$I,7,0)</f>
        <v>班组</v>
      </c>
      <c r="AW493" s="41" t="str">
        <f>VLOOKUP(E493,[1]生产部!$C:$I,6,0)</f>
        <v>12号楼D级区域</v>
      </c>
    </row>
    <row r="494" spans="1:49" ht="21" customHeight="1">
      <c r="A494" s="237" t="s">
        <v>1940</v>
      </c>
      <c r="B494" s="229" t="s">
        <v>2115</v>
      </c>
      <c r="C494" s="45" t="s">
        <v>14</v>
      </c>
      <c r="D494" s="46" t="s">
        <v>734</v>
      </c>
      <c r="E494" s="52" t="s">
        <v>705</v>
      </c>
      <c r="F494" s="48">
        <v>45959</v>
      </c>
      <c r="G494" s="49">
        <f t="shared" si="7"/>
        <v>0</v>
      </c>
      <c r="H494" s="77">
        <f>SUMIF(积分汇总!$B:$B,D493,积分汇总!$E:$E)</f>
        <v>0</v>
      </c>
      <c r="I494" s="77">
        <f>SUMIF(记录巡查问题条数汇总!$B:$B,D493,记录巡查问题条数汇总!$E:$E)</f>
        <v>0</v>
      </c>
      <c r="J494" s="77"/>
      <c r="K494" s="77">
        <f>SUMIF(安全质量事故!$B:$B,D493,安全质量事故!$G:$G)</f>
        <v>0</v>
      </c>
      <c r="L494" s="72">
        <f>COUNTIF(M494:AQ494,标准数据!$A$2)*标准数据!$B$2+COUNTIF(M494:AQ494,标准数据!$A$3)*标准数据!$B$3+COUNTIF(M494:AQ494,标准数据!$A$4)*标准数据!$B$4</f>
        <v>0</v>
      </c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192"/>
      <c r="AR494" s="90"/>
      <c r="AV494" s="76" t="str">
        <f>VLOOKUP(E494,[1]生产部!$C:$I,7,0)</f>
        <v>常白</v>
      </c>
      <c r="AW494" s="41" t="str">
        <f>VLOOKUP(E494,[1]生产部!$C:$I,6,0)</f>
        <v>12号楼D级区域</v>
      </c>
    </row>
    <row r="495" spans="1:49" ht="21" customHeight="1">
      <c r="A495" s="237" t="s">
        <v>1940</v>
      </c>
      <c r="B495" s="229" t="s">
        <v>2117</v>
      </c>
      <c r="C495" s="45" t="s">
        <v>14</v>
      </c>
      <c r="D495" s="46" t="s">
        <v>637</v>
      </c>
      <c r="E495" s="47" t="s">
        <v>601</v>
      </c>
      <c r="F495" s="48" t="s">
        <v>1038</v>
      </c>
      <c r="G495" s="49">
        <f t="shared" si="7"/>
        <v>0</v>
      </c>
      <c r="H495" s="77">
        <f>SUMIF(积分汇总!$B:$B,D494,积分汇总!$E:$E)</f>
        <v>0</v>
      </c>
      <c r="I495" s="77">
        <f>SUMIF(记录巡查问题条数汇总!$B:$B,D494,记录巡查问题条数汇总!$E:$E)</f>
        <v>0</v>
      </c>
      <c r="J495" s="77"/>
      <c r="K495" s="77">
        <f>SUMIF(安全质量事故!$B:$B,D494,安全质量事故!$G:$G)</f>
        <v>0</v>
      </c>
      <c r="L495" s="72">
        <f>COUNTIF(M495:AQ495,标准数据!$A$2)*标准数据!$B$2+COUNTIF(M495:AQ495,标准数据!$A$3)*标准数据!$B$3+COUNTIF(M495:AQ495,标准数据!$A$4)*标准数据!$B$4</f>
        <v>0</v>
      </c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192"/>
      <c r="AR495" s="90"/>
      <c r="AS495" s="41"/>
      <c r="AT495" s="41"/>
      <c r="AU495" s="41"/>
      <c r="AV495" s="76" t="str">
        <f>VLOOKUP(E495,[1]生产部!$C:$I,7,0)</f>
        <v>班组</v>
      </c>
      <c r="AW495" s="41" t="str">
        <f>VLOOKUP(E495,[1]生产部!$C:$I,6,0)</f>
        <v>12号楼D级区域</v>
      </c>
    </row>
    <row r="496" spans="1:49" ht="21" customHeight="1">
      <c r="A496" s="237" t="s">
        <v>1940</v>
      </c>
      <c r="B496" s="229" t="s">
        <v>2117</v>
      </c>
      <c r="C496" s="45" t="s">
        <v>87</v>
      </c>
      <c r="D496" s="46" t="s">
        <v>824</v>
      </c>
      <c r="E496" s="52" t="s">
        <v>781</v>
      </c>
      <c r="F496" s="46">
        <v>45987</v>
      </c>
      <c r="G496" s="49">
        <f t="shared" si="7"/>
        <v>0</v>
      </c>
      <c r="H496" s="77">
        <f>SUMIF(积分汇总!$B:$B,D495,积分汇总!$E:$E)</f>
        <v>0</v>
      </c>
      <c r="I496" s="77">
        <f>SUMIF(记录巡查问题条数汇总!$B:$B,D495,记录巡查问题条数汇总!$E:$E)</f>
        <v>0</v>
      </c>
      <c r="J496" s="77"/>
      <c r="K496" s="77">
        <f>SUMIF(安全质量事故!$B:$B,D495,安全质量事故!$G:$G)</f>
        <v>0</v>
      </c>
      <c r="L496" s="72">
        <f>COUNTIF(M496:AQ496,标准数据!$A$2)*标准数据!$B$2+COUNTIF(M496:AQ496,标准数据!$A$3)*标准数据!$B$3+COUNTIF(M496:AQ496,标准数据!$A$4)*标准数据!$B$4</f>
        <v>0</v>
      </c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189"/>
      <c r="AR496" s="55"/>
      <c r="AS496" s="41"/>
      <c r="AT496" s="41"/>
      <c r="AU496" s="41"/>
      <c r="AV496" s="76" t="str">
        <f>VLOOKUP(E496,[1]生产部!$C:$I,7,0)</f>
        <v>包装</v>
      </c>
      <c r="AW496" s="41" t="str">
        <f>VLOOKUP(E496,[1]生产部!$C:$I,6,0)</f>
        <v>12号楼D级区域</v>
      </c>
    </row>
    <row r="497" spans="1:49" ht="21" customHeight="1">
      <c r="A497" s="237" t="s">
        <v>1940</v>
      </c>
      <c r="B497" s="229" t="s">
        <v>2115</v>
      </c>
      <c r="C497" s="45" t="s">
        <v>14</v>
      </c>
      <c r="D497" s="46" t="s">
        <v>825</v>
      </c>
      <c r="E497" s="52" t="s">
        <v>782</v>
      </c>
      <c r="F497" s="48">
        <v>45994</v>
      </c>
      <c r="G497" s="49">
        <f t="shared" si="7"/>
        <v>0</v>
      </c>
      <c r="H497" s="77">
        <f>SUMIF(积分汇总!$B:$B,D496,积分汇总!$E:$E)</f>
        <v>0</v>
      </c>
      <c r="I497" s="77">
        <f>SUMIF(记录巡查问题条数汇总!$B:$B,D496,记录巡查问题条数汇总!$E:$E)</f>
        <v>0</v>
      </c>
      <c r="J497" s="77"/>
      <c r="K497" s="77">
        <f>SUMIF(安全质量事故!$B:$B,D496,安全质量事故!$G:$G)</f>
        <v>0</v>
      </c>
      <c r="L497" s="72">
        <f>COUNTIF(M497:AQ497,标准数据!$A$2)*标准数据!$B$2+COUNTIF(M497:AQ497,标准数据!$A$3)*标准数据!$B$3+COUNTIF(M497:AQ497,标准数据!$A$4)*标准数据!$B$4</f>
        <v>0</v>
      </c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192"/>
      <c r="AR497" s="90"/>
      <c r="AV497" s="76" t="str">
        <f>VLOOKUP(E497,[1]生产部!$C:$I,7,0)</f>
        <v>常白</v>
      </c>
      <c r="AW497" s="41" t="str">
        <f>VLOOKUP(E497,[1]生产部!$C:$I,6,0)</f>
        <v>12号楼CNC区域</v>
      </c>
    </row>
    <row r="498" spans="1:49" ht="21" customHeight="1">
      <c r="A498" s="237" t="s">
        <v>1940</v>
      </c>
      <c r="B498" s="229" t="s">
        <v>2115</v>
      </c>
      <c r="C498" s="45" t="s">
        <v>14</v>
      </c>
      <c r="D498" s="46" t="s">
        <v>826</v>
      </c>
      <c r="E498" s="47" t="s">
        <v>783</v>
      </c>
      <c r="F498" s="48">
        <v>45896</v>
      </c>
      <c r="G498" s="49">
        <f t="shared" si="7"/>
        <v>0</v>
      </c>
      <c r="H498" s="77">
        <f>SUMIF(积分汇总!$B:$B,D497,积分汇总!$E:$E)</f>
        <v>0</v>
      </c>
      <c r="I498" s="77">
        <f>SUMIF(记录巡查问题条数汇总!$B:$B,D497,记录巡查问题条数汇总!$E:$E)</f>
        <v>0</v>
      </c>
      <c r="J498" s="77"/>
      <c r="K498" s="77">
        <f>SUMIF(安全质量事故!$B:$B,D497,安全质量事故!$G:$G)</f>
        <v>0</v>
      </c>
      <c r="L498" s="72">
        <f>COUNTIF(M498:AQ498,标准数据!$A$2)*标准数据!$B$2+COUNTIF(M498:AQ498,标准数据!$A$3)*标准数据!$B$3+COUNTIF(M498:AQ498,标准数据!$A$4)*标准数据!$B$4</f>
        <v>0</v>
      </c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189"/>
      <c r="AR498" s="55"/>
      <c r="AS498" s="41"/>
      <c r="AT498" s="41"/>
      <c r="AU498" s="41"/>
      <c r="AV498" s="76" t="str">
        <f>VLOOKUP(E498,[1]生产部!$C:$I,7,0)</f>
        <v>常白</v>
      </c>
      <c r="AW498" s="41" t="str">
        <f>VLOOKUP(E498,[1]生产部!$C:$I,6,0)</f>
        <v>12号楼CNC区域</v>
      </c>
    </row>
    <row r="499" spans="1:49" ht="21" customHeight="1">
      <c r="A499" s="237" t="s">
        <v>1940</v>
      </c>
      <c r="B499" s="229" t="s">
        <v>2115</v>
      </c>
      <c r="C499" s="45" t="s">
        <v>14</v>
      </c>
      <c r="D499" s="46" t="s">
        <v>868</v>
      </c>
      <c r="E499" s="47" t="s">
        <v>784</v>
      </c>
      <c r="F499" s="48">
        <v>45896</v>
      </c>
      <c r="G499" s="49">
        <f t="shared" si="7"/>
        <v>0</v>
      </c>
      <c r="H499" s="77">
        <f>SUMIF(积分汇总!$B:$B,D498,积分汇总!$E:$E)</f>
        <v>0</v>
      </c>
      <c r="I499" s="77">
        <f>SUMIF(记录巡查问题条数汇总!$B:$B,D498,记录巡查问题条数汇总!$E:$E)</f>
        <v>0</v>
      </c>
      <c r="J499" s="77"/>
      <c r="K499" s="77">
        <f>SUMIF(安全质量事故!$B:$B,D498,安全质量事故!$G:$G)</f>
        <v>0</v>
      </c>
      <c r="L499" s="72">
        <f>COUNTIF(M499:AQ499,标准数据!$A$2)*标准数据!$B$2+COUNTIF(M499:AQ499,标准数据!$A$3)*标准数据!$B$3+COUNTIF(M499:AQ499,标准数据!$A$4)*标准数据!$B$4</f>
        <v>0</v>
      </c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189"/>
      <c r="AR499" s="55"/>
      <c r="AV499" s="76" t="str">
        <f>VLOOKUP(E499,[1]生产部!$C:$I,7,0)</f>
        <v>常白</v>
      </c>
      <c r="AW499" s="41" t="str">
        <f>VLOOKUP(E499,[1]生产部!$C:$I,6,0)</f>
        <v>12号楼CNC区域</v>
      </c>
    </row>
    <row r="500" spans="1:49" ht="21" customHeight="1">
      <c r="A500" s="237" t="s">
        <v>1940</v>
      </c>
      <c r="B500" s="229" t="s">
        <v>2115</v>
      </c>
      <c r="C500" s="45" t="s">
        <v>87</v>
      </c>
      <c r="D500" s="46" t="s">
        <v>827</v>
      </c>
      <c r="E500" s="52" t="s">
        <v>785</v>
      </c>
      <c r="F500" s="46">
        <v>45994</v>
      </c>
      <c r="G500" s="49">
        <f t="shared" si="7"/>
        <v>0</v>
      </c>
      <c r="H500" s="77">
        <f>SUMIF(积分汇总!$B:$B,D499,积分汇总!$E:$E)</f>
        <v>0</v>
      </c>
      <c r="I500" s="77">
        <f>SUMIF(记录巡查问题条数汇总!$B:$B,D499,记录巡查问题条数汇总!$E:$E)</f>
        <v>0</v>
      </c>
      <c r="J500" s="77"/>
      <c r="K500" s="77">
        <f>SUMIF(安全质量事故!$B:$B,D499,安全质量事故!$G:$G)</f>
        <v>0</v>
      </c>
      <c r="L500" s="72">
        <f>COUNTIF(M500:AQ500,标准数据!$A$2)*标准数据!$B$2+COUNTIF(M500:AQ500,标准数据!$A$3)*标准数据!$B$3+COUNTIF(M500:AQ500,标准数据!$A$4)*标准数据!$B$4</f>
        <v>0</v>
      </c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189"/>
      <c r="AR500" s="55"/>
      <c r="AS500" s="41"/>
      <c r="AT500" s="41"/>
      <c r="AU500" s="41"/>
      <c r="AV500" s="76" t="str">
        <f>VLOOKUP(E500,[1]生产部!$C:$I,7,0)</f>
        <v>常白</v>
      </c>
      <c r="AW500" s="41" t="str">
        <f>VLOOKUP(E500,[1]生产部!$C:$I,6,0)</f>
        <v>12号楼CNC区域</v>
      </c>
    </row>
    <row r="501" spans="1:49" ht="21" customHeight="1">
      <c r="A501" s="237" t="s">
        <v>1940</v>
      </c>
      <c r="B501" s="229" t="s">
        <v>2115</v>
      </c>
      <c r="C501" s="45" t="s">
        <v>14</v>
      </c>
      <c r="D501" s="46" t="s">
        <v>830</v>
      </c>
      <c r="E501" s="52" t="s">
        <v>788</v>
      </c>
      <c r="F501" s="48">
        <v>46001</v>
      </c>
      <c r="G501" s="49">
        <f t="shared" si="7"/>
        <v>0</v>
      </c>
      <c r="H501" s="77">
        <f>SUMIF(积分汇总!$B:$B,D500,积分汇总!$E:$E)</f>
        <v>0</v>
      </c>
      <c r="I501" s="77">
        <f>SUMIF(记录巡查问题条数汇总!$B:$B,D500,记录巡查问题条数汇总!$E:$E)</f>
        <v>0</v>
      </c>
      <c r="J501" s="77"/>
      <c r="K501" s="77">
        <f>SUMIF(安全质量事故!$B:$B,D500,安全质量事故!$G:$G)</f>
        <v>0</v>
      </c>
      <c r="L501" s="72">
        <f>COUNTIF(M501:AQ501,标准数据!$A$2)*标准数据!$B$2+COUNTIF(M501:AQ501,标准数据!$A$3)*标准数据!$B$3+COUNTIF(M501:AQ501,标准数据!$A$4)*标准数据!$B$4</f>
        <v>0</v>
      </c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192"/>
      <c r="AR501" s="90"/>
      <c r="AV501" s="76" t="str">
        <f>VLOOKUP(E501,[1]生产部!$C:$I,7,0)</f>
        <v>常白</v>
      </c>
      <c r="AW501" s="41" t="str">
        <f>VLOOKUP(E501,[1]生产部!$C:$I,6,0)</f>
        <v>12号楼D级区域</v>
      </c>
    </row>
    <row r="502" spans="1:49" ht="21" customHeight="1">
      <c r="A502" s="237" t="s">
        <v>1940</v>
      </c>
      <c r="B502" s="229" t="s">
        <v>2115</v>
      </c>
      <c r="C502" s="45" t="s">
        <v>14</v>
      </c>
      <c r="D502" s="46" t="s">
        <v>831</v>
      </c>
      <c r="E502" s="47" t="s">
        <v>789</v>
      </c>
      <c r="F502" s="48">
        <v>46008</v>
      </c>
      <c r="G502" s="49">
        <f t="shared" si="7"/>
        <v>0</v>
      </c>
      <c r="H502" s="77">
        <f>SUMIF(积分汇总!$B:$B,D501,积分汇总!$E:$E)</f>
        <v>0</v>
      </c>
      <c r="I502" s="77">
        <f>SUMIF(记录巡查问题条数汇总!$B:$B,D501,记录巡查问题条数汇总!$E:$E)</f>
        <v>0</v>
      </c>
      <c r="J502" s="77"/>
      <c r="K502" s="77">
        <f>SUMIF(安全质量事故!$B:$B,D501,安全质量事故!$G:$G)</f>
        <v>0</v>
      </c>
      <c r="L502" s="72">
        <f>COUNTIF(M502:AQ502,标准数据!$A$2)*标准数据!$B$2+COUNTIF(M502:AQ502,标准数据!$A$3)*标准数据!$B$3+COUNTIF(M502:AQ502,标准数据!$A$4)*标准数据!$B$4</f>
        <v>0</v>
      </c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189"/>
      <c r="AR502" s="55"/>
      <c r="AV502" s="76" t="str">
        <f>VLOOKUP(E502,[1]生产部!$C:$I,7,0)</f>
        <v>班组</v>
      </c>
      <c r="AW502" s="41" t="str">
        <f>VLOOKUP(E502,[1]生产部!$C:$I,6,0)</f>
        <v>12号楼CNC区域</v>
      </c>
    </row>
    <row r="503" spans="1:49" ht="21" customHeight="1">
      <c r="A503" s="237" t="s">
        <v>1940</v>
      </c>
      <c r="B503" s="229" t="s">
        <v>2115</v>
      </c>
      <c r="C503" s="45" t="s">
        <v>87</v>
      </c>
      <c r="D503" s="46" t="s">
        <v>832</v>
      </c>
      <c r="E503" s="52" t="s">
        <v>791</v>
      </c>
      <c r="F503" s="46">
        <v>45987</v>
      </c>
      <c r="G503" s="49">
        <f t="shared" si="7"/>
        <v>0</v>
      </c>
      <c r="H503" s="77">
        <f>SUMIF(积分汇总!$B:$B,D502,积分汇总!$E:$E)</f>
        <v>0</v>
      </c>
      <c r="I503" s="77">
        <f>SUMIF(记录巡查问题条数汇总!$B:$B,D502,记录巡查问题条数汇总!$E:$E)</f>
        <v>0</v>
      </c>
      <c r="J503" s="77"/>
      <c r="K503" s="77">
        <f>SUMIF(安全质量事故!$B:$B,D502,安全质量事故!$G:$G)</f>
        <v>0</v>
      </c>
      <c r="L503" s="72">
        <f>COUNTIF(M503:AQ503,标准数据!$A$2)*标准数据!$B$2+COUNTIF(M503:AQ503,标准数据!$A$3)*标准数据!$B$3+COUNTIF(M503:AQ503,标准数据!$A$4)*标准数据!$B$4</f>
        <v>0</v>
      </c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189"/>
      <c r="AR503" s="55"/>
      <c r="AS503" s="41"/>
      <c r="AT503" s="41"/>
      <c r="AU503" s="41"/>
      <c r="AV503" s="76" t="str">
        <f>VLOOKUP(E503,[1]生产部!$C:$I,7,0)</f>
        <v>班组</v>
      </c>
      <c r="AW503" s="41" t="str">
        <f>VLOOKUP(E503,[1]生产部!$C:$I,6,0)</f>
        <v>12号楼CNC区域</v>
      </c>
    </row>
    <row r="504" spans="1:49" ht="21" customHeight="1">
      <c r="A504" s="237" t="s">
        <v>1940</v>
      </c>
      <c r="B504" s="229" t="s">
        <v>2115</v>
      </c>
      <c r="C504" s="45" t="s">
        <v>14</v>
      </c>
      <c r="D504" s="46" t="s">
        <v>833</v>
      </c>
      <c r="E504" s="47" t="s">
        <v>794</v>
      </c>
      <c r="F504" s="48">
        <v>43922</v>
      </c>
      <c r="G504" s="49">
        <f t="shared" si="7"/>
        <v>0</v>
      </c>
      <c r="H504" s="77">
        <f>SUMIF(积分汇总!$B:$B,D503,积分汇总!$E:$E)</f>
        <v>0</v>
      </c>
      <c r="I504" s="77">
        <f>SUMIF(记录巡查问题条数汇总!$B:$B,D503,记录巡查问题条数汇总!$E:$E)</f>
        <v>0</v>
      </c>
      <c r="J504" s="77"/>
      <c r="K504" s="77">
        <f>SUMIF(安全质量事故!$B:$B,D503,安全质量事故!$G:$G)</f>
        <v>0</v>
      </c>
      <c r="L504" s="72">
        <f>COUNTIF(M504:AQ504,标准数据!$A$2)*标准数据!$B$2+COUNTIF(M504:AQ504,标准数据!$A$3)*标准数据!$B$3+COUNTIF(M504:AQ504,标准数据!$A$4)*标准数据!$B$4</f>
        <v>0</v>
      </c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189"/>
      <c r="AR504" s="55"/>
      <c r="AS504" s="41"/>
      <c r="AT504" s="41"/>
      <c r="AU504" s="41"/>
      <c r="AV504" s="76" t="str">
        <f>VLOOKUP(E504,[1]生产部!$C:$I,7,0)</f>
        <v>班组</v>
      </c>
      <c r="AW504" s="41" t="str">
        <f>VLOOKUP(E504,[1]生产部!$C:$I,6,0)</f>
        <v>12号楼CNC区域</v>
      </c>
    </row>
    <row r="505" spans="1:49" ht="21" customHeight="1">
      <c r="A505" s="237" t="s">
        <v>1940</v>
      </c>
      <c r="B505" s="229" t="s">
        <v>2115</v>
      </c>
      <c r="C505" s="45" t="s">
        <v>14</v>
      </c>
      <c r="D505" s="46" t="s">
        <v>834</v>
      </c>
      <c r="E505" s="47" t="s">
        <v>795</v>
      </c>
      <c r="F505" s="48">
        <v>44706</v>
      </c>
      <c r="G505" s="49">
        <f t="shared" si="7"/>
        <v>0</v>
      </c>
      <c r="H505" s="77">
        <f>SUMIF(积分汇总!$B:$B,D504,积分汇总!$E:$E)</f>
        <v>0</v>
      </c>
      <c r="I505" s="77">
        <f>SUMIF(记录巡查问题条数汇总!$B:$B,D504,记录巡查问题条数汇总!$E:$E)</f>
        <v>0</v>
      </c>
      <c r="J505" s="77"/>
      <c r="K505" s="77">
        <f>SUMIF(安全质量事故!$B:$B,D504,安全质量事故!$G:$G)</f>
        <v>0</v>
      </c>
      <c r="L505" s="72">
        <f>COUNTIF(M505:AQ505,标准数据!$A$2)*标准数据!$B$2+COUNTIF(M505:AQ505,标准数据!$A$3)*标准数据!$B$3+COUNTIF(M505:AQ505,标准数据!$A$4)*标准数据!$B$4</f>
        <v>0</v>
      </c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192"/>
      <c r="AR505" s="90"/>
      <c r="AS505" s="41"/>
      <c r="AT505" s="41"/>
      <c r="AU505" s="41"/>
      <c r="AV505" s="76" t="str">
        <f>VLOOKUP(E505,[1]生产部!$C:$I,7,0)</f>
        <v>班组</v>
      </c>
      <c r="AW505" s="41" t="str">
        <f>VLOOKUP(E505,[1]生产部!$C:$I,6,0)</f>
        <v>12号楼CNC区域</v>
      </c>
    </row>
    <row r="506" spans="1:49" ht="21" customHeight="1">
      <c r="A506" s="237" t="s">
        <v>1940</v>
      </c>
      <c r="B506" s="229" t="s">
        <v>2117</v>
      </c>
      <c r="C506" s="45" t="s">
        <v>14</v>
      </c>
      <c r="D506" s="46" t="s">
        <v>835</v>
      </c>
      <c r="E506" s="47" t="s">
        <v>796</v>
      </c>
      <c r="F506" s="48">
        <v>44760</v>
      </c>
      <c r="G506" s="49">
        <f t="shared" si="7"/>
        <v>0</v>
      </c>
      <c r="H506" s="77">
        <f>SUMIF(积分汇总!$B:$B,D505,积分汇总!$E:$E)</f>
        <v>0</v>
      </c>
      <c r="I506" s="77">
        <f>SUMIF(记录巡查问题条数汇总!$B:$B,D505,记录巡查问题条数汇总!$E:$E)</f>
        <v>0</v>
      </c>
      <c r="J506" s="77"/>
      <c r="K506" s="77">
        <f>SUMIF(安全质量事故!$B:$B,D505,安全质量事故!$G:$G)</f>
        <v>0</v>
      </c>
      <c r="L506" s="72">
        <f>COUNTIF(M506:AQ506,标准数据!$A$2)*标准数据!$B$2+COUNTIF(M506:AQ506,标准数据!$A$3)*标准数据!$B$3+COUNTIF(M506:AQ506,标准数据!$A$4)*标准数据!$B$4</f>
        <v>0</v>
      </c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192"/>
      <c r="AR506" s="90"/>
      <c r="AS506" s="41"/>
      <c r="AT506" s="41"/>
      <c r="AU506" s="41"/>
      <c r="AV506" s="76" t="str">
        <f>VLOOKUP(E506,[1]生产部!$C:$I,7,0)</f>
        <v>项目组倒班</v>
      </c>
      <c r="AW506" s="41" t="str">
        <f>VLOOKUP(E506,[1]生产部!$C:$I,6,0)</f>
        <v>12号楼中试</v>
      </c>
    </row>
    <row r="507" spans="1:49" ht="21" customHeight="1">
      <c r="A507" s="237" t="s">
        <v>1940</v>
      </c>
      <c r="B507" s="229" t="s">
        <v>2112</v>
      </c>
      <c r="C507" s="45" t="s">
        <v>87</v>
      </c>
      <c r="D507" s="46" t="s">
        <v>836</v>
      </c>
      <c r="E507" s="52" t="s">
        <v>797</v>
      </c>
      <c r="F507" s="46">
        <v>45896</v>
      </c>
      <c r="G507" s="49">
        <f t="shared" si="7"/>
        <v>0</v>
      </c>
      <c r="H507" s="77">
        <f>SUMIF(积分汇总!$B:$B,D506,积分汇总!$E:$E)</f>
        <v>0</v>
      </c>
      <c r="I507" s="77">
        <f>SUMIF(记录巡查问题条数汇总!$B:$B,D506,记录巡查问题条数汇总!$E:$E)</f>
        <v>0</v>
      </c>
      <c r="J507" s="77"/>
      <c r="K507" s="77">
        <f>SUMIF(安全质量事故!$B:$B,D506,安全质量事故!$G:$G)</f>
        <v>0</v>
      </c>
      <c r="L507" s="72">
        <f>COUNTIF(M507:AQ507,标准数据!$A$2)*标准数据!$B$2+COUNTIF(M507:AQ507,标准数据!$A$3)*标准数据!$B$3+COUNTIF(M507:AQ507,标准数据!$A$4)*标准数据!$B$4</f>
        <v>0</v>
      </c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189"/>
      <c r="AR507" s="55"/>
      <c r="AS507" s="41"/>
      <c r="AT507" s="41"/>
      <c r="AU507" s="41"/>
      <c r="AV507" s="76" t="str">
        <f>VLOOKUP(E507,[1]生产部!$C:$I,7,0)</f>
        <v>班组</v>
      </c>
      <c r="AW507" s="41" t="str">
        <f>VLOOKUP(E507,[1]生产部!$C:$I,6,0)</f>
        <v>12号楼CNC区域</v>
      </c>
    </row>
    <row r="508" spans="1:49" ht="21" customHeight="1">
      <c r="A508" s="237" t="s">
        <v>1940</v>
      </c>
      <c r="B508" s="229" t="s">
        <v>2115</v>
      </c>
      <c r="C508" s="45" t="s">
        <v>14</v>
      </c>
      <c r="D508" s="46" t="s">
        <v>837</v>
      </c>
      <c r="E508" s="47" t="s">
        <v>798</v>
      </c>
      <c r="F508" s="48">
        <v>45987</v>
      </c>
      <c r="G508" s="49">
        <f t="shared" si="7"/>
        <v>0</v>
      </c>
      <c r="H508" s="77">
        <f>SUMIF(积分汇总!$B:$B,D507,积分汇总!$E:$E)</f>
        <v>0</v>
      </c>
      <c r="I508" s="77">
        <f>SUMIF(记录巡查问题条数汇总!$B:$B,D507,记录巡查问题条数汇总!$E:$E)</f>
        <v>0</v>
      </c>
      <c r="J508" s="77"/>
      <c r="K508" s="77">
        <f>SUMIF(安全质量事故!$B:$B,D507,安全质量事故!$G:$G)</f>
        <v>0</v>
      </c>
      <c r="L508" s="72">
        <f>COUNTIF(M508:AQ508,标准数据!$A$2)*标准数据!$B$2+COUNTIF(M508:AQ508,标准数据!$A$3)*标准数据!$B$3+COUNTIF(M508:AQ508,标准数据!$A$4)*标准数据!$B$4</f>
        <v>0</v>
      </c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189"/>
      <c r="AR508" s="55"/>
      <c r="AS508" s="41"/>
      <c r="AT508" s="41"/>
      <c r="AU508" s="41"/>
      <c r="AV508" s="76" t="str">
        <f>VLOOKUP(E508,[1]生产部!$C:$I,7,0)</f>
        <v>班组</v>
      </c>
      <c r="AW508" s="41" t="str">
        <f>VLOOKUP(E508,[1]生产部!$C:$I,6,0)</f>
        <v>12号楼CNC区域</v>
      </c>
    </row>
    <row r="509" spans="1:49" ht="21" customHeight="1">
      <c r="A509" s="237" t="s">
        <v>1940</v>
      </c>
      <c r="B509" s="229" t="s">
        <v>2117</v>
      </c>
      <c r="C509" s="45" t="s">
        <v>14</v>
      </c>
      <c r="D509" s="46" t="s">
        <v>842</v>
      </c>
      <c r="E509" s="47" t="s">
        <v>803</v>
      </c>
      <c r="F509" s="48">
        <v>45994</v>
      </c>
      <c r="G509" s="49">
        <f t="shared" si="7"/>
        <v>0</v>
      </c>
      <c r="H509" s="77">
        <f>SUMIF(积分汇总!$B:$B,D508,积分汇总!$E:$E)</f>
        <v>0</v>
      </c>
      <c r="I509" s="77">
        <f>SUMIF(记录巡查问题条数汇总!$B:$B,D508,记录巡查问题条数汇总!$E:$E)</f>
        <v>0</v>
      </c>
      <c r="J509" s="77"/>
      <c r="K509" s="77">
        <f>SUMIF(安全质量事故!$B:$B,D508,安全质量事故!$G:$G)</f>
        <v>0</v>
      </c>
      <c r="L509" s="72">
        <f>COUNTIF(M509:AQ509,标准数据!$A$2)*标准数据!$B$2+COUNTIF(M509:AQ509,标准数据!$A$3)*标准数据!$B$3+COUNTIF(M509:AQ509,标准数据!$A$4)*标准数据!$B$4</f>
        <v>0</v>
      </c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192"/>
      <c r="AR509" s="90"/>
      <c r="AS509" s="41"/>
      <c r="AT509" s="41"/>
      <c r="AU509" s="41"/>
      <c r="AV509" s="76" t="str">
        <f>VLOOKUP(E509,[1]生产部!$C:$I,7,0)</f>
        <v>班组</v>
      </c>
      <c r="AW509" s="41" t="str">
        <f>VLOOKUP(E509,[1]生产部!$C:$I,6,0)</f>
        <v>12号楼D级区域</v>
      </c>
    </row>
    <row r="510" spans="1:49" ht="21" customHeight="1">
      <c r="A510" s="237" t="s">
        <v>1940</v>
      </c>
      <c r="B510" s="229" t="s">
        <v>2117</v>
      </c>
      <c r="C510" s="45" t="s">
        <v>14</v>
      </c>
      <c r="D510" s="46" t="s">
        <v>643</v>
      </c>
      <c r="E510" s="47" t="s">
        <v>584</v>
      </c>
      <c r="F510" s="48">
        <v>45896</v>
      </c>
      <c r="G510" s="49">
        <f t="shared" si="7"/>
        <v>0</v>
      </c>
      <c r="H510" s="77">
        <f>SUMIF(积分汇总!$B:$B,#REF!,积分汇总!$E:$E)</f>
        <v>0</v>
      </c>
      <c r="I510" s="77">
        <f>SUMIF(记录巡查问题条数汇总!$B:$B,#REF!,记录巡查问题条数汇总!$E:$E)</f>
        <v>0</v>
      </c>
      <c r="J510" s="77"/>
      <c r="K510" s="77">
        <f>SUMIF(安全质量事故!$B:$B,#REF!,安全质量事故!$G:$G)</f>
        <v>0</v>
      </c>
      <c r="L510" s="72">
        <f>COUNTIF(M510:AQ510,标准数据!$A$2)*标准数据!$B$2+COUNTIF(M510:AQ510,标准数据!$A$3)*标准数据!$B$3+COUNTIF(M510:AQ510,标准数据!$A$4)*标准数据!$B$4</f>
        <v>0</v>
      </c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189"/>
      <c r="AR510" s="55"/>
      <c r="AV510" s="76" t="str">
        <f>VLOOKUP(E510,[1]生产部!$C:$I,7,0)</f>
        <v>班组</v>
      </c>
      <c r="AW510" s="41" t="str">
        <f>VLOOKUP(E510,[1]生产部!$C:$I,6,0)</f>
        <v>12号楼D级区域</v>
      </c>
    </row>
    <row r="511" spans="1:49" ht="21" customHeight="1">
      <c r="A511" s="237" t="s">
        <v>1940</v>
      </c>
      <c r="B511" s="229" t="s">
        <v>2115</v>
      </c>
      <c r="C511" s="45" t="s">
        <v>14</v>
      </c>
      <c r="D511" s="46" t="s">
        <v>351</v>
      </c>
      <c r="E511" s="47" t="s">
        <v>335</v>
      </c>
      <c r="F511" s="48">
        <v>45637</v>
      </c>
      <c r="G511" s="49">
        <f t="shared" si="7"/>
        <v>0</v>
      </c>
      <c r="H511" s="77">
        <f>SUMIF(积分汇总!$B:$B,D510,积分汇总!$E:$E)</f>
        <v>0</v>
      </c>
      <c r="I511" s="77">
        <f>SUMIF(记录巡查问题条数汇总!$B:$B,D510,记录巡查问题条数汇总!$E:$E)</f>
        <v>0</v>
      </c>
      <c r="J511" s="77"/>
      <c r="K511" s="77">
        <f>SUMIF(安全质量事故!$B:$B,D510,安全质量事故!$G:$G)</f>
        <v>0</v>
      </c>
      <c r="L511" s="72">
        <f>COUNTIF(M511:AQ511,标准数据!$A$2)*标准数据!$B$2+COUNTIF(M511:AQ511,标准数据!$A$3)*标准数据!$B$3+COUNTIF(M511:AQ511,标准数据!$A$4)*标准数据!$B$4</f>
        <v>0</v>
      </c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189"/>
      <c r="AR511" s="55"/>
      <c r="AS511" s="41"/>
      <c r="AT511" s="41"/>
      <c r="AU511" s="41"/>
      <c r="AV511" s="76" t="str">
        <f>VLOOKUP(E511,[1]生产部!$C:$I,7,0)</f>
        <v>班组</v>
      </c>
      <c r="AW511" s="41" t="str">
        <f>VLOOKUP(E511,[1]生产部!$C:$I,6,0)</f>
        <v>12号楼CNC区域</v>
      </c>
    </row>
    <row r="512" spans="1:49" ht="21" customHeight="1">
      <c r="A512" s="237" t="s">
        <v>1940</v>
      </c>
      <c r="B512" s="229" t="s">
        <v>2115</v>
      </c>
      <c r="C512" s="45" t="s">
        <v>14</v>
      </c>
      <c r="D512" s="46" t="s">
        <v>914</v>
      </c>
      <c r="E512" s="47" t="s">
        <v>885</v>
      </c>
      <c r="F512" s="48">
        <v>45916</v>
      </c>
      <c r="G512" s="49">
        <f t="shared" si="7"/>
        <v>0</v>
      </c>
      <c r="H512" s="77">
        <f>SUMIF(积分汇总!$B:$B,D511,积分汇总!$E:$E)</f>
        <v>0</v>
      </c>
      <c r="I512" s="77">
        <f>SUMIF(记录巡查问题条数汇总!$B:$B,D511,记录巡查问题条数汇总!$E:$E)</f>
        <v>0</v>
      </c>
      <c r="J512" s="77"/>
      <c r="K512" s="77">
        <f>SUMIF(安全质量事故!$B:$B,D511,安全质量事故!$G:$G)</f>
        <v>0</v>
      </c>
      <c r="L512" s="72">
        <f>COUNTIF(M512:AQ512,标准数据!$A$2)*标准数据!$B$2+COUNTIF(M512:AQ512,标准数据!$A$3)*标准数据!$B$3+COUNTIF(M512:AQ512,标准数据!$A$4)*标准数据!$B$4</f>
        <v>0</v>
      </c>
      <c r="M512" s="90"/>
      <c r="N512" s="90"/>
      <c r="O512" s="90"/>
      <c r="P512" s="90"/>
      <c r="Q512" s="90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189"/>
      <c r="AR512" s="55"/>
      <c r="AV512" s="76" t="str">
        <f>VLOOKUP(E512,[1]生产部!$C:$I,7,0)</f>
        <v>常白</v>
      </c>
      <c r="AW512" s="41" t="str">
        <f>VLOOKUP(E512,[1]生产部!$C:$I,6,0)</f>
        <v>12号楼CNC区域</v>
      </c>
    </row>
    <row r="513" spans="1:49" ht="21" customHeight="1">
      <c r="A513" s="237" t="s">
        <v>1940</v>
      </c>
      <c r="B513" s="229" t="s">
        <v>2117</v>
      </c>
      <c r="C513" s="45" t="s">
        <v>14</v>
      </c>
      <c r="D513" s="46" t="s">
        <v>915</v>
      </c>
      <c r="E513" s="47" t="s">
        <v>886</v>
      </c>
      <c r="F513" s="48">
        <v>45901</v>
      </c>
      <c r="G513" s="49">
        <f t="shared" si="7"/>
        <v>0</v>
      </c>
      <c r="H513" s="77">
        <f>SUMIF(积分汇总!$B:$B,D512,积分汇总!$E:$E)</f>
        <v>0</v>
      </c>
      <c r="I513" s="77">
        <f>SUMIF(记录巡查问题条数汇总!$B:$B,D512,记录巡查问题条数汇总!$E:$E)</f>
        <v>0</v>
      </c>
      <c r="J513" s="77"/>
      <c r="K513" s="77">
        <f>SUMIF(安全质量事故!$B:$B,D512,安全质量事故!$G:$G)</f>
        <v>0</v>
      </c>
      <c r="L513" s="72">
        <f>COUNTIF(M513:AQ513,标准数据!$A$2)*标准数据!$B$2+COUNTIF(M513:AQ513,标准数据!$A$3)*标准数据!$B$3+COUNTIF(M513:AQ513,标准数据!$A$4)*标准数据!$B$4</f>
        <v>0</v>
      </c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189"/>
      <c r="AR513" s="55"/>
      <c r="AV513" s="76" t="str">
        <f>VLOOKUP(E513,[1]生产部!$C:$I,7,0)</f>
        <v>班组</v>
      </c>
      <c r="AW513" s="41" t="str">
        <f>VLOOKUP(E513,[1]生产部!$C:$I,6,0)</f>
        <v>12号楼D级区域</v>
      </c>
    </row>
    <row r="514" spans="1:49" ht="21" customHeight="1">
      <c r="A514" s="237" t="s">
        <v>1940</v>
      </c>
      <c r="B514" s="229" t="s">
        <v>2117</v>
      </c>
      <c r="C514" s="45" t="s">
        <v>14</v>
      </c>
      <c r="D514" s="46" t="s">
        <v>916</v>
      </c>
      <c r="E514" s="47" t="s">
        <v>887</v>
      </c>
      <c r="F514" s="48">
        <v>45896</v>
      </c>
      <c r="G514" s="49">
        <f t="shared" si="7"/>
        <v>0</v>
      </c>
      <c r="H514" s="77">
        <f>SUMIF(积分汇总!$B:$B,D513,积分汇总!$E:$E)</f>
        <v>0</v>
      </c>
      <c r="I514" s="77">
        <f>SUMIF(记录巡查问题条数汇总!$B:$B,D513,记录巡查问题条数汇总!$E:$E)</f>
        <v>0</v>
      </c>
      <c r="J514" s="77"/>
      <c r="K514" s="77">
        <f>SUMIF(安全质量事故!$B:$B,D513,安全质量事故!$G:$G)</f>
        <v>0</v>
      </c>
      <c r="L514" s="72">
        <f>COUNTIF(M514:AQ514,标准数据!$A$2)*标准数据!$B$2+COUNTIF(M514:AQ514,标准数据!$A$3)*标准数据!$B$3+COUNTIF(M514:AQ514,标准数据!$A$4)*标准数据!$B$4</f>
        <v>0</v>
      </c>
      <c r="M514" s="90"/>
      <c r="N514" s="90"/>
      <c r="O514" s="90"/>
      <c r="P514" s="90"/>
      <c r="Q514" s="90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189"/>
      <c r="AR514" s="55"/>
      <c r="AV514" s="76" t="str">
        <f>VLOOKUP(E514,[1]生产部!$C:$I,7,0)</f>
        <v>班组</v>
      </c>
      <c r="AW514" s="41" t="str">
        <f>VLOOKUP(E514,[1]生产部!$C:$I,6,0)</f>
        <v>12号楼D级区域</v>
      </c>
    </row>
    <row r="515" spans="1:49" ht="21" customHeight="1">
      <c r="A515" s="237" t="s">
        <v>1940</v>
      </c>
      <c r="B515" s="229" t="s">
        <v>2117</v>
      </c>
      <c r="C515" s="45" t="s">
        <v>14</v>
      </c>
      <c r="D515" s="47" t="s">
        <v>927</v>
      </c>
      <c r="E515" s="52" t="s">
        <v>906</v>
      </c>
      <c r="F515" s="46">
        <v>45987</v>
      </c>
      <c r="G515" s="49">
        <f t="shared" si="7"/>
        <v>0</v>
      </c>
      <c r="H515" s="77">
        <f>SUMIF(积分汇总!$B:$B,D514,积分汇总!$E:$E)</f>
        <v>0</v>
      </c>
      <c r="I515" s="77">
        <f>SUMIF(记录巡查问题条数汇总!$B:$B,D514,记录巡查问题条数汇总!$E:$E)</f>
        <v>0</v>
      </c>
      <c r="J515" s="77"/>
      <c r="K515" s="77">
        <f>SUMIF(安全质量事故!$B:$B,D514,安全质量事故!$G:$G)</f>
        <v>0</v>
      </c>
      <c r="L515" s="72">
        <f>COUNTIF(M515:AQ515,标准数据!$A$2)*标准数据!$B$2+COUNTIF(M515:AQ515,标准数据!$A$3)*标准数据!$B$3+COUNTIF(M515:AQ515,标准数据!$A$4)*标准数据!$B$4</f>
        <v>0</v>
      </c>
      <c r="M515" s="90"/>
      <c r="N515" s="90"/>
      <c r="O515" s="90"/>
      <c r="P515" s="90"/>
      <c r="Q515" s="90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189"/>
      <c r="AR515" s="55"/>
      <c r="AV515" s="76" t="str">
        <f>VLOOKUP(E515,[1]生产部!$C:$I,7,0)</f>
        <v>班组</v>
      </c>
      <c r="AW515" s="41" t="str">
        <f>VLOOKUP(E515,[1]生产部!$C:$I,6,0)</f>
        <v>12号楼D级区域</v>
      </c>
    </row>
    <row r="516" spans="1:49" s="51" customFormat="1" ht="21" customHeight="1">
      <c r="A516" s="237" t="s">
        <v>1940</v>
      </c>
      <c r="B516" s="229" t="s">
        <v>2115</v>
      </c>
      <c r="C516" s="45" t="s">
        <v>14</v>
      </c>
      <c r="D516" s="46" t="s">
        <v>557</v>
      </c>
      <c r="E516" s="47" t="s">
        <v>532</v>
      </c>
      <c r="F516" s="48">
        <v>45882</v>
      </c>
      <c r="G516" s="49">
        <f t="shared" si="7"/>
        <v>0</v>
      </c>
      <c r="H516" s="77">
        <f>SUMIF(积分汇总!$B:$B,D515,积分汇总!$E:$E)</f>
        <v>0</v>
      </c>
      <c r="I516" s="77">
        <f>SUMIF(记录巡查问题条数汇总!$B:$B,D515,记录巡查问题条数汇总!$E:$E)</f>
        <v>0</v>
      </c>
      <c r="J516" s="77"/>
      <c r="K516" s="77">
        <f>SUMIF(安全质量事故!$B:$B,D515,安全质量事故!$G:$G)</f>
        <v>0</v>
      </c>
      <c r="L516" s="72">
        <f>COUNTIF(M516:AQ516,标准数据!$A$2)*标准数据!$B$2+COUNTIF(M516:AQ516,标准数据!$A$3)*标准数据!$B$3+COUNTIF(M516:AQ516,标准数据!$A$4)*标准数据!$B$4</f>
        <v>0</v>
      </c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192"/>
      <c r="AR516" s="90"/>
      <c r="AV516" s="76" t="str">
        <f>VLOOKUP(E516,[1]生产部!$C:$I,7,0)</f>
        <v>项目组倒班</v>
      </c>
      <c r="AW516" s="41" t="str">
        <f>VLOOKUP(E516,[1]生产部!$C:$I,6,0)</f>
        <v>12号楼CNC区域</v>
      </c>
    </row>
    <row r="517" spans="1:49" ht="21" customHeight="1">
      <c r="A517" s="237" t="s">
        <v>1940</v>
      </c>
      <c r="B517" s="229" t="s">
        <v>2115</v>
      </c>
      <c r="C517" s="45" t="s">
        <v>87</v>
      </c>
      <c r="D517" s="46" t="s">
        <v>479</v>
      </c>
      <c r="E517" s="47" t="s">
        <v>448</v>
      </c>
      <c r="F517" s="48">
        <v>45833</v>
      </c>
      <c r="G517" s="49">
        <f t="shared" si="7"/>
        <v>0</v>
      </c>
      <c r="H517" s="77">
        <f>SUMIF(积分汇总!$B:$B,D516,积分汇总!$E:$E)</f>
        <v>0</v>
      </c>
      <c r="I517" s="77">
        <f>SUMIF(记录巡查问题条数汇总!$B:$B,D516,记录巡查问题条数汇总!$E:$E)</f>
        <v>0</v>
      </c>
      <c r="J517" s="77"/>
      <c r="K517" s="77">
        <f>SUMIF(安全质量事故!$B:$B,D516,安全质量事故!$G:$G)</f>
        <v>0</v>
      </c>
      <c r="L517" s="72">
        <f>COUNTIF(M517:AQ517,标准数据!$A$2)*标准数据!$B$2+COUNTIF(M517:AQ517,标准数据!$A$3)*标准数据!$B$3+COUNTIF(M517:AQ517,标准数据!$A$4)*标准数据!$B$4</f>
        <v>0</v>
      </c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189"/>
      <c r="AR517" s="55"/>
      <c r="AV517" s="76" t="str">
        <f>VLOOKUP(E517,[1]生产部!$C:$I,7,0)</f>
        <v>项目组</v>
      </c>
      <c r="AW517" s="41" t="str">
        <f>VLOOKUP(E517,[1]生产部!$C:$I,6,0)</f>
        <v>12号楼CNC区域</v>
      </c>
    </row>
    <row r="518" spans="1:49" ht="21" customHeight="1">
      <c r="A518" s="237" t="s">
        <v>1940</v>
      </c>
      <c r="B518" s="229" t="s">
        <v>2115</v>
      </c>
      <c r="C518" s="45" t="s">
        <v>14</v>
      </c>
      <c r="D518" s="46" t="s">
        <v>863</v>
      </c>
      <c r="E518" s="47" t="s">
        <v>810</v>
      </c>
      <c r="F518" s="48">
        <v>45987</v>
      </c>
      <c r="G518" s="49">
        <f t="shared" si="7"/>
        <v>0</v>
      </c>
      <c r="H518" s="77">
        <f>SUMIF(积分汇总!$B:$B,D517,积分汇总!$E:$E)</f>
        <v>0</v>
      </c>
      <c r="I518" s="77">
        <f>SUMIF(记录巡查问题条数汇总!$B:$B,D517,记录巡查问题条数汇总!$E:$E)</f>
        <v>0</v>
      </c>
      <c r="J518" s="77"/>
      <c r="K518" s="77">
        <f>SUMIF(安全质量事故!$B:$B,D517,安全质量事故!$G:$G)</f>
        <v>0</v>
      </c>
      <c r="L518" s="72">
        <f>COUNTIF(M518:AQ518,标准数据!$A$2)*标准数据!$B$2+COUNTIF(M518:AQ518,标准数据!$A$3)*标准数据!$B$3+COUNTIF(M518:AQ518,标准数据!$A$4)*标准数据!$B$4</f>
        <v>0</v>
      </c>
      <c r="M518" s="90"/>
      <c r="N518" s="90"/>
      <c r="O518" s="90"/>
      <c r="P518" s="90"/>
      <c r="Q518" s="90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189"/>
      <c r="AR518" s="55"/>
      <c r="AV518" s="76" t="str">
        <f>VLOOKUP(E518,[1]生产部!$C:$I,7,0)</f>
        <v>常白</v>
      </c>
      <c r="AW518" s="41" t="str">
        <f>VLOOKUP(E518,[1]生产部!$C:$I,6,0)</f>
        <v>12号楼CNC区域</v>
      </c>
    </row>
    <row r="519" spans="1:49" ht="21" customHeight="1">
      <c r="A519" s="237" t="s">
        <v>1940</v>
      </c>
      <c r="B519" s="229" t="s">
        <v>2115</v>
      </c>
      <c r="C519" s="45" t="s">
        <v>14</v>
      </c>
      <c r="D519" s="46" t="s">
        <v>909</v>
      </c>
      <c r="E519" s="47" t="s">
        <v>892</v>
      </c>
      <c r="F519" s="48">
        <v>45882</v>
      </c>
      <c r="G519" s="49">
        <f t="shared" si="7"/>
        <v>0</v>
      </c>
      <c r="H519" s="77">
        <f>SUMIF(积分汇总!$B:$B,D518,积分汇总!$E:$E)</f>
        <v>0</v>
      </c>
      <c r="I519" s="77">
        <f>SUMIF(记录巡查问题条数汇总!$B:$B,D518,记录巡查问题条数汇总!$E:$E)</f>
        <v>0</v>
      </c>
      <c r="J519" s="77"/>
      <c r="K519" s="77">
        <f>SUMIF(安全质量事故!$B:$B,D518,安全质量事故!$G:$G)</f>
        <v>0</v>
      </c>
      <c r="L519" s="72">
        <f>COUNTIF(M519:AQ519,标准数据!$A$2)*标准数据!$B$2+COUNTIF(M519:AQ519,标准数据!$A$3)*标准数据!$B$3+COUNTIF(M519:AQ519,标准数据!$A$4)*标准数据!$B$4</f>
        <v>0</v>
      </c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192"/>
      <c r="AR519" s="90"/>
      <c r="AS519" s="41"/>
      <c r="AT519" s="41"/>
      <c r="AU519" s="41"/>
      <c r="AV519" s="76" t="str">
        <f>VLOOKUP(E519,[1]生产部!$C:$I,7,0)</f>
        <v>项目组</v>
      </c>
      <c r="AW519" s="41" t="str">
        <f>VLOOKUP(E519,[1]生产部!$C:$I,6,0)</f>
        <v>12号楼CNC区域</v>
      </c>
    </row>
    <row r="520" spans="1:49" ht="21" customHeight="1">
      <c r="A520" s="237" t="s">
        <v>1940</v>
      </c>
      <c r="B520" s="229" t="s">
        <v>2104</v>
      </c>
      <c r="C520" s="45" t="s">
        <v>14</v>
      </c>
      <c r="D520" s="46" t="s">
        <v>158</v>
      </c>
      <c r="E520" s="47" t="s">
        <v>80</v>
      </c>
      <c r="F520" s="48">
        <v>44809</v>
      </c>
      <c r="G520" s="49">
        <f t="shared" si="7"/>
        <v>0</v>
      </c>
      <c r="H520" s="77">
        <f>SUMIF(积分汇总!$B:$B,D519,积分汇总!$E:$E)</f>
        <v>0</v>
      </c>
      <c r="I520" s="77">
        <f>SUMIF(记录巡查问题条数汇总!$B:$B,D519,记录巡查问题条数汇总!$E:$E)</f>
        <v>0</v>
      </c>
      <c r="J520" s="77"/>
      <c r="K520" s="77">
        <f>SUMIF(安全质量事故!$B:$B,D519,安全质量事故!$G:$G)</f>
        <v>0</v>
      </c>
      <c r="L520" s="72">
        <f>COUNTIF(M520:AQ520,标准数据!$A$2)*标准数据!$B$2+COUNTIF(M520:AQ520,标准数据!$A$3)*标准数据!$B$3+COUNTIF(M520:AQ520,标准数据!$A$4)*标准数据!$B$4</f>
        <v>0</v>
      </c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189"/>
      <c r="AR520" s="55"/>
      <c r="AS520" s="41"/>
      <c r="AT520" s="41"/>
      <c r="AU520" s="41"/>
      <c r="AV520" s="76" t="str">
        <f>VLOOKUP(E520,[1]生产部!$C:$I,7,0)</f>
        <v>项目组倒班</v>
      </c>
      <c r="AW520" s="41" t="str">
        <f>VLOOKUP(E520,[1]生产部!$C:$I,6,0)</f>
        <v>12号楼CNC区域</v>
      </c>
    </row>
    <row r="521" spans="1:49" ht="21" customHeight="1">
      <c r="A521" s="237" t="s">
        <v>1940</v>
      </c>
      <c r="B521" s="229" t="s">
        <v>2112</v>
      </c>
      <c r="C521" s="45" t="s">
        <v>14</v>
      </c>
      <c r="D521" s="46" t="s">
        <v>828</v>
      </c>
      <c r="E521" s="52" t="s">
        <v>786</v>
      </c>
      <c r="F521" s="46">
        <v>45994</v>
      </c>
      <c r="G521" s="49">
        <f t="shared" si="7"/>
        <v>0</v>
      </c>
      <c r="H521" s="77">
        <f>SUMIF(积分汇总!$B:$B,D520,积分汇总!$E:$E)</f>
        <v>0</v>
      </c>
      <c r="I521" s="77">
        <f>SUMIF(记录巡查问题条数汇总!$B:$B,D520,记录巡查问题条数汇总!$E:$E)</f>
        <v>0</v>
      </c>
      <c r="J521" s="77"/>
      <c r="K521" s="77">
        <f>SUMIF(安全质量事故!$B:$B,D520,安全质量事故!$G:$G)</f>
        <v>0</v>
      </c>
      <c r="L521" s="72">
        <f>COUNTIF(M521:AQ521,标准数据!$A$2)*标准数据!$B$2+COUNTIF(M521:AQ521,标准数据!$A$3)*标准数据!$B$3+COUNTIF(M521:AQ521,标准数据!$A$4)*标准数据!$B$4</f>
        <v>0</v>
      </c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189"/>
      <c r="AR521" s="55"/>
      <c r="AS521" s="41"/>
      <c r="AT521" s="41"/>
      <c r="AU521" s="41"/>
      <c r="AV521" s="76" t="str">
        <f>VLOOKUP(E521,[1]生产部!$C:$I,7,0)</f>
        <v>班组</v>
      </c>
      <c r="AW521" s="41" t="str">
        <f>VLOOKUP(E521,[1]生产部!$C:$I,6,0)</f>
        <v>12号楼CNC区域</v>
      </c>
    </row>
    <row r="522" spans="1:49" ht="21" customHeight="1">
      <c r="A522" s="237" t="s">
        <v>1940</v>
      </c>
      <c r="B522" s="229" t="s">
        <v>2115</v>
      </c>
      <c r="C522" s="45" t="s">
        <v>14</v>
      </c>
      <c r="D522" s="46" t="s">
        <v>1159</v>
      </c>
      <c r="E522" s="47" t="s">
        <v>1160</v>
      </c>
      <c r="F522" s="48">
        <v>46000</v>
      </c>
      <c r="G522" s="49">
        <f t="shared" si="7"/>
        <v>0</v>
      </c>
      <c r="H522" s="77">
        <f>SUMIF(积分汇总!$B:$B,D521,积分汇总!$E:$E)</f>
        <v>0</v>
      </c>
      <c r="I522" s="77">
        <f>SUMIF(记录巡查问题条数汇总!$B:$B,D521,记录巡查问题条数汇总!$E:$E)</f>
        <v>0</v>
      </c>
      <c r="J522" s="77"/>
      <c r="K522" s="77">
        <f>SUMIF(安全质量事故!$B:$B,D521,安全质量事故!$G:$G)</f>
        <v>0</v>
      </c>
      <c r="L522" s="72">
        <f>COUNTIF(M522:AQ522,标准数据!$A$2)*标准数据!$B$2+COUNTIF(M522:AQ522,标准数据!$A$3)*标准数据!$B$3+COUNTIF(M522:AQ522,标准数据!$A$4)*标准数据!$B$4</f>
        <v>0</v>
      </c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189"/>
      <c r="AR522" s="55"/>
      <c r="AS522" s="195" t="s">
        <v>1208</v>
      </c>
      <c r="AT522" s="41"/>
      <c r="AU522" s="41"/>
      <c r="AV522" s="76" t="str">
        <f>VLOOKUP(E522,[1]生产部!$C:$I,7,0)</f>
        <v>班组</v>
      </c>
      <c r="AW522" s="41" t="str">
        <f>VLOOKUP(E522,[1]生产部!$C:$I,6,0)</f>
        <v>12号楼CNC区域</v>
      </c>
    </row>
    <row r="523" spans="1:49" ht="21" customHeight="1">
      <c r="A523" s="237" t="s">
        <v>1940</v>
      </c>
      <c r="B523" s="229" t="s">
        <v>2115</v>
      </c>
      <c r="C523" s="45" t="s">
        <v>14</v>
      </c>
      <c r="D523" s="46" t="s">
        <v>1161</v>
      </c>
      <c r="E523" s="47" t="s">
        <v>1162</v>
      </c>
      <c r="F523" s="48">
        <v>46015</v>
      </c>
      <c r="G523" s="49">
        <f t="shared" si="7"/>
        <v>0</v>
      </c>
      <c r="H523" s="77">
        <f>SUMIF(积分汇总!$B:$B,D522,积分汇总!$E:$E)</f>
        <v>0</v>
      </c>
      <c r="I523" s="77">
        <f>SUMIF(记录巡查问题条数汇总!$B:$B,D522,记录巡查问题条数汇总!$E:$E)</f>
        <v>0</v>
      </c>
      <c r="J523" s="77"/>
      <c r="K523" s="77">
        <f>SUMIF(安全质量事故!$B:$B,D522,安全质量事故!$G:$G)</f>
        <v>0</v>
      </c>
      <c r="L523" s="72">
        <f>COUNTIF(M523:AQ523,标准数据!$A$2)*标准数据!$B$2+COUNTIF(M523:AQ523,标准数据!$A$3)*标准数据!$B$3+COUNTIF(M523:AQ523,标准数据!$A$4)*标准数据!$B$4</f>
        <v>0</v>
      </c>
      <c r="M523" s="56"/>
      <c r="N523" s="56"/>
      <c r="O523" s="56"/>
      <c r="P523" s="56"/>
      <c r="Q523" s="56"/>
      <c r="R523" s="56"/>
      <c r="S523" s="56"/>
      <c r="T523" s="56"/>
      <c r="U523" s="56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192"/>
      <c r="AR523" s="90"/>
      <c r="AS523" s="195" t="s">
        <v>1209</v>
      </c>
      <c r="AT523" s="41"/>
      <c r="AU523" s="41"/>
      <c r="AV523" s="76" t="str">
        <f>VLOOKUP(E523,[1]生产部!$C:$I,7,0)</f>
        <v>常白</v>
      </c>
      <c r="AW523" s="41" t="str">
        <f>VLOOKUP(E523,[1]生产部!$C:$I,6,0)</f>
        <v>12号楼CNC区域</v>
      </c>
    </row>
    <row r="524" spans="1:49" ht="21" customHeight="1">
      <c r="A524" s="237" t="s">
        <v>1940</v>
      </c>
      <c r="B524" s="229" t="s">
        <v>2115</v>
      </c>
      <c r="C524" s="45" t="s">
        <v>14</v>
      </c>
      <c r="D524" s="46" t="s">
        <v>1163</v>
      </c>
      <c r="E524" s="47" t="s">
        <v>1164</v>
      </c>
      <c r="F524" s="48">
        <v>46015</v>
      </c>
      <c r="G524" s="49">
        <f t="shared" si="7"/>
        <v>0</v>
      </c>
      <c r="H524" s="77">
        <f>SUMIF(积分汇总!$B:$B,D523,积分汇总!$E:$E)</f>
        <v>0</v>
      </c>
      <c r="I524" s="77">
        <f>SUMIF(记录巡查问题条数汇总!$B:$B,D523,记录巡查问题条数汇总!$E:$E)</f>
        <v>0</v>
      </c>
      <c r="J524" s="77"/>
      <c r="K524" s="77">
        <f>SUMIF(安全质量事故!$B:$B,D523,安全质量事故!$G:$G)</f>
        <v>0</v>
      </c>
      <c r="L524" s="72">
        <f>COUNTIF(M524:AQ524,标准数据!$A$2)*标准数据!$B$2+COUNTIF(M524:AQ524,标准数据!$A$3)*标准数据!$B$3+COUNTIF(M524:AQ524,标准数据!$A$4)*标准数据!$B$4</f>
        <v>0</v>
      </c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189"/>
      <c r="AR524" s="55"/>
      <c r="AS524" s="195" t="s">
        <v>1209</v>
      </c>
      <c r="AT524" s="41"/>
      <c r="AU524" s="41"/>
      <c r="AV524" s="76" t="str">
        <f>VLOOKUP(E524,[1]生产部!$C:$I,7,0)</f>
        <v>班组</v>
      </c>
      <c r="AW524" s="41" t="str">
        <f>VLOOKUP(E524,[1]生产部!$C:$I,6,0)</f>
        <v>12号楼CNC区域</v>
      </c>
    </row>
    <row r="525" spans="1:49" ht="21" customHeight="1">
      <c r="A525" s="237" t="s">
        <v>1940</v>
      </c>
      <c r="B525" s="229" t="s">
        <v>2112</v>
      </c>
      <c r="C525" s="45" t="s">
        <v>14</v>
      </c>
      <c r="D525" s="46" t="s">
        <v>1165</v>
      </c>
      <c r="E525" s="47" t="s">
        <v>1166</v>
      </c>
      <c r="F525" s="48">
        <v>46016</v>
      </c>
      <c r="G525" s="49">
        <f t="shared" si="7"/>
        <v>0</v>
      </c>
      <c r="H525" s="77">
        <f>SUMIF(积分汇总!$B:$B,D524,积分汇总!$E:$E)</f>
        <v>0</v>
      </c>
      <c r="I525" s="77">
        <f>SUMIF(记录巡查问题条数汇总!$B:$B,D524,记录巡查问题条数汇总!$E:$E)</f>
        <v>0</v>
      </c>
      <c r="J525" s="77"/>
      <c r="K525" s="77">
        <f>SUMIF(安全质量事故!$B:$B,D524,安全质量事故!$G:$G)</f>
        <v>0</v>
      </c>
      <c r="L525" s="72">
        <f>COUNTIF(M525:AQ525,标准数据!$A$2)*标准数据!$B$2+COUNTIF(M525:AQ525,标准数据!$A$3)*标准数据!$B$3+COUNTIF(M525:AQ525,标准数据!$A$4)*标准数据!$B$4</f>
        <v>0</v>
      </c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189"/>
      <c r="AR525" s="55"/>
      <c r="AS525" s="195" t="s">
        <v>1208</v>
      </c>
      <c r="AV525" s="76" t="str">
        <f>VLOOKUP(E525,[1]生产部!$C:$I,7,0)</f>
        <v>班组</v>
      </c>
      <c r="AW525" s="41" t="str">
        <f>VLOOKUP(E525,[1]生产部!$C:$I,6,0)</f>
        <v>12号楼CNC区域</v>
      </c>
    </row>
    <row r="526" spans="1:49" ht="21" customHeight="1">
      <c r="A526" s="237" t="s">
        <v>1940</v>
      </c>
      <c r="B526" s="229" t="s">
        <v>2112</v>
      </c>
      <c r="C526" s="45" t="s">
        <v>87</v>
      </c>
      <c r="D526" s="46" t="s">
        <v>1167</v>
      </c>
      <c r="E526" s="52" t="s">
        <v>1168</v>
      </c>
      <c r="F526" s="46">
        <v>46029</v>
      </c>
      <c r="G526" s="49">
        <f t="shared" si="7"/>
        <v>0</v>
      </c>
      <c r="H526" s="77">
        <f>SUMIF(积分汇总!$B:$B,D525,积分汇总!$E:$E)</f>
        <v>0</v>
      </c>
      <c r="I526" s="77">
        <f>SUMIF(记录巡查问题条数汇总!$B:$B,D525,记录巡查问题条数汇总!$E:$E)</f>
        <v>0</v>
      </c>
      <c r="J526" s="77"/>
      <c r="K526" s="77">
        <f>SUMIF(安全质量事故!$B:$B,D525,安全质量事故!$G:$G)</f>
        <v>0</v>
      </c>
      <c r="L526" s="72">
        <f>COUNTIF(M526:AQ526,标准数据!$A$2)*标准数据!$B$2+COUNTIF(M526:AQ526,标准数据!$A$3)*标准数据!$B$3+COUNTIF(M526:AQ526,标准数据!$A$4)*标准数据!$B$4</f>
        <v>0</v>
      </c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189"/>
      <c r="AR526" s="55"/>
      <c r="AS526" s="195" t="s">
        <v>1209</v>
      </c>
      <c r="AT526" s="41"/>
      <c r="AU526" s="41"/>
      <c r="AV526" s="76" t="str">
        <f>VLOOKUP(E526,[1]生产部!$C:$I,7,0)</f>
        <v>常白</v>
      </c>
      <c r="AW526" s="41" t="str">
        <f>VLOOKUP(E526,[1]生产部!$C:$I,6,0)</f>
        <v>12号楼CNC区域</v>
      </c>
    </row>
    <row r="527" spans="1:49" ht="21" customHeight="1">
      <c r="A527" s="237" t="s">
        <v>1940</v>
      </c>
      <c r="B527" s="229" t="s">
        <v>2115</v>
      </c>
      <c r="C527" s="45" t="s">
        <v>87</v>
      </c>
      <c r="D527" s="46" t="s">
        <v>1169</v>
      </c>
      <c r="E527" s="52" t="s">
        <v>1170</v>
      </c>
      <c r="F527" s="46">
        <v>46029</v>
      </c>
      <c r="G527" s="49">
        <f t="shared" si="7"/>
        <v>0</v>
      </c>
      <c r="H527" s="77">
        <f>SUMIF(积分汇总!$B:$B,D526,积分汇总!$E:$E)</f>
        <v>0</v>
      </c>
      <c r="I527" s="77">
        <f>SUMIF(记录巡查问题条数汇总!$B:$B,D526,记录巡查问题条数汇总!$E:$E)</f>
        <v>0</v>
      </c>
      <c r="J527" s="77"/>
      <c r="K527" s="77">
        <f>SUMIF(安全质量事故!$B:$B,D526,安全质量事故!$G:$G)</f>
        <v>0</v>
      </c>
      <c r="L527" s="72">
        <f>COUNTIF(M527:AQ527,标准数据!$A$2)*标准数据!$B$2+COUNTIF(M527:AQ527,标准数据!$A$3)*标准数据!$B$3+COUNTIF(M527:AQ527,标准数据!$A$4)*标准数据!$B$4</f>
        <v>0</v>
      </c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189"/>
      <c r="AR527" s="55"/>
      <c r="AS527" s="195" t="s">
        <v>1209</v>
      </c>
      <c r="AT527" s="41"/>
      <c r="AU527" s="41"/>
      <c r="AV527" s="76" t="str">
        <f>VLOOKUP(E527,[1]生产部!$C:$I,7,0)</f>
        <v>常白</v>
      </c>
      <c r="AW527" s="41" t="str">
        <f>VLOOKUP(E527,[1]生产部!$C:$I,6,0)</f>
        <v>12号楼CNC区域</v>
      </c>
    </row>
    <row r="528" spans="1:49" ht="21" customHeight="1">
      <c r="A528" s="237" t="s">
        <v>1940</v>
      </c>
      <c r="B528" s="229" t="s">
        <v>2112</v>
      </c>
      <c r="C528" s="45" t="s">
        <v>14</v>
      </c>
      <c r="D528" s="46" t="s">
        <v>1171</v>
      </c>
      <c r="E528" s="52" t="s">
        <v>1172</v>
      </c>
      <c r="F528" s="48">
        <v>46029</v>
      </c>
      <c r="G528" s="49">
        <f t="shared" si="7"/>
        <v>0</v>
      </c>
      <c r="H528" s="77">
        <f>SUMIF(积分汇总!$B:$B,D527,积分汇总!$E:$E)</f>
        <v>0</v>
      </c>
      <c r="I528" s="77">
        <f>SUMIF(记录巡查问题条数汇总!$B:$B,D527,记录巡查问题条数汇总!$E:$E)</f>
        <v>0</v>
      </c>
      <c r="J528" s="77"/>
      <c r="K528" s="77">
        <f>SUMIF(安全质量事故!$B:$B,D527,安全质量事故!$G:$G)</f>
        <v>0</v>
      </c>
      <c r="L528" s="72">
        <f>COUNTIF(M528:AQ528,标准数据!$A$2)*标准数据!$B$2+COUNTIF(M528:AQ528,标准数据!$A$3)*标准数据!$B$3+COUNTIF(M528:AQ528,标准数据!$A$4)*标准数据!$B$4</f>
        <v>0</v>
      </c>
      <c r="M528" s="56"/>
      <c r="N528" s="56"/>
      <c r="O528" s="56"/>
      <c r="P528" s="56"/>
      <c r="Q528" s="56"/>
      <c r="R528" s="56"/>
      <c r="S528" s="56"/>
      <c r="T528" s="56"/>
      <c r="U528" s="56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192"/>
      <c r="AR528" s="90"/>
      <c r="AS528" s="195" t="s">
        <v>1209</v>
      </c>
      <c r="AV528" s="76" t="str">
        <f>VLOOKUP(E528,[1]生产部!$C:$I,7,0)</f>
        <v>班组</v>
      </c>
      <c r="AW528" s="41" t="str">
        <f>VLOOKUP(E528,[1]生产部!$C:$I,6,0)</f>
        <v>12号楼CNC区域</v>
      </c>
    </row>
    <row r="529" spans="1:49" ht="21" customHeight="1">
      <c r="A529" s="237" t="s">
        <v>1940</v>
      </c>
      <c r="B529" s="229" t="s">
        <v>2115</v>
      </c>
      <c r="C529" s="45" t="s">
        <v>14</v>
      </c>
      <c r="D529" s="46" t="s">
        <v>1173</v>
      </c>
      <c r="E529" s="47" t="s">
        <v>1174</v>
      </c>
      <c r="F529" s="48">
        <v>46113</v>
      </c>
      <c r="G529" s="49">
        <f t="shared" si="7"/>
        <v>0</v>
      </c>
      <c r="H529" s="77">
        <f>SUMIF(积分汇总!$B:$B,D528,积分汇总!$E:$E)</f>
        <v>0</v>
      </c>
      <c r="I529" s="77">
        <f>SUMIF(记录巡查问题条数汇总!$B:$B,D528,记录巡查问题条数汇总!$E:$E)</f>
        <v>0</v>
      </c>
      <c r="J529" s="77"/>
      <c r="K529" s="77">
        <f>SUMIF(安全质量事故!$B:$B,D528,安全质量事故!$G:$G)</f>
        <v>0</v>
      </c>
      <c r="L529" s="72">
        <f>COUNTIF(M529:AQ529,标准数据!$A$2)*标准数据!$B$2+COUNTIF(M529:AQ529,标准数据!$A$3)*标准数据!$B$3+COUNTIF(M529:AQ529,标准数据!$A$4)*标准数据!$B$4</f>
        <v>0</v>
      </c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189"/>
      <c r="AR529" s="55"/>
      <c r="AS529" s="41"/>
      <c r="AT529" s="41"/>
      <c r="AU529" s="41"/>
      <c r="AV529" s="76" t="str">
        <f>VLOOKUP(E529,[1]生产部!$C:$I,7,0)</f>
        <v>常白</v>
      </c>
      <c r="AW529" s="41" t="str">
        <f>VLOOKUP(E529,[1]生产部!$C:$I,6,0)</f>
        <v>12号楼CNC区域</v>
      </c>
    </row>
    <row r="530" spans="1:49" ht="21" customHeight="1">
      <c r="A530" s="237" t="s">
        <v>1940</v>
      </c>
      <c r="B530" s="229" t="s">
        <v>2115</v>
      </c>
      <c r="C530" s="45" t="s">
        <v>14</v>
      </c>
      <c r="D530" s="46" t="s">
        <v>1175</v>
      </c>
      <c r="E530" s="47" t="s">
        <v>1176</v>
      </c>
      <c r="F530" s="48">
        <v>46113</v>
      </c>
      <c r="G530" s="49">
        <f t="shared" si="7"/>
        <v>0</v>
      </c>
      <c r="H530" s="77">
        <f>SUMIF(积分汇总!$B:$B,D529,积分汇总!$E:$E)</f>
        <v>0</v>
      </c>
      <c r="I530" s="77">
        <f>SUMIF(记录巡查问题条数汇总!$B:$B,D529,记录巡查问题条数汇总!$E:$E)</f>
        <v>0</v>
      </c>
      <c r="J530" s="77"/>
      <c r="K530" s="77">
        <f>SUMIF(安全质量事故!$B:$B,D529,安全质量事故!$G:$G)</f>
        <v>0</v>
      </c>
      <c r="L530" s="72">
        <f>COUNTIF(M530:AQ530,标准数据!$A$2)*标准数据!$B$2+COUNTIF(M530:AQ530,标准数据!$A$3)*标准数据!$B$3+COUNTIF(M530:AQ530,标准数据!$A$4)*标准数据!$B$4</f>
        <v>0</v>
      </c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192"/>
      <c r="AR530" s="90"/>
      <c r="AS530" s="41"/>
      <c r="AT530" s="41"/>
      <c r="AU530" s="41"/>
      <c r="AV530" s="76" t="str">
        <f>VLOOKUP(E530,[1]生产部!$C:$I,7,0)</f>
        <v>班组</v>
      </c>
      <c r="AW530" s="41" t="str">
        <f>VLOOKUP(E530,[1]生产部!$C:$I,6,0)</f>
        <v>12号楼CNC区域</v>
      </c>
    </row>
    <row r="531" spans="1:49" ht="21" customHeight="1">
      <c r="A531" s="237" t="s">
        <v>1940</v>
      </c>
      <c r="B531" s="229" t="s">
        <v>2115</v>
      </c>
      <c r="C531" s="45" t="s">
        <v>87</v>
      </c>
      <c r="D531" s="46" t="s">
        <v>1177</v>
      </c>
      <c r="E531" s="52" t="s">
        <v>1178</v>
      </c>
      <c r="F531" s="46">
        <v>46113</v>
      </c>
      <c r="G531" s="49">
        <f t="shared" si="7"/>
        <v>0</v>
      </c>
      <c r="H531" s="77">
        <f>SUMIF(积分汇总!$B:$B,D530,积分汇总!$E:$E)</f>
        <v>0</v>
      </c>
      <c r="I531" s="77">
        <f>SUMIF(记录巡查问题条数汇总!$B:$B,D530,记录巡查问题条数汇总!$E:$E)</f>
        <v>0</v>
      </c>
      <c r="J531" s="77"/>
      <c r="K531" s="77">
        <f>SUMIF(安全质量事故!$B:$B,D530,安全质量事故!$G:$G)</f>
        <v>0</v>
      </c>
      <c r="L531" s="72">
        <f>COUNTIF(M531:AQ531,标准数据!$A$2)*标准数据!$B$2+COUNTIF(M531:AQ531,标准数据!$A$3)*标准数据!$B$3+COUNTIF(M531:AQ531,标准数据!$A$4)*标准数据!$B$4</f>
        <v>0</v>
      </c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189"/>
      <c r="AR531" s="55"/>
      <c r="AS531" s="41"/>
      <c r="AT531" s="41"/>
      <c r="AU531" s="41"/>
      <c r="AV531" s="76" t="str">
        <f>VLOOKUP(E531,[1]生产部!$C:$I,7,0)</f>
        <v>班组</v>
      </c>
      <c r="AW531" s="41" t="str">
        <f>VLOOKUP(E531,[1]生产部!$C:$I,6,0)</f>
        <v>12号楼CNC区域</v>
      </c>
    </row>
    <row r="532" spans="1:49" ht="21" customHeight="1">
      <c r="A532" s="237" t="s">
        <v>1940</v>
      </c>
      <c r="B532" s="229" t="s">
        <v>2115</v>
      </c>
      <c r="C532" s="45" t="s">
        <v>14</v>
      </c>
      <c r="D532" s="46" t="s">
        <v>1179</v>
      </c>
      <c r="E532" s="47" t="s">
        <v>1180</v>
      </c>
      <c r="F532" s="48">
        <v>46113</v>
      </c>
      <c r="G532" s="49">
        <f t="shared" ref="G532:G595" si="8">(L532+H532+I532+J532-K532)</f>
        <v>0</v>
      </c>
      <c r="H532" s="77">
        <f>SUMIF(积分汇总!$B:$B,D531,积分汇总!$E:$E)</f>
        <v>0</v>
      </c>
      <c r="I532" s="77">
        <f>SUMIF(记录巡查问题条数汇总!$B:$B,D531,记录巡查问题条数汇总!$E:$E)</f>
        <v>0</v>
      </c>
      <c r="J532" s="77"/>
      <c r="K532" s="77">
        <f>SUMIF(安全质量事故!$B:$B,D531,安全质量事故!$G:$G)</f>
        <v>0</v>
      </c>
      <c r="L532" s="72">
        <f>COUNTIF(M532:AQ532,标准数据!$A$2)*标准数据!$B$2+COUNTIF(M532:AQ532,标准数据!$A$3)*标准数据!$B$3+COUNTIF(M532:AQ532,标准数据!$A$4)*标准数据!$B$4</f>
        <v>0</v>
      </c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189"/>
      <c r="AR532" s="55"/>
      <c r="AS532" s="41"/>
      <c r="AT532" s="41"/>
      <c r="AU532" s="41"/>
      <c r="AV532" s="76" t="str">
        <f>VLOOKUP(E532,[1]生产部!$C:$I,7,0)</f>
        <v>常白</v>
      </c>
      <c r="AW532" s="41" t="str">
        <f>VLOOKUP(E532,[1]生产部!$C:$I,6,0)</f>
        <v>12号楼CNC区域</v>
      </c>
    </row>
    <row r="533" spans="1:49" ht="21" customHeight="1">
      <c r="A533" s="237" t="s">
        <v>1940</v>
      </c>
      <c r="B533" s="229" t="s">
        <v>2115</v>
      </c>
      <c r="C533" s="45" t="s">
        <v>87</v>
      </c>
      <c r="D533" s="46" t="s">
        <v>1181</v>
      </c>
      <c r="E533" s="52" t="s">
        <v>1182</v>
      </c>
      <c r="F533" s="46">
        <v>46113</v>
      </c>
      <c r="G533" s="49">
        <f t="shared" si="8"/>
        <v>0</v>
      </c>
      <c r="H533" s="77">
        <f>SUMIF(积分汇总!$B:$B,D532,积分汇总!$E:$E)</f>
        <v>0</v>
      </c>
      <c r="I533" s="77">
        <f>SUMIF(记录巡查问题条数汇总!$B:$B,D532,记录巡查问题条数汇总!$E:$E)</f>
        <v>0</v>
      </c>
      <c r="J533" s="77"/>
      <c r="K533" s="77">
        <f>SUMIF(安全质量事故!$B:$B,D532,安全质量事故!$G:$G)</f>
        <v>0</v>
      </c>
      <c r="L533" s="72">
        <f>COUNTIF(M533:AQ533,标准数据!$A$2)*标准数据!$B$2+COUNTIF(M533:AQ533,标准数据!$A$3)*标准数据!$B$3+COUNTIF(M533:AQ533,标准数据!$A$4)*标准数据!$B$4</f>
        <v>0</v>
      </c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189"/>
      <c r="AR533" s="55"/>
      <c r="AS533" s="41"/>
      <c r="AT533" s="41"/>
      <c r="AU533" s="41"/>
      <c r="AV533" s="76" t="str">
        <f>VLOOKUP(E533,[1]生产部!$C:$I,7,0)</f>
        <v>班组</v>
      </c>
      <c r="AW533" s="41" t="str">
        <f>VLOOKUP(E533,[1]生产部!$C:$I,6,0)</f>
        <v>12号楼CNC区域</v>
      </c>
    </row>
    <row r="534" spans="1:49" ht="21" customHeight="1">
      <c r="A534" s="237" t="s">
        <v>1940</v>
      </c>
      <c r="B534" s="229" t="s">
        <v>2115</v>
      </c>
      <c r="C534" s="45" t="s">
        <v>87</v>
      </c>
      <c r="D534" s="46" t="s">
        <v>1183</v>
      </c>
      <c r="E534" s="52" t="s">
        <v>1184</v>
      </c>
      <c r="F534" s="46">
        <v>46120</v>
      </c>
      <c r="G534" s="49">
        <f t="shared" si="8"/>
        <v>0</v>
      </c>
      <c r="H534" s="77">
        <f>SUMIF(积分汇总!$B:$B,D533,积分汇总!$E:$E)</f>
        <v>0</v>
      </c>
      <c r="I534" s="77">
        <f>SUMIF(记录巡查问题条数汇总!$B:$B,D533,记录巡查问题条数汇总!$E:$E)</f>
        <v>0</v>
      </c>
      <c r="J534" s="77"/>
      <c r="K534" s="77">
        <f>SUMIF(安全质量事故!$B:$B,D533,安全质量事故!$G:$G)</f>
        <v>0</v>
      </c>
      <c r="L534" s="72">
        <f>COUNTIF(M534:AQ534,标准数据!$A$2)*标准数据!$B$2+COUNTIF(M534:AQ534,标准数据!$A$3)*标准数据!$B$3+COUNTIF(M534:AQ534,标准数据!$A$4)*标准数据!$B$4</f>
        <v>0</v>
      </c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189"/>
      <c r="AR534" s="55"/>
      <c r="AS534" s="41"/>
      <c r="AT534" s="41"/>
      <c r="AU534" s="41"/>
      <c r="AV534" s="76" t="str">
        <f>VLOOKUP(E534,[1]生产部!$C:$I,7,0)</f>
        <v>常白</v>
      </c>
      <c r="AW534" s="41" t="str">
        <f>VLOOKUP(E534,[1]生产部!$C:$I,6,0)</f>
        <v>12号楼CNC区域</v>
      </c>
    </row>
    <row r="535" spans="1:49" ht="21" customHeight="1">
      <c r="A535" s="237" t="s">
        <v>1940</v>
      </c>
      <c r="B535" s="229" t="s">
        <v>2117</v>
      </c>
      <c r="C535" s="45" t="s">
        <v>14</v>
      </c>
      <c r="D535" s="46" t="s">
        <v>1185</v>
      </c>
      <c r="E535" s="52" t="s">
        <v>1186</v>
      </c>
      <c r="F535" s="48">
        <v>46127</v>
      </c>
      <c r="G535" s="49">
        <f t="shared" si="8"/>
        <v>0</v>
      </c>
      <c r="H535" s="77">
        <f>SUMIF(积分汇总!$B:$B,D534,积分汇总!$E:$E)</f>
        <v>0</v>
      </c>
      <c r="I535" s="77">
        <f>SUMIF(记录巡查问题条数汇总!$B:$B,D534,记录巡查问题条数汇总!$E:$E)</f>
        <v>0</v>
      </c>
      <c r="J535" s="77"/>
      <c r="K535" s="77">
        <f>SUMIF(安全质量事故!$B:$B,D534,安全质量事故!$G:$G)</f>
        <v>0</v>
      </c>
      <c r="L535" s="72">
        <f>COUNTIF(M535:AQ535,标准数据!$A$2)*标准数据!$B$2+COUNTIF(M535:AQ535,标准数据!$A$3)*标准数据!$B$3+COUNTIF(M535:AQ535,标准数据!$A$4)*标准数据!$B$4</f>
        <v>0</v>
      </c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192"/>
      <c r="AR535" s="90"/>
      <c r="AV535" s="76" t="str">
        <f>VLOOKUP(E535,[1]生产部!$C:$I,7,0)</f>
        <v>包装</v>
      </c>
      <c r="AW535" s="41" t="str">
        <f>VLOOKUP(E535,[1]生产部!$C:$I,6,0)</f>
        <v>12号楼D级区域</v>
      </c>
    </row>
    <row r="536" spans="1:49" ht="21" customHeight="1">
      <c r="A536" s="237" t="s">
        <v>1940</v>
      </c>
      <c r="B536" s="229" t="s">
        <v>2118</v>
      </c>
      <c r="C536" s="45" t="s">
        <v>14</v>
      </c>
      <c r="D536" s="46" t="s">
        <v>1187</v>
      </c>
      <c r="E536" s="47" t="s">
        <v>1188</v>
      </c>
      <c r="F536" s="48">
        <v>46127</v>
      </c>
      <c r="G536" s="49">
        <f t="shared" si="8"/>
        <v>0</v>
      </c>
      <c r="H536" s="77">
        <f>SUMIF(积分汇总!$B:$B,D535,积分汇总!$E:$E)</f>
        <v>0</v>
      </c>
      <c r="I536" s="77">
        <f>SUMIF(记录巡查问题条数汇总!$B:$B,D535,记录巡查问题条数汇总!$E:$E)</f>
        <v>0</v>
      </c>
      <c r="J536" s="77"/>
      <c r="K536" s="77">
        <f>SUMIF(安全质量事故!$B:$B,D535,安全质量事故!$G:$G)</f>
        <v>0</v>
      </c>
      <c r="L536" s="72">
        <f>COUNTIF(M536:AQ536,标准数据!$A$2)*标准数据!$B$2+COUNTIF(M536:AQ536,标准数据!$A$3)*标准数据!$B$3+COUNTIF(M536:AQ536,标准数据!$A$4)*标准数据!$B$4</f>
        <v>0</v>
      </c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192"/>
      <c r="AR536" s="90"/>
      <c r="AS536" s="41"/>
      <c r="AT536" s="41"/>
      <c r="AU536" s="41"/>
      <c r="AV536" s="76" t="str">
        <f>VLOOKUP(E536,[1]生产部!$C:$I,7,0)</f>
        <v>项目组</v>
      </c>
      <c r="AW536" s="41" t="str">
        <f>VLOOKUP(E536,[1]生产部!$C:$I,6,0)</f>
        <v>12号楼中试</v>
      </c>
    </row>
    <row r="537" spans="1:49" ht="21" customHeight="1">
      <c r="A537" s="237" t="s">
        <v>1940</v>
      </c>
      <c r="B537" s="229" t="s">
        <v>2117</v>
      </c>
      <c r="C537" s="45" t="s">
        <v>14</v>
      </c>
      <c r="D537" s="46" t="s">
        <v>1189</v>
      </c>
      <c r="E537" s="52" t="s">
        <v>1190</v>
      </c>
      <c r="F537" s="48">
        <v>46127</v>
      </c>
      <c r="G537" s="49">
        <f t="shared" si="8"/>
        <v>0</v>
      </c>
      <c r="H537" s="77">
        <f>SUMIF(积分汇总!$B:$B,D536,积分汇总!$E:$E)</f>
        <v>0</v>
      </c>
      <c r="I537" s="77">
        <f>SUMIF(记录巡查问题条数汇总!$B:$B,D536,记录巡查问题条数汇总!$E:$E)</f>
        <v>0</v>
      </c>
      <c r="J537" s="77"/>
      <c r="K537" s="77">
        <f>SUMIF(安全质量事故!$B:$B,D536,安全质量事故!$G:$G)</f>
        <v>0</v>
      </c>
      <c r="L537" s="72">
        <f>COUNTIF(M537:AQ537,标准数据!$A$2)*标准数据!$B$2+COUNTIF(M537:AQ537,标准数据!$A$3)*标准数据!$B$3+COUNTIF(M537:AQ537,标准数据!$A$4)*标准数据!$B$4</f>
        <v>0</v>
      </c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192"/>
      <c r="AR537" s="90"/>
      <c r="AV537" s="76" t="str">
        <f>VLOOKUP(E537,[1]生产部!$C:$I,7,0)</f>
        <v>项目组倒班</v>
      </c>
      <c r="AW537" s="41" t="str">
        <f>VLOOKUP(E537,[1]生产部!$C:$I,6,0)</f>
        <v>12号楼中试</v>
      </c>
    </row>
    <row r="538" spans="1:49" ht="21" customHeight="1">
      <c r="A538" s="237" t="s">
        <v>1940</v>
      </c>
      <c r="B538" s="229" t="s">
        <v>2115</v>
      </c>
      <c r="C538" s="45" t="s">
        <v>14</v>
      </c>
      <c r="D538" s="46" t="s">
        <v>1191</v>
      </c>
      <c r="E538" s="47" t="s">
        <v>1192</v>
      </c>
      <c r="F538" s="48">
        <v>46127</v>
      </c>
      <c r="G538" s="49">
        <f t="shared" si="8"/>
        <v>0</v>
      </c>
      <c r="H538" s="77">
        <f>SUMIF(积分汇总!$B:$B,D537,积分汇总!$E:$E)</f>
        <v>0</v>
      </c>
      <c r="I538" s="77">
        <f>SUMIF(记录巡查问题条数汇总!$B:$B,D537,记录巡查问题条数汇总!$E:$E)</f>
        <v>0</v>
      </c>
      <c r="J538" s="77"/>
      <c r="K538" s="77">
        <f>SUMIF(安全质量事故!$B:$B,D537,安全质量事故!$G:$G)</f>
        <v>0</v>
      </c>
      <c r="L538" s="72">
        <f>COUNTIF(M538:AQ538,标准数据!$A$2)*标准数据!$B$2+COUNTIF(M538:AQ538,标准数据!$A$3)*标准数据!$B$3+COUNTIF(M538:AQ538,标准数据!$A$4)*标准数据!$B$4</f>
        <v>0</v>
      </c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189"/>
      <c r="AR538" s="55"/>
      <c r="AV538" s="76" t="str">
        <f>VLOOKUP(E538,[1]生产部!$C:$I,7,0)</f>
        <v>班组</v>
      </c>
      <c r="AW538" s="41" t="str">
        <f>VLOOKUP(E538,[1]生产部!$C:$I,6,0)</f>
        <v>12号楼CNC区域</v>
      </c>
    </row>
    <row r="539" spans="1:49" ht="21" customHeight="1">
      <c r="A539" s="237" t="s">
        <v>1940</v>
      </c>
      <c r="B539" s="229" t="s">
        <v>2115</v>
      </c>
      <c r="C539" s="45" t="s">
        <v>14</v>
      </c>
      <c r="D539" s="46" t="s">
        <v>1193</v>
      </c>
      <c r="E539" s="47" t="s">
        <v>1194</v>
      </c>
      <c r="F539" s="48">
        <v>46127</v>
      </c>
      <c r="G539" s="49">
        <f t="shared" si="8"/>
        <v>0</v>
      </c>
      <c r="H539" s="77">
        <f>SUMIF(积分汇总!$B:$B,D538,积分汇总!$E:$E)</f>
        <v>0</v>
      </c>
      <c r="I539" s="77">
        <f>SUMIF(记录巡查问题条数汇总!$B:$B,D538,记录巡查问题条数汇总!$E:$E)</f>
        <v>0</v>
      </c>
      <c r="J539" s="77"/>
      <c r="K539" s="77">
        <f>SUMIF(安全质量事故!$B:$B,D538,安全质量事故!$G:$G)</f>
        <v>0</v>
      </c>
      <c r="L539" s="72">
        <f>COUNTIF(M539:AQ539,标准数据!$A$2)*标准数据!$B$2+COUNTIF(M539:AQ539,标准数据!$A$3)*标准数据!$B$3+COUNTIF(M539:AQ539,标准数据!$A$4)*标准数据!$B$4</f>
        <v>0</v>
      </c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192"/>
      <c r="AR539" s="90"/>
      <c r="AS539" s="41"/>
      <c r="AT539" s="41"/>
      <c r="AU539" s="41"/>
      <c r="AV539" s="76" t="str">
        <f>VLOOKUP(E539,[1]生产部!$C:$I,7,0)</f>
        <v>项目组倒班</v>
      </c>
      <c r="AW539" s="41" t="str">
        <f>VLOOKUP(E539,[1]生产部!$C:$I,6,0)</f>
        <v>12号楼CNC区域</v>
      </c>
    </row>
    <row r="540" spans="1:49" ht="21" customHeight="1">
      <c r="A540" s="237" t="s">
        <v>1940</v>
      </c>
      <c r="B540" s="229" t="s">
        <v>2115</v>
      </c>
      <c r="C540" s="45" t="s">
        <v>14</v>
      </c>
      <c r="D540" s="46" t="s">
        <v>1195</v>
      </c>
      <c r="E540" s="47" t="s">
        <v>1196</v>
      </c>
      <c r="F540" s="48">
        <v>46127</v>
      </c>
      <c r="G540" s="49">
        <f t="shared" si="8"/>
        <v>0</v>
      </c>
      <c r="H540" s="77">
        <f>SUMIF(积分汇总!$B:$B,D539,积分汇总!$E:$E)</f>
        <v>0</v>
      </c>
      <c r="I540" s="77">
        <f>SUMIF(记录巡查问题条数汇总!$B:$B,D539,记录巡查问题条数汇总!$E:$E)</f>
        <v>0</v>
      </c>
      <c r="J540" s="77"/>
      <c r="K540" s="77">
        <f>SUMIF(安全质量事故!$B:$B,D539,安全质量事故!$G:$G)</f>
        <v>0</v>
      </c>
      <c r="L540" s="72">
        <f>COUNTIF(M540:AQ540,标准数据!$A$2)*标准数据!$B$2+COUNTIF(M540:AQ540,标准数据!$A$3)*标准数据!$B$3+COUNTIF(M540:AQ540,标准数据!$A$4)*标准数据!$B$4</f>
        <v>0</v>
      </c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189"/>
      <c r="AR540" s="55"/>
      <c r="AV540" s="76" t="str">
        <f>VLOOKUP(E540,[1]生产部!$C:$I,7,0)</f>
        <v>班组</v>
      </c>
      <c r="AW540" s="41" t="str">
        <f>VLOOKUP(E540,[1]生产部!$C:$I,6,0)</f>
        <v>12号楼CNC区域</v>
      </c>
    </row>
    <row r="541" spans="1:49" ht="21" customHeight="1">
      <c r="A541" s="237" t="s">
        <v>1940</v>
      </c>
      <c r="B541" s="229" t="s">
        <v>2117</v>
      </c>
      <c r="C541" s="45" t="s">
        <v>14</v>
      </c>
      <c r="D541" s="47" t="s">
        <v>1197</v>
      </c>
      <c r="E541" s="52" t="s">
        <v>1198</v>
      </c>
      <c r="F541" s="46">
        <v>46127</v>
      </c>
      <c r="G541" s="49">
        <f t="shared" si="8"/>
        <v>0</v>
      </c>
      <c r="H541" s="77">
        <f>SUMIF(积分汇总!$B:$B,D540,积分汇总!$E:$E)</f>
        <v>0</v>
      </c>
      <c r="I541" s="77">
        <f>SUMIF(记录巡查问题条数汇总!$B:$B,D540,记录巡查问题条数汇总!$E:$E)</f>
        <v>0</v>
      </c>
      <c r="J541" s="77"/>
      <c r="K541" s="77">
        <f>SUMIF(安全质量事故!$B:$B,D540,安全质量事故!$G:$G)</f>
        <v>0</v>
      </c>
      <c r="L541" s="72">
        <f>COUNTIF(M541:AQ541,标准数据!$A$2)*标准数据!$B$2+COUNTIF(M541:AQ541,标准数据!$A$3)*标准数据!$B$3+COUNTIF(M541:AQ541,标准数据!$A$4)*标准数据!$B$4</f>
        <v>0</v>
      </c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189"/>
      <c r="AR541" s="55"/>
      <c r="AV541" s="76" t="str">
        <f>VLOOKUP(E541,[1]生产部!$C:$I,7,0)</f>
        <v>常白</v>
      </c>
      <c r="AW541" s="41" t="str">
        <f>VLOOKUP(E541,[1]生产部!$C:$I,6,0)</f>
        <v>12号楼D级区域</v>
      </c>
    </row>
    <row r="542" spans="1:49" ht="21" customHeight="1">
      <c r="A542" s="237" t="s">
        <v>1940</v>
      </c>
      <c r="B542" s="229" t="s">
        <v>2117</v>
      </c>
      <c r="C542" s="45" t="s">
        <v>14</v>
      </c>
      <c r="D542" s="47" t="s">
        <v>1199</v>
      </c>
      <c r="E542" s="52" t="s">
        <v>1200</v>
      </c>
      <c r="F542" s="46">
        <v>46127</v>
      </c>
      <c r="G542" s="49">
        <f t="shared" si="8"/>
        <v>0</v>
      </c>
      <c r="H542" s="77">
        <f>SUMIF(积分汇总!$B:$B,D541,积分汇总!$E:$E)</f>
        <v>0</v>
      </c>
      <c r="I542" s="77">
        <f>SUMIF(记录巡查问题条数汇总!$B:$B,D541,记录巡查问题条数汇总!$E:$E)</f>
        <v>0</v>
      </c>
      <c r="J542" s="77"/>
      <c r="K542" s="77">
        <f>SUMIF(安全质量事故!$B:$B,D541,安全质量事故!$G:$G)</f>
        <v>0</v>
      </c>
      <c r="L542" s="72">
        <f>COUNTIF(M542:AQ542,标准数据!$A$2)*标准数据!$B$2+COUNTIF(M542:AQ542,标准数据!$A$3)*标准数据!$B$3+COUNTIF(M542:AQ542,标准数据!$A$4)*标准数据!$B$4</f>
        <v>0</v>
      </c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189"/>
      <c r="AR542" s="55"/>
      <c r="AV542" s="76" t="str">
        <f>VLOOKUP(E542,[1]生产部!$C:$I,7,0)</f>
        <v>班组</v>
      </c>
      <c r="AW542" s="41" t="str">
        <f>VLOOKUP(E542,[1]生产部!$C:$I,6,0)</f>
        <v>12号楼D级区域</v>
      </c>
    </row>
    <row r="543" spans="1:49" ht="21" customHeight="1">
      <c r="A543" s="237" t="s">
        <v>1940</v>
      </c>
      <c r="B543" s="229" t="s">
        <v>2115</v>
      </c>
      <c r="C543" s="45" t="s">
        <v>14</v>
      </c>
      <c r="D543" s="47" t="s">
        <v>1201</v>
      </c>
      <c r="E543" s="52" t="s">
        <v>1202</v>
      </c>
      <c r="F543" s="46">
        <v>46127</v>
      </c>
      <c r="G543" s="49">
        <f t="shared" si="8"/>
        <v>0</v>
      </c>
      <c r="H543" s="77">
        <f>SUMIF(积分汇总!$B:$B,D542,积分汇总!$E:$E)</f>
        <v>0</v>
      </c>
      <c r="I543" s="77">
        <f>SUMIF(记录巡查问题条数汇总!$B:$B,D542,记录巡查问题条数汇总!$E:$E)</f>
        <v>0</v>
      </c>
      <c r="J543" s="77"/>
      <c r="K543" s="77">
        <f>SUMIF(安全质量事故!$B:$B,D542,安全质量事故!$G:$G)</f>
        <v>0</v>
      </c>
      <c r="L543" s="72">
        <f>COUNTIF(M543:AQ543,标准数据!$A$2)*标准数据!$B$2+COUNTIF(M543:AQ543,标准数据!$A$3)*标准数据!$B$3+COUNTIF(M543:AQ543,标准数据!$A$4)*标准数据!$B$4</f>
        <v>0</v>
      </c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189"/>
      <c r="AR543" s="55"/>
      <c r="AV543" s="76" t="str">
        <f>VLOOKUP(E543,[1]生产部!$C:$I,7,0)</f>
        <v>项目组</v>
      </c>
      <c r="AW543" s="41" t="str">
        <f>VLOOKUP(E543,[1]生产部!$C:$I,6,0)</f>
        <v>12号楼CNC区域</v>
      </c>
    </row>
    <row r="544" spans="1:49" ht="21" customHeight="1">
      <c r="A544" s="237" t="s">
        <v>1940</v>
      </c>
      <c r="B544" s="229" t="s">
        <v>2115</v>
      </c>
      <c r="C544" s="45" t="s">
        <v>14</v>
      </c>
      <c r="D544" s="46" t="s">
        <v>1203</v>
      </c>
      <c r="E544" s="47" t="s">
        <v>1204</v>
      </c>
      <c r="F544" s="48">
        <v>46127</v>
      </c>
      <c r="G544" s="49">
        <f t="shared" si="8"/>
        <v>0</v>
      </c>
      <c r="H544" s="77">
        <f>SUMIF(积分汇总!$B:$B,D543,积分汇总!$E:$E)</f>
        <v>0</v>
      </c>
      <c r="I544" s="77">
        <f>SUMIF(记录巡查问题条数汇总!$B:$B,D543,记录巡查问题条数汇总!$E:$E)</f>
        <v>0</v>
      </c>
      <c r="J544" s="77"/>
      <c r="K544" s="77">
        <f>SUMIF(安全质量事故!$B:$B,D543,安全质量事故!$G:$G)</f>
        <v>0</v>
      </c>
      <c r="L544" s="72">
        <f>COUNTIF(M544:AQ544,标准数据!$A$2)*标准数据!$B$2+COUNTIF(M544:AQ544,标准数据!$A$3)*标准数据!$B$3+COUNTIF(M544:AQ544,标准数据!$A$4)*标准数据!$B$4</f>
        <v>0</v>
      </c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189"/>
      <c r="AR544" s="55"/>
      <c r="AV544" s="76" t="str">
        <f>VLOOKUP(E544,[1]生产部!$C:$I,7,0)</f>
        <v>班组</v>
      </c>
      <c r="AW544" s="41" t="str">
        <f>VLOOKUP(E544,[1]生产部!$C:$I,6,0)</f>
        <v>12号楼D级区域</v>
      </c>
    </row>
    <row r="545" spans="1:49" s="51" customFormat="1" ht="21" customHeight="1">
      <c r="A545" s="237" t="s">
        <v>1940</v>
      </c>
      <c r="B545" s="229" t="s">
        <v>2115</v>
      </c>
      <c r="C545" s="45" t="s">
        <v>14</v>
      </c>
      <c r="D545" s="46" t="s">
        <v>1205</v>
      </c>
      <c r="E545" s="47" t="s">
        <v>1206</v>
      </c>
      <c r="F545" s="48">
        <v>46127</v>
      </c>
      <c r="G545" s="49">
        <f t="shared" si="8"/>
        <v>0</v>
      </c>
      <c r="H545" s="77">
        <f>SUMIF(积分汇总!$B:$B,D544,积分汇总!$E:$E)</f>
        <v>0</v>
      </c>
      <c r="I545" s="77">
        <f>SUMIF(记录巡查问题条数汇总!$B:$B,D544,记录巡查问题条数汇总!$E:$E)</f>
        <v>0</v>
      </c>
      <c r="J545" s="77"/>
      <c r="K545" s="77">
        <f>SUMIF(安全质量事故!$B:$B,D544,安全质量事故!$G:$G)</f>
        <v>0</v>
      </c>
      <c r="L545" s="72">
        <f>COUNTIF(M545:AQ545,标准数据!$A$2)*标准数据!$B$2+COUNTIF(M545:AQ545,标准数据!$A$3)*标准数据!$B$3+COUNTIF(M545:AQ545,标准数据!$A$4)*标准数据!$B$4</f>
        <v>0</v>
      </c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192"/>
      <c r="AR545" s="90"/>
      <c r="AV545" s="76" t="str">
        <f>VLOOKUP(E545,[1]生产部!$C:$I,7,0)</f>
        <v>班组</v>
      </c>
      <c r="AW545" s="41" t="str">
        <f>VLOOKUP(E545,[1]生产部!$C:$I,6,0)</f>
        <v>12号楼D级区域</v>
      </c>
    </row>
    <row r="546" spans="1:49" ht="21" customHeight="1">
      <c r="A546" s="237" t="s">
        <v>1940</v>
      </c>
      <c r="B546" s="229" t="s">
        <v>2115</v>
      </c>
      <c r="C546" s="45" t="s">
        <v>14</v>
      </c>
      <c r="D546" s="46" t="s">
        <v>1311</v>
      </c>
      <c r="E546" s="47" t="s">
        <v>1312</v>
      </c>
      <c r="F546" s="48">
        <v>46134</v>
      </c>
      <c r="G546" s="49">
        <f t="shared" si="8"/>
        <v>0</v>
      </c>
      <c r="H546" s="77">
        <f>SUMIF(积分汇总!$B:$B,D545,积分汇总!$E:$E)</f>
        <v>0</v>
      </c>
      <c r="I546" s="77">
        <f>SUMIF(记录巡查问题条数汇总!$B:$B,D545,记录巡查问题条数汇总!$E:$E)</f>
        <v>0</v>
      </c>
      <c r="J546" s="77"/>
      <c r="K546" s="77">
        <f>SUMIF(安全质量事故!$B:$B,D545,安全质量事故!$G:$G)</f>
        <v>0</v>
      </c>
      <c r="L546" s="72">
        <f>COUNTIF(M546:AQ546,标准数据!$A$2)*标准数据!$B$2+COUNTIF(M546:AQ546,标准数据!$A$3)*标准数据!$B$3+COUNTIF(M546:AQ546,标准数据!$A$4)*标准数据!$B$4</f>
        <v>0</v>
      </c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189"/>
      <c r="AR546" s="55"/>
      <c r="AS546" s="41"/>
      <c r="AT546" s="41"/>
      <c r="AU546" s="41"/>
      <c r="AV546" s="76" t="str">
        <f>VLOOKUP(E546,[1]生产部!$C:$I,7,0)</f>
        <v>班组</v>
      </c>
      <c r="AW546" s="41" t="str">
        <f>VLOOKUP(E546,[1]生产部!$C:$I,6,0)</f>
        <v>12号楼CNC区域</v>
      </c>
    </row>
    <row r="547" spans="1:49" ht="21" customHeight="1">
      <c r="A547" s="237" t="s">
        <v>1940</v>
      </c>
      <c r="B547" s="229" t="s">
        <v>2115</v>
      </c>
      <c r="C547" s="45" t="s">
        <v>14</v>
      </c>
      <c r="D547" s="46" t="s">
        <v>1313</v>
      </c>
      <c r="E547" s="47" t="s">
        <v>1314</v>
      </c>
      <c r="F547" s="48">
        <v>46134</v>
      </c>
      <c r="G547" s="49">
        <f t="shared" si="8"/>
        <v>0</v>
      </c>
      <c r="H547" s="77">
        <f>SUMIF(积分汇总!$B:$B,D546,积分汇总!$E:$E)</f>
        <v>0</v>
      </c>
      <c r="I547" s="77">
        <f>SUMIF(记录巡查问题条数汇总!$B:$B,D546,记录巡查问题条数汇总!$E:$E)</f>
        <v>0</v>
      </c>
      <c r="J547" s="77"/>
      <c r="K547" s="77">
        <f>SUMIF(安全质量事故!$B:$B,D546,安全质量事故!$G:$G)</f>
        <v>0</v>
      </c>
      <c r="L547" s="72">
        <f>COUNTIF(M547:AQ547,标准数据!$A$2)*标准数据!$B$2+COUNTIF(M547:AQ547,标准数据!$A$3)*标准数据!$B$3+COUNTIF(M547:AQ547,标准数据!$A$4)*标准数据!$B$4</f>
        <v>0</v>
      </c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192"/>
      <c r="AR547" s="90"/>
      <c r="AS547" s="41"/>
      <c r="AT547" s="41"/>
      <c r="AU547" s="41"/>
      <c r="AV547" s="76" t="str">
        <f>VLOOKUP(E547,[1]生产部!$C:$I,7,0)</f>
        <v>班组</v>
      </c>
      <c r="AW547" s="41" t="str">
        <f>VLOOKUP(E547,[1]生产部!$C:$I,6,0)</f>
        <v>12号楼CNC区域</v>
      </c>
    </row>
    <row r="548" spans="1:49" ht="21" customHeight="1">
      <c r="A548" s="237" t="s">
        <v>1940</v>
      </c>
      <c r="B548" s="229" t="s">
        <v>2115</v>
      </c>
      <c r="C548" s="45" t="s">
        <v>14</v>
      </c>
      <c r="D548" s="46" t="s">
        <v>1315</v>
      </c>
      <c r="E548" s="47" t="s">
        <v>1316</v>
      </c>
      <c r="F548" s="48">
        <v>46132</v>
      </c>
      <c r="G548" s="49">
        <f t="shared" si="8"/>
        <v>0</v>
      </c>
      <c r="H548" s="77">
        <f>SUMIF(积分汇总!$B:$B,D547,积分汇总!$E:$E)</f>
        <v>0</v>
      </c>
      <c r="I548" s="77">
        <f>SUMIF(记录巡查问题条数汇总!$B:$B,D547,记录巡查问题条数汇总!$E:$E)</f>
        <v>0</v>
      </c>
      <c r="J548" s="77"/>
      <c r="K548" s="77">
        <f>SUMIF(安全质量事故!$B:$B,D547,安全质量事故!$G:$G)</f>
        <v>0</v>
      </c>
      <c r="L548" s="72">
        <f>COUNTIF(M548:AQ548,标准数据!$A$2)*标准数据!$B$2+COUNTIF(M548:AQ548,标准数据!$A$3)*标准数据!$B$3+COUNTIF(M548:AQ548,标准数据!$A$4)*标准数据!$B$4</f>
        <v>0</v>
      </c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189"/>
      <c r="AR548" s="55"/>
      <c r="AV548" s="76" t="str">
        <f>VLOOKUP(E548,[1]生产部!$C:$I,7,0)</f>
        <v>班组</v>
      </c>
      <c r="AW548" s="41" t="str">
        <f>VLOOKUP(E548,[1]生产部!$C:$I,6,0)</f>
        <v>12号楼CNC区域</v>
      </c>
    </row>
    <row r="549" spans="1:49" ht="21" customHeight="1">
      <c r="A549" s="237" t="s">
        <v>1940</v>
      </c>
      <c r="B549" s="229" t="s">
        <v>2115</v>
      </c>
      <c r="C549" s="45" t="s">
        <v>14</v>
      </c>
      <c r="D549" s="46" t="s">
        <v>1317</v>
      </c>
      <c r="E549" s="47" t="s">
        <v>1318</v>
      </c>
      <c r="F549" s="48">
        <v>46132</v>
      </c>
      <c r="G549" s="49">
        <f t="shared" si="8"/>
        <v>0</v>
      </c>
      <c r="H549" s="77">
        <f>SUMIF(积分汇总!$B:$B,D548,积分汇总!$E:$E)</f>
        <v>0</v>
      </c>
      <c r="I549" s="77">
        <f>SUMIF(记录巡查问题条数汇总!$B:$B,D548,记录巡查问题条数汇总!$E:$E)</f>
        <v>0</v>
      </c>
      <c r="J549" s="77"/>
      <c r="K549" s="77">
        <f>SUMIF(安全质量事故!$B:$B,D548,安全质量事故!$G:$G)</f>
        <v>0</v>
      </c>
      <c r="L549" s="72">
        <f>COUNTIF(M549:AQ549,标准数据!$A$2)*标准数据!$B$2+COUNTIF(M549:AQ549,标准数据!$A$3)*标准数据!$B$3+COUNTIF(M549:AQ549,标准数据!$A$4)*标准数据!$B$4</f>
        <v>0</v>
      </c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189"/>
      <c r="AR549" s="55"/>
      <c r="AV549" s="76" t="str">
        <f>VLOOKUP(E549,[1]生产部!$C:$I,7,0)</f>
        <v>班组</v>
      </c>
      <c r="AW549" s="41" t="str">
        <f>VLOOKUP(E549,[1]生产部!$C:$I,6,0)</f>
        <v>12号楼CNC区域</v>
      </c>
    </row>
    <row r="550" spans="1:49" ht="21" customHeight="1">
      <c r="A550" s="237" t="s">
        <v>1940</v>
      </c>
      <c r="B550" s="229" t="s">
        <v>2119</v>
      </c>
      <c r="C550" s="45" t="s">
        <v>14</v>
      </c>
      <c r="D550" s="46" t="s">
        <v>1341</v>
      </c>
      <c r="E550" s="47" t="s">
        <v>1342</v>
      </c>
      <c r="F550" s="48">
        <v>46134</v>
      </c>
      <c r="G550" s="49">
        <f t="shared" si="8"/>
        <v>0</v>
      </c>
      <c r="H550" s="77">
        <f>SUMIF(积分汇总!$B:$B,#REF!,积分汇总!$E:$E)</f>
        <v>0</v>
      </c>
      <c r="I550" s="77">
        <f>SUMIF(记录巡查问题条数汇总!$B:$B,#REF!,记录巡查问题条数汇总!$E:$E)</f>
        <v>0</v>
      </c>
      <c r="J550" s="77"/>
      <c r="K550" s="77">
        <f>SUMIF(安全质量事故!$B:$B,#REF!,安全质量事故!$G:$G)</f>
        <v>0</v>
      </c>
      <c r="L550" s="72">
        <f>COUNTIF(M550:AQ550,标准数据!$A$2)*标准数据!$B$2+COUNTIF(M550:AQ550,标准数据!$A$3)*标准数据!$B$3+COUNTIF(M550:AQ550,标准数据!$A$4)*标准数据!$B$4</f>
        <v>0</v>
      </c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189"/>
      <c r="AR550" s="55"/>
      <c r="AV550" s="76" t="str">
        <f>VLOOKUP(E550,[1]生产部!$C:$I,7,0)</f>
        <v>常白</v>
      </c>
      <c r="AW550" s="41" t="str">
        <f>VLOOKUP(E550,[1]生产部!$C:$I,6,0)</f>
        <v>13号楼（12号楼CNC区域委培）</v>
      </c>
    </row>
    <row r="551" spans="1:49" ht="21" customHeight="1">
      <c r="A551" s="237" t="s">
        <v>1940</v>
      </c>
      <c r="B551" s="229" t="s">
        <v>2119</v>
      </c>
      <c r="C551" s="45" t="s">
        <v>14</v>
      </c>
      <c r="D551" s="46" t="s">
        <v>1343</v>
      </c>
      <c r="E551" s="47" t="s">
        <v>1344</v>
      </c>
      <c r="F551" s="48">
        <v>46139</v>
      </c>
      <c r="G551" s="49">
        <f t="shared" si="8"/>
        <v>0</v>
      </c>
      <c r="H551" s="77">
        <f>SUMIF(积分汇总!$B:$B,#REF!,积分汇总!$E:$E)</f>
        <v>0</v>
      </c>
      <c r="I551" s="77">
        <f>SUMIF(记录巡查问题条数汇总!$B:$B,#REF!,记录巡查问题条数汇总!$E:$E)</f>
        <v>0</v>
      </c>
      <c r="J551" s="77"/>
      <c r="K551" s="77">
        <f>SUMIF(安全质量事故!$B:$B,#REF!,安全质量事故!$G:$G)</f>
        <v>0</v>
      </c>
      <c r="L551" s="72">
        <f>COUNTIF(M551:AQ551,标准数据!$A$2)*标准数据!$B$2+COUNTIF(M551:AQ551,标准数据!$A$3)*标准数据!$B$3+COUNTIF(M551:AQ551,标准数据!$A$4)*标准数据!$B$4</f>
        <v>0</v>
      </c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192"/>
      <c r="AR551" s="90"/>
      <c r="AS551" s="41"/>
      <c r="AT551" s="41"/>
      <c r="AU551" s="41"/>
      <c r="AV551" s="76" t="str">
        <f>VLOOKUP(E551,[1]生产部!$C:$I,7,0)</f>
        <v>常白</v>
      </c>
      <c r="AW551" s="41" t="str">
        <f>VLOOKUP(E551,[1]生产部!$C:$I,6,0)</f>
        <v>13号楼（12号楼CNC区域委培）</v>
      </c>
    </row>
    <row r="552" spans="1:49" ht="21" customHeight="1">
      <c r="A552" s="237" t="s">
        <v>1940</v>
      </c>
      <c r="B552" s="229" t="s">
        <v>2115</v>
      </c>
      <c r="C552" s="45" t="s">
        <v>14</v>
      </c>
      <c r="D552" s="46" t="s">
        <v>1345</v>
      </c>
      <c r="E552" s="47" t="s">
        <v>1346</v>
      </c>
      <c r="F552" s="48">
        <v>46139</v>
      </c>
      <c r="G552" s="49">
        <f t="shared" si="8"/>
        <v>0</v>
      </c>
      <c r="H552" s="77">
        <f>SUMIF(积分汇总!$B:$B,D551,积分汇总!$E:$E)</f>
        <v>0</v>
      </c>
      <c r="I552" s="77">
        <f>SUMIF(记录巡查问题条数汇总!$B:$B,D551,记录巡查问题条数汇总!$E:$E)</f>
        <v>0</v>
      </c>
      <c r="J552" s="77"/>
      <c r="K552" s="77">
        <f>SUMIF(安全质量事故!$B:$B,D551,安全质量事故!$G:$G)</f>
        <v>0</v>
      </c>
      <c r="L552" s="72">
        <f>COUNTIF(M552:AQ552,标准数据!$A$2)*标准数据!$B$2+COUNTIF(M552:AQ552,标准数据!$A$3)*标准数据!$B$3+COUNTIF(M552:AQ552,标准数据!$A$4)*标准数据!$B$4</f>
        <v>0</v>
      </c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189"/>
      <c r="AR552" s="55"/>
      <c r="AV552" s="76" t="str">
        <f>VLOOKUP(E552,[1]生产部!$C:$I,7,0)</f>
        <v>常白</v>
      </c>
      <c r="AW552" s="41" t="str">
        <f>VLOOKUP(E552,[1]生产部!$C:$I,6,0)</f>
        <v>13号楼（12号楼CNC区域委培）</v>
      </c>
    </row>
    <row r="553" spans="1:49" ht="21" customHeight="1">
      <c r="A553" s="237" t="s">
        <v>1940</v>
      </c>
      <c r="B553" s="229" t="s">
        <v>2115</v>
      </c>
      <c r="C553" s="45" t="s">
        <v>14</v>
      </c>
      <c r="D553" s="46" t="s">
        <v>1347</v>
      </c>
      <c r="E553" s="47" t="s">
        <v>1348</v>
      </c>
      <c r="F553" s="48">
        <v>46139</v>
      </c>
      <c r="G553" s="49">
        <f t="shared" si="8"/>
        <v>0</v>
      </c>
      <c r="H553" s="77">
        <f>SUMIF(积分汇总!$B:$B,D552,积分汇总!$E:$E)</f>
        <v>0</v>
      </c>
      <c r="I553" s="77">
        <f>SUMIF(记录巡查问题条数汇总!$B:$B,D552,记录巡查问题条数汇总!$E:$E)</f>
        <v>0</v>
      </c>
      <c r="J553" s="77"/>
      <c r="K553" s="77">
        <f>SUMIF(安全质量事故!$B:$B,D552,安全质量事故!$G:$G)</f>
        <v>0</v>
      </c>
      <c r="L553" s="72">
        <f>COUNTIF(M553:AQ553,标准数据!$A$2)*标准数据!$B$2+COUNTIF(M553:AQ553,标准数据!$A$3)*标准数据!$B$3+COUNTIF(M553:AQ553,标准数据!$A$4)*标准数据!$B$4</f>
        <v>0</v>
      </c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189"/>
      <c r="AR553" s="55"/>
      <c r="AV553" s="76" t="str">
        <f>VLOOKUP(E553,[1]生产部!$C:$I,7,0)</f>
        <v>常白</v>
      </c>
      <c r="AW553" s="41" t="str">
        <f>VLOOKUP(E553,[1]生产部!$C:$I,6,0)</f>
        <v>13号楼（12号楼CNC区域委培）</v>
      </c>
    </row>
    <row r="554" spans="1:49" ht="21" customHeight="1">
      <c r="A554" s="237" t="s">
        <v>1940</v>
      </c>
      <c r="B554" s="229" t="s">
        <v>2115</v>
      </c>
      <c r="C554" s="45" t="s">
        <v>14</v>
      </c>
      <c r="D554" s="47" t="s">
        <v>1351</v>
      </c>
      <c r="E554" s="52" t="s">
        <v>1352</v>
      </c>
      <c r="F554" s="46">
        <v>46139</v>
      </c>
      <c r="G554" s="49">
        <f t="shared" si="8"/>
        <v>0</v>
      </c>
      <c r="H554" s="77">
        <f>SUMIF(积分汇总!$B:$B,#REF!,积分汇总!$E:$E)</f>
        <v>0</v>
      </c>
      <c r="I554" s="77">
        <f>SUMIF(记录巡查问题条数汇总!$B:$B,#REF!,记录巡查问题条数汇总!$E:$E)</f>
        <v>0</v>
      </c>
      <c r="J554" s="77"/>
      <c r="K554" s="77">
        <f>SUMIF(安全质量事故!$B:$B,#REF!,安全质量事故!$G:$G)</f>
        <v>0</v>
      </c>
      <c r="L554" s="72">
        <f>COUNTIF(M554:AQ554,标准数据!$A$2)*标准数据!$B$2+COUNTIF(M554:AQ554,标准数据!$A$3)*标准数据!$B$3+COUNTIF(M554:AQ554,标准数据!$A$4)*标准数据!$B$4</f>
        <v>0</v>
      </c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189"/>
      <c r="AR554" s="55"/>
      <c r="AV554" s="76" t="str">
        <f>VLOOKUP(E554,[1]生产部!$C:$I,7,0)</f>
        <v>班组</v>
      </c>
      <c r="AW554" s="41" t="str">
        <f>VLOOKUP(E554,[1]生产部!$C:$I,6,0)</f>
        <v>13号楼（12号楼CNC区域委培）</v>
      </c>
    </row>
    <row r="555" spans="1:49" ht="21" customHeight="1">
      <c r="A555" s="237" t="s">
        <v>1940</v>
      </c>
      <c r="B555" s="229" t="s">
        <v>2115</v>
      </c>
      <c r="C555" s="45" t="s">
        <v>14</v>
      </c>
      <c r="D555" s="47" t="s">
        <v>1353</v>
      </c>
      <c r="E555" s="52" t="s">
        <v>1354</v>
      </c>
      <c r="F555" s="46">
        <v>46139</v>
      </c>
      <c r="G555" s="49">
        <f t="shared" si="8"/>
        <v>0</v>
      </c>
      <c r="H555" s="77">
        <f>SUMIF(积分汇总!$B:$B,D554,积分汇总!$E:$E)</f>
        <v>0</v>
      </c>
      <c r="I555" s="77">
        <f>SUMIF(记录巡查问题条数汇总!$B:$B,D554,记录巡查问题条数汇总!$E:$E)</f>
        <v>0</v>
      </c>
      <c r="J555" s="77"/>
      <c r="K555" s="77">
        <f>SUMIF(安全质量事故!$B:$B,D554,安全质量事故!$G:$G)</f>
        <v>0</v>
      </c>
      <c r="L555" s="72">
        <f>COUNTIF(M555:AQ555,标准数据!$A$2)*标准数据!$B$2+COUNTIF(M555:AQ555,标准数据!$A$3)*标准数据!$B$3+COUNTIF(M555:AQ555,标准数据!$A$4)*标准数据!$B$4</f>
        <v>0</v>
      </c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189"/>
      <c r="AR555" s="55"/>
      <c r="AV555" s="76" t="str">
        <f>VLOOKUP(E555,[1]生产部!$C:$I,7,0)</f>
        <v>常白</v>
      </c>
      <c r="AW555" s="41" t="str">
        <f>VLOOKUP(E555,[1]生产部!$C:$I,6,0)</f>
        <v>13号楼（12号楼CNC区域委培）</v>
      </c>
    </row>
    <row r="556" spans="1:49" ht="21" customHeight="1">
      <c r="A556" s="237" t="s">
        <v>1940</v>
      </c>
      <c r="B556" s="229" t="s">
        <v>2115</v>
      </c>
      <c r="C556" s="45" t="s">
        <v>14</v>
      </c>
      <c r="D556" s="46" t="s">
        <v>1355</v>
      </c>
      <c r="E556" s="47" t="s">
        <v>1356</v>
      </c>
      <c r="F556" s="48">
        <v>46153</v>
      </c>
      <c r="G556" s="49">
        <f t="shared" si="8"/>
        <v>0</v>
      </c>
      <c r="H556" s="77">
        <f>SUMIF(积分汇总!$B:$B,#REF!,积分汇总!$E:$E)</f>
        <v>0</v>
      </c>
      <c r="I556" s="77">
        <f>SUMIF(记录巡查问题条数汇总!$B:$B,#REF!,记录巡查问题条数汇总!$E:$E)</f>
        <v>0</v>
      </c>
      <c r="J556" s="77"/>
      <c r="K556" s="77">
        <f>SUMIF(安全质量事故!$B:$B,#REF!,安全质量事故!$G:$G)</f>
        <v>0</v>
      </c>
      <c r="L556" s="72">
        <f>COUNTIF(M556:AQ556,标准数据!$A$2)*标准数据!$B$2+COUNTIF(M556:AQ556,标准数据!$A$3)*标准数据!$B$3+COUNTIF(M556:AQ556,标准数据!$A$4)*标准数据!$B$4</f>
        <v>0</v>
      </c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189"/>
      <c r="AR556" s="55"/>
      <c r="AS556" s="41"/>
      <c r="AT556" s="41"/>
      <c r="AU556" s="41"/>
      <c r="AV556" s="76" t="str">
        <f>VLOOKUP(E556,[1]生产部!$C:$I,7,0)</f>
        <v>常白</v>
      </c>
      <c r="AW556" s="41" t="str">
        <f>VLOOKUP(E556,[1]生产部!$C:$I,6,0)</f>
        <v>13号楼（12号楼D级区域委培）</v>
      </c>
    </row>
    <row r="557" spans="1:49" ht="21" customHeight="1">
      <c r="A557" s="237" t="s">
        <v>1940</v>
      </c>
      <c r="B557" s="229" t="s">
        <v>2112</v>
      </c>
      <c r="C557" s="45" t="s">
        <v>14</v>
      </c>
      <c r="D557" s="46" t="s">
        <v>1357</v>
      </c>
      <c r="E557" s="47" t="s">
        <v>1358</v>
      </c>
      <c r="F557" s="48">
        <v>46155</v>
      </c>
      <c r="G557" s="49">
        <f t="shared" si="8"/>
        <v>0</v>
      </c>
      <c r="H557" s="77">
        <f>SUMIF(积分汇总!$B:$B,D556,积分汇总!$E:$E)</f>
        <v>0</v>
      </c>
      <c r="I557" s="77">
        <f>SUMIF(记录巡查问题条数汇总!$B:$B,D556,记录巡查问题条数汇总!$E:$E)</f>
        <v>0</v>
      </c>
      <c r="J557" s="77"/>
      <c r="K557" s="77">
        <f>SUMIF(安全质量事故!$B:$B,D556,安全质量事故!$G:$G)</f>
        <v>0</v>
      </c>
      <c r="L557" s="72">
        <f>COUNTIF(M557:AQ557,标准数据!$A$2)*标准数据!$B$2+COUNTIF(M557:AQ557,标准数据!$A$3)*标准数据!$B$3+COUNTIF(M557:AQ557,标准数据!$A$4)*标准数据!$B$4</f>
        <v>0</v>
      </c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192"/>
      <c r="AR557" s="90"/>
      <c r="AS557" s="41"/>
      <c r="AT557" s="41"/>
      <c r="AU557" s="41"/>
      <c r="AV557" s="76" t="str">
        <f>VLOOKUP(E557,[1]生产部!$C:$I,7,0)</f>
        <v>班组</v>
      </c>
      <c r="AW557" s="41" t="str">
        <f>VLOOKUP(E557,[1]生产部!$C:$I,6,0)</f>
        <v>13号楼（11号楼D级区域委培）</v>
      </c>
    </row>
    <row r="558" spans="1:49" ht="21" customHeight="1">
      <c r="A558" s="237" t="s">
        <v>1940</v>
      </c>
      <c r="B558" s="229" t="s">
        <v>2112</v>
      </c>
      <c r="C558" s="45" t="s">
        <v>14</v>
      </c>
      <c r="D558" s="46" t="s">
        <v>1359</v>
      </c>
      <c r="E558" s="47" t="s">
        <v>1360</v>
      </c>
      <c r="F558" s="48">
        <v>46155</v>
      </c>
      <c r="G558" s="49">
        <f t="shared" si="8"/>
        <v>0</v>
      </c>
      <c r="H558" s="77">
        <f>SUMIF(积分汇总!$B:$B,D557,积分汇总!$E:$E)</f>
        <v>0</v>
      </c>
      <c r="I558" s="77">
        <f>SUMIF(记录巡查问题条数汇总!$B:$B,D557,记录巡查问题条数汇总!$E:$E)</f>
        <v>0</v>
      </c>
      <c r="J558" s="77"/>
      <c r="K558" s="77">
        <f>SUMIF(安全质量事故!$B:$B,D557,安全质量事故!$G:$G)</f>
        <v>0</v>
      </c>
      <c r="L558" s="72">
        <f>COUNTIF(M558:AQ558,标准数据!$A$2)*标准数据!$B$2+COUNTIF(M558:AQ558,标准数据!$A$3)*标准数据!$B$3+COUNTIF(M558:AQ558,标准数据!$A$4)*标准数据!$B$4</f>
        <v>0</v>
      </c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189"/>
      <c r="AR558" s="55"/>
      <c r="AV558" s="76" t="str">
        <f>VLOOKUP(E558,[1]生产部!$C:$I,7,0)</f>
        <v>班组</v>
      </c>
      <c r="AW558" s="41" t="str">
        <f>VLOOKUP(E558,[1]生产部!$C:$I,6,0)</f>
        <v>13号楼（11号楼D级区域委培）</v>
      </c>
    </row>
    <row r="559" spans="1:49" ht="21" customHeight="1">
      <c r="A559" s="237" t="s">
        <v>1940</v>
      </c>
      <c r="B559" s="229" t="s">
        <v>2112</v>
      </c>
      <c r="C559" s="45" t="s">
        <v>14</v>
      </c>
      <c r="D559" s="46" t="s">
        <v>1361</v>
      </c>
      <c r="E559" s="47" t="s">
        <v>1362</v>
      </c>
      <c r="F559" s="48">
        <v>46155</v>
      </c>
      <c r="G559" s="49">
        <f t="shared" si="8"/>
        <v>0</v>
      </c>
      <c r="H559" s="77">
        <f>SUMIF(积分汇总!$B:$B,D558,积分汇总!$E:$E)</f>
        <v>0</v>
      </c>
      <c r="I559" s="77">
        <f>SUMIF(记录巡查问题条数汇总!$B:$B,D558,记录巡查问题条数汇总!$E:$E)</f>
        <v>0</v>
      </c>
      <c r="J559" s="77"/>
      <c r="K559" s="77">
        <f>SUMIF(安全质量事故!$B:$B,D558,安全质量事故!$G:$G)</f>
        <v>0</v>
      </c>
      <c r="L559" s="72">
        <f>COUNTIF(M559:AQ559,标准数据!$A$2)*标准数据!$B$2+COUNTIF(M559:AQ559,标准数据!$A$3)*标准数据!$B$3+COUNTIF(M559:AQ559,标准数据!$A$4)*标准数据!$B$4</f>
        <v>0</v>
      </c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189"/>
      <c r="AR559" s="55"/>
      <c r="AV559" s="76" t="str">
        <f>VLOOKUP(E559,[1]生产部!$C:$I,7,0)</f>
        <v>班组</v>
      </c>
      <c r="AW559" s="41" t="str">
        <f>VLOOKUP(E559,[1]生产部!$C:$I,6,0)</f>
        <v>13号楼（12号楼D级区域委培）</v>
      </c>
    </row>
    <row r="560" spans="1:49" ht="21" customHeight="1">
      <c r="A560" s="237" t="s">
        <v>1940</v>
      </c>
      <c r="B560" s="229" t="s">
        <v>2117</v>
      </c>
      <c r="C560" s="45" t="s">
        <v>14</v>
      </c>
      <c r="D560" s="46" t="s">
        <v>1363</v>
      </c>
      <c r="E560" s="47" t="s">
        <v>1364</v>
      </c>
      <c r="F560" s="48">
        <v>46155</v>
      </c>
      <c r="G560" s="49">
        <f t="shared" si="8"/>
        <v>0</v>
      </c>
      <c r="H560" s="77">
        <f>SUMIF(积分汇总!$B:$B,D559,积分汇总!$E:$E)</f>
        <v>0</v>
      </c>
      <c r="I560" s="77">
        <f>SUMIF(记录巡查问题条数汇总!$B:$B,D559,记录巡查问题条数汇总!$E:$E)</f>
        <v>0</v>
      </c>
      <c r="J560" s="77"/>
      <c r="K560" s="77">
        <f>SUMIF(安全质量事故!$B:$B,D559,安全质量事故!$G:$G)</f>
        <v>0</v>
      </c>
      <c r="L560" s="72">
        <f>COUNTIF(M560:AQ560,标准数据!$A$2)*标准数据!$B$2+COUNTIF(M560:AQ560,标准数据!$A$3)*标准数据!$B$3+COUNTIF(M560:AQ560,标准数据!$A$4)*标准数据!$B$4</f>
        <v>0</v>
      </c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189"/>
      <c r="AR560" s="55"/>
      <c r="AV560" s="76" t="str">
        <f>VLOOKUP(E560,[1]生产部!$C:$I,7,0)</f>
        <v>班组</v>
      </c>
      <c r="AW560" s="41" t="str">
        <f>VLOOKUP(E560,[1]生产部!$C:$I,6,0)</f>
        <v>13号楼（12号楼D级区域委培）</v>
      </c>
    </row>
    <row r="561" spans="1:49" ht="21" customHeight="1">
      <c r="A561" s="237" t="s">
        <v>1940</v>
      </c>
      <c r="B561" s="229" t="s">
        <v>2117</v>
      </c>
      <c r="C561" s="45" t="s">
        <v>14</v>
      </c>
      <c r="D561" s="47" t="s">
        <v>1365</v>
      </c>
      <c r="E561" s="52" t="s">
        <v>1366</v>
      </c>
      <c r="F561" s="46">
        <v>46155</v>
      </c>
      <c r="G561" s="49">
        <f t="shared" si="8"/>
        <v>0</v>
      </c>
      <c r="H561" s="77">
        <f>SUMIF(积分汇总!$B:$B,D560,积分汇总!$E:$E)</f>
        <v>0</v>
      </c>
      <c r="I561" s="77">
        <f>SUMIF(记录巡查问题条数汇总!$B:$B,D560,记录巡查问题条数汇总!$E:$E)</f>
        <v>0</v>
      </c>
      <c r="J561" s="77"/>
      <c r="K561" s="77">
        <f>SUMIF(安全质量事故!$B:$B,D560,安全质量事故!$G:$G)</f>
        <v>0</v>
      </c>
      <c r="L561" s="72">
        <f>COUNTIF(M561:AQ561,标准数据!$A$2)*标准数据!$B$2+COUNTIF(M561:AQ561,标准数据!$A$3)*标准数据!$B$3+COUNTIF(M561:AQ561,标准数据!$A$4)*标准数据!$B$4</f>
        <v>0</v>
      </c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189"/>
      <c r="AR561" s="55"/>
      <c r="AV561" s="76" t="str">
        <f>VLOOKUP(E561,[1]生产部!$C:$I,7,0)</f>
        <v>班组</v>
      </c>
      <c r="AW561" s="41" t="str">
        <f>VLOOKUP(E561,[1]生产部!$C:$I,6,0)</f>
        <v>13号楼（12号楼D级区域委培）</v>
      </c>
    </row>
    <row r="562" spans="1:49" ht="21" customHeight="1">
      <c r="A562" s="237" t="s">
        <v>1940</v>
      </c>
      <c r="B562" s="229" t="s">
        <v>2114</v>
      </c>
      <c r="C562" s="45" t="s">
        <v>14</v>
      </c>
      <c r="D562" s="47" t="s">
        <v>1367</v>
      </c>
      <c r="E562" s="52" t="s">
        <v>1368</v>
      </c>
      <c r="F562" s="46">
        <v>46155</v>
      </c>
      <c r="G562" s="49">
        <f t="shared" si="8"/>
        <v>0</v>
      </c>
      <c r="H562" s="77">
        <f>SUMIF(积分汇总!$B:$B,D561,积分汇总!$E:$E)</f>
        <v>0</v>
      </c>
      <c r="I562" s="77">
        <f>SUMIF(记录巡查问题条数汇总!$B:$B,D561,记录巡查问题条数汇总!$E:$E)</f>
        <v>0</v>
      </c>
      <c r="J562" s="77"/>
      <c r="K562" s="77">
        <f>SUMIF(安全质量事故!$B:$B,D561,安全质量事故!$G:$G)</f>
        <v>0</v>
      </c>
      <c r="L562" s="72">
        <f>COUNTIF(M562:AQ562,标准数据!$A$2)*标准数据!$B$2+COUNTIF(M562:AQ562,标准数据!$A$3)*标准数据!$B$3+COUNTIF(M562:AQ562,标准数据!$A$4)*标准数据!$B$4</f>
        <v>0</v>
      </c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189"/>
      <c r="AR562" s="55"/>
      <c r="AV562" s="76" t="str">
        <f>VLOOKUP(E562,[1]生产部!$C:$I,7,0)</f>
        <v>班组</v>
      </c>
      <c r="AW562" s="41" t="str">
        <f>VLOOKUP(E562,[1]生产部!$C:$I,6,0)</f>
        <v>13号楼（12号楼CNC区域委培）</v>
      </c>
    </row>
    <row r="563" spans="1:49" ht="21" customHeight="1">
      <c r="A563" s="237" t="s">
        <v>1940</v>
      </c>
      <c r="B563" s="229" t="s">
        <v>2117</v>
      </c>
      <c r="C563" s="45" t="s">
        <v>14</v>
      </c>
      <c r="D563" s="46" t="s">
        <v>1369</v>
      </c>
      <c r="E563" s="47" t="s">
        <v>1370</v>
      </c>
      <c r="F563" s="48">
        <v>46155</v>
      </c>
      <c r="G563" s="49">
        <f t="shared" si="8"/>
        <v>0</v>
      </c>
      <c r="H563" s="77">
        <f>SUMIF(积分汇总!$B:$B,D562,积分汇总!$E:$E)</f>
        <v>0</v>
      </c>
      <c r="I563" s="77">
        <f>SUMIF(记录巡查问题条数汇总!$B:$B,D562,记录巡查问题条数汇总!$E:$E)</f>
        <v>0</v>
      </c>
      <c r="J563" s="77"/>
      <c r="K563" s="77">
        <f>SUMIF(安全质量事故!$B:$B,D562,安全质量事故!$G:$G)</f>
        <v>0</v>
      </c>
      <c r="L563" s="72">
        <f>COUNTIF(M563:AQ563,标准数据!$A$2)*标准数据!$B$2+COUNTIF(M563:AQ563,标准数据!$A$3)*标准数据!$B$3+COUNTIF(M563:AQ563,标准数据!$A$4)*标准数据!$B$4</f>
        <v>0</v>
      </c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189"/>
      <c r="AR563" s="55"/>
      <c r="AV563" s="76" t="str">
        <f>VLOOKUP(E563,[1]生产部!$C:$I,7,0)</f>
        <v>班组</v>
      </c>
      <c r="AW563" s="41" t="str">
        <f>VLOOKUP(E563,[1]生产部!$C:$I,6,0)</f>
        <v>13号楼（12号楼D级区域委培）</v>
      </c>
    </row>
    <row r="564" spans="1:49" s="51" customFormat="1" ht="21" customHeight="1">
      <c r="A564" s="237" t="s">
        <v>1940</v>
      </c>
      <c r="B564" s="229" t="s">
        <v>2117</v>
      </c>
      <c r="C564" s="45" t="s">
        <v>14</v>
      </c>
      <c r="D564" s="46" t="s">
        <v>1371</v>
      </c>
      <c r="E564" s="47" t="s">
        <v>1372</v>
      </c>
      <c r="F564" s="48">
        <v>46155</v>
      </c>
      <c r="G564" s="49">
        <f t="shared" si="8"/>
        <v>0</v>
      </c>
      <c r="H564" s="77">
        <f>SUMIF(积分汇总!$B:$B,D563,积分汇总!$E:$E)</f>
        <v>0</v>
      </c>
      <c r="I564" s="77">
        <f>SUMIF(记录巡查问题条数汇总!$B:$B,D563,记录巡查问题条数汇总!$E:$E)</f>
        <v>0</v>
      </c>
      <c r="J564" s="77"/>
      <c r="K564" s="77">
        <f>SUMIF(安全质量事故!$B:$B,D563,安全质量事故!$G:$G)</f>
        <v>0</v>
      </c>
      <c r="L564" s="72">
        <f>COUNTIF(M564:AQ564,标准数据!$A$2)*标准数据!$B$2+COUNTIF(M564:AQ564,标准数据!$A$3)*标准数据!$B$3+COUNTIF(M564:AQ564,标准数据!$A$4)*标准数据!$B$4</f>
        <v>0</v>
      </c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192"/>
      <c r="AR564" s="90"/>
      <c r="AV564" s="76" t="str">
        <f>VLOOKUP(E564,[1]生产部!$C:$I,7,0)</f>
        <v>班组</v>
      </c>
      <c r="AW564" s="41" t="str">
        <f>VLOOKUP(E564,[1]生产部!$C:$I,6,0)</f>
        <v>13号楼（12号楼D级区域委培）</v>
      </c>
    </row>
    <row r="565" spans="1:49" ht="21" customHeight="1">
      <c r="A565" s="237" t="s">
        <v>1940</v>
      </c>
      <c r="B565" s="229" t="s">
        <v>2115</v>
      </c>
      <c r="C565" s="45" t="s">
        <v>14</v>
      </c>
      <c r="D565" s="46" t="s">
        <v>862</v>
      </c>
      <c r="E565" s="47" t="s">
        <v>809</v>
      </c>
      <c r="F565" s="48">
        <v>45987</v>
      </c>
      <c r="G565" s="49">
        <f t="shared" si="8"/>
        <v>0</v>
      </c>
      <c r="H565" s="77">
        <f>SUMIF(积分汇总!$B:$B,D564,积分汇总!$E:$E)</f>
        <v>0</v>
      </c>
      <c r="I565" s="77">
        <f>SUMIF(记录巡查问题条数汇总!$B:$B,D564,记录巡查问题条数汇总!$E:$E)</f>
        <v>0</v>
      </c>
      <c r="J565" s="77"/>
      <c r="K565" s="77">
        <f>SUMIF(安全质量事故!$B:$B,D564,安全质量事故!$G:$G)</f>
        <v>0</v>
      </c>
      <c r="L565" s="72">
        <f>COUNTIF(M565:AQ565,标准数据!$A$2)*标准数据!$B$2+COUNTIF(M565:AQ565,标准数据!$A$3)*标准数据!$B$3+COUNTIF(M565:AQ565,标准数据!$A$4)*标准数据!$B$4</f>
        <v>0</v>
      </c>
      <c r="M565" s="90"/>
      <c r="N565" s="90"/>
      <c r="O565" s="90"/>
      <c r="P565" s="90"/>
      <c r="Q565" s="90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189"/>
      <c r="AR565" s="55"/>
      <c r="AV565" s="76" t="str">
        <f>VLOOKUP(E565,[1]生产部!$C:$I,7,0)</f>
        <v>常白</v>
      </c>
      <c r="AW565" s="41" t="str">
        <f>VLOOKUP(E565,[1]生产部!$C:$I,6,0)</f>
        <v>12号楼CNC区域</v>
      </c>
    </row>
    <row r="566" spans="1:49" ht="21" customHeight="1">
      <c r="A566" s="237" t="s">
        <v>1940</v>
      </c>
      <c r="B566" s="229" t="s">
        <v>2115</v>
      </c>
      <c r="C566" s="45" t="s">
        <v>14</v>
      </c>
      <c r="D566" s="46" t="s">
        <v>910</v>
      </c>
      <c r="E566" s="47" t="s">
        <v>893</v>
      </c>
      <c r="F566" s="48">
        <v>45882</v>
      </c>
      <c r="G566" s="49">
        <f t="shared" si="8"/>
        <v>0</v>
      </c>
      <c r="H566" s="77">
        <f>SUMIF(积分汇总!$B:$B,D565,积分汇总!$E:$E)</f>
        <v>0</v>
      </c>
      <c r="I566" s="77">
        <f>SUMIF(记录巡查问题条数汇总!$B:$B,D565,记录巡查问题条数汇总!$E:$E)</f>
        <v>0</v>
      </c>
      <c r="J566" s="77"/>
      <c r="K566" s="77">
        <f>SUMIF(安全质量事故!$B:$B,D565,安全质量事故!$G:$G)</f>
        <v>0</v>
      </c>
      <c r="L566" s="72">
        <f>COUNTIF(M566:AQ566,标准数据!$A$2)*标准数据!$B$2+COUNTIF(M566:AQ566,标准数据!$A$3)*标准数据!$B$3+COUNTIF(M566:AQ566,标准数据!$A$4)*标准数据!$B$4</f>
        <v>0</v>
      </c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192"/>
      <c r="AR566" s="90"/>
      <c r="AS566" s="41"/>
      <c r="AT566" s="41"/>
      <c r="AU566" s="41"/>
      <c r="AV566" s="76" t="str">
        <f>VLOOKUP(E566,[1]生产部!$C:$I,7,0)</f>
        <v>班组</v>
      </c>
      <c r="AW566" s="41" t="str">
        <f>VLOOKUP(E566,[1]生产部!$C:$I,6,0)</f>
        <v>12号楼CNC区域</v>
      </c>
    </row>
    <row r="567" spans="1:49" ht="21" customHeight="1">
      <c r="A567" s="237" t="s">
        <v>1940</v>
      </c>
      <c r="B567" s="229" t="s">
        <v>2115</v>
      </c>
      <c r="C567" s="45" t="s">
        <v>14</v>
      </c>
      <c r="D567" s="46" t="s">
        <v>911</v>
      </c>
      <c r="E567" s="47" t="s">
        <v>894</v>
      </c>
      <c r="F567" s="48">
        <v>45889</v>
      </c>
      <c r="G567" s="49">
        <f t="shared" si="8"/>
        <v>0</v>
      </c>
      <c r="H567" s="77">
        <f>SUMIF(积分汇总!$B:$B,D566,积分汇总!$E:$E)</f>
        <v>0</v>
      </c>
      <c r="I567" s="77">
        <f>SUMIF(记录巡查问题条数汇总!$B:$B,D566,记录巡查问题条数汇总!$E:$E)</f>
        <v>0</v>
      </c>
      <c r="J567" s="77"/>
      <c r="K567" s="77">
        <f>SUMIF(安全质量事故!$B:$B,D566,安全质量事故!$G:$G)</f>
        <v>0</v>
      </c>
      <c r="L567" s="72">
        <f>COUNTIF(M567:AQ567,标准数据!$A$2)*标准数据!$B$2+COUNTIF(M567:AQ567,标准数据!$A$3)*标准数据!$B$3+COUNTIF(M567:AQ567,标准数据!$A$4)*标准数据!$B$4</f>
        <v>0</v>
      </c>
      <c r="M567" s="90"/>
      <c r="N567" s="90"/>
      <c r="O567" s="90"/>
      <c r="P567" s="90"/>
      <c r="Q567" s="90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189"/>
      <c r="AR567" s="55"/>
      <c r="AV567" s="76" t="str">
        <f>VLOOKUP(E567,[1]生产部!$C:$I,7,0)</f>
        <v>班组</v>
      </c>
      <c r="AW567" s="41" t="str">
        <f>VLOOKUP(E567,[1]生产部!$C:$I,6,0)</f>
        <v>12号楼CNC区域</v>
      </c>
    </row>
    <row r="568" spans="1:49" ht="21" customHeight="1">
      <c r="A568" s="237" t="s">
        <v>1940</v>
      </c>
      <c r="B568" s="229" t="s">
        <v>2115</v>
      </c>
      <c r="C568" s="45" t="s">
        <v>14</v>
      </c>
      <c r="D568" s="46" t="s">
        <v>838</v>
      </c>
      <c r="E568" s="47" t="s">
        <v>799</v>
      </c>
      <c r="F568" s="48">
        <v>45462</v>
      </c>
      <c r="G568" s="49">
        <f t="shared" si="8"/>
        <v>0</v>
      </c>
      <c r="H568" s="77">
        <f>SUMIF(积分汇总!$B:$B,D567,积分汇总!$E:$E)</f>
        <v>0</v>
      </c>
      <c r="I568" s="77">
        <f>SUMIF(记录巡查问题条数汇总!$B:$B,D567,记录巡查问题条数汇总!$E:$E)</f>
        <v>0</v>
      </c>
      <c r="J568" s="77"/>
      <c r="K568" s="77">
        <f>SUMIF(安全质量事故!$B:$B,D567,安全质量事故!$G:$G)</f>
        <v>0</v>
      </c>
      <c r="L568" s="72">
        <f>COUNTIF(M568:AQ568,标准数据!$A$2)*标准数据!$B$2+COUNTIF(M568:AQ568,标准数据!$A$3)*标准数据!$B$3+COUNTIF(M568:AQ568,标准数据!$A$4)*标准数据!$B$4</f>
        <v>0</v>
      </c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189"/>
      <c r="AR568" s="55"/>
      <c r="AV568" s="76" t="str">
        <f>VLOOKUP(E568,[1]生产部!$C:$I,7,0)</f>
        <v>班组</v>
      </c>
      <c r="AW568" s="41" t="str">
        <f>VLOOKUP(E568,[1]生产部!$C:$I,6,0)</f>
        <v>12号楼D级区域</v>
      </c>
    </row>
    <row r="569" spans="1:49" ht="21" customHeight="1">
      <c r="A569" s="237" t="s">
        <v>1940</v>
      </c>
      <c r="B569" s="229" t="s">
        <v>2114</v>
      </c>
      <c r="C569" s="45" t="s">
        <v>14</v>
      </c>
      <c r="D569" s="46" t="s">
        <v>1458</v>
      </c>
      <c r="E569" s="47" t="s">
        <v>1459</v>
      </c>
      <c r="F569" s="48">
        <v>46169</v>
      </c>
      <c r="G569" s="49">
        <f t="shared" si="8"/>
        <v>0</v>
      </c>
      <c r="H569" s="77">
        <f>SUMIF(积分汇总!$B:$B,D568,积分汇总!$E:$E)</f>
        <v>0</v>
      </c>
      <c r="I569" s="77">
        <f>SUMIF(记录巡查问题条数汇总!$B:$B,D568,记录巡查问题条数汇总!$E:$E)</f>
        <v>0</v>
      </c>
      <c r="J569" s="77"/>
      <c r="K569" s="77">
        <f>SUMIF(安全质量事故!$B:$B,D568,安全质量事故!$G:$G)</f>
        <v>0</v>
      </c>
      <c r="L569" s="72">
        <f>COUNTIF(M569:AQ569,标准数据!$A$2)*标准数据!$B$2+COUNTIF(M569:AQ569,标准数据!$A$3)*标准数据!$B$3+COUNTIF(M569:AQ569,标准数据!$A$4)*标准数据!$B$4</f>
        <v>0</v>
      </c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189"/>
      <c r="AR569" s="55"/>
      <c r="AV569" s="76" t="str">
        <f>VLOOKUP(E569,[1]生产部!$C:$I,7,0)</f>
        <v>常白</v>
      </c>
      <c r="AW569" s="41" t="str">
        <f>VLOOKUP(E569,[1]生产部!$C:$I,6,0)</f>
        <v>12号楼CNC区域</v>
      </c>
    </row>
    <row r="570" spans="1:49" ht="21" customHeight="1">
      <c r="A570" s="237" t="s">
        <v>1940</v>
      </c>
      <c r="B570" s="229" t="s">
        <v>2115</v>
      </c>
      <c r="C570" s="45" t="s">
        <v>14</v>
      </c>
      <c r="D570" s="47" t="s">
        <v>1462</v>
      </c>
      <c r="E570" s="52" t="s">
        <v>1463</v>
      </c>
      <c r="F570" s="46">
        <v>46169</v>
      </c>
      <c r="G570" s="49">
        <f t="shared" si="8"/>
        <v>0</v>
      </c>
      <c r="H570" s="77">
        <f>SUMIF(积分汇总!$B:$B,#REF!,积分汇总!$E:$E)</f>
        <v>0</v>
      </c>
      <c r="I570" s="77">
        <f>SUMIF(记录巡查问题条数汇总!$B:$B,#REF!,记录巡查问题条数汇总!$E:$E)</f>
        <v>0</v>
      </c>
      <c r="J570" s="77"/>
      <c r="K570" s="77">
        <f>SUMIF(安全质量事故!$B:$B,#REF!,安全质量事故!$G:$G)</f>
        <v>0</v>
      </c>
      <c r="L570" s="72">
        <f>COUNTIF(M570:AQ570,标准数据!$A$2)*标准数据!$B$2+COUNTIF(M570:AQ570,标准数据!$A$3)*标准数据!$B$3+COUNTIF(M570:AQ570,标准数据!$A$4)*标准数据!$B$4</f>
        <v>0</v>
      </c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189"/>
      <c r="AR570" s="55"/>
      <c r="AV570" s="76" t="str">
        <f>VLOOKUP(E570,[1]生产部!$C:$I,7,0)</f>
        <v>常白</v>
      </c>
      <c r="AW570" s="41" t="str">
        <f>VLOOKUP(E570,[1]生产部!$C:$I,6,0)</f>
        <v>12号楼CNC区域</v>
      </c>
    </row>
    <row r="571" spans="1:49" ht="21" customHeight="1">
      <c r="A571" s="237" t="s">
        <v>1940</v>
      </c>
      <c r="B571" s="229" t="s">
        <v>2112</v>
      </c>
      <c r="C571" s="45" t="s">
        <v>14</v>
      </c>
      <c r="D571" s="46" t="s">
        <v>1464</v>
      </c>
      <c r="E571" s="47" t="s">
        <v>1465</v>
      </c>
      <c r="F571" s="48">
        <v>46050</v>
      </c>
      <c r="G571" s="49">
        <f t="shared" si="8"/>
        <v>0</v>
      </c>
      <c r="H571" s="77">
        <f>SUMIF(积分汇总!$B:$B,D570,积分汇总!$E:$E)</f>
        <v>0</v>
      </c>
      <c r="I571" s="77">
        <f>SUMIF(记录巡查问题条数汇总!$B:$B,D570,记录巡查问题条数汇总!$E:$E)</f>
        <v>0</v>
      </c>
      <c r="J571" s="77"/>
      <c r="K571" s="77">
        <f>SUMIF(安全质量事故!$B:$B,D570,安全质量事故!$G:$G)</f>
        <v>0</v>
      </c>
      <c r="L571" s="72">
        <f>COUNTIF(M571:AQ571,标准数据!$A$2)*标准数据!$B$2+COUNTIF(M571:AQ571,标准数据!$A$3)*标准数据!$B$3+COUNTIF(M571:AQ571,标准数据!$A$4)*标准数据!$B$4</f>
        <v>0</v>
      </c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189"/>
      <c r="AR571" s="55"/>
      <c r="AS571" s="196" t="s">
        <v>1468</v>
      </c>
      <c r="AV571" s="76" t="str">
        <f>VLOOKUP(E571,[1]生产部!$C:$I,7,0)</f>
        <v>班组</v>
      </c>
      <c r="AW571" s="41" t="str">
        <f>VLOOKUP(E571,[1]生产部!$C:$I,6,0)</f>
        <v>12号楼CNC区域</v>
      </c>
    </row>
    <row r="572" spans="1:49" s="51" customFormat="1" ht="21" customHeight="1">
      <c r="A572" s="237" t="s">
        <v>1940</v>
      </c>
      <c r="B572" s="229" t="s">
        <v>2115</v>
      </c>
      <c r="C572" s="45" t="s">
        <v>14</v>
      </c>
      <c r="D572" s="46" t="s">
        <v>1466</v>
      </c>
      <c r="E572" s="47" t="s">
        <v>1467</v>
      </c>
      <c r="F572" s="48">
        <v>46127</v>
      </c>
      <c r="G572" s="49">
        <f t="shared" si="8"/>
        <v>0</v>
      </c>
      <c r="H572" s="77">
        <f>SUMIF(积分汇总!$B:$B,#REF!,积分汇总!$E:$E)</f>
        <v>0</v>
      </c>
      <c r="I572" s="77">
        <f>SUMIF(记录巡查问题条数汇总!$B:$B,#REF!,记录巡查问题条数汇总!$E:$E)</f>
        <v>0</v>
      </c>
      <c r="J572" s="77"/>
      <c r="K572" s="77">
        <f>SUMIF(安全质量事故!$B:$B,#REF!,安全质量事故!$G:$G)</f>
        <v>0</v>
      </c>
      <c r="L572" s="72">
        <f>COUNTIF(M572:AQ572,标准数据!$A$2)*标准数据!$B$2+COUNTIF(M572:AQ572,标准数据!$A$3)*标准数据!$B$3+COUNTIF(M572:AQ572,标准数据!$A$4)*标准数据!$B$4</f>
        <v>0</v>
      </c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192"/>
      <c r="AR572" s="90"/>
      <c r="AS572" s="196" t="s">
        <v>1468</v>
      </c>
      <c r="AV572" s="76" t="str">
        <f>VLOOKUP(E572,[1]生产部!$C:$I,7,0)</f>
        <v>班组</v>
      </c>
      <c r="AW572" s="41" t="str">
        <f>VLOOKUP(E572,[1]生产部!$C:$I,6,0)</f>
        <v>12号楼CNC区域</v>
      </c>
    </row>
    <row r="573" spans="1:49" s="51" customFormat="1" ht="21" customHeight="1">
      <c r="A573" s="237" t="s">
        <v>1940</v>
      </c>
      <c r="B573" s="229" t="s">
        <v>2117</v>
      </c>
      <c r="C573" s="45" t="s">
        <v>14</v>
      </c>
      <c r="D573" s="46" t="s">
        <v>1480</v>
      </c>
      <c r="E573" s="47" t="s">
        <v>1481</v>
      </c>
      <c r="F573" s="48">
        <v>46188</v>
      </c>
      <c r="G573" s="49">
        <f t="shared" si="8"/>
        <v>0</v>
      </c>
      <c r="H573" s="77">
        <f>SUMIF(积分汇总!$B:$B,D572,积分汇总!$E:$E)</f>
        <v>0</v>
      </c>
      <c r="I573" s="77">
        <f>SUMIF(记录巡查问题条数汇总!$B:$B,D572,记录巡查问题条数汇总!$E:$E)</f>
        <v>0</v>
      </c>
      <c r="J573" s="77"/>
      <c r="K573" s="77">
        <f>SUMIF(安全质量事故!$B:$B,D572,安全质量事故!$G:$G)</f>
        <v>0</v>
      </c>
      <c r="L573" s="72">
        <f>COUNTIF(M573:AQ573,标准数据!$A$2)*标准数据!$B$2+COUNTIF(M573:AQ573,标准数据!$A$3)*标准数据!$B$3+COUNTIF(M573:AQ573,标准数据!$A$4)*标准数据!$B$4</f>
        <v>0</v>
      </c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192"/>
      <c r="AR573" s="90"/>
      <c r="AS573" s="193" t="s">
        <v>1479</v>
      </c>
      <c r="AV573" s="76" t="str">
        <f>VLOOKUP(E573,[1]生产部!$C:$I,7,0)</f>
        <v>常白</v>
      </c>
      <c r="AW573" s="41" t="str">
        <f>VLOOKUP(E573,[1]生产部!$C:$I,6,0)</f>
        <v>13号楼（12号楼D级区域委培）</v>
      </c>
    </row>
    <row r="574" spans="1:49" s="51" customFormat="1" ht="21" customHeight="1">
      <c r="A574" s="237" t="s">
        <v>1940</v>
      </c>
      <c r="B574" s="229" t="s">
        <v>2117</v>
      </c>
      <c r="C574" s="45" t="s">
        <v>14</v>
      </c>
      <c r="D574" s="46" t="s">
        <v>1100</v>
      </c>
      <c r="E574" s="47" t="s">
        <v>1101</v>
      </c>
      <c r="F574" s="48">
        <v>46111</v>
      </c>
      <c r="G574" s="49">
        <f t="shared" si="8"/>
        <v>0</v>
      </c>
      <c r="H574" s="77">
        <f>SUMIF(积分汇总!$B:$B,D571,积分汇总!$E:$E)</f>
        <v>0</v>
      </c>
      <c r="I574" s="77">
        <f>SUMIF(记录巡查问题条数汇总!$B:$B,D571,记录巡查问题条数汇总!$E:$E)</f>
        <v>0</v>
      </c>
      <c r="J574" s="77"/>
      <c r="K574" s="77">
        <f>SUMIF(安全质量事故!$B:$B,D571,安全质量事故!$G:$G)</f>
        <v>0</v>
      </c>
      <c r="L574" s="72">
        <f>COUNTIF(M574:AQ574,标准数据!$A$2)*标准数据!$B$2+COUNTIF(M574:AQ574,标准数据!$A$3)*标准数据!$B$3+COUNTIF(M574:AQ574,标准数据!$A$4)*标准数据!$B$4</f>
        <v>0</v>
      </c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192"/>
      <c r="AR574" s="90"/>
      <c r="AS574" s="196"/>
      <c r="AV574" s="76" t="str">
        <f>VLOOKUP(E574,[1]生产部!$C:$I,7,0)</f>
        <v>项目组</v>
      </c>
      <c r="AW574" s="41" t="str">
        <f>VLOOKUP(E574,[1]生产部!$C:$I,6,0)</f>
        <v>12号楼D级区域</v>
      </c>
    </row>
    <row r="575" spans="1:49" s="51" customFormat="1" ht="21" customHeight="1">
      <c r="A575" s="237" t="s">
        <v>1940</v>
      </c>
      <c r="B575" s="229" t="s">
        <v>2115</v>
      </c>
      <c r="C575" s="45" t="s">
        <v>14</v>
      </c>
      <c r="D575" s="46" t="s">
        <v>2098</v>
      </c>
      <c r="E575" s="47" t="s">
        <v>2099</v>
      </c>
      <c r="F575" s="48">
        <v>46134</v>
      </c>
      <c r="G575" s="49">
        <f t="shared" si="8"/>
        <v>0</v>
      </c>
      <c r="H575" s="77">
        <f>SUMIF(积分汇总!$B:$B,D574,积分汇总!$E:$E)</f>
        <v>0</v>
      </c>
      <c r="I575" s="77">
        <f>SUMIF(记录巡查问题条数汇总!$B:$B,D574,记录巡查问题条数汇总!$E:$E)</f>
        <v>0</v>
      </c>
      <c r="J575" s="77"/>
      <c r="K575" s="77">
        <f>SUMIF(安全质量事故!$B:$B,D574,安全质量事故!$G:$G)</f>
        <v>0</v>
      </c>
      <c r="L575" s="72">
        <f>COUNTIF(M575:AQ575,标准数据!$A$2)*标准数据!$B$2+COUNTIF(M575:AQ575,标准数据!$A$3)*标准数据!$B$3+COUNTIF(M575:AQ575,标准数据!$A$4)*标准数据!$B$4</f>
        <v>0</v>
      </c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192"/>
      <c r="AR575" s="90"/>
      <c r="AS575" s="67" t="s">
        <v>2100</v>
      </c>
      <c r="AV575" s="76" t="str">
        <f>VLOOKUP(E575,[1]生产部!$C:$I,7,0)</f>
        <v>常白</v>
      </c>
      <c r="AW575" s="41" t="str">
        <f>VLOOKUP(E575,[1]生产部!$C:$I,6,0)</f>
        <v>13号楼（12号楼CNC区域委培）</v>
      </c>
    </row>
    <row r="576" spans="1:49" s="51" customFormat="1" ht="21" customHeight="1">
      <c r="A576" s="237" t="s">
        <v>1940</v>
      </c>
      <c r="B576" s="229" t="s">
        <v>2115</v>
      </c>
      <c r="C576" s="45" t="s">
        <v>14</v>
      </c>
      <c r="D576" s="46" t="s">
        <v>1378</v>
      </c>
      <c r="E576" s="47" t="s">
        <v>1379</v>
      </c>
      <c r="F576" s="48">
        <v>46155</v>
      </c>
      <c r="G576" s="49">
        <f t="shared" si="8"/>
        <v>0</v>
      </c>
      <c r="H576" s="77">
        <f>SUMIF(积分汇总!$B:$B,D575,积分汇总!$E:$E)</f>
        <v>0</v>
      </c>
      <c r="I576" s="77">
        <f>SUMIF(记录巡查问题条数汇总!$B:$B,D575,记录巡查问题条数汇总!$E:$E)</f>
        <v>0</v>
      </c>
      <c r="J576" s="77"/>
      <c r="K576" s="77">
        <f>SUMIF(安全质量事故!$B:$B,D575,安全质量事故!$G:$G)</f>
        <v>0</v>
      </c>
      <c r="L576" s="72">
        <f>COUNTIF(M576:AQ576,标准数据!$A$2)*标准数据!$B$2+COUNTIF(M576:AQ576,标准数据!$A$3)*标准数据!$B$3+COUNTIF(M576:AQ576,标准数据!$A$4)*标准数据!$B$4</f>
        <v>0</v>
      </c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192"/>
      <c r="AR576" s="90"/>
      <c r="AS576" s="67" t="s">
        <v>2100</v>
      </c>
      <c r="AV576" s="76" t="str">
        <f>VLOOKUP(E576,[1]生产部!$C:$I,7,0)</f>
        <v>常白</v>
      </c>
      <c r="AW576" s="41" t="str">
        <f>VLOOKUP(E576,[1]生产部!$C:$I,6,0)</f>
        <v>13号楼（12号楼CNC区域委培）</v>
      </c>
    </row>
    <row r="577" spans="1:49" ht="21" customHeight="1">
      <c r="A577" s="237" t="s">
        <v>1940</v>
      </c>
      <c r="B577" s="229" t="s">
        <v>2115</v>
      </c>
      <c r="C577" s="45" t="s">
        <v>14</v>
      </c>
      <c r="D577" s="46" t="s">
        <v>470</v>
      </c>
      <c r="E577" s="47" t="s">
        <v>430</v>
      </c>
      <c r="F577" s="48">
        <v>45840</v>
      </c>
      <c r="G577" s="49">
        <f t="shared" si="8"/>
        <v>0</v>
      </c>
      <c r="H577" s="77">
        <f>SUMIF(积分汇总!$B:$B,D576,积分汇总!$E:$E)</f>
        <v>0</v>
      </c>
      <c r="I577" s="77">
        <f>SUMIF(记录巡查问题条数汇总!$B:$B,D576,记录巡查问题条数汇总!$E:$E)</f>
        <v>0</v>
      </c>
      <c r="J577" s="77"/>
      <c r="K577" s="77">
        <f>SUMIF(安全质量事故!$B:$B,D576,安全质量事故!$G:$G)</f>
        <v>0</v>
      </c>
      <c r="L577" s="72">
        <f>COUNTIF(M577:AQ577,标准数据!$A$2)*标准数据!$B$2+COUNTIF(M577:AQ577,标准数据!$A$3)*标准数据!$B$3+COUNTIF(M577:AQ577,标准数据!$A$4)*标准数据!$B$4</f>
        <v>0</v>
      </c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188"/>
      <c r="AR577" s="90"/>
      <c r="AS577" s="41"/>
      <c r="AT577" s="41"/>
      <c r="AU577" s="41"/>
      <c r="AV577" s="76" t="str">
        <f>VLOOKUP(E577,[1]生产部!$C:$I,7,0)</f>
        <v>班组</v>
      </c>
      <c r="AW577" s="41" t="str">
        <f>VLOOKUP(E577,[1]生产部!$C:$I,6,0)</f>
        <v>4号楼（12号楼楼CNC区域委培）</v>
      </c>
    </row>
    <row r="578" spans="1:49" ht="21" customHeight="1">
      <c r="A578" s="237" t="s">
        <v>1940</v>
      </c>
      <c r="B578" s="229" t="s">
        <v>2115</v>
      </c>
      <c r="C578" s="45" t="s">
        <v>14</v>
      </c>
      <c r="D578" s="46" t="s">
        <v>471</v>
      </c>
      <c r="E578" s="47" t="s">
        <v>431</v>
      </c>
      <c r="F578" s="48">
        <v>45854</v>
      </c>
      <c r="G578" s="49">
        <f t="shared" si="8"/>
        <v>0</v>
      </c>
      <c r="H578" s="77">
        <f>SUMIF(积分汇总!$B:$B,D577,积分汇总!$E:$E)</f>
        <v>0</v>
      </c>
      <c r="I578" s="77">
        <f>SUMIF(记录巡查问题条数汇总!$B:$B,D577,记录巡查问题条数汇总!$E:$E)</f>
        <v>0</v>
      </c>
      <c r="J578" s="77"/>
      <c r="K578" s="77">
        <f>SUMIF(安全质量事故!$B:$B,D577,安全质量事故!$G:$G)</f>
        <v>0</v>
      </c>
      <c r="L578" s="72">
        <f>COUNTIF(M578:AQ578,标准数据!$A$2)*标准数据!$B$2+COUNTIF(M578:AQ578,标准数据!$A$3)*标准数据!$B$3+COUNTIF(M578:AQ578,标准数据!$A$4)*标准数据!$B$4</f>
        <v>0</v>
      </c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188"/>
      <c r="AR578" s="90"/>
      <c r="AS578" s="41"/>
      <c r="AT578" s="41"/>
      <c r="AU578" s="41"/>
      <c r="AV578" s="76" t="str">
        <f>VLOOKUP(E578,[1]生产部!$C:$I,7,0)</f>
        <v>班组</v>
      </c>
      <c r="AW578" s="41" t="str">
        <f>VLOOKUP(E578,[1]生产部!$C:$I,6,0)</f>
        <v>4号楼（12号楼楼CNC区域委培）</v>
      </c>
    </row>
    <row r="579" spans="1:49" ht="21" customHeight="1">
      <c r="A579" s="237" t="s">
        <v>1940</v>
      </c>
      <c r="B579" s="229" t="s">
        <v>2115</v>
      </c>
      <c r="C579" s="45" t="s">
        <v>14</v>
      </c>
      <c r="D579" s="46" t="s">
        <v>472</v>
      </c>
      <c r="E579" s="47" t="s">
        <v>432</v>
      </c>
      <c r="F579" s="48">
        <v>45861</v>
      </c>
      <c r="G579" s="49">
        <f t="shared" si="8"/>
        <v>0</v>
      </c>
      <c r="H579" s="77">
        <f>SUMIF(积分汇总!$B:$B,D578,积分汇总!$E:$E)</f>
        <v>0</v>
      </c>
      <c r="I579" s="77">
        <f>SUMIF(记录巡查问题条数汇总!$B:$B,D578,记录巡查问题条数汇总!$E:$E)</f>
        <v>0</v>
      </c>
      <c r="J579" s="77"/>
      <c r="K579" s="77">
        <f>SUMIF(安全质量事故!$B:$B,D578,安全质量事故!$G:$G)</f>
        <v>0</v>
      </c>
      <c r="L579" s="72">
        <f>COUNTIF(M579:AQ579,标准数据!$A$2)*标准数据!$B$2+COUNTIF(M579:AQ579,标准数据!$A$3)*标准数据!$B$3+COUNTIF(M579:AQ579,标准数据!$A$4)*标准数据!$B$4</f>
        <v>0</v>
      </c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188"/>
      <c r="AR579" s="90"/>
      <c r="AS579" s="41"/>
      <c r="AT579" s="41"/>
      <c r="AU579" s="41"/>
      <c r="AV579" s="76" t="str">
        <f>VLOOKUP(E579,[1]生产部!$C:$I,7,0)</f>
        <v>班组</v>
      </c>
      <c r="AW579" s="41" t="str">
        <f>VLOOKUP(E579,[1]生产部!$C:$I,6,0)</f>
        <v>4号楼（12号楼楼CNC区域委培）</v>
      </c>
    </row>
    <row r="580" spans="1:49" ht="21" customHeight="1">
      <c r="A580" s="237" t="s">
        <v>1940</v>
      </c>
      <c r="B580" s="229" t="s">
        <v>2115</v>
      </c>
      <c r="C580" s="45" t="s">
        <v>14</v>
      </c>
      <c r="D580" s="46" t="s">
        <v>542</v>
      </c>
      <c r="E580" s="47" t="s">
        <v>508</v>
      </c>
      <c r="F580" s="48">
        <v>45868</v>
      </c>
      <c r="G580" s="49">
        <f t="shared" si="8"/>
        <v>0</v>
      </c>
      <c r="H580" s="77">
        <f>SUMIF(积分汇总!$B:$B,D579,积分汇总!$E:$E)</f>
        <v>0</v>
      </c>
      <c r="I580" s="77">
        <f>SUMIF(记录巡查问题条数汇总!$B:$B,D579,记录巡查问题条数汇总!$E:$E)</f>
        <v>0</v>
      </c>
      <c r="J580" s="77"/>
      <c r="K580" s="77">
        <f>SUMIF(安全质量事故!$B:$B,D579,安全质量事故!$G:$G)</f>
        <v>0</v>
      </c>
      <c r="L580" s="72">
        <f>COUNTIF(M580:AQ580,标准数据!$A$2)*标准数据!$B$2+COUNTIF(M580:AQ580,标准数据!$A$3)*标准数据!$B$3+COUNTIF(M580:AQ580,标准数据!$A$4)*标准数据!$B$4</f>
        <v>0</v>
      </c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188"/>
      <c r="AR580" s="90"/>
      <c r="AS580" s="41"/>
      <c r="AT580" s="41"/>
      <c r="AU580" s="41"/>
      <c r="AV580" s="76" t="str">
        <f>VLOOKUP(E580,[1]生产部!$C:$I,7,0)</f>
        <v>班组</v>
      </c>
      <c r="AW580" s="41" t="str">
        <f>VLOOKUP(E580,[1]生产部!$C:$I,6,0)</f>
        <v>4号楼（12号楼楼CNC区域委培）</v>
      </c>
    </row>
    <row r="581" spans="1:49" s="51" customFormat="1" ht="21" customHeight="1">
      <c r="A581" s="237" t="s">
        <v>1940</v>
      </c>
      <c r="B581" s="229" t="s">
        <v>2117</v>
      </c>
      <c r="C581" s="204" t="s">
        <v>14</v>
      </c>
      <c r="D581" s="202" t="s">
        <v>2021</v>
      </c>
      <c r="E581" s="201" t="s">
        <v>2022</v>
      </c>
      <c r="F581" s="203">
        <v>46253</v>
      </c>
      <c r="G581" s="49">
        <f t="shared" si="8"/>
        <v>0</v>
      </c>
      <c r="H581" s="77">
        <f>SUMIF(积分汇总!$B:$B,D575,积分汇总!$E:$E)</f>
        <v>0</v>
      </c>
      <c r="I581" s="77">
        <f>SUMIF(记录巡查问题条数汇总!$B:$B,D575,记录巡查问题条数汇总!$E:$E)</f>
        <v>0</v>
      </c>
      <c r="J581" s="77"/>
      <c r="K581" s="77">
        <f>SUMIF(安全质量事故!$B:$B,D575,安全质量事故!$G:$G)</f>
        <v>0</v>
      </c>
      <c r="L581" s="72">
        <f>COUNTIF(M581:AQ581,标准数据!$A$2)*标准数据!$B$2+COUNTIF(M581:AQ581,标准数据!$A$3)*标准数据!$B$3+COUNTIF(M581:AQ581,标准数据!$A$4)*标准数据!$B$4</f>
        <v>0</v>
      </c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192"/>
      <c r="AR581" s="90"/>
      <c r="AS581" s="193"/>
      <c r="AV581" s="76" t="str">
        <f>VLOOKUP(E581,[1]生产部!$C:$I,7,0)</f>
        <v>常白</v>
      </c>
      <c r="AW581" s="41" t="str">
        <f>VLOOKUP(E581,[1]生产部!$C:$I,6,0)</f>
        <v>12号楼</v>
      </c>
    </row>
    <row r="582" spans="1:49" s="51" customFormat="1" ht="21" customHeight="1">
      <c r="A582" s="237" t="s">
        <v>1940</v>
      </c>
      <c r="B582" s="229" t="s">
        <v>2114</v>
      </c>
      <c r="C582" s="204" t="s">
        <v>14</v>
      </c>
      <c r="D582" s="202" t="s">
        <v>2023</v>
      </c>
      <c r="E582" s="201" t="s">
        <v>2024</v>
      </c>
      <c r="F582" s="203">
        <v>46246</v>
      </c>
      <c r="G582" s="49">
        <f t="shared" si="8"/>
        <v>0</v>
      </c>
      <c r="H582" s="77">
        <f>SUMIF(积分汇总!$B:$B,D581,积分汇总!$E:$E)</f>
        <v>0</v>
      </c>
      <c r="I582" s="77">
        <f>SUMIF(记录巡查问题条数汇总!$B:$B,D581,记录巡查问题条数汇总!$E:$E)</f>
        <v>0</v>
      </c>
      <c r="J582" s="77"/>
      <c r="K582" s="77">
        <f>SUMIF(安全质量事故!$B:$B,D581,安全质量事故!$G:$G)</f>
        <v>0</v>
      </c>
      <c r="L582" s="72">
        <f>COUNTIF(M582:AQ582,标准数据!$A$2)*标准数据!$B$2+COUNTIF(M582:AQ582,标准数据!$A$3)*标准数据!$B$3+COUNTIF(M582:AQ582,标准数据!$A$4)*标准数据!$B$4</f>
        <v>0</v>
      </c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192"/>
      <c r="AR582" s="90"/>
      <c r="AS582" s="193"/>
      <c r="AV582" s="76" t="str">
        <f>VLOOKUP(E582,[1]生产部!$C:$I,7,0)</f>
        <v>常白</v>
      </c>
      <c r="AW582" s="41" t="str">
        <f>VLOOKUP(E582,[1]生产部!$C:$I,6,0)</f>
        <v>12号楼</v>
      </c>
    </row>
    <row r="583" spans="1:49" s="51" customFormat="1" ht="21" customHeight="1">
      <c r="A583" s="237" t="s">
        <v>1940</v>
      </c>
      <c r="B583" s="229" t="s">
        <v>2117</v>
      </c>
      <c r="C583" s="204" t="s">
        <v>14</v>
      </c>
      <c r="D583" s="202" t="s">
        <v>2025</v>
      </c>
      <c r="E583" s="201" t="s">
        <v>2026</v>
      </c>
      <c r="F583" s="203">
        <v>46225</v>
      </c>
      <c r="G583" s="49">
        <f t="shared" si="8"/>
        <v>0</v>
      </c>
      <c r="H583" s="77">
        <f>SUMIF(积分汇总!$B:$B,D582,积分汇总!$E:$E)</f>
        <v>0</v>
      </c>
      <c r="I583" s="77">
        <f>SUMIF(记录巡查问题条数汇总!$B:$B,D582,记录巡查问题条数汇总!$E:$E)</f>
        <v>0</v>
      </c>
      <c r="J583" s="77"/>
      <c r="K583" s="77">
        <f>SUMIF(安全质量事故!$B:$B,D582,安全质量事故!$G:$G)</f>
        <v>0</v>
      </c>
      <c r="L583" s="72">
        <f>COUNTIF(M583:AQ583,标准数据!$A$2)*标准数据!$B$2+COUNTIF(M583:AQ583,标准数据!$A$3)*标准数据!$B$3+COUNTIF(M583:AQ583,标准数据!$A$4)*标准数据!$B$4</f>
        <v>0</v>
      </c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192"/>
      <c r="AR583" s="90"/>
      <c r="AS583" s="193"/>
      <c r="AV583" s="76" t="str">
        <f>VLOOKUP(E583,[1]生产部!$C:$I,7,0)</f>
        <v>常白</v>
      </c>
      <c r="AW583" s="41" t="str">
        <f>VLOOKUP(E583,[1]生产部!$C:$I,6,0)</f>
        <v>12号楼CNC区域</v>
      </c>
    </row>
    <row r="584" spans="1:49" s="51" customFormat="1" ht="21" customHeight="1">
      <c r="A584" s="237" t="s">
        <v>1940</v>
      </c>
      <c r="B584" s="229" t="s">
        <v>2117</v>
      </c>
      <c r="C584" s="204" t="s">
        <v>14</v>
      </c>
      <c r="D584" s="202" t="s">
        <v>2027</v>
      </c>
      <c r="E584" s="201" t="s">
        <v>2028</v>
      </c>
      <c r="F584" s="203">
        <v>46225</v>
      </c>
      <c r="G584" s="49">
        <f t="shared" si="8"/>
        <v>0</v>
      </c>
      <c r="H584" s="77">
        <f>SUMIF(积分汇总!$B:$B,D583,积分汇总!$E:$E)</f>
        <v>0</v>
      </c>
      <c r="I584" s="77">
        <f>SUMIF(记录巡查问题条数汇总!$B:$B,D583,记录巡查问题条数汇总!$E:$E)</f>
        <v>0</v>
      </c>
      <c r="J584" s="77"/>
      <c r="K584" s="77">
        <f>SUMIF(安全质量事故!$B:$B,D583,安全质量事故!$G:$G)</f>
        <v>0</v>
      </c>
      <c r="L584" s="72">
        <f>COUNTIF(M584:AQ584,标准数据!$A$2)*标准数据!$B$2+COUNTIF(M584:AQ584,标准数据!$A$3)*标准数据!$B$3+COUNTIF(M584:AQ584,标准数据!$A$4)*标准数据!$B$4</f>
        <v>0</v>
      </c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192"/>
      <c r="AR584" s="90"/>
      <c r="AS584" s="193"/>
      <c r="AV584" s="76" t="str">
        <f>VLOOKUP(E584,[1]生产部!$C:$I,7,0)</f>
        <v>常白</v>
      </c>
      <c r="AW584" s="41" t="str">
        <f>VLOOKUP(E584,[1]生产部!$C:$I,6,0)</f>
        <v>12号楼CNC区域</v>
      </c>
    </row>
    <row r="585" spans="1:49" s="51" customFormat="1" ht="21" customHeight="1">
      <c r="A585" s="237" t="s">
        <v>1940</v>
      </c>
      <c r="B585" s="229" t="s">
        <v>2116</v>
      </c>
      <c r="C585" s="204" t="s">
        <v>14</v>
      </c>
      <c r="D585" s="202" t="s">
        <v>2029</v>
      </c>
      <c r="E585" s="201" t="s">
        <v>2030</v>
      </c>
      <c r="F585" s="203">
        <v>46225</v>
      </c>
      <c r="G585" s="49">
        <f t="shared" si="8"/>
        <v>0</v>
      </c>
      <c r="H585" s="77">
        <f>SUMIF(积分汇总!$B:$B,D584,积分汇总!$E:$E)</f>
        <v>0</v>
      </c>
      <c r="I585" s="77">
        <f>SUMIF(记录巡查问题条数汇总!$B:$B,D584,记录巡查问题条数汇总!$E:$E)</f>
        <v>0</v>
      </c>
      <c r="J585" s="77"/>
      <c r="K585" s="77">
        <f>SUMIF(安全质量事故!$B:$B,D584,安全质量事故!$G:$G)</f>
        <v>0</v>
      </c>
      <c r="L585" s="72">
        <f>COUNTIF(M585:AQ585,标准数据!$A$2)*标准数据!$B$2+COUNTIF(M585:AQ585,标准数据!$A$3)*标准数据!$B$3+COUNTIF(M585:AQ585,标准数据!$A$4)*标准数据!$B$4</f>
        <v>0</v>
      </c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192"/>
      <c r="AR585" s="90"/>
      <c r="AS585" s="193"/>
      <c r="AV585" s="76" t="str">
        <f>VLOOKUP(E585,[1]生产部!$C:$I,7,0)</f>
        <v>常白</v>
      </c>
      <c r="AW585" s="41" t="str">
        <f>VLOOKUP(E585,[1]生产部!$C:$I,6,0)</f>
        <v>12号楼CNC区域</v>
      </c>
    </row>
    <row r="586" spans="1:49" s="51" customFormat="1" ht="21" customHeight="1">
      <c r="A586" s="237" t="s">
        <v>1940</v>
      </c>
      <c r="B586" s="229" t="s">
        <v>2115</v>
      </c>
      <c r="C586" s="204" t="s">
        <v>14</v>
      </c>
      <c r="D586" s="202" t="s">
        <v>2031</v>
      </c>
      <c r="E586" s="201" t="s">
        <v>2032</v>
      </c>
      <c r="F586" s="203">
        <v>46225</v>
      </c>
      <c r="G586" s="49">
        <f t="shared" si="8"/>
        <v>0</v>
      </c>
      <c r="H586" s="77">
        <f>SUMIF(积分汇总!$B:$B,D585,积分汇总!$E:$E)</f>
        <v>0</v>
      </c>
      <c r="I586" s="77">
        <f>SUMIF(记录巡查问题条数汇总!$B:$B,D585,记录巡查问题条数汇总!$E:$E)</f>
        <v>0</v>
      </c>
      <c r="J586" s="77"/>
      <c r="K586" s="77">
        <f>SUMIF(安全质量事故!$B:$B,D585,安全质量事故!$G:$G)</f>
        <v>0</v>
      </c>
      <c r="L586" s="72">
        <f>COUNTIF(M586:AQ586,标准数据!$A$2)*标准数据!$B$2+COUNTIF(M586:AQ586,标准数据!$A$3)*标准数据!$B$3+COUNTIF(M586:AQ586,标准数据!$A$4)*标准数据!$B$4</f>
        <v>0</v>
      </c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192"/>
      <c r="AR586" s="90"/>
      <c r="AS586" s="193"/>
      <c r="AV586" s="76" t="str">
        <f>VLOOKUP(E586,[1]生产部!$C:$I,7,0)</f>
        <v>常白</v>
      </c>
      <c r="AW586" s="41" t="str">
        <f>VLOOKUP(E586,[1]生产部!$C:$I,6,0)</f>
        <v>12号楼CNC区域</v>
      </c>
    </row>
    <row r="587" spans="1:49" s="51" customFormat="1" ht="21" customHeight="1">
      <c r="A587" s="237" t="s">
        <v>1940</v>
      </c>
      <c r="B587" s="229" t="s">
        <v>2115</v>
      </c>
      <c r="C587" s="204" t="s">
        <v>14</v>
      </c>
      <c r="D587" s="202" t="s">
        <v>2033</v>
      </c>
      <c r="E587" s="201" t="s">
        <v>2034</v>
      </c>
      <c r="F587" s="203">
        <v>46225</v>
      </c>
      <c r="G587" s="49">
        <f t="shared" si="8"/>
        <v>0</v>
      </c>
      <c r="H587" s="77">
        <f>SUMIF(积分汇总!$B:$B,D586,积分汇总!$E:$E)</f>
        <v>0</v>
      </c>
      <c r="I587" s="77">
        <f>SUMIF(记录巡查问题条数汇总!$B:$B,D586,记录巡查问题条数汇总!$E:$E)</f>
        <v>0</v>
      </c>
      <c r="J587" s="77"/>
      <c r="K587" s="77">
        <f>SUMIF(安全质量事故!$B:$B,D586,安全质量事故!$G:$G)</f>
        <v>0</v>
      </c>
      <c r="L587" s="72">
        <f>COUNTIF(M587:AQ587,标准数据!$A$2)*标准数据!$B$2+COUNTIF(M587:AQ587,标准数据!$A$3)*标准数据!$B$3+COUNTIF(M587:AQ587,标准数据!$A$4)*标准数据!$B$4</f>
        <v>0</v>
      </c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192"/>
      <c r="AR587" s="90"/>
      <c r="AS587" s="193"/>
      <c r="AV587" s="76" t="str">
        <f>VLOOKUP(E587,[1]生产部!$C:$I,7,0)</f>
        <v>常白</v>
      </c>
      <c r="AW587" s="41" t="str">
        <f>VLOOKUP(E587,[1]生产部!$C:$I,6,0)</f>
        <v>12号楼CNC区域</v>
      </c>
    </row>
    <row r="588" spans="1:49" s="51" customFormat="1" ht="21" customHeight="1">
      <c r="A588" s="237" t="s">
        <v>1940</v>
      </c>
      <c r="B588" s="229" t="s">
        <v>2117</v>
      </c>
      <c r="C588" s="204" t="s">
        <v>14</v>
      </c>
      <c r="D588" s="202" t="s">
        <v>2035</v>
      </c>
      <c r="E588" s="201" t="s">
        <v>2036</v>
      </c>
      <c r="F588" s="203">
        <v>44524</v>
      </c>
      <c r="G588" s="49">
        <f t="shared" si="8"/>
        <v>0</v>
      </c>
      <c r="H588" s="77">
        <f>SUMIF(积分汇总!$B:$B,#REF!,积分汇总!$E:$E)</f>
        <v>0</v>
      </c>
      <c r="I588" s="77">
        <f>SUMIF(记录巡查问题条数汇总!$B:$B,#REF!,记录巡查问题条数汇总!$E:$E)</f>
        <v>0</v>
      </c>
      <c r="J588" s="77"/>
      <c r="K588" s="77">
        <f>SUMIF(安全质量事故!$B:$B,#REF!,安全质量事故!$G:$G)</f>
        <v>0</v>
      </c>
      <c r="L588" s="72">
        <f>COUNTIF(M588:AQ588,标准数据!$A$2)*标准数据!$B$2+COUNTIF(M588:AQ588,标准数据!$A$3)*标准数据!$B$3+COUNTIF(M588:AQ588,标准数据!$A$4)*标准数据!$B$4</f>
        <v>0</v>
      </c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192"/>
      <c r="AR588" s="90"/>
      <c r="AS588" s="193"/>
      <c r="AV588" s="76" t="str">
        <f>VLOOKUP(E588,[1]生产部!$C:$I,7,0)</f>
        <v>常白</v>
      </c>
      <c r="AW588" s="41" t="str">
        <f>VLOOKUP(E588,[1]生产部!$C:$I,6,0)</f>
        <v>12号楼D级区域</v>
      </c>
    </row>
    <row r="589" spans="1:49" s="51" customFormat="1" ht="21" customHeight="1">
      <c r="A589" s="237" t="s">
        <v>1940</v>
      </c>
      <c r="B589" s="229" t="s">
        <v>2117</v>
      </c>
      <c r="C589" s="204" t="s">
        <v>14</v>
      </c>
      <c r="D589" s="202" t="s">
        <v>2037</v>
      </c>
      <c r="E589" s="201" t="s">
        <v>2038</v>
      </c>
      <c r="F589" s="203">
        <v>45483</v>
      </c>
      <c r="G589" s="49">
        <f t="shared" si="8"/>
        <v>0</v>
      </c>
      <c r="H589" s="77">
        <f>SUMIF(积分汇总!$B:$B,D588,积分汇总!$E:$E)</f>
        <v>0</v>
      </c>
      <c r="I589" s="77">
        <f>SUMIF(记录巡查问题条数汇总!$B:$B,D588,记录巡查问题条数汇总!$E:$E)</f>
        <v>0</v>
      </c>
      <c r="J589" s="77"/>
      <c r="K589" s="77">
        <f>SUMIF(安全质量事故!$B:$B,D588,安全质量事故!$G:$G)</f>
        <v>0</v>
      </c>
      <c r="L589" s="72">
        <f>COUNTIF(M589:AQ589,标准数据!$A$2)*标准数据!$B$2+COUNTIF(M589:AQ589,标准数据!$A$3)*标准数据!$B$3+COUNTIF(M589:AQ589,标准数据!$A$4)*标准数据!$B$4</f>
        <v>0</v>
      </c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192"/>
      <c r="AR589" s="90"/>
      <c r="AS589" s="193"/>
      <c r="AV589" s="76" t="str">
        <f>VLOOKUP(E589,[1]生产部!$C:$I,7,0)</f>
        <v>常白</v>
      </c>
      <c r="AW589" s="41" t="str">
        <f>VLOOKUP(E589,[1]生产部!$C:$I,6,0)</f>
        <v>12号楼D级区域</v>
      </c>
    </row>
    <row r="590" spans="1:49" s="51" customFormat="1" ht="21" customHeight="1">
      <c r="A590" s="237" t="s">
        <v>1940</v>
      </c>
      <c r="B590" s="229" t="s">
        <v>2117</v>
      </c>
      <c r="C590" s="204" t="s">
        <v>14</v>
      </c>
      <c r="D590" s="202" t="s">
        <v>2039</v>
      </c>
      <c r="E590" s="201" t="s">
        <v>2040</v>
      </c>
      <c r="F590" s="203">
        <v>45476</v>
      </c>
      <c r="G590" s="49">
        <f t="shared" si="8"/>
        <v>0</v>
      </c>
      <c r="H590" s="77">
        <f>SUMIF(积分汇总!$B:$B,D589,积分汇总!$E:$E)</f>
        <v>0</v>
      </c>
      <c r="I590" s="77">
        <f>SUMIF(记录巡查问题条数汇总!$B:$B,D589,记录巡查问题条数汇总!$E:$E)</f>
        <v>0</v>
      </c>
      <c r="J590" s="77"/>
      <c r="K590" s="77">
        <f>SUMIF(安全质量事故!$B:$B,D589,安全质量事故!$G:$G)</f>
        <v>0</v>
      </c>
      <c r="L590" s="72">
        <f>COUNTIF(M590:AQ590,标准数据!$A$2)*标准数据!$B$2+COUNTIF(M590:AQ590,标准数据!$A$3)*标准数据!$B$3+COUNTIF(M590:AQ590,标准数据!$A$4)*标准数据!$B$4</f>
        <v>0</v>
      </c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192"/>
      <c r="AR590" s="90"/>
      <c r="AS590" s="193"/>
      <c r="AV590" s="76" t="str">
        <f>VLOOKUP(E590,[1]生产部!$C:$I,7,0)</f>
        <v>常白</v>
      </c>
      <c r="AW590" s="41" t="str">
        <f>VLOOKUP(E590,[1]生产部!$C:$I,6,0)</f>
        <v>12号楼D级区域</v>
      </c>
    </row>
    <row r="591" spans="1:49" s="51" customFormat="1" ht="21" customHeight="1">
      <c r="A591" s="237" t="s">
        <v>1940</v>
      </c>
      <c r="B591" s="229" t="s">
        <v>2117</v>
      </c>
      <c r="C591" s="204" t="s">
        <v>14</v>
      </c>
      <c r="D591" s="202" t="s">
        <v>2041</v>
      </c>
      <c r="E591" s="201" t="s">
        <v>2042</v>
      </c>
      <c r="F591" s="203">
        <v>44118</v>
      </c>
      <c r="G591" s="49">
        <f t="shared" si="8"/>
        <v>0</v>
      </c>
      <c r="H591" s="77">
        <f>SUMIF(积分汇总!$B:$B,D590,积分汇总!$E:$E)</f>
        <v>0</v>
      </c>
      <c r="I591" s="77">
        <f>SUMIF(记录巡查问题条数汇总!$B:$B,D590,记录巡查问题条数汇总!$E:$E)</f>
        <v>0</v>
      </c>
      <c r="J591" s="77"/>
      <c r="K591" s="77">
        <f>SUMIF(安全质量事故!$B:$B,D590,安全质量事故!$G:$G)</f>
        <v>0</v>
      </c>
      <c r="L591" s="72">
        <f>COUNTIF(M591:AQ591,标准数据!$A$2)*标准数据!$B$2+COUNTIF(M591:AQ591,标准数据!$A$3)*标准数据!$B$3+COUNTIF(M591:AQ591,标准数据!$A$4)*标准数据!$B$4</f>
        <v>0</v>
      </c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192"/>
      <c r="AR591" s="90"/>
      <c r="AS591" s="193"/>
      <c r="AV591" s="76" t="str">
        <f>VLOOKUP(E591,[1]生产部!$C:$I,7,0)</f>
        <v>常白</v>
      </c>
      <c r="AW591" s="41" t="str">
        <f>VLOOKUP(E591,[1]生产部!$C:$I,6,0)</f>
        <v>12号楼D级区域</v>
      </c>
    </row>
    <row r="592" spans="1:49" s="51" customFormat="1" ht="21" customHeight="1">
      <c r="A592" s="237" t="s">
        <v>1940</v>
      </c>
      <c r="B592" s="229" t="s">
        <v>2117</v>
      </c>
      <c r="C592" s="204" t="s">
        <v>14</v>
      </c>
      <c r="D592" s="202" t="s">
        <v>2043</v>
      </c>
      <c r="E592" s="201" t="s">
        <v>2044</v>
      </c>
      <c r="F592" s="203">
        <v>44118</v>
      </c>
      <c r="G592" s="49">
        <f t="shared" si="8"/>
        <v>0</v>
      </c>
      <c r="H592" s="77">
        <f>SUMIF(积分汇总!$B:$B,D591,积分汇总!$E:$E)</f>
        <v>0</v>
      </c>
      <c r="I592" s="77">
        <f>SUMIF(记录巡查问题条数汇总!$B:$B,D591,记录巡查问题条数汇总!$E:$E)</f>
        <v>0</v>
      </c>
      <c r="J592" s="77"/>
      <c r="K592" s="77">
        <f>SUMIF(安全质量事故!$B:$B,D591,安全质量事故!$G:$G)</f>
        <v>0</v>
      </c>
      <c r="L592" s="72">
        <f>COUNTIF(M592:AQ592,标准数据!$A$2)*标准数据!$B$2+COUNTIF(M592:AQ592,标准数据!$A$3)*标准数据!$B$3+COUNTIF(M592:AQ592,标准数据!$A$4)*标准数据!$B$4</f>
        <v>0</v>
      </c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192"/>
      <c r="AR592" s="90"/>
      <c r="AS592" s="193"/>
      <c r="AV592" s="76" t="str">
        <f>VLOOKUP(E592,[1]生产部!$C:$I,7,0)</f>
        <v>常白</v>
      </c>
      <c r="AW592" s="41" t="str">
        <f>VLOOKUP(E592,[1]生产部!$C:$I,6,0)</f>
        <v>12号楼D级区域</v>
      </c>
    </row>
    <row r="593" spans="1:49" s="51" customFormat="1" ht="21" customHeight="1">
      <c r="A593" s="237" t="s">
        <v>1940</v>
      </c>
      <c r="B593" s="229" t="s">
        <v>2115</v>
      </c>
      <c r="C593" s="204" t="s">
        <v>14</v>
      </c>
      <c r="D593" s="202" t="s">
        <v>2045</v>
      </c>
      <c r="E593" s="201" t="s">
        <v>2046</v>
      </c>
      <c r="F593" s="203">
        <v>46225</v>
      </c>
      <c r="G593" s="49">
        <f t="shared" si="8"/>
        <v>0</v>
      </c>
      <c r="H593" s="77">
        <f>SUMIF(积分汇总!$B:$B,D592,积分汇总!$E:$E)</f>
        <v>0</v>
      </c>
      <c r="I593" s="77">
        <f>SUMIF(记录巡查问题条数汇总!$B:$B,D592,记录巡查问题条数汇总!$E:$E)</f>
        <v>0</v>
      </c>
      <c r="J593" s="77"/>
      <c r="K593" s="77">
        <f>SUMIF(安全质量事故!$B:$B,D592,安全质量事故!$G:$G)</f>
        <v>0</v>
      </c>
      <c r="L593" s="72">
        <f>COUNTIF(M593:AQ593,标准数据!$A$2)*标准数据!$B$2+COUNTIF(M593:AQ593,标准数据!$A$3)*标准数据!$B$3+COUNTIF(M593:AQ593,标准数据!$A$4)*标准数据!$B$4</f>
        <v>0</v>
      </c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192"/>
      <c r="AR593" s="90"/>
      <c r="AS593" s="193"/>
      <c r="AV593" s="76" t="str">
        <f>VLOOKUP(E593,[1]生产部!$C:$I,7,0)</f>
        <v>常白</v>
      </c>
      <c r="AW593" s="41" t="str">
        <f>VLOOKUP(E593,[1]生产部!$C:$I,6,0)</f>
        <v>13号楼（12号楼CNC区域委培）</v>
      </c>
    </row>
    <row r="594" spans="1:49" s="51" customFormat="1" ht="21" customHeight="1">
      <c r="A594" s="237" t="s">
        <v>1940</v>
      </c>
      <c r="B594" s="229" t="s">
        <v>2119</v>
      </c>
      <c r="C594" s="204" t="s">
        <v>14</v>
      </c>
      <c r="D594" s="202" t="s">
        <v>2047</v>
      </c>
      <c r="E594" s="201" t="s">
        <v>2048</v>
      </c>
      <c r="F594" s="203">
        <v>46232</v>
      </c>
      <c r="G594" s="49">
        <f t="shared" si="8"/>
        <v>0</v>
      </c>
      <c r="H594" s="77">
        <f>SUMIF(积分汇总!$B:$B,D593,积分汇总!$E:$E)</f>
        <v>0</v>
      </c>
      <c r="I594" s="77">
        <f>SUMIF(记录巡查问题条数汇总!$B:$B,D593,记录巡查问题条数汇总!$E:$E)</f>
        <v>0</v>
      </c>
      <c r="J594" s="77"/>
      <c r="K594" s="77">
        <f>SUMIF(安全质量事故!$B:$B,D593,安全质量事故!$G:$G)</f>
        <v>0</v>
      </c>
      <c r="L594" s="72">
        <f>COUNTIF(M594:AQ594,标准数据!$A$2)*标准数据!$B$2+COUNTIF(M594:AQ594,标准数据!$A$3)*标准数据!$B$3+COUNTIF(M594:AQ594,标准数据!$A$4)*标准数据!$B$4</f>
        <v>0</v>
      </c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192"/>
      <c r="AR594" s="90"/>
      <c r="AS594" s="193"/>
      <c r="AV594" s="76" t="str">
        <f>VLOOKUP(E594,[1]生产部!$C:$I,7,0)</f>
        <v>常白</v>
      </c>
      <c r="AW594" s="41" t="str">
        <f>VLOOKUP(E594,[1]生产部!$C:$I,6,0)</f>
        <v>13号楼（12号楼CNC区域委培）</v>
      </c>
    </row>
    <row r="595" spans="1:49" s="51" customFormat="1" ht="21" customHeight="1">
      <c r="A595" s="237" t="s">
        <v>1940</v>
      </c>
      <c r="B595" s="229" t="s">
        <v>2115</v>
      </c>
      <c r="C595" s="204" t="s">
        <v>14</v>
      </c>
      <c r="D595" s="202" t="s">
        <v>2049</v>
      </c>
      <c r="E595" s="201" t="s">
        <v>2050</v>
      </c>
      <c r="F595" s="203">
        <v>46225</v>
      </c>
      <c r="G595" s="49">
        <f t="shared" si="8"/>
        <v>0</v>
      </c>
      <c r="H595" s="77">
        <f>SUMIF(积分汇总!$B:$B,D594,积分汇总!$E:$E)</f>
        <v>0</v>
      </c>
      <c r="I595" s="77">
        <f>SUMIF(记录巡查问题条数汇总!$B:$B,D594,记录巡查问题条数汇总!$E:$E)</f>
        <v>0</v>
      </c>
      <c r="J595" s="77"/>
      <c r="K595" s="77">
        <f>SUMIF(安全质量事故!$B:$B,D594,安全质量事故!$G:$G)</f>
        <v>0</v>
      </c>
      <c r="L595" s="72">
        <f>COUNTIF(M595:AQ595,标准数据!$A$2)*标准数据!$B$2+COUNTIF(M595:AQ595,标准数据!$A$3)*标准数据!$B$3+COUNTIF(M595:AQ595,标准数据!$A$4)*标准数据!$B$4</f>
        <v>0</v>
      </c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192"/>
      <c r="AR595" s="90"/>
      <c r="AS595" s="193"/>
      <c r="AV595" s="76" t="str">
        <f>VLOOKUP(E595,[1]生产部!$C:$I,7,0)</f>
        <v>常白</v>
      </c>
      <c r="AW595" s="41" t="str">
        <f>VLOOKUP(E595,[1]生产部!$C:$I,6,0)</f>
        <v>13号楼（12号楼CNC区域委培）</v>
      </c>
    </row>
    <row r="596" spans="1:49" s="51" customFormat="1" ht="21" customHeight="1">
      <c r="A596" s="237" t="s">
        <v>1940</v>
      </c>
      <c r="B596" s="229" t="s">
        <v>2115</v>
      </c>
      <c r="C596" s="204" t="s">
        <v>14</v>
      </c>
      <c r="D596" s="202" t="s">
        <v>2051</v>
      </c>
      <c r="E596" s="201" t="s">
        <v>2052</v>
      </c>
      <c r="F596" s="203">
        <v>46225</v>
      </c>
      <c r="G596" s="49">
        <f t="shared" ref="G596:G659" si="9">(L596+H596+I596+J596-K596)</f>
        <v>0</v>
      </c>
      <c r="H596" s="77">
        <f>SUMIF(积分汇总!$B:$B,D595,积分汇总!$E:$E)</f>
        <v>0</v>
      </c>
      <c r="I596" s="77">
        <f>SUMIF(记录巡查问题条数汇总!$B:$B,D595,记录巡查问题条数汇总!$E:$E)</f>
        <v>0</v>
      </c>
      <c r="J596" s="77"/>
      <c r="K596" s="77">
        <f>SUMIF(安全质量事故!$B:$B,D595,安全质量事故!$G:$G)</f>
        <v>0</v>
      </c>
      <c r="L596" s="72">
        <f>COUNTIF(M596:AQ596,标准数据!$A$2)*标准数据!$B$2+COUNTIF(M596:AQ596,标准数据!$A$3)*标准数据!$B$3+COUNTIF(M596:AQ596,标准数据!$A$4)*标准数据!$B$4</f>
        <v>0</v>
      </c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192"/>
      <c r="AR596" s="90"/>
      <c r="AS596" s="193"/>
      <c r="AV596" s="76" t="str">
        <f>VLOOKUP(E596,[1]生产部!$C:$I,7,0)</f>
        <v>常白</v>
      </c>
      <c r="AW596" s="41" t="str">
        <f>VLOOKUP(E596,[1]生产部!$C:$I,6,0)</f>
        <v>13号楼（12号楼CNC区域委培）</v>
      </c>
    </row>
    <row r="597" spans="1:49" s="51" customFormat="1" ht="21" customHeight="1">
      <c r="A597" s="237" t="s">
        <v>1940</v>
      </c>
      <c r="B597" s="229" t="s">
        <v>2115</v>
      </c>
      <c r="C597" s="204" t="s">
        <v>14</v>
      </c>
      <c r="D597" s="202" t="s">
        <v>2053</v>
      </c>
      <c r="E597" s="201" t="s">
        <v>2054</v>
      </c>
      <c r="F597" s="203">
        <v>46225</v>
      </c>
      <c r="G597" s="49">
        <f t="shared" si="9"/>
        <v>0</v>
      </c>
      <c r="H597" s="77">
        <f>SUMIF(积分汇总!$B:$B,D596,积分汇总!$E:$E)</f>
        <v>0</v>
      </c>
      <c r="I597" s="77">
        <f>SUMIF(记录巡查问题条数汇总!$B:$B,D596,记录巡查问题条数汇总!$E:$E)</f>
        <v>0</v>
      </c>
      <c r="J597" s="77"/>
      <c r="K597" s="77">
        <f>SUMIF(安全质量事故!$B:$B,D596,安全质量事故!$G:$G)</f>
        <v>0</v>
      </c>
      <c r="L597" s="72">
        <f>COUNTIF(M597:AQ597,标准数据!$A$2)*标准数据!$B$2+COUNTIF(M597:AQ597,标准数据!$A$3)*标准数据!$B$3+COUNTIF(M597:AQ597,标准数据!$A$4)*标准数据!$B$4</f>
        <v>0</v>
      </c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192"/>
      <c r="AR597" s="90"/>
      <c r="AS597" s="193"/>
      <c r="AV597" s="76" t="str">
        <f>VLOOKUP(E597,[1]生产部!$C:$I,7,0)</f>
        <v>常白</v>
      </c>
      <c r="AW597" s="41" t="str">
        <f>VLOOKUP(E597,[1]生产部!$C:$I,6,0)</f>
        <v>13号楼（12号楼CNC区域委培）</v>
      </c>
    </row>
    <row r="598" spans="1:49" ht="21" customHeight="1">
      <c r="A598" s="237" t="s">
        <v>1940</v>
      </c>
      <c r="B598" s="229" t="s">
        <v>2119</v>
      </c>
      <c r="C598" s="45" t="s">
        <v>154</v>
      </c>
      <c r="D598" s="46" t="s">
        <v>1157</v>
      </c>
      <c r="E598" s="47" t="s">
        <v>1158</v>
      </c>
      <c r="F598" s="48">
        <v>46120</v>
      </c>
      <c r="G598" s="49">
        <f t="shared" si="9"/>
        <v>0</v>
      </c>
      <c r="H598" s="77">
        <f>SUMIF(积分汇总!$B:$B,D597,积分汇总!$E:$E)</f>
        <v>0</v>
      </c>
      <c r="I598" s="77">
        <f>SUMIF(记录巡查问题条数汇总!$B:$B,D597,记录巡查问题条数汇总!$E:$E)</f>
        <v>0</v>
      </c>
      <c r="J598" s="77"/>
      <c r="K598" s="77">
        <f>SUMIF(安全质量事故!$B:$B,D597,安全质量事故!$G:$G)</f>
        <v>0</v>
      </c>
      <c r="L598" s="72">
        <f>COUNTIF(M598:AQ598,标准数据!$A$2)*标准数据!$B$2+COUNTIF(M598:AQ598,标准数据!$A$3)*标准数据!$B$3+COUNTIF(M598:AQ598,标准数据!$A$4)*标准数据!$B$4</f>
        <v>0</v>
      </c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189"/>
      <c r="AR598" s="55"/>
      <c r="AS598" s="41"/>
      <c r="AT598" s="41"/>
      <c r="AU598" s="41"/>
      <c r="AV598" s="76" t="str">
        <f>VLOOKUP(E598,[1]生产部!$C:$I,7,0)</f>
        <v>常白</v>
      </c>
      <c r="AW598" s="41" t="str">
        <f>VLOOKUP(E598,[1]生产部!$C:$I,6,0)</f>
        <v>13号楼（12号楼CNC区域委培）</v>
      </c>
    </row>
    <row r="599" spans="1:49" ht="21" customHeight="1">
      <c r="A599" s="237" t="s">
        <v>1940</v>
      </c>
      <c r="B599" s="229" t="s">
        <v>2115</v>
      </c>
      <c r="C599" s="45" t="s">
        <v>14</v>
      </c>
      <c r="D599" s="46" t="s">
        <v>1730</v>
      </c>
      <c r="E599" s="47" t="s">
        <v>1731</v>
      </c>
      <c r="F599" s="48">
        <v>46204</v>
      </c>
      <c r="G599" s="49">
        <f t="shared" si="9"/>
        <v>0</v>
      </c>
      <c r="H599" s="77">
        <f>SUMIF(积分汇总!$B:$B,#REF!,积分汇总!$E:$E)</f>
        <v>0</v>
      </c>
      <c r="I599" s="77">
        <f>SUMIF(记录巡查问题条数汇总!$B:$B,#REF!,记录巡查问题条数汇总!$E:$E)</f>
        <v>0</v>
      </c>
      <c r="J599" s="77"/>
      <c r="K599" s="77">
        <f>SUMIF(安全质量事故!$B:$B,#REF!,安全质量事故!$G:$G)</f>
        <v>0</v>
      </c>
      <c r="L599" s="72">
        <f>COUNTIF(M599:AQ599,标准数据!$A$2)*标准数据!$B$2+COUNTIF(M599:AQ599,标准数据!$A$3)*标准数据!$B$3+COUNTIF(M599:AQ599,标准数据!$A$4)*标准数据!$B$4</f>
        <v>0</v>
      </c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189"/>
      <c r="AR599" s="55"/>
      <c r="AS599" s="41"/>
      <c r="AT599" s="41"/>
      <c r="AU599" s="41"/>
      <c r="AV599" s="76" t="str">
        <f>VLOOKUP(E599,[1]生产部!$C:$I,7,0)</f>
        <v>常白</v>
      </c>
      <c r="AW599" s="41" t="str">
        <f>VLOOKUP(E599,[1]生产部!$C:$I,6,0)</f>
        <v>12号楼CNC区域</v>
      </c>
    </row>
    <row r="600" spans="1:49" ht="21" customHeight="1">
      <c r="A600" s="237" t="s">
        <v>1940</v>
      </c>
      <c r="B600" s="229" t="s">
        <v>2115</v>
      </c>
      <c r="C600" s="45" t="s">
        <v>14</v>
      </c>
      <c r="D600" s="46" t="s">
        <v>1732</v>
      </c>
      <c r="E600" s="47" t="s">
        <v>1733</v>
      </c>
      <c r="F600" s="48">
        <v>46208</v>
      </c>
      <c r="G600" s="49">
        <f t="shared" si="9"/>
        <v>0</v>
      </c>
      <c r="H600" s="77">
        <f>SUMIF(积分汇总!$B:$B,D599,积分汇总!$E:$E)</f>
        <v>0</v>
      </c>
      <c r="I600" s="77">
        <f>SUMIF(记录巡查问题条数汇总!$B:$B,D599,记录巡查问题条数汇总!$E:$E)</f>
        <v>0</v>
      </c>
      <c r="J600" s="77"/>
      <c r="K600" s="77">
        <f>SUMIF(安全质量事故!$B:$B,D599,安全质量事故!$G:$G)</f>
        <v>0</v>
      </c>
      <c r="L600" s="72">
        <f>COUNTIF(M600:AQ600,标准数据!$A$2)*标准数据!$B$2+COUNTIF(M600:AQ600,标准数据!$A$3)*标准数据!$B$3+COUNTIF(M600:AQ600,标准数据!$A$4)*标准数据!$B$4</f>
        <v>0</v>
      </c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192"/>
      <c r="AR600" s="90"/>
      <c r="AS600" s="41"/>
      <c r="AT600" s="41"/>
      <c r="AU600" s="41"/>
      <c r="AV600" s="76" t="str">
        <f>VLOOKUP(E600,[1]生产部!$C:$I,7,0)</f>
        <v>常白</v>
      </c>
      <c r="AW600" s="41" t="str">
        <f>VLOOKUP(E600,[1]生产部!$C:$I,6,0)</f>
        <v>12号楼CNC区域</v>
      </c>
    </row>
    <row r="601" spans="1:49" ht="21" customHeight="1">
      <c r="A601" s="237" t="s">
        <v>1940</v>
      </c>
      <c r="B601" s="229" t="s">
        <v>2115</v>
      </c>
      <c r="C601" s="45" t="s">
        <v>14</v>
      </c>
      <c r="D601" s="46" t="s">
        <v>1734</v>
      </c>
      <c r="E601" s="47" t="s">
        <v>1735</v>
      </c>
      <c r="F601" s="48">
        <v>46208</v>
      </c>
      <c r="G601" s="49">
        <f t="shared" si="9"/>
        <v>0</v>
      </c>
      <c r="H601" s="77">
        <f>SUMIF(积分汇总!$B:$B,D600,积分汇总!$E:$E)</f>
        <v>0</v>
      </c>
      <c r="I601" s="77">
        <f>SUMIF(记录巡查问题条数汇总!$B:$B,D600,记录巡查问题条数汇总!$E:$E)</f>
        <v>0</v>
      </c>
      <c r="J601" s="77"/>
      <c r="K601" s="77">
        <f>SUMIF(安全质量事故!$B:$B,D600,安全质量事故!$G:$G)</f>
        <v>0</v>
      </c>
      <c r="L601" s="72">
        <f>COUNTIF(M601:AQ601,标准数据!$A$2)*标准数据!$B$2+COUNTIF(M601:AQ601,标准数据!$A$3)*标准数据!$B$3+COUNTIF(M601:AQ601,标准数据!$A$4)*标准数据!$B$4</f>
        <v>0</v>
      </c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189"/>
      <c r="AR601" s="55"/>
      <c r="AV601" s="76" t="str">
        <f>VLOOKUP(E601,[1]生产部!$C:$I,7,0)</f>
        <v>常白</v>
      </c>
      <c r="AW601" s="41" t="str">
        <f>VLOOKUP(E601,[1]生产部!$C:$I,6,0)</f>
        <v>12号楼CNC区域</v>
      </c>
    </row>
    <row r="602" spans="1:49" ht="21" customHeight="1">
      <c r="A602" s="237" t="s">
        <v>1940</v>
      </c>
      <c r="B602" s="229" t="s">
        <v>2115</v>
      </c>
      <c r="C602" s="45" t="s">
        <v>14</v>
      </c>
      <c r="D602" s="46" t="s">
        <v>563</v>
      </c>
      <c r="E602" s="47" t="s">
        <v>1736</v>
      </c>
      <c r="F602" s="48">
        <v>46208</v>
      </c>
      <c r="G602" s="49">
        <f t="shared" si="9"/>
        <v>0</v>
      </c>
      <c r="H602" s="77">
        <f>SUMIF(积分汇总!$B:$B,D601,积分汇总!$E:$E)</f>
        <v>0</v>
      </c>
      <c r="I602" s="77">
        <f>SUMIF(记录巡查问题条数汇总!$B:$B,D601,记录巡查问题条数汇总!$E:$E)</f>
        <v>0</v>
      </c>
      <c r="J602" s="77"/>
      <c r="K602" s="77">
        <f>SUMIF(安全质量事故!$B:$B,D601,安全质量事故!$G:$G)</f>
        <v>0</v>
      </c>
      <c r="L602" s="72">
        <f>COUNTIF(M602:AQ602,标准数据!$A$2)*标准数据!$B$2+COUNTIF(M602:AQ602,标准数据!$A$3)*标准数据!$B$3+COUNTIF(M602:AQ602,标准数据!$A$4)*标准数据!$B$4</f>
        <v>0</v>
      </c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189"/>
      <c r="AR602" s="55"/>
      <c r="AV602" s="76" t="str">
        <f>VLOOKUP(E602,[1]生产部!$C:$I,7,0)</f>
        <v>常白</v>
      </c>
      <c r="AW602" s="41" t="str">
        <f>VLOOKUP(E602,[1]生产部!$C:$I,6,0)</f>
        <v>12号楼CNC区域</v>
      </c>
    </row>
    <row r="603" spans="1:49" ht="21" customHeight="1">
      <c r="A603" s="237" t="s">
        <v>1940</v>
      </c>
      <c r="B603" s="229" t="s">
        <v>2112</v>
      </c>
      <c r="C603" s="45" t="s">
        <v>14</v>
      </c>
      <c r="D603" s="46" t="s">
        <v>1737</v>
      </c>
      <c r="E603" s="52" t="s">
        <v>1738</v>
      </c>
      <c r="F603" s="48">
        <v>46208</v>
      </c>
      <c r="G603" s="49">
        <f t="shared" si="9"/>
        <v>0</v>
      </c>
      <c r="H603" s="77">
        <f>SUMIF(积分汇总!$B:$B,D602,积分汇总!$E:$E)</f>
        <v>0</v>
      </c>
      <c r="I603" s="77">
        <f>SUMIF(记录巡查问题条数汇总!$B:$B,D602,记录巡查问题条数汇总!$E:$E)</f>
        <v>0</v>
      </c>
      <c r="J603" s="77"/>
      <c r="K603" s="77">
        <f>SUMIF(安全质量事故!$B:$B,D602,安全质量事故!$G:$G)</f>
        <v>0</v>
      </c>
      <c r="L603" s="72">
        <f>COUNTIF(M603:AQ603,标准数据!$A$2)*标准数据!$B$2+COUNTIF(M603:AQ603,标准数据!$A$3)*标准数据!$B$3+COUNTIF(M603:AQ603,标准数据!$A$4)*标准数据!$B$4</f>
        <v>0</v>
      </c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192"/>
      <c r="AR603" s="90"/>
      <c r="AV603" s="76" t="str">
        <f>VLOOKUP(E603,[1]生产部!$C:$I,7,0)</f>
        <v>常白</v>
      </c>
      <c r="AW603" s="41" t="str">
        <f>VLOOKUP(E603,[1]生产部!$C:$I,6,0)</f>
        <v>12号楼CNC区域</v>
      </c>
    </row>
    <row r="604" spans="1:49" ht="21" customHeight="1">
      <c r="A604" s="237" t="s">
        <v>1940</v>
      </c>
      <c r="B604" s="229" t="s">
        <v>2115</v>
      </c>
      <c r="C604" s="45" t="s">
        <v>14</v>
      </c>
      <c r="D604" s="46" t="s">
        <v>1739</v>
      </c>
      <c r="E604" s="47" t="s">
        <v>1740</v>
      </c>
      <c r="F604" s="48">
        <v>46208</v>
      </c>
      <c r="G604" s="49">
        <f t="shared" si="9"/>
        <v>0</v>
      </c>
      <c r="H604" s="77">
        <f>SUMIF(积分汇总!$B:$B,D603,积分汇总!$E:$E)</f>
        <v>0</v>
      </c>
      <c r="I604" s="77">
        <f>SUMIF(记录巡查问题条数汇总!$B:$B,D603,记录巡查问题条数汇总!$E:$E)</f>
        <v>0</v>
      </c>
      <c r="J604" s="77"/>
      <c r="K604" s="77">
        <f>SUMIF(安全质量事故!$B:$B,D603,安全质量事故!$G:$G)</f>
        <v>0</v>
      </c>
      <c r="L604" s="72">
        <f>COUNTIF(M604:AQ604,标准数据!$A$2)*标准数据!$B$2+COUNTIF(M604:AQ604,标准数据!$A$3)*标准数据!$B$3+COUNTIF(M604:AQ604,标准数据!$A$4)*标准数据!$B$4</f>
        <v>0</v>
      </c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189"/>
      <c r="AR604" s="55"/>
      <c r="AV604" s="76" t="str">
        <f>VLOOKUP(E604,[1]生产部!$C:$I,7,0)</f>
        <v>常白</v>
      </c>
      <c r="AW604" s="41" t="str">
        <f>VLOOKUP(E604,[1]生产部!$C:$I,6,0)</f>
        <v>12号楼CNC区域</v>
      </c>
    </row>
    <row r="605" spans="1:49" ht="21" customHeight="1">
      <c r="A605" s="237" t="s">
        <v>1940</v>
      </c>
      <c r="B605" s="229" t="s">
        <v>2115</v>
      </c>
      <c r="C605" s="45" t="s">
        <v>14</v>
      </c>
      <c r="D605" s="46" t="s">
        <v>1741</v>
      </c>
      <c r="E605" s="47" t="s">
        <v>1742</v>
      </c>
      <c r="F605" s="104">
        <v>45889</v>
      </c>
      <c r="G605" s="49">
        <f t="shared" si="9"/>
        <v>0</v>
      </c>
      <c r="H605" s="77">
        <f>SUMIF(积分汇总!$B:$B,#REF!,积分汇总!$E:$E)</f>
        <v>0</v>
      </c>
      <c r="I605" s="77">
        <f>SUMIF(记录巡查问题条数汇总!$B:$B,#REF!,记录巡查问题条数汇总!$E:$E)</f>
        <v>0</v>
      </c>
      <c r="J605" s="77"/>
      <c r="K605" s="77">
        <f>SUMIF(安全质量事故!$B:$B,#REF!,安全质量事故!$G:$G)</f>
        <v>0</v>
      </c>
      <c r="L605" s="72">
        <f>COUNTIF(M605:AQ605,标准数据!$A$2)*标准数据!$B$2+COUNTIF(M605:AQ605,标准数据!$A$3)*标准数据!$B$3+COUNTIF(M605:AQ605,标准数据!$A$4)*标准数据!$B$4</f>
        <v>0</v>
      </c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189"/>
      <c r="AR605" s="55"/>
      <c r="AV605" s="76" t="str">
        <f>VLOOKUP(E605,[1]生产部!$C:$I,7,0)</f>
        <v>班组</v>
      </c>
      <c r="AW605" s="41" t="str">
        <f>VLOOKUP(E605,[1]生产部!$C:$I,6,0)</f>
        <v>12号楼（11号楼CNC区域委培）</v>
      </c>
    </row>
    <row r="606" spans="1:49" ht="21" customHeight="1">
      <c r="A606" s="237" t="s">
        <v>1940</v>
      </c>
      <c r="B606" s="229" t="s">
        <v>2115</v>
      </c>
      <c r="C606" s="45" t="s">
        <v>14</v>
      </c>
      <c r="D606" s="46" t="s">
        <v>1743</v>
      </c>
      <c r="E606" s="47" t="s">
        <v>1744</v>
      </c>
      <c r="F606" s="48">
        <v>46197</v>
      </c>
      <c r="G606" s="49">
        <f t="shared" si="9"/>
        <v>0</v>
      </c>
      <c r="H606" s="77">
        <f>SUMIF(积分汇总!$B:$B,D605,积分汇总!$E:$E)</f>
        <v>0</v>
      </c>
      <c r="I606" s="77">
        <f>SUMIF(记录巡查问题条数汇总!$B:$B,D605,记录巡查问题条数汇总!$E:$E)</f>
        <v>0</v>
      </c>
      <c r="J606" s="77"/>
      <c r="K606" s="77">
        <f>SUMIF(安全质量事故!$B:$B,D605,安全质量事故!$G:$G)</f>
        <v>0</v>
      </c>
      <c r="L606" s="72">
        <f>COUNTIF(M606:AQ606,标准数据!$A$2)*标准数据!$B$2+COUNTIF(M606:AQ606,标准数据!$A$3)*标准数据!$B$3+COUNTIF(M606:AQ606,标准数据!$A$4)*标准数据!$B$4</f>
        <v>0</v>
      </c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189"/>
      <c r="AR606" s="55"/>
      <c r="AS606" s="197" t="s">
        <v>1479</v>
      </c>
      <c r="AV606" s="76" t="str">
        <f>VLOOKUP(E606,[1]生产部!$C:$I,7,0)</f>
        <v>班组</v>
      </c>
      <c r="AW606" s="41" t="str">
        <f>VLOOKUP(E606,[1]生产部!$C:$I,6,0)</f>
        <v>13号楼（12号楼CNC区域委培）</v>
      </c>
    </row>
    <row r="607" spans="1:49" ht="21" customHeight="1">
      <c r="A607" s="237" t="s">
        <v>1940</v>
      </c>
      <c r="B607" s="229" t="s">
        <v>2115</v>
      </c>
      <c r="C607" s="45" t="s">
        <v>14</v>
      </c>
      <c r="D607" s="47" t="s">
        <v>1745</v>
      </c>
      <c r="E607" s="52" t="s">
        <v>1746</v>
      </c>
      <c r="F607" s="46">
        <v>46197</v>
      </c>
      <c r="G607" s="49">
        <f t="shared" si="9"/>
        <v>0</v>
      </c>
      <c r="H607" s="77">
        <f>SUMIF(积分汇总!$B:$B,D606,积分汇总!$E:$E)</f>
        <v>0</v>
      </c>
      <c r="I607" s="77">
        <f>SUMIF(记录巡查问题条数汇总!$B:$B,D606,记录巡查问题条数汇总!$E:$E)</f>
        <v>0</v>
      </c>
      <c r="J607" s="77"/>
      <c r="K607" s="77">
        <f>SUMIF(安全质量事故!$B:$B,D606,安全质量事故!$G:$G)</f>
        <v>0</v>
      </c>
      <c r="L607" s="72">
        <f>COUNTIF(M607:AQ607,标准数据!$A$2)*标准数据!$B$2+COUNTIF(M607:AQ607,标准数据!$A$3)*标准数据!$B$3+COUNTIF(M607:AQ607,标准数据!$A$4)*标准数据!$B$4</f>
        <v>0</v>
      </c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189"/>
      <c r="AR607" s="55"/>
      <c r="AS607" s="197" t="s">
        <v>1479</v>
      </c>
      <c r="AV607" s="76" t="str">
        <f>VLOOKUP(E607,[1]生产部!$C:$I,7,0)</f>
        <v>班组</v>
      </c>
      <c r="AW607" s="41" t="str">
        <f>VLOOKUP(E607,[1]生产部!$C:$I,6,0)</f>
        <v>13号楼（12号楼CNC区域委培）</v>
      </c>
    </row>
    <row r="608" spans="1:49" ht="21" customHeight="1">
      <c r="A608" s="237" t="s">
        <v>1940</v>
      </c>
      <c r="B608" s="229" t="s">
        <v>2117</v>
      </c>
      <c r="C608" s="45" t="s">
        <v>14</v>
      </c>
      <c r="D608" s="47" t="s">
        <v>1296</v>
      </c>
      <c r="E608" s="52" t="s">
        <v>1747</v>
      </c>
      <c r="F608" s="46">
        <v>46208</v>
      </c>
      <c r="G608" s="49">
        <f t="shared" si="9"/>
        <v>0</v>
      </c>
      <c r="H608" s="77">
        <f>SUMIF(积分汇总!$B:$B,D607,积分汇总!$E:$E)</f>
        <v>0</v>
      </c>
      <c r="I608" s="77">
        <f>SUMIF(记录巡查问题条数汇总!$B:$B,D607,记录巡查问题条数汇总!$E:$E)</f>
        <v>0</v>
      </c>
      <c r="J608" s="77"/>
      <c r="K608" s="77">
        <f>SUMIF(安全质量事故!$B:$B,D607,安全质量事故!$G:$G)</f>
        <v>0</v>
      </c>
      <c r="L608" s="72">
        <f>COUNTIF(M608:AQ608,标准数据!$A$2)*标准数据!$B$2+COUNTIF(M608:AQ608,标准数据!$A$3)*标准数据!$B$3+COUNTIF(M608:AQ608,标准数据!$A$4)*标准数据!$B$4</f>
        <v>0</v>
      </c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189"/>
      <c r="AR608" s="55"/>
      <c r="AV608" s="76" t="str">
        <f>VLOOKUP(E608,[1]生产部!$C:$I,7,0)</f>
        <v>项目组</v>
      </c>
      <c r="AW608" s="41" t="str">
        <f>VLOOKUP(E608,[1]生产部!$C:$I,6,0)</f>
        <v>12号楼D级区域</v>
      </c>
    </row>
    <row r="609" spans="1:49" s="51" customFormat="1" ht="21" customHeight="1">
      <c r="A609" s="237" t="s">
        <v>1940</v>
      </c>
      <c r="B609" s="229" t="s">
        <v>2117</v>
      </c>
      <c r="C609" s="45" t="s">
        <v>14</v>
      </c>
      <c r="D609" s="47" t="s">
        <v>1748</v>
      </c>
      <c r="E609" s="52" t="s">
        <v>1749</v>
      </c>
      <c r="F609" s="46">
        <v>46208</v>
      </c>
      <c r="G609" s="49">
        <f t="shared" si="9"/>
        <v>0</v>
      </c>
      <c r="H609" s="77">
        <f>SUMIF(积分汇总!$B:$B,D608,积分汇总!$E:$E)</f>
        <v>0</v>
      </c>
      <c r="I609" s="77">
        <f>SUMIF(记录巡查问题条数汇总!$B:$B,D608,记录巡查问题条数汇总!$E:$E)</f>
        <v>0</v>
      </c>
      <c r="J609" s="77"/>
      <c r="K609" s="77">
        <f>SUMIF(安全质量事故!$B:$B,D608,安全质量事故!$G:$G)</f>
        <v>0</v>
      </c>
      <c r="L609" s="72">
        <f>COUNTIF(M609:AQ609,标准数据!$A$2)*标准数据!$B$2+COUNTIF(M609:AQ609,标准数据!$A$3)*标准数据!$B$3+COUNTIF(M609:AQ609,标准数据!$A$4)*标准数据!$B$4</f>
        <v>0</v>
      </c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192"/>
      <c r="AR609" s="90"/>
      <c r="AS609" s="195"/>
      <c r="AV609" s="76" t="str">
        <f>VLOOKUP(E609,[1]生产部!$C:$I,7,0)</f>
        <v>班组</v>
      </c>
      <c r="AW609" s="41" t="str">
        <f>VLOOKUP(E609,[1]生产部!$C:$I,6,0)</f>
        <v>12号楼D级区域</v>
      </c>
    </row>
    <row r="610" spans="1:49" ht="21" customHeight="1">
      <c r="A610" s="237" t="s">
        <v>1940</v>
      </c>
      <c r="B610" s="229" t="s">
        <v>2117</v>
      </c>
      <c r="C610" s="45" t="s">
        <v>14</v>
      </c>
      <c r="D610" s="46" t="s">
        <v>1752</v>
      </c>
      <c r="E610" s="47" t="s">
        <v>1753</v>
      </c>
      <c r="F610" s="48">
        <v>46208</v>
      </c>
      <c r="G610" s="49">
        <f t="shared" si="9"/>
        <v>0</v>
      </c>
      <c r="H610" s="77">
        <f>SUMIF(积分汇总!$B:$B,#REF!,积分汇总!$E:$E)</f>
        <v>0</v>
      </c>
      <c r="I610" s="77">
        <f>SUMIF(记录巡查问题条数汇总!$B:$B,#REF!,记录巡查问题条数汇总!$E:$E)</f>
        <v>0</v>
      </c>
      <c r="J610" s="77"/>
      <c r="K610" s="77">
        <f>SUMIF(安全质量事故!$B:$B,#REF!,安全质量事故!$G:$G)</f>
        <v>0</v>
      </c>
      <c r="L610" s="72">
        <f>COUNTIF(M610:AQ610,标准数据!$A$2)*标准数据!$B$2+COUNTIF(M610:AQ610,标准数据!$A$3)*标准数据!$B$3+COUNTIF(M610:AQ610,标准数据!$A$4)*标准数据!$B$4</f>
        <v>0</v>
      </c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192"/>
      <c r="AR610" s="90"/>
      <c r="AS610" s="41"/>
      <c r="AT610" s="41"/>
      <c r="AU610" s="41"/>
      <c r="AV610" s="76" t="str">
        <f>VLOOKUP(E610,[1]生产部!$C:$I,7,0)</f>
        <v>班组</v>
      </c>
      <c r="AW610" s="41" t="str">
        <f>VLOOKUP(E610,[1]生产部!$C:$I,6,0)</f>
        <v>12号楼D级区域</v>
      </c>
    </row>
    <row r="611" spans="1:49" ht="21" customHeight="1">
      <c r="A611" s="237" t="s">
        <v>1940</v>
      </c>
      <c r="B611" s="229" t="s">
        <v>2117</v>
      </c>
      <c r="C611" s="45" t="s">
        <v>14</v>
      </c>
      <c r="D611" s="46" t="s">
        <v>1754</v>
      </c>
      <c r="E611" s="47" t="s">
        <v>1755</v>
      </c>
      <c r="F611" s="48">
        <v>46197</v>
      </c>
      <c r="G611" s="49">
        <f t="shared" si="9"/>
        <v>0</v>
      </c>
      <c r="H611" s="77">
        <f>SUMIF(积分汇总!$B:$B,D610,积分汇总!$E:$E)</f>
        <v>0</v>
      </c>
      <c r="I611" s="77">
        <f>SUMIF(记录巡查问题条数汇总!$B:$B,D610,记录巡查问题条数汇总!$E:$E)</f>
        <v>0</v>
      </c>
      <c r="J611" s="77"/>
      <c r="K611" s="77">
        <f>SUMIF(安全质量事故!$B:$B,D610,安全质量事故!$G:$G)</f>
        <v>0</v>
      </c>
      <c r="L611" s="72">
        <f>COUNTIF(M611:AQ611,标准数据!$A$2)*标准数据!$B$2+COUNTIF(M611:AQ611,标准数据!$A$3)*标准数据!$B$3+COUNTIF(M611:AQ611,标准数据!$A$4)*标准数据!$B$4</f>
        <v>0</v>
      </c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189"/>
      <c r="AR611" s="55"/>
      <c r="AV611" s="76" t="str">
        <f>VLOOKUP(E611,[1]生产部!$C:$I,7,0)</f>
        <v>班组</v>
      </c>
      <c r="AW611" s="41" t="str">
        <f>VLOOKUP(E611,[1]生产部!$C:$I,6,0)</f>
        <v>12号楼D级区域</v>
      </c>
    </row>
    <row r="612" spans="1:49" ht="21" customHeight="1">
      <c r="A612" s="237" t="s">
        <v>1940</v>
      </c>
      <c r="B612" s="229" t="s">
        <v>2117</v>
      </c>
      <c r="C612" s="45" t="s">
        <v>14</v>
      </c>
      <c r="D612" s="46" t="s">
        <v>1756</v>
      </c>
      <c r="E612" s="47" t="s">
        <v>1757</v>
      </c>
      <c r="F612" s="48">
        <v>46208</v>
      </c>
      <c r="G612" s="49">
        <f t="shared" si="9"/>
        <v>0</v>
      </c>
      <c r="H612" s="77">
        <f>SUMIF(积分汇总!$B:$B,D611,积分汇总!$E:$E)</f>
        <v>0</v>
      </c>
      <c r="I612" s="77">
        <f>SUMIF(记录巡查问题条数汇总!$B:$B,D611,记录巡查问题条数汇总!$E:$E)</f>
        <v>0</v>
      </c>
      <c r="J612" s="77"/>
      <c r="K612" s="77">
        <f>SUMIF(安全质量事故!$B:$B,D611,安全质量事故!$G:$G)</f>
        <v>0</v>
      </c>
      <c r="L612" s="72">
        <f>COUNTIF(M612:AQ612,标准数据!$A$2)*标准数据!$B$2+COUNTIF(M612:AQ612,标准数据!$A$3)*标准数据!$B$3+COUNTIF(M612:AQ612,标准数据!$A$4)*标准数据!$B$4</f>
        <v>0</v>
      </c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189"/>
      <c r="AR612" s="55"/>
      <c r="AV612" s="76" t="str">
        <f>VLOOKUP(E612,[1]生产部!$C:$I,7,0)</f>
        <v>班组</v>
      </c>
      <c r="AW612" s="41" t="str">
        <f>VLOOKUP(E612,[1]生产部!$C:$I,6,0)</f>
        <v>12号楼D级区域</v>
      </c>
    </row>
    <row r="613" spans="1:49" ht="21" customHeight="1">
      <c r="A613" s="237" t="s">
        <v>1940</v>
      </c>
      <c r="B613" s="229" t="s">
        <v>2117</v>
      </c>
      <c r="C613" s="45" t="s">
        <v>14</v>
      </c>
      <c r="D613" s="46" t="s">
        <v>1758</v>
      </c>
      <c r="E613" s="47" t="s">
        <v>1759</v>
      </c>
      <c r="F613" s="48">
        <v>46197</v>
      </c>
      <c r="G613" s="49">
        <f t="shared" si="9"/>
        <v>0</v>
      </c>
      <c r="H613" s="77">
        <f>SUMIF(积分汇总!$B:$B,D612,积分汇总!$E:$E)</f>
        <v>0</v>
      </c>
      <c r="I613" s="77">
        <f>SUMIF(记录巡查问题条数汇总!$B:$B,D612,记录巡查问题条数汇总!$E:$E)</f>
        <v>0</v>
      </c>
      <c r="J613" s="77"/>
      <c r="K613" s="77">
        <f>SUMIF(安全质量事故!$B:$B,D612,安全质量事故!$G:$G)</f>
        <v>0</v>
      </c>
      <c r="L613" s="72">
        <f>COUNTIF(M613:AQ613,标准数据!$A$2)*标准数据!$B$2+COUNTIF(M613:AQ613,标准数据!$A$3)*标准数据!$B$3+COUNTIF(M613:AQ613,标准数据!$A$4)*标准数据!$B$4</f>
        <v>0</v>
      </c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189"/>
      <c r="AR613" s="55"/>
      <c r="AV613" s="76" t="str">
        <f>VLOOKUP(E613,[1]生产部!$C:$I,7,0)</f>
        <v>班组</v>
      </c>
      <c r="AW613" s="41" t="str">
        <f>VLOOKUP(E613,[1]生产部!$C:$I,6,0)</f>
        <v>12号楼D级区域</v>
      </c>
    </row>
    <row r="614" spans="1:49" ht="21" customHeight="1">
      <c r="A614" s="237" t="s">
        <v>1940</v>
      </c>
      <c r="B614" s="229" t="s">
        <v>2117</v>
      </c>
      <c r="C614" s="45" t="s">
        <v>14</v>
      </c>
      <c r="D614" s="47" t="s">
        <v>1760</v>
      </c>
      <c r="E614" s="52" t="s">
        <v>1761</v>
      </c>
      <c r="F614" s="46">
        <v>46208</v>
      </c>
      <c r="G614" s="49">
        <f t="shared" si="9"/>
        <v>0</v>
      </c>
      <c r="H614" s="77">
        <f>SUMIF(积分汇总!$B:$B,D613,积分汇总!$E:$E)</f>
        <v>0</v>
      </c>
      <c r="I614" s="77">
        <f>SUMIF(记录巡查问题条数汇总!$B:$B,D613,记录巡查问题条数汇总!$E:$E)</f>
        <v>0</v>
      </c>
      <c r="J614" s="77"/>
      <c r="K614" s="77">
        <f>SUMIF(安全质量事故!$B:$B,D613,安全质量事故!$G:$G)</f>
        <v>0</v>
      </c>
      <c r="L614" s="72">
        <f>COUNTIF(M614:AQ614,标准数据!$A$2)*标准数据!$B$2+COUNTIF(M614:AQ614,标准数据!$A$3)*标准数据!$B$3+COUNTIF(M614:AQ614,标准数据!$A$4)*标准数据!$B$4</f>
        <v>0</v>
      </c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189"/>
      <c r="AR614" s="55"/>
      <c r="AV614" s="76" t="str">
        <f>VLOOKUP(E614,[1]生产部!$C:$I,7,0)</f>
        <v>班组</v>
      </c>
      <c r="AW614" s="41" t="str">
        <f>VLOOKUP(E614,[1]生产部!$C:$I,6,0)</f>
        <v>12号楼D级区域</v>
      </c>
    </row>
    <row r="615" spans="1:49" ht="21" customHeight="1">
      <c r="A615" s="237" t="s">
        <v>1940</v>
      </c>
      <c r="B615" s="229" t="s">
        <v>2117</v>
      </c>
      <c r="C615" s="45" t="s">
        <v>14</v>
      </c>
      <c r="D615" s="47" t="s">
        <v>1762</v>
      </c>
      <c r="E615" s="52" t="s">
        <v>1763</v>
      </c>
      <c r="F615" s="46">
        <v>46208</v>
      </c>
      <c r="G615" s="49">
        <f t="shared" si="9"/>
        <v>0</v>
      </c>
      <c r="H615" s="77">
        <f>SUMIF(积分汇总!$B:$B,D614,积分汇总!$E:$E)</f>
        <v>0</v>
      </c>
      <c r="I615" s="77">
        <f>SUMIF(记录巡查问题条数汇总!$B:$B,D614,记录巡查问题条数汇总!$E:$E)</f>
        <v>0</v>
      </c>
      <c r="J615" s="77"/>
      <c r="K615" s="77">
        <f>SUMIF(安全质量事故!$B:$B,D614,安全质量事故!$G:$G)</f>
        <v>0</v>
      </c>
      <c r="L615" s="72">
        <f>COUNTIF(M615:AQ615,标准数据!$A$2)*标准数据!$B$2+COUNTIF(M615:AQ615,标准数据!$A$3)*标准数据!$B$3+COUNTIF(M615:AQ615,标准数据!$A$4)*标准数据!$B$4</f>
        <v>0</v>
      </c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189"/>
      <c r="AR615" s="55"/>
      <c r="AV615" s="76" t="str">
        <f>VLOOKUP(E615,[1]生产部!$C:$I,7,0)</f>
        <v>班组</v>
      </c>
      <c r="AW615" s="41" t="str">
        <f>VLOOKUP(E615,[1]生产部!$C:$I,6,0)</f>
        <v>12号楼D级区域</v>
      </c>
    </row>
    <row r="616" spans="1:49" ht="21" customHeight="1">
      <c r="A616" s="237" t="s">
        <v>1940</v>
      </c>
      <c r="B616" s="229" t="s">
        <v>2115</v>
      </c>
      <c r="C616" s="45" t="s">
        <v>14</v>
      </c>
      <c r="D616" s="46" t="s">
        <v>1764</v>
      </c>
      <c r="E616" s="47" t="s">
        <v>1765</v>
      </c>
      <c r="F616" s="48">
        <v>46215</v>
      </c>
      <c r="G616" s="49">
        <f t="shared" si="9"/>
        <v>0</v>
      </c>
      <c r="H616" s="77">
        <f>SUMIF(积分汇总!$B:$B,D615,积分汇总!$E:$E)</f>
        <v>0</v>
      </c>
      <c r="I616" s="77">
        <f>SUMIF(记录巡查问题条数汇总!$B:$B,D615,记录巡查问题条数汇总!$E:$E)</f>
        <v>0</v>
      </c>
      <c r="J616" s="77"/>
      <c r="K616" s="77">
        <f>SUMIF(安全质量事故!$B:$B,D615,安全质量事故!$G:$G)</f>
        <v>0</v>
      </c>
      <c r="L616" s="72">
        <f>COUNTIF(M616:AQ616,标准数据!$A$2)*标准数据!$B$2+COUNTIF(M616:AQ616,标准数据!$A$3)*标准数据!$B$3+COUNTIF(M616:AQ616,标准数据!$A$4)*标准数据!$B$4</f>
        <v>0</v>
      </c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189"/>
      <c r="AR616" s="55"/>
      <c r="AV616" s="76" t="str">
        <f>VLOOKUP(E616,[1]生产部!$C:$I,7,0)</f>
        <v>常白</v>
      </c>
      <c r="AW616" s="41" t="str">
        <f>VLOOKUP(E616,[1]生产部!$C:$I,6,0)</f>
        <v>12号楼CNC区域</v>
      </c>
    </row>
    <row r="617" spans="1:49" s="51" customFormat="1" ht="21" customHeight="1">
      <c r="A617" s="237" t="s">
        <v>1940</v>
      </c>
      <c r="B617" s="229" t="s">
        <v>2115</v>
      </c>
      <c r="C617" s="45" t="s">
        <v>14</v>
      </c>
      <c r="D617" s="46" t="s">
        <v>1766</v>
      </c>
      <c r="E617" s="47" t="s">
        <v>1767</v>
      </c>
      <c r="F617" s="48">
        <v>46215</v>
      </c>
      <c r="G617" s="49">
        <f t="shared" si="9"/>
        <v>0</v>
      </c>
      <c r="H617" s="77">
        <f>SUMIF(积分汇总!$B:$B,D616,积分汇总!$E:$E)</f>
        <v>0</v>
      </c>
      <c r="I617" s="77">
        <f>SUMIF(记录巡查问题条数汇总!$B:$B,D616,记录巡查问题条数汇总!$E:$E)</f>
        <v>0</v>
      </c>
      <c r="J617" s="77"/>
      <c r="K617" s="77">
        <f>SUMIF(安全质量事故!$B:$B,D616,安全质量事故!$G:$G)</f>
        <v>0</v>
      </c>
      <c r="L617" s="72">
        <f>COUNTIF(M617:AQ617,标准数据!$A$2)*标准数据!$B$2+COUNTIF(M617:AQ617,标准数据!$A$3)*标准数据!$B$3+COUNTIF(M617:AQ617,标准数据!$A$4)*标准数据!$B$4</f>
        <v>0</v>
      </c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192"/>
      <c r="AR617" s="90"/>
      <c r="AV617" s="76" t="str">
        <f>VLOOKUP(E617,[1]生产部!$C:$I,7,0)</f>
        <v>常白</v>
      </c>
      <c r="AW617" s="41" t="str">
        <f>VLOOKUP(E617,[1]生产部!$C:$I,6,0)</f>
        <v>12号楼CNC区域</v>
      </c>
    </row>
    <row r="618" spans="1:49" ht="21" customHeight="1">
      <c r="A618" s="237" t="s">
        <v>1940</v>
      </c>
      <c r="B618" s="229" t="s">
        <v>2116</v>
      </c>
      <c r="C618" s="45" t="s">
        <v>14</v>
      </c>
      <c r="D618" s="47" t="s">
        <v>1780</v>
      </c>
      <c r="E618" s="52" t="s">
        <v>1781</v>
      </c>
      <c r="F618" s="46">
        <v>46215</v>
      </c>
      <c r="G618" s="49">
        <f t="shared" si="9"/>
        <v>0</v>
      </c>
      <c r="H618" s="77">
        <f>SUMIF(积分汇总!$B:$B,#REF!,积分汇总!$E:$E)</f>
        <v>0</v>
      </c>
      <c r="I618" s="77">
        <f>SUMIF(记录巡查问题条数汇总!$B:$B,#REF!,记录巡查问题条数汇总!$E:$E)</f>
        <v>0</v>
      </c>
      <c r="J618" s="77"/>
      <c r="K618" s="77">
        <f>SUMIF(安全质量事故!$B:$B,#REF!,安全质量事故!$G:$G)</f>
        <v>0</v>
      </c>
      <c r="L618" s="72">
        <f>COUNTIF(M618:AQ618,标准数据!$A$2)*标准数据!$B$2+COUNTIF(M618:AQ618,标准数据!$A$3)*标准数据!$B$3+COUNTIF(M618:AQ618,标准数据!$A$4)*标准数据!$B$4</f>
        <v>0</v>
      </c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189"/>
      <c r="AR618" s="55"/>
      <c r="AV618" s="76" t="str">
        <f>VLOOKUP(E618,[1]生产部!$C:$I,7,0)</f>
        <v>常白</v>
      </c>
      <c r="AW618" s="41" t="str">
        <f>VLOOKUP(E618,[1]生产部!$C:$I,6,0)</f>
        <v>12号楼CNC区域</v>
      </c>
    </row>
    <row r="619" spans="1:49" ht="21" customHeight="1">
      <c r="A619" s="237" t="s">
        <v>1940</v>
      </c>
      <c r="B619" s="229" t="s">
        <v>2115</v>
      </c>
      <c r="C619" s="45" t="s">
        <v>14</v>
      </c>
      <c r="D619" s="46" t="s">
        <v>1774</v>
      </c>
      <c r="E619" s="47" t="s">
        <v>1775</v>
      </c>
      <c r="F619" s="48">
        <v>46215</v>
      </c>
      <c r="G619" s="49">
        <f t="shared" si="9"/>
        <v>0</v>
      </c>
      <c r="H619" s="77">
        <f>SUMIF(积分汇总!$B:$B,#REF!,积分汇总!$E:$E)</f>
        <v>0</v>
      </c>
      <c r="I619" s="77">
        <f>SUMIF(记录巡查问题条数汇总!$B:$B,#REF!,记录巡查问题条数汇总!$E:$E)</f>
        <v>0</v>
      </c>
      <c r="J619" s="77"/>
      <c r="K619" s="77">
        <f>SUMIF(安全质量事故!$B:$B,#REF!,安全质量事故!$G:$G)</f>
        <v>0</v>
      </c>
      <c r="L619" s="72">
        <f>COUNTIF(M619:AQ619,标准数据!$A$2)*标准数据!$B$2+COUNTIF(M619:AQ619,标准数据!$A$3)*标准数据!$B$3+COUNTIF(M619:AQ619,标准数据!$A$4)*标准数据!$B$4</f>
        <v>0</v>
      </c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189"/>
      <c r="AR619" s="55"/>
      <c r="AV619" s="76" t="str">
        <f>VLOOKUP(E619,[1]生产部!$C:$I,7,0)</f>
        <v>常白</v>
      </c>
      <c r="AW619" s="41" t="str">
        <f>VLOOKUP(E619,[1]生产部!$C:$I,6,0)</f>
        <v>12号楼CNC区域</v>
      </c>
    </row>
    <row r="620" spans="1:49" s="51" customFormat="1" ht="21" customHeight="1">
      <c r="A620" s="237" t="s">
        <v>1940</v>
      </c>
      <c r="B620" s="229" t="s">
        <v>2116</v>
      </c>
      <c r="C620" s="45" t="s">
        <v>14</v>
      </c>
      <c r="D620" s="46" t="s">
        <v>1784</v>
      </c>
      <c r="E620" s="47" t="s">
        <v>1785</v>
      </c>
      <c r="F620" s="48">
        <v>46215</v>
      </c>
      <c r="G620" s="49">
        <f t="shared" si="9"/>
        <v>0</v>
      </c>
      <c r="H620" s="77">
        <f>SUMIF(积分汇总!$B:$B,#REF!,积分汇总!$E:$E)</f>
        <v>0</v>
      </c>
      <c r="I620" s="77">
        <f>SUMIF(记录巡查问题条数汇总!$B:$B,#REF!,记录巡查问题条数汇总!$E:$E)</f>
        <v>0</v>
      </c>
      <c r="J620" s="77"/>
      <c r="K620" s="77">
        <f>SUMIF(安全质量事故!$B:$B,#REF!,安全质量事故!$G:$G)</f>
        <v>0</v>
      </c>
      <c r="L620" s="72">
        <f>COUNTIF(M620:AQ620,标准数据!$A$2)*标准数据!$B$2+COUNTIF(M620:AQ620,标准数据!$A$3)*标准数据!$B$3+COUNTIF(M620:AQ620,标准数据!$A$4)*标准数据!$B$4</f>
        <v>0</v>
      </c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192"/>
      <c r="AR620" s="90"/>
      <c r="AS620" s="193"/>
      <c r="AV620" s="76" t="str">
        <f>VLOOKUP(E620,[1]生产部!$C:$I,7,0)</f>
        <v>常白</v>
      </c>
      <c r="AW620" s="41" t="str">
        <f>VLOOKUP(E620,[1]生产部!$C:$I,6,0)</f>
        <v>12号楼CNC区域</v>
      </c>
    </row>
    <row r="621" spans="1:49" ht="21" customHeight="1">
      <c r="A621" s="237" t="s">
        <v>1940</v>
      </c>
      <c r="B621" s="229" t="s">
        <v>2117</v>
      </c>
      <c r="C621" s="45" t="s">
        <v>87</v>
      </c>
      <c r="D621" s="46" t="s">
        <v>839</v>
      </c>
      <c r="E621" s="52" t="s">
        <v>800</v>
      </c>
      <c r="F621" s="46">
        <v>45469</v>
      </c>
      <c r="G621" s="49">
        <f t="shared" si="9"/>
        <v>0</v>
      </c>
      <c r="H621" s="77">
        <f>SUMIF(积分汇总!$B:$B,#REF!,积分汇总!$E:$E)</f>
        <v>0</v>
      </c>
      <c r="I621" s="77">
        <f>SUMIF(记录巡查问题条数汇总!$B:$B,#REF!,记录巡查问题条数汇总!$E:$E)</f>
        <v>0</v>
      </c>
      <c r="J621" s="77"/>
      <c r="K621" s="77">
        <f>SUMIF(安全质量事故!$B:$B,#REF!,安全质量事故!$G:$G)</f>
        <v>0</v>
      </c>
      <c r="L621" s="72">
        <f>COUNTIF(M621:AQ621,标准数据!$A$2)*标准数据!$B$2+COUNTIF(M621:AQ621,标准数据!$A$3)*标准数据!$B$3+COUNTIF(M621:AQ621,标准数据!$A$4)*标准数据!$B$4</f>
        <v>0</v>
      </c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189"/>
      <c r="AR621" s="55"/>
      <c r="AS621" s="41"/>
      <c r="AT621" s="41"/>
      <c r="AU621" s="41"/>
      <c r="AV621" s="76" t="str">
        <f>VLOOKUP(E621,[1]生产部!$C:$I,7,0)</f>
        <v>班组</v>
      </c>
      <c r="AW621" s="41" t="str">
        <f>VLOOKUP(E621,[1]生产部!$C:$I,6,0)</f>
        <v>12号楼D级区域</v>
      </c>
    </row>
    <row r="622" spans="1:49" ht="21" customHeight="1">
      <c r="A622" s="237" t="s">
        <v>1940</v>
      </c>
      <c r="B622" s="229" t="s">
        <v>2115</v>
      </c>
      <c r="C622" s="45" t="s">
        <v>14</v>
      </c>
      <c r="D622" s="46" t="s">
        <v>1430</v>
      </c>
      <c r="E622" s="47" t="s">
        <v>1431</v>
      </c>
      <c r="F622" s="48">
        <v>46183</v>
      </c>
      <c r="G622" s="49">
        <f t="shared" si="9"/>
        <v>0</v>
      </c>
      <c r="H622" s="77">
        <f>SUMIF(积分汇总!$B:$B,D621,积分汇总!$E:$E)</f>
        <v>0</v>
      </c>
      <c r="I622" s="77">
        <f>SUMIF(记录巡查问题条数汇总!$B:$B,D621,记录巡查问题条数汇总!$E:$E)</f>
        <v>0</v>
      </c>
      <c r="J622" s="77"/>
      <c r="K622" s="77">
        <f>SUMIF(安全质量事故!$B:$B,D621,安全质量事故!$G:$G)</f>
        <v>0</v>
      </c>
      <c r="L622" s="72">
        <f>COUNTIF(M622:AQ622,标准数据!$A$2)*标准数据!$B$2+COUNTIF(M622:AQ622,标准数据!$A$3)*标准数据!$B$3+COUNTIF(M622:AQ622,标准数据!$A$4)*标准数据!$B$4</f>
        <v>0</v>
      </c>
      <c r="M622" s="90"/>
      <c r="N622" s="90"/>
      <c r="O622" s="90"/>
      <c r="P622" s="90"/>
      <c r="Q622" s="90"/>
      <c r="R622" s="90"/>
      <c r="S622" s="90"/>
      <c r="T622" s="90"/>
      <c r="U622" s="90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189"/>
      <c r="AR622" s="55"/>
      <c r="AV622" s="76" t="str">
        <f>VLOOKUP(E622,[1]生产部!$C:$I,7,0)</f>
        <v>常白</v>
      </c>
      <c r="AW622" s="41" t="str">
        <f>VLOOKUP(E622,[1]生产部!$C:$I,6,0)</f>
        <v>13号楼（12号楼CNC区域委培）</v>
      </c>
    </row>
    <row r="623" spans="1:49" s="51" customFormat="1" ht="21" customHeight="1">
      <c r="A623" s="237" t="s">
        <v>1940</v>
      </c>
      <c r="B623" s="229" t="s">
        <v>2115</v>
      </c>
      <c r="C623" s="45" t="s">
        <v>14</v>
      </c>
      <c r="D623" s="46" t="s">
        <v>1432</v>
      </c>
      <c r="E623" s="47" t="s">
        <v>1433</v>
      </c>
      <c r="F623" s="48">
        <v>46183</v>
      </c>
      <c r="G623" s="49">
        <f t="shared" si="9"/>
        <v>0</v>
      </c>
      <c r="H623" s="77">
        <f>SUMIF(积分汇总!$B:$B,D622,积分汇总!$E:$E)</f>
        <v>0</v>
      </c>
      <c r="I623" s="77">
        <f>SUMIF(记录巡查问题条数汇总!$B:$B,D622,记录巡查问题条数汇总!$E:$E)</f>
        <v>0</v>
      </c>
      <c r="J623" s="77"/>
      <c r="K623" s="77">
        <f>SUMIF(安全质量事故!$B:$B,D622,安全质量事故!$G:$G)</f>
        <v>0</v>
      </c>
      <c r="L623" s="72">
        <f>COUNTIF(M623:AQ623,标准数据!$A$2)*标准数据!$B$2+COUNTIF(M623:AQ623,标准数据!$A$3)*标准数据!$B$3+COUNTIF(M623:AQ623,标准数据!$A$4)*标准数据!$B$4</f>
        <v>0</v>
      </c>
      <c r="M623" s="90"/>
      <c r="N623" s="90"/>
      <c r="O623" s="90"/>
      <c r="P623" s="90"/>
      <c r="Q623" s="90"/>
      <c r="R623" s="90"/>
      <c r="S623" s="90"/>
      <c r="T623" s="90"/>
      <c r="U623" s="90"/>
      <c r="V623" s="56"/>
      <c r="W623" s="56"/>
      <c r="X623" s="56"/>
      <c r="Y623" s="56"/>
      <c r="Z623" s="56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192"/>
      <c r="AR623" s="90"/>
      <c r="AV623" s="76" t="str">
        <f>VLOOKUP(E623,[1]生产部!$C:$I,7,0)</f>
        <v>常白</v>
      </c>
      <c r="AW623" s="41" t="str">
        <f>VLOOKUP(E623,[1]生产部!$C:$I,6,0)</f>
        <v>13号楼（12号楼CNC区域委培）</v>
      </c>
    </row>
    <row r="624" spans="1:49" ht="21" customHeight="1">
      <c r="A624" s="237" t="s">
        <v>1940</v>
      </c>
      <c r="B624" s="229" t="s">
        <v>2118</v>
      </c>
      <c r="C624" s="45" t="s">
        <v>87</v>
      </c>
      <c r="D624" s="46" t="s">
        <v>319</v>
      </c>
      <c r="E624" s="47" t="s">
        <v>305</v>
      </c>
      <c r="F624" s="48">
        <v>45607</v>
      </c>
      <c r="G624" s="49">
        <f t="shared" si="9"/>
        <v>0</v>
      </c>
      <c r="H624" s="77">
        <f>SUMIF(积分汇总!$B:$B,D623,积分汇总!$E:$E)</f>
        <v>0</v>
      </c>
      <c r="I624" s="77">
        <f>SUMIF(记录巡查问题条数汇总!$B:$B,D623,记录巡查问题条数汇总!$E:$E)</f>
        <v>0</v>
      </c>
      <c r="J624" s="77"/>
      <c r="K624" s="77">
        <f>SUMIF(安全质量事故!$B:$B,D623,安全质量事故!$G:$G)</f>
        <v>0</v>
      </c>
      <c r="L624" s="72">
        <f>COUNTIF(M624:AQ624,标准数据!$A$2)*标准数据!$B$2+COUNTIF(M624:AQ624,标准数据!$A$3)*标准数据!$B$3+COUNTIF(M624:AQ624,标准数据!$A$4)*标准数据!$B$4</f>
        <v>0</v>
      </c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189"/>
      <c r="AR624" s="55"/>
      <c r="AV624" s="76" t="str">
        <f>VLOOKUP(E624,[1]生产部!$C:$I,7,0)</f>
        <v>项目组</v>
      </c>
      <c r="AW624" s="41" t="str">
        <f>VLOOKUP(E624,[1]生产部!$C:$I,6,0)</f>
        <v>12号楼中试</v>
      </c>
    </row>
    <row r="625" spans="1:49" ht="21" customHeight="1">
      <c r="A625" s="237" t="s">
        <v>1940</v>
      </c>
      <c r="B625" s="229" t="s">
        <v>2118</v>
      </c>
      <c r="C625" s="45" t="s">
        <v>14</v>
      </c>
      <c r="D625" s="46" t="s">
        <v>555</v>
      </c>
      <c r="E625" s="47" t="s">
        <v>530</v>
      </c>
      <c r="F625" s="48">
        <v>45882</v>
      </c>
      <c r="G625" s="49">
        <f t="shared" si="9"/>
        <v>0</v>
      </c>
      <c r="H625" s="77">
        <f>SUMIF(积分汇总!$B:$B,D624,积分汇总!$E:$E)</f>
        <v>0</v>
      </c>
      <c r="I625" s="77">
        <f>SUMIF(记录巡查问题条数汇总!$B:$B,D624,记录巡查问题条数汇总!$E:$E)</f>
        <v>0</v>
      </c>
      <c r="J625" s="77"/>
      <c r="K625" s="77">
        <f>SUMIF(安全质量事故!$B:$B,D624,安全质量事故!$G:$G)</f>
        <v>0</v>
      </c>
      <c r="L625" s="72">
        <f>COUNTIF(M625:AQ625,标准数据!$A$2)*标准数据!$B$2+COUNTIF(M625:AQ625,标准数据!$A$3)*标准数据!$B$3+COUNTIF(M625:AQ625,标准数据!$A$4)*标准数据!$B$4</f>
        <v>0</v>
      </c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192"/>
      <c r="AR625" s="90"/>
      <c r="AS625" s="41"/>
      <c r="AT625" s="41"/>
      <c r="AU625" s="41"/>
      <c r="AV625" s="76" t="str">
        <f>VLOOKUP(E625,[1]生产部!$C:$I,7,0)</f>
        <v>项目组</v>
      </c>
      <c r="AW625" s="41" t="str">
        <f>VLOOKUP(E625,[1]生产部!$C:$I,6,0)</f>
        <v>12号楼中试</v>
      </c>
    </row>
    <row r="626" spans="1:49" ht="21" customHeight="1">
      <c r="A626" s="237" t="s">
        <v>1940</v>
      </c>
      <c r="B626" s="229" t="s">
        <v>2115</v>
      </c>
      <c r="C626" s="45" t="s">
        <v>14</v>
      </c>
      <c r="D626" s="46" t="s">
        <v>478</v>
      </c>
      <c r="E626" s="47" t="s">
        <v>446</v>
      </c>
      <c r="F626" s="48">
        <v>45847</v>
      </c>
      <c r="G626" s="49">
        <f t="shared" si="9"/>
        <v>0</v>
      </c>
      <c r="H626" s="77">
        <f>SUMIF(积分汇总!$B:$B,D625,积分汇总!$E:$E)</f>
        <v>0</v>
      </c>
      <c r="I626" s="77">
        <f>SUMIF(记录巡查问题条数汇总!$B:$B,D625,记录巡查问题条数汇总!$E:$E)</f>
        <v>0</v>
      </c>
      <c r="J626" s="77"/>
      <c r="K626" s="77">
        <f>SUMIF(安全质量事故!$B:$B,D625,安全质量事故!$G:$G)</f>
        <v>0</v>
      </c>
      <c r="L626" s="72">
        <f>COUNTIF(M626:AQ626,标准数据!$A$2)*标准数据!$B$2+COUNTIF(M626:AQ626,标准数据!$A$3)*标准数据!$B$3+COUNTIF(M626:AQ626,标准数据!$A$4)*标准数据!$B$4</f>
        <v>0</v>
      </c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189"/>
      <c r="AR626" s="55"/>
      <c r="AV626" s="76" t="str">
        <f>VLOOKUP(E626,[1]生产部!$C:$I,7,0)</f>
        <v>常白</v>
      </c>
      <c r="AW626" s="41" t="str">
        <f>VLOOKUP(E626,[1]生产部!$C:$I,6,0)</f>
        <v>12号楼CNC区域</v>
      </c>
    </row>
    <row r="627" spans="1:49" ht="21" customHeight="1">
      <c r="A627" s="237" t="s">
        <v>1940</v>
      </c>
      <c r="B627" s="229" t="s">
        <v>2115</v>
      </c>
      <c r="C627" s="45" t="s">
        <v>14</v>
      </c>
      <c r="D627" s="46" t="s">
        <v>1327</v>
      </c>
      <c r="E627" s="47" t="s">
        <v>1328</v>
      </c>
      <c r="F627" s="48">
        <v>46134</v>
      </c>
      <c r="G627" s="49">
        <f t="shared" si="9"/>
        <v>0</v>
      </c>
      <c r="H627" s="77">
        <f>SUMIF(积分汇总!$B:$B,D626,积分汇总!$E:$E)</f>
        <v>0</v>
      </c>
      <c r="I627" s="77">
        <f>SUMIF(记录巡查问题条数汇总!$B:$B,D626,记录巡查问题条数汇总!$E:$E)</f>
        <v>0</v>
      </c>
      <c r="J627" s="77"/>
      <c r="K627" s="77">
        <f>SUMIF(安全质量事故!$B:$B,D626,安全质量事故!$G:$G)</f>
        <v>0</v>
      </c>
      <c r="L627" s="72">
        <f>COUNTIF(M627:AQ627,标准数据!$A$2)*标准数据!$B$2+COUNTIF(M627:AQ627,标准数据!$A$3)*标准数据!$B$3+COUNTIF(M627:AQ627,标准数据!$A$4)*标准数据!$B$4</f>
        <v>0</v>
      </c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189"/>
      <c r="AR627" s="55"/>
      <c r="AV627" s="76" t="str">
        <f>VLOOKUP(E627,[1]生产部!$C:$I,7,0)</f>
        <v>常白</v>
      </c>
      <c r="AW627" s="41" t="str">
        <f>VLOOKUP(E627,[1]生产部!$C:$I,6,0)</f>
        <v>12号楼CNC区域</v>
      </c>
    </row>
    <row r="628" spans="1:49" ht="21" customHeight="1">
      <c r="A628" s="237" t="s">
        <v>1940</v>
      </c>
      <c r="B628" s="229" t="s">
        <v>2115</v>
      </c>
      <c r="C628" s="45" t="s">
        <v>129</v>
      </c>
      <c r="D628" s="46" t="s">
        <v>494</v>
      </c>
      <c r="E628" s="47" t="s">
        <v>445</v>
      </c>
      <c r="F628" s="48">
        <v>45854</v>
      </c>
      <c r="G628" s="49">
        <f t="shared" si="9"/>
        <v>0</v>
      </c>
      <c r="H628" s="77">
        <f>SUMIF(积分汇总!$B:$B,D626,积分汇总!$E:$E)</f>
        <v>0</v>
      </c>
      <c r="I628" s="77">
        <f>SUMIF(记录巡查问题条数汇总!$B:$B,D626,记录巡查问题条数汇总!$E:$E)</f>
        <v>0</v>
      </c>
      <c r="J628" s="77"/>
      <c r="K628" s="77">
        <f>SUMIF(安全质量事故!$B:$B,D626,安全质量事故!$G:$G)</f>
        <v>0</v>
      </c>
      <c r="L628" s="72">
        <f>COUNTIF(M628:AQ628,标准数据!$A$2)*标准数据!$B$2+COUNTIF(M628:AQ628,标准数据!$A$3)*标准数据!$B$3+COUNTIF(M628:AQ628,标准数据!$A$4)*标准数据!$B$4</f>
        <v>0</v>
      </c>
      <c r="M628" s="58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190"/>
      <c r="AR628" s="55"/>
      <c r="AS628" s="41"/>
      <c r="AT628" s="41"/>
      <c r="AU628" s="41"/>
      <c r="AV628" s="76" t="str">
        <f>VLOOKUP(E628,[1]生产部!$C:$I,7,0)</f>
        <v>常白</v>
      </c>
      <c r="AW628" s="41" t="str">
        <f>VLOOKUP(E628,[1]生产部!$C:$I,6,0)</f>
        <v>12号楼CNC区域</v>
      </c>
    </row>
    <row r="629" spans="1:49" ht="21" customHeight="1">
      <c r="A629" s="237" t="s">
        <v>1940</v>
      </c>
      <c r="B629" s="229" t="s">
        <v>2115</v>
      </c>
      <c r="C629" s="45" t="s">
        <v>129</v>
      </c>
      <c r="D629" s="46" t="s">
        <v>473</v>
      </c>
      <c r="E629" s="47" t="s">
        <v>433</v>
      </c>
      <c r="F629" s="48">
        <v>45840</v>
      </c>
      <c r="G629" s="49">
        <f t="shared" si="9"/>
        <v>0</v>
      </c>
      <c r="H629" s="77">
        <f>SUMIF(积分汇总!$B:$B,D623,积分汇总!$E:$E)</f>
        <v>0</v>
      </c>
      <c r="I629" s="77">
        <f>SUMIF(记录巡查问题条数汇总!$B:$B,D623,记录巡查问题条数汇总!$E:$E)</f>
        <v>0</v>
      </c>
      <c r="J629" s="77"/>
      <c r="K629" s="77">
        <f>SUMIF(安全质量事故!$B:$B,D623,安全质量事故!$G:$G)</f>
        <v>0</v>
      </c>
      <c r="L629" s="72">
        <f>COUNTIF(M629:AQ629,标准数据!$A$2)*标准数据!$B$2+COUNTIF(M629:AQ629,标准数据!$A$3)*标准数据!$B$3+COUNTIF(M629:AQ629,标准数据!$A$4)*标准数据!$B$4</f>
        <v>0</v>
      </c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188"/>
      <c r="AR629" s="90"/>
      <c r="AV629" s="76" t="str">
        <f>VLOOKUP(E629,[1]生产部!$C:$I,7,0)</f>
        <v>班组</v>
      </c>
      <c r="AW629" s="41" t="str">
        <f>VLOOKUP(E629,[1]生产部!$C:$I,6,0)</f>
        <v>4号楼（12号楼楼CNC区域委培）</v>
      </c>
    </row>
    <row r="630" spans="1:49" ht="21" customHeight="1">
      <c r="A630" s="237" t="s">
        <v>1940</v>
      </c>
      <c r="B630" s="229" t="s">
        <v>2115</v>
      </c>
      <c r="C630" s="45" t="s">
        <v>129</v>
      </c>
      <c r="D630" s="46" t="s">
        <v>474</v>
      </c>
      <c r="E630" s="47" t="s">
        <v>435</v>
      </c>
      <c r="F630" s="48">
        <v>45854</v>
      </c>
      <c r="G630" s="49">
        <f t="shared" si="9"/>
        <v>0</v>
      </c>
      <c r="H630" s="77">
        <f>SUMIF(积分汇总!$B:$B,D629,积分汇总!$E:$E)</f>
        <v>0</v>
      </c>
      <c r="I630" s="77">
        <f>SUMIF(记录巡查问题条数汇总!$B:$B,D629,记录巡查问题条数汇总!$E:$E)</f>
        <v>0</v>
      </c>
      <c r="J630" s="77"/>
      <c r="K630" s="77">
        <f>SUMIF(安全质量事故!$B:$B,D629,安全质量事故!$G:$G)</f>
        <v>0</v>
      </c>
      <c r="L630" s="72">
        <f>COUNTIF(M630:AQ630,标准数据!$A$2)*标准数据!$B$2+COUNTIF(M630:AQ630,标准数据!$A$3)*标准数据!$B$3+COUNTIF(M630:AQ630,标准数据!$A$4)*标准数据!$B$4</f>
        <v>0</v>
      </c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188"/>
      <c r="AR630" s="90"/>
      <c r="AV630" s="76" t="str">
        <f>VLOOKUP(E630,[1]生产部!$C:$I,7,0)</f>
        <v>班组</v>
      </c>
      <c r="AW630" s="41" t="str">
        <f>VLOOKUP(E630,[1]生产部!$C:$I,6,0)</f>
        <v>4号楼（12号楼楼CNC区域委培）</v>
      </c>
    </row>
    <row r="631" spans="1:49" ht="21" customHeight="1">
      <c r="A631" s="237" t="s">
        <v>1940</v>
      </c>
      <c r="B631" s="229" t="s">
        <v>2115</v>
      </c>
      <c r="C631" s="45" t="s">
        <v>129</v>
      </c>
      <c r="D631" s="46" t="s">
        <v>850</v>
      </c>
      <c r="E631" s="47" t="s">
        <v>767</v>
      </c>
      <c r="F631" s="48">
        <v>44307</v>
      </c>
      <c r="G631" s="49">
        <f t="shared" si="9"/>
        <v>0</v>
      </c>
      <c r="H631" s="77">
        <f>SUMIF(积分汇总!$B:$B,D623,积分汇总!$E:$E)</f>
        <v>0</v>
      </c>
      <c r="I631" s="77">
        <f>SUMIF(记录巡查问题条数汇总!$B:$B,D623,记录巡查问题条数汇总!$E:$E)</f>
        <v>0</v>
      </c>
      <c r="J631" s="77"/>
      <c r="K631" s="77">
        <f>SUMIF(安全质量事故!$B:$B,D623,安全质量事故!$G:$G)</f>
        <v>0</v>
      </c>
      <c r="L631" s="72">
        <f>COUNTIF(M631:AQ631,标准数据!$A$2)*标准数据!$B$2+COUNTIF(M631:AQ631,标准数据!$A$3)*标准数据!$B$3+COUNTIF(M631:AQ631,标准数据!$A$4)*标准数据!$B$4</f>
        <v>0</v>
      </c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188"/>
      <c r="AR631" s="90"/>
      <c r="AV631" s="76" t="str">
        <f>VLOOKUP(E631,[1]生产部!$C:$I,7,0)</f>
        <v>班组</v>
      </c>
      <c r="AW631" s="41" t="str">
        <f>VLOOKUP(E631,[1]生产部!$C:$I,6,0)</f>
        <v>4号楼（12号楼楼CNC区域委培）</v>
      </c>
    </row>
    <row r="632" spans="1:49" ht="21" customHeight="1">
      <c r="A632" s="237" t="s">
        <v>1940</v>
      </c>
      <c r="B632" s="229" t="s">
        <v>2115</v>
      </c>
      <c r="C632" s="45" t="s">
        <v>129</v>
      </c>
      <c r="D632" s="46" t="s">
        <v>1238</v>
      </c>
      <c r="E632" s="47" t="s">
        <v>1239</v>
      </c>
      <c r="F632" s="48">
        <v>46125</v>
      </c>
      <c r="G632" s="49">
        <f t="shared" si="9"/>
        <v>0</v>
      </c>
      <c r="H632" s="77">
        <f>SUMIF(积分汇总!$B:$B,D631,积分汇总!$E:$E)</f>
        <v>0</v>
      </c>
      <c r="I632" s="77">
        <f>SUMIF(记录巡查问题条数汇总!$B:$B,D631,记录巡查问题条数汇总!$E:$E)</f>
        <v>0</v>
      </c>
      <c r="J632" s="77"/>
      <c r="K632" s="77">
        <f>SUMIF(安全质量事故!$B:$B,D631,安全质量事故!$G:$G)</f>
        <v>0</v>
      </c>
      <c r="L632" s="72">
        <f>COUNTIF(M632:AQ632,标准数据!$A$2)*标准数据!$B$2+COUNTIF(M632:AQ632,标准数据!$A$3)*标准数据!$B$3+COUNTIF(M632:AQ632,标准数据!$A$4)*标准数据!$B$4</f>
        <v>0</v>
      </c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188"/>
      <c r="AR632" s="90"/>
      <c r="AV632" s="76" t="str">
        <f>VLOOKUP(E632,[1]生产部!$C:$I,7,0)</f>
        <v>班组</v>
      </c>
      <c r="AW632" s="41" t="str">
        <f>VLOOKUP(E632,[1]生产部!$C:$I,6,0)</f>
        <v>4号楼（12号楼楼CNC区域委培）</v>
      </c>
    </row>
    <row r="633" spans="1:49" ht="21" customHeight="1">
      <c r="A633" s="237" t="s">
        <v>1940</v>
      </c>
      <c r="B633" s="229" t="s">
        <v>2115</v>
      </c>
      <c r="C633" s="45" t="s">
        <v>146</v>
      </c>
      <c r="D633" s="46" t="s">
        <v>846</v>
      </c>
      <c r="E633" s="47" t="s">
        <v>790</v>
      </c>
      <c r="F633" s="48">
        <v>45882</v>
      </c>
      <c r="G633" s="49">
        <f t="shared" si="9"/>
        <v>0</v>
      </c>
      <c r="H633" s="77">
        <f>SUMIF(积分汇总!$B:$B,#REF!,积分汇总!$E:$E)</f>
        <v>0</v>
      </c>
      <c r="I633" s="77">
        <f>SUMIF(记录巡查问题条数汇总!$B:$B,#REF!,记录巡查问题条数汇总!$E:$E)</f>
        <v>0</v>
      </c>
      <c r="J633" s="77"/>
      <c r="K633" s="77">
        <f>SUMIF(安全质量事故!$B:$B,#REF!,安全质量事故!$G:$G)</f>
        <v>0</v>
      </c>
      <c r="L633" s="72">
        <f>COUNTIF(M633:AQ633,标准数据!$A$2)*标准数据!$B$2+COUNTIF(M633:AQ633,标准数据!$A$3)*标准数据!$B$3+COUNTIF(M633:AQ633,标准数据!$A$4)*标准数据!$B$4</f>
        <v>0</v>
      </c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189"/>
      <c r="AR633" s="55"/>
      <c r="AV633" s="76" t="str">
        <f>VLOOKUP(E633,[1]生产部!$C:$I,7,0)</f>
        <v>班组</v>
      </c>
      <c r="AW633" s="41" t="str">
        <f>VLOOKUP(E633,[1]生产部!$C:$I,6,0)</f>
        <v>12号楼CNC区域</v>
      </c>
    </row>
    <row r="634" spans="1:49" ht="21" customHeight="1">
      <c r="A634" s="237" t="s">
        <v>1940</v>
      </c>
      <c r="B634" s="229" t="s">
        <v>2117</v>
      </c>
      <c r="C634" s="45" t="s">
        <v>146</v>
      </c>
      <c r="D634" s="46" t="s">
        <v>558</v>
      </c>
      <c r="E634" s="47" t="s">
        <v>533</v>
      </c>
      <c r="F634" s="48">
        <v>45868</v>
      </c>
      <c r="G634" s="49">
        <f t="shared" si="9"/>
        <v>0</v>
      </c>
      <c r="H634" s="77">
        <f>SUMIF(积分汇总!$B:$B,#REF!,积分汇总!$E:$E)</f>
        <v>0</v>
      </c>
      <c r="I634" s="77">
        <f>SUMIF(记录巡查问题条数汇总!$B:$B,#REF!,记录巡查问题条数汇总!$E:$E)</f>
        <v>0</v>
      </c>
      <c r="J634" s="77"/>
      <c r="K634" s="77">
        <f>SUMIF(安全质量事故!$B:$B,#REF!,安全质量事故!$G:$G)</f>
        <v>0</v>
      </c>
      <c r="L634" s="72">
        <f>COUNTIF(M634:AQ634,标准数据!$A$2)*标准数据!$B$2+COUNTIF(M634:AQ634,标准数据!$A$3)*标准数据!$B$3+COUNTIF(M634:AQ634,标准数据!$A$4)*标准数据!$B$4</f>
        <v>0</v>
      </c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192"/>
      <c r="AR634" s="90"/>
      <c r="AS634" s="41"/>
      <c r="AT634" s="41"/>
      <c r="AU634" s="41"/>
      <c r="AV634" s="76" t="str">
        <f>VLOOKUP(E634,[1]生产部!$C:$I,7,0)</f>
        <v>班组</v>
      </c>
      <c r="AW634" s="41" t="str">
        <f>VLOOKUP(E634,[1]生产部!$C:$I,6,0)</f>
        <v>12号楼D级区域</v>
      </c>
    </row>
    <row r="635" spans="1:49" ht="21" customHeight="1">
      <c r="A635" s="237" t="s">
        <v>1940</v>
      </c>
      <c r="B635" s="229" t="s">
        <v>2117</v>
      </c>
      <c r="C635" s="45" t="s">
        <v>129</v>
      </c>
      <c r="D635" s="46" t="s">
        <v>487</v>
      </c>
      <c r="E635" s="47" t="s">
        <v>455</v>
      </c>
      <c r="F635" s="48">
        <v>45847</v>
      </c>
      <c r="G635" s="49">
        <f t="shared" si="9"/>
        <v>0</v>
      </c>
      <c r="H635" s="77">
        <f>SUMIF(积分汇总!$B:$B,D634,积分汇总!$E:$E)</f>
        <v>0</v>
      </c>
      <c r="I635" s="77">
        <f>SUMIF(记录巡查问题条数汇总!$B:$B,D634,记录巡查问题条数汇总!$E:$E)</f>
        <v>0</v>
      </c>
      <c r="J635" s="77"/>
      <c r="K635" s="77">
        <f>SUMIF(安全质量事故!$B:$B,D634,安全质量事故!$G:$G)</f>
        <v>0</v>
      </c>
      <c r="L635" s="72">
        <f>COUNTIF(M635:AQ635,标准数据!$A$2)*标准数据!$B$2+COUNTIF(M635:AQ635,标准数据!$A$3)*标准数据!$B$3+COUNTIF(M635:AQ635,标准数据!$A$4)*标准数据!$B$4</f>
        <v>0</v>
      </c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189"/>
      <c r="AR635" s="55"/>
      <c r="AV635" s="76" t="str">
        <f>VLOOKUP(E635,[1]生产部!$C:$I,7,0)</f>
        <v>班组</v>
      </c>
      <c r="AW635" s="41" t="str">
        <f>VLOOKUP(E635,[1]生产部!$C:$I,6,0)</f>
        <v>12号楼D级区域</v>
      </c>
    </row>
    <row r="636" spans="1:49" ht="21" customHeight="1">
      <c r="A636" s="237" t="s">
        <v>1940</v>
      </c>
      <c r="B636" s="229" t="s">
        <v>2115</v>
      </c>
      <c r="C636" s="45" t="s">
        <v>129</v>
      </c>
      <c r="D636" s="46" t="s">
        <v>495</v>
      </c>
      <c r="E636" s="47" t="s">
        <v>451</v>
      </c>
      <c r="F636" s="48">
        <v>45854</v>
      </c>
      <c r="G636" s="49">
        <f t="shared" si="9"/>
        <v>0</v>
      </c>
      <c r="H636" s="77">
        <f>SUMIF(积分汇总!$B:$B,D635,积分汇总!$E:$E)</f>
        <v>0</v>
      </c>
      <c r="I636" s="77">
        <f>SUMIF(记录巡查问题条数汇总!$B:$B,D635,记录巡查问题条数汇总!$E:$E)</f>
        <v>0</v>
      </c>
      <c r="J636" s="77"/>
      <c r="K636" s="77">
        <f>SUMIF(安全质量事故!$B:$B,D635,安全质量事故!$G:$G)</f>
        <v>0</v>
      </c>
      <c r="L636" s="72">
        <f>COUNTIF(M636:AQ636,标准数据!$A$2)*标准数据!$B$2+COUNTIF(M636:AQ636,标准数据!$A$3)*标准数据!$B$3+COUNTIF(M636:AQ636,标准数据!$A$4)*标准数据!$B$4</f>
        <v>0</v>
      </c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189"/>
      <c r="AR636" s="55"/>
      <c r="AS636" s="41"/>
      <c r="AT636" s="41"/>
      <c r="AU636" s="41"/>
      <c r="AV636" s="76" t="str">
        <f>VLOOKUP(E636,[1]生产部!$C:$I,7,0)</f>
        <v>班组</v>
      </c>
      <c r="AW636" s="41" t="str">
        <f>VLOOKUP(E636,[1]生产部!$C:$I,6,0)</f>
        <v>12号楼CNC区域</v>
      </c>
    </row>
    <row r="637" spans="1:49" ht="21" customHeight="1">
      <c r="A637" s="237" t="s">
        <v>1940</v>
      </c>
      <c r="B637" s="229" t="s">
        <v>2112</v>
      </c>
      <c r="C637" s="45" t="s">
        <v>129</v>
      </c>
      <c r="D637" s="46" t="s">
        <v>648</v>
      </c>
      <c r="E637" s="47" t="s">
        <v>579</v>
      </c>
      <c r="F637" s="48">
        <v>45896</v>
      </c>
      <c r="G637" s="49">
        <f t="shared" si="9"/>
        <v>0</v>
      </c>
      <c r="H637" s="77">
        <f>SUMIF(积分汇总!$B:$B,D636,积分汇总!$E:$E)</f>
        <v>0</v>
      </c>
      <c r="I637" s="77">
        <f>SUMIF(记录巡查问题条数汇总!$B:$B,D636,记录巡查问题条数汇总!$E:$E)</f>
        <v>0</v>
      </c>
      <c r="J637" s="77"/>
      <c r="K637" s="77">
        <f>SUMIF(安全质量事故!$B:$B,D636,安全质量事故!$G:$G)</f>
        <v>0</v>
      </c>
      <c r="L637" s="72">
        <f>COUNTIF(M637:AQ637,标准数据!$A$2)*标准数据!$B$2+COUNTIF(M637:AQ637,标准数据!$A$3)*标准数据!$B$3+COUNTIF(M637:AQ637,标准数据!$A$4)*标准数据!$B$4</f>
        <v>0</v>
      </c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189"/>
      <c r="AR637" s="55"/>
      <c r="AS637" s="41"/>
      <c r="AT637" s="41"/>
      <c r="AU637" s="41"/>
      <c r="AV637" s="76" t="str">
        <f>VLOOKUP(E637,[1]生产部!$C:$I,7,0)</f>
        <v>班组</v>
      </c>
      <c r="AW637" s="41" t="str">
        <f>VLOOKUP(E637,[1]生产部!$C:$I,6,0)</f>
        <v>12号楼CNC区域</v>
      </c>
    </row>
    <row r="638" spans="1:49" ht="21" customHeight="1">
      <c r="A638" s="237" t="s">
        <v>1940</v>
      </c>
      <c r="B638" s="229" t="s">
        <v>2115</v>
      </c>
      <c r="C638" s="45" t="s">
        <v>129</v>
      </c>
      <c r="D638" s="46" t="s">
        <v>565</v>
      </c>
      <c r="E638" s="47" t="s">
        <v>526</v>
      </c>
      <c r="F638" s="48">
        <v>44260</v>
      </c>
      <c r="G638" s="49">
        <f t="shared" si="9"/>
        <v>0</v>
      </c>
      <c r="H638" s="77">
        <f>SUMIF(积分汇总!$B:$B,#REF!,积分汇总!$E:$E)</f>
        <v>0</v>
      </c>
      <c r="I638" s="77">
        <f>SUMIF(记录巡查问题条数汇总!$B:$B,#REF!,记录巡查问题条数汇总!$E:$E)</f>
        <v>0</v>
      </c>
      <c r="J638" s="77"/>
      <c r="K638" s="77">
        <f>SUMIF(安全质量事故!$B:$B,#REF!,安全质量事故!$G:$G)</f>
        <v>0</v>
      </c>
      <c r="L638" s="72">
        <f>COUNTIF(M638:AQ638,标准数据!$A$2)*标准数据!$B$2+COUNTIF(M638:AQ638,标准数据!$A$3)*标准数据!$B$3+COUNTIF(M638:AQ638,标准数据!$A$4)*标准数据!$B$4</f>
        <v>0</v>
      </c>
      <c r="M638" s="90"/>
      <c r="N638" s="90"/>
      <c r="O638" s="90"/>
      <c r="P638" s="90"/>
      <c r="Q638" s="90"/>
      <c r="R638" s="90"/>
      <c r="S638" s="90"/>
      <c r="T638" s="90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189"/>
      <c r="AR638" s="55"/>
      <c r="AV638" s="76" t="str">
        <f>VLOOKUP(E638,[1]生产部!$C:$I,7,0)</f>
        <v>常白</v>
      </c>
      <c r="AW638" s="41" t="str">
        <f>VLOOKUP(E638,[1]生产部!$C:$I,6,0)</f>
        <v>12号楼CNC区域</v>
      </c>
    </row>
    <row r="639" spans="1:49" ht="21" customHeight="1">
      <c r="A639" s="237" t="s">
        <v>1940</v>
      </c>
      <c r="B639" s="229" t="s">
        <v>2115</v>
      </c>
      <c r="C639" s="45" t="s">
        <v>129</v>
      </c>
      <c r="D639" s="46" t="s">
        <v>566</v>
      </c>
      <c r="E639" s="47" t="s">
        <v>527</v>
      </c>
      <c r="F639" s="48">
        <v>44463</v>
      </c>
      <c r="G639" s="49">
        <f t="shared" si="9"/>
        <v>0</v>
      </c>
      <c r="H639" s="77">
        <f>SUMIF(积分汇总!$B:$B,D638,积分汇总!$E:$E)</f>
        <v>0</v>
      </c>
      <c r="I639" s="77">
        <f>SUMIF(记录巡查问题条数汇总!$B:$B,D638,记录巡查问题条数汇总!$E:$E)</f>
        <v>0</v>
      </c>
      <c r="J639" s="77"/>
      <c r="K639" s="77">
        <f>SUMIF(安全质量事故!$B:$B,D638,安全质量事故!$G:$G)</f>
        <v>0</v>
      </c>
      <c r="L639" s="72">
        <f>COUNTIF(M639:AQ639,标准数据!$A$2)*标准数据!$B$2+COUNTIF(M639:AQ639,标准数据!$A$3)*标准数据!$B$3+COUNTIF(M639:AQ639,标准数据!$A$4)*标准数据!$B$4</f>
        <v>0</v>
      </c>
      <c r="M639" s="90"/>
      <c r="N639" s="90"/>
      <c r="O639" s="90"/>
      <c r="P639" s="90"/>
      <c r="Q639" s="90"/>
      <c r="R639" s="90"/>
      <c r="S639" s="90"/>
      <c r="T639" s="90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189"/>
      <c r="AR639" s="55"/>
      <c r="AV639" s="76" t="str">
        <f>VLOOKUP(E639,[1]生产部!$C:$I,7,0)</f>
        <v>班组</v>
      </c>
      <c r="AW639" s="41" t="str">
        <f>VLOOKUP(E639,[1]生产部!$C:$I,6,0)</f>
        <v>12号楼CNC区域</v>
      </c>
    </row>
    <row r="640" spans="1:49" ht="21" customHeight="1">
      <c r="A640" s="237" t="s">
        <v>1940</v>
      </c>
      <c r="B640" s="229" t="s">
        <v>2117</v>
      </c>
      <c r="C640" s="45" t="s">
        <v>129</v>
      </c>
      <c r="D640" s="46" t="s">
        <v>627</v>
      </c>
      <c r="E640" s="47" t="s">
        <v>592</v>
      </c>
      <c r="F640" s="48" t="s">
        <v>1038</v>
      </c>
      <c r="G640" s="49">
        <f t="shared" si="9"/>
        <v>0</v>
      </c>
      <c r="H640" s="77">
        <f>SUMIF(积分汇总!$B:$B,#REF!,积分汇总!$E:$E)</f>
        <v>0</v>
      </c>
      <c r="I640" s="77">
        <f>SUMIF(记录巡查问题条数汇总!$B:$B,#REF!,记录巡查问题条数汇总!$E:$E)</f>
        <v>0</v>
      </c>
      <c r="J640" s="77"/>
      <c r="K640" s="77">
        <f>SUMIF(安全质量事故!$B:$B,#REF!,安全质量事故!$G:$G)</f>
        <v>0</v>
      </c>
      <c r="L640" s="72">
        <f>COUNTIF(M640:AQ640,标准数据!$A$2)*标准数据!$B$2+COUNTIF(M640:AQ640,标准数据!$A$3)*标准数据!$B$3+COUNTIF(M640:AQ640,标准数据!$A$4)*标准数据!$B$4</f>
        <v>0</v>
      </c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189"/>
      <c r="AR640" s="55"/>
      <c r="AV640" s="76" t="str">
        <f>VLOOKUP(E640,[1]生产部!$C:$I,7,0)</f>
        <v>班组</v>
      </c>
      <c r="AW640" s="41" t="str">
        <f>VLOOKUP(E640,[1]生产部!$C:$I,6,0)</f>
        <v>12号楼D级区域</v>
      </c>
    </row>
    <row r="641" spans="1:49" ht="21" customHeight="1">
      <c r="A641" s="237" t="s">
        <v>1940</v>
      </c>
      <c r="B641" s="229" t="s">
        <v>2115</v>
      </c>
      <c r="C641" s="45" t="s">
        <v>129</v>
      </c>
      <c r="D641" s="46" t="s">
        <v>628</v>
      </c>
      <c r="E641" s="47" t="s">
        <v>593</v>
      </c>
      <c r="F641" s="48" t="s">
        <v>1038</v>
      </c>
      <c r="G641" s="49">
        <f t="shared" si="9"/>
        <v>0</v>
      </c>
      <c r="H641" s="77">
        <f>SUMIF(积分汇总!$B:$B,D640,积分汇总!$E:$E)</f>
        <v>0</v>
      </c>
      <c r="I641" s="77">
        <f>SUMIF(记录巡查问题条数汇总!$B:$B,D640,记录巡查问题条数汇总!$E:$E)</f>
        <v>0</v>
      </c>
      <c r="J641" s="77"/>
      <c r="K641" s="77">
        <f>SUMIF(安全质量事故!$B:$B,D640,安全质量事故!$G:$G)</f>
        <v>0</v>
      </c>
      <c r="L641" s="72">
        <f>COUNTIF(M641:AQ641,标准数据!$A$2)*标准数据!$B$2+COUNTIF(M641:AQ641,标准数据!$A$3)*标准数据!$B$3+COUNTIF(M641:AQ641,标准数据!$A$4)*标准数据!$B$4</f>
        <v>0</v>
      </c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189"/>
      <c r="AR641" s="55"/>
      <c r="AV641" s="76" t="str">
        <f>VLOOKUP(E641,[1]生产部!$C:$I,7,0)</f>
        <v>班组</v>
      </c>
      <c r="AW641" s="41" t="str">
        <f>VLOOKUP(E641,[1]生产部!$C:$I,6,0)</f>
        <v>12号楼CNC区域</v>
      </c>
    </row>
    <row r="642" spans="1:49" ht="21" customHeight="1">
      <c r="A642" s="237" t="s">
        <v>1940</v>
      </c>
      <c r="B642" s="229" t="s">
        <v>2115</v>
      </c>
      <c r="C642" s="45" t="s">
        <v>129</v>
      </c>
      <c r="D642" s="46" t="s">
        <v>629</v>
      </c>
      <c r="E642" s="47" t="s">
        <v>594</v>
      </c>
      <c r="F642" s="48">
        <v>45896</v>
      </c>
      <c r="G642" s="49">
        <f t="shared" si="9"/>
        <v>0</v>
      </c>
      <c r="H642" s="77">
        <f>SUMIF(积分汇总!$B:$B,D641,积分汇总!$E:$E)</f>
        <v>0</v>
      </c>
      <c r="I642" s="77">
        <f>SUMIF(记录巡查问题条数汇总!$B:$B,D641,记录巡查问题条数汇总!$E:$E)</f>
        <v>0</v>
      </c>
      <c r="J642" s="77"/>
      <c r="K642" s="77">
        <f>SUMIF(安全质量事故!$B:$B,D641,安全质量事故!$G:$G)</f>
        <v>0</v>
      </c>
      <c r="L642" s="72">
        <f>COUNTIF(M642:AQ642,标准数据!$A$2)*标准数据!$B$2+COUNTIF(M642:AQ642,标准数据!$A$3)*标准数据!$B$3+COUNTIF(M642:AQ642,标准数据!$A$4)*标准数据!$B$4</f>
        <v>0</v>
      </c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189"/>
      <c r="AR642" s="55"/>
      <c r="AV642" s="76" t="str">
        <f>VLOOKUP(E642,[1]生产部!$C:$I,7,0)</f>
        <v>班组</v>
      </c>
      <c r="AW642" s="41" t="str">
        <f>VLOOKUP(E642,[1]生产部!$C:$I,6,0)</f>
        <v>12号楼CNC区域</v>
      </c>
    </row>
    <row r="643" spans="1:49" ht="21" customHeight="1">
      <c r="A643" s="237" t="s">
        <v>1940</v>
      </c>
      <c r="B643" s="229" t="s">
        <v>2115</v>
      </c>
      <c r="C643" s="45" t="s">
        <v>129</v>
      </c>
      <c r="D643" s="46" t="s">
        <v>630</v>
      </c>
      <c r="E643" s="47" t="s">
        <v>595</v>
      </c>
      <c r="F643" s="48">
        <v>45908</v>
      </c>
      <c r="G643" s="49">
        <f t="shared" si="9"/>
        <v>0</v>
      </c>
      <c r="H643" s="77">
        <f>SUMIF(积分汇总!$B:$B,D642,积分汇总!$E:$E)</f>
        <v>0</v>
      </c>
      <c r="I643" s="77">
        <f>SUMIF(记录巡查问题条数汇总!$B:$B,D642,记录巡查问题条数汇总!$E:$E)</f>
        <v>0</v>
      </c>
      <c r="J643" s="77"/>
      <c r="K643" s="77">
        <f>SUMIF(安全质量事故!$B:$B,D642,安全质量事故!$G:$G)</f>
        <v>0</v>
      </c>
      <c r="L643" s="72">
        <f>COUNTIF(M643:AQ643,标准数据!$A$2)*标准数据!$B$2+COUNTIF(M643:AQ643,标准数据!$A$3)*标准数据!$B$3+COUNTIF(M643:AQ643,标准数据!$A$4)*标准数据!$B$4</f>
        <v>0</v>
      </c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189"/>
      <c r="AR643" s="55"/>
      <c r="AV643" s="76" t="str">
        <f>VLOOKUP(E643,[1]生产部!$C:$I,7,0)</f>
        <v>班组</v>
      </c>
      <c r="AW643" s="41" t="str">
        <f>VLOOKUP(E643,[1]生产部!$C:$I,6,0)</f>
        <v>12号楼CNC区域</v>
      </c>
    </row>
    <row r="644" spans="1:49" ht="21" customHeight="1">
      <c r="A644" s="237" t="s">
        <v>1940</v>
      </c>
      <c r="B644" s="229" t="s">
        <v>2115</v>
      </c>
      <c r="C644" s="45" t="s">
        <v>129</v>
      </c>
      <c r="D644" s="46" t="s">
        <v>631</v>
      </c>
      <c r="E644" s="47" t="s">
        <v>596</v>
      </c>
      <c r="F644" s="48">
        <v>45908</v>
      </c>
      <c r="G644" s="49">
        <f t="shared" si="9"/>
        <v>0</v>
      </c>
      <c r="H644" s="77">
        <f>SUMIF(积分汇总!$B:$B,D643,积分汇总!$E:$E)</f>
        <v>0</v>
      </c>
      <c r="I644" s="77">
        <f>SUMIF(记录巡查问题条数汇总!$B:$B,D643,记录巡查问题条数汇总!$E:$E)</f>
        <v>0</v>
      </c>
      <c r="J644" s="77"/>
      <c r="K644" s="77">
        <f>SUMIF(安全质量事故!$B:$B,D643,安全质量事故!$G:$G)</f>
        <v>0</v>
      </c>
      <c r="L644" s="72">
        <f>COUNTIF(M644:AQ644,标准数据!$A$2)*标准数据!$B$2+COUNTIF(M644:AQ644,标准数据!$A$3)*标准数据!$B$3+COUNTIF(M644:AQ644,标准数据!$A$4)*标准数据!$B$4</f>
        <v>0</v>
      </c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189"/>
      <c r="AR644" s="55"/>
      <c r="AV644" s="76" t="str">
        <f>VLOOKUP(E644,[1]生产部!$C:$I,7,0)</f>
        <v>常白</v>
      </c>
      <c r="AW644" s="41" t="str">
        <f>VLOOKUP(E644,[1]生产部!$C:$I,6,0)</f>
        <v>12号楼CNC区域</v>
      </c>
    </row>
    <row r="645" spans="1:49" ht="21" customHeight="1">
      <c r="A645" s="237" t="s">
        <v>1940</v>
      </c>
      <c r="B645" s="229" t="s">
        <v>2115</v>
      </c>
      <c r="C645" s="45" t="s">
        <v>129</v>
      </c>
      <c r="D645" s="46" t="s">
        <v>552</v>
      </c>
      <c r="E645" s="47" t="s">
        <v>513</v>
      </c>
      <c r="F645" s="48">
        <v>45889</v>
      </c>
      <c r="G645" s="49">
        <f t="shared" si="9"/>
        <v>0</v>
      </c>
      <c r="H645" s="77">
        <f>SUMIF(积分汇总!$B:$B,D644,积分汇总!$E:$E)</f>
        <v>0</v>
      </c>
      <c r="I645" s="77">
        <f>SUMIF(记录巡查问题条数汇总!$B:$B,D644,记录巡查问题条数汇总!$E:$E)</f>
        <v>0</v>
      </c>
      <c r="J645" s="77"/>
      <c r="K645" s="77">
        <f>SUMIF(安全质量事故!$B:$B,D644,安全质量事故!$G:$G)</f>
        <v>0</v>
      </c>
      <c r="L645" s="72">
        <f>COUNTIF(M645:AQ645,标准数据!$A$2)*标准数据!$B$2+COUNTIF(M645:AQ645,标准数据!$A$3)*标准数据!$B$3+COUNTIF(M645:AQ645,标准数据!$A$4)*标准数据!$B$4</f>
        <v>0</v>
      </c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189"/>
      <c r="AR645" s="55"/>
      <c r="AS645" s="41"/>
      <c r="AT645" s="41"/>
      <c r="AU645" s="41"/>
      <c r="AV645" s="76" t="str">
        <f>VLOOKUP(E645,[1]生产部!$C:$I,7,0)</f>
        <v>班组</v>
      </c>
      <c r="AW645" s="41" t="str">
        <f>VLOOKUP(E645,[1]生产部!$C:$I,6,0)</f>
        <v>12号楼CNC区域</v>
      </c>
    </row>
    <row r="646" spans="1:49" ht="21" customHeight="1">
      <c r="A646" s="237" t="s">
        <v>1940</v>
      </c>
      <c r="B646" s="229" t="s">
        <v>2115</v>
      </c>
      <c r="C646" s="45" t="s">
        <v>129</v>
      </c>
      <c r="D646" s="46" t="s">
        <v>632</v>
      </c>
      <c r="E646" s="47" t="s">
        <v>597</v>
      </c>
      <c r="F646" s="48">
        <v>45910</v>
      </c>
      <c r="G646" s="49">
        <f t="shared" si="9"/>
        <v>0</v>
      </c>
      <c r="H646" s="77">
        <f>SUMIF(积分汇总!$B:$B,D644,积分汇总!$E:$E)</f>
        <v>0</v>
      </c>
      <c r="I646" s="77">
        <f>SUMIF(记录巡查问题条数汇总!$B:$B,D644,记录巡查问题条数汇总!$E:$E)</f>
        <v>0</v>
      </c>
      <c r="J646" s="77"/>
      <c r="K646" s="77">
        <f>SUMIF(安全质量事故!$B:$B,D644,安全质量事故!$G:$G)</f>
        <v>0</v>
      </c>
      <c r="L646" s="72">
        <f>COUNTIF(M646:AQ646,标准数据!$A$2)*标准数据!$B$2+COUNTIF(M646:AQ646,标准数据!$A$3)*标准数据!$B$3+COUNTIF(M646:AQ646,标准数据!$A$4)*标准数据!$B$4</f>
        <v>0</v>
      </c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189"/>
      <c r="AR646" s="55"/>
      <c r="AV646" s="76" t="str">
        <f>VLOOKUP(E646,[1]生产部!$C:$I,7,0)</f>
        <v>班组</v>
      </c>
      <c r="AW646" s="41" t="str">
        <f>VLOOKUP(E646,[1]生产部!$C:$I,6,0)</f>
        <v>12号楼CNC区域</v>
      </c>
    </row>
    <row r="647" spans="1:49" ht="21" customHeight="1">
      <c r="A647" s="237" t="s">
        <v>1940</v>
      </c>
      <c r="B647" s="229" t="s">
        <v>2115</v>
      </c>
      <c r="C647" s="45" t="s">
        <v>129</v>
      </c>
      <c r="D647" s="46" t="s">
        <v>633</v>
      </c>
      <c r="E647" s="47" t="s">
        <v>598</v>
      </c>
      <c r="F647" s="48">
        <v>45910</v>
      </c>
      <c r="G647" s="49">
        <f t="shared" si="9"/>
        <v>0</v>
      </c>
      <c r="H647" s="77">
        <f>SUMIF(积分汇总!$B:$B,D646,积分汇总!$E:$E)</f>
        <v>0</v>
      </c>
      <c r="I647" s="77">
        <f>SUMIF(记录巡查问题条数汇总!$B:$B,D646,记录巡查问题条数汇总!$E:$E)</f>
        <v>0</v>
      </c>
      <c r="J647" s="77"/>
      <c r="K647" s="77">
        <f>SUMIF(安全质量事故!$B:$B,D646,安全质量事故!$G:$G)</f>
        <v>0</v>
      </c>
      <c r="L647" s="72">
        <f>COUNTIF(M647:AQ647,标准数据!$A$2)*标准数据!$B$2+COUNTIF(M647:AQ647,标准数据!$A$3)*标准数据!$B$3+COUNTIF(M647:AQ647,标准数据!$A$4)*标准数据!$B$4</f>
        <v>0</v>
      </c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189"/>
      <c r="AR647" s="55"/>
      <c r="AV647" s="76" t="str">
        <f>VLOOKUP(E647,[1]生产部!$C:$I,7,0)</f>
        <v>常白</v>
      </c>
      <c r="AW647" s="41" t="str">
        <f>VLOOKUP(E647,[1]生产部!$C:$I,6,0)</f>
        <v>12号楼CNC区域</v>
      </c>
    </row>
    <row r="648" spans="1:49" ht="21" customHeight="1">
      <c r="A648" s="237" t="s">
        <v>1940</v>
      </c>
      <c r="B648" s="229" t="s">
        <v>2115</v>
      </c>
      <c r="C648" s="45" t="s">
        <v>129</v>
      </c>
      <c r="D648" s="46" t="s">
        <v>735</v>
      </c>
      <c r="E648" s="47" t="s">
        <v>699</v>
      </c>
      <c r="F648" s="48">
        <v>45940</v>
      </c>
      <c r="G648" s="49">
        <f t="shared" si="9"/>
        <v>0</v>
      </c>
      <c r="H648" s="77">
        <f>SUMIF(积分汇总!$B:$B,D647,积分汇总!$E:$E)</f>
        <v>0</v>
      </c>
      <c r="I648" s="77">
        <f>SUMIF(记录巡查问题条数汇总!$B:$B,D647,记录巡查问题条数汇总!$E:$E)</f>
        <v>0</v>
      </c>
      <c r="J648" s="77"/>
      <c r="K648" s="77">
        <f>SUMIF(安全质量事故!$B:$B,D647,安全质量事故!$G:$G)</f>
        <v>0</v>
      </c>
      <c r="L648" s="72">
        <f>COUNTIF(M648:AQ648,标准数据!$A$2)*标准数据!$B$2+COUNTIF(M648:AQ648,标准数据!$A$3)*标准数据!$B$3+COUNTIF(M648:AQ648,标准数据!$A$4)*标准数据!$B$4</f>
        <v>0</v>
      </c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189"/>
      <c r="AR648" s="55"/>
      <c r="AV648" s="76" t="str">
        <f>VLOOKUP(E648,[1]生产部!$C:$I,7,0)</f>
        <v>班组</v>
      </c>
      <c r="AW648" s="41" t="str">
        <f>VLOOKUP(E648,[1]生产部!$C:$I,6,0)</f>
        <v>12号楼CNC区域</v>
      </c>
    </row>
    <row r="649" spans="1:49" ht="21" customHeight="1">
      <c r="A649" s="237" t="s">
        <v>1940</v>
      </c>
      <c r="B649" s="229" t="s">
        <v>2117</v>
      </c>
      <c r="C649" s="45" t="s">
        <v>129</v>
      </c>
      <c r="D649" s="46" t="s">
        <v>736</v>
      </c>
      <c r="E649" s="47" t="s">
        <v>700</v>
      </c>
      <c r="F649" s="48">
        <v>45940</v>
      </c>
      <c r="G649" s="49">
        <f t="shared" si="9"/>
        <v>0</v>
      </c>
      <c r="H649" s="77">
        <f>SUMIF(积分汇总!$B:$B,D648,积分汇总!$E:$E)</f>
        <v>0</v>
      </c>
      <c r="I649" s="77">
        <f>SUMIF(记录巡查问题条数汇总!$B:$B,D648,记录巡查问题条数汇总!$E:$E)</f>
        <v>0</v>
      </c>
      <c r="J649" s="77"/>
      <c r="K649" s="77">
        <f>SUMIF(安全质量事故!$B:$B,D648,安全质量事故!$G:$G)</f>
        <v>0</v>
      </c>
      <c r="L649" s="72">
        <f>COUNTIF(M649:AQ649,标准数据!$A$2)*标准数据!$B$2+COUNTIF(M649:AQ649,标准数据!$A$3)*标准数据!$B$3+COUNTIF(M649:AQ649,标准数据!$A$4)*标准数据!$B$4</f>
        <v>0</v>
      </c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189"/>
      <c r="AR649" s="55"/>
      <c r="AV649" s="76" t="str">
        <f>VLOOKUP(E649,[1]生产部!$C:$I,7,0)</f>
        <v>班组</v>
      </c>
      <c r="AW649" s="41" t="str">
        <f>VLOOKUP(E649,[1]生产部!$C:$I,6,0)</f>
        <v>12号楼D级区域</v>
      </c>
    </row>
    <row r="650" spans="1:49" ht="21" customHeight="1">
      <c r="A650" s="237" t="s">
        <v>1940</v>
      </c>
      <c r="B650" s="229" t="s">
        <v>2115</v>
      </c>
      <c r="C650" s="45" t="s">
        <v>129</v>
      </c>
      <c r="D650" s="46" t="s">
        <v>737</v>
      </c>
      <c r="E650" s="47" t="s">
        <v>701</v>
      </c>
      <c r="F650" s="48">
        <v>45966</v>
      </c>
      <c r="G650" s="49">
        <f t="shared" si="9"/>
        <v>0</v>
      </c>
      <c r="H650" s="77">
        <f>SUMIF(积分汇总!$B:$B,D649,积分汇总!$E:$E)</f>
        <v>0</v>
      </c>
      <c r="I650" s="77">
        <f>SUMIF(记录巡查问题条数汇总!$B:$B,D649,记录巡查问题条数汇总!$E:$E)</f>
        <v>0</v>
      </c>
      <c r="J650" s="77"/>
      <c r="K650" s="77">
        <f>SUMIF(安全质量事故!$B:$B,D649,安全质量事故!$G:$G)</f>
        <v>0</v>
      </c>
      <c r="L650" s="72">
        <f>COUNTIF(M650:AQ650,标准数据!$A$2)*标准数据!$B$2+COUNTIF(M650:AQ650,标准数据!$A$3)*标准数据!$B$3+COUNTIF(M650:AQ650,标准数据!$A$4)*标准数据!$B$4</f>
        <v>0</v>
      </c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189"/>
      <c r="AR650" s="55"/>
      <c r="AV650" s="76" t="str">
        <f>VLOOKUP(E650,[1]生产部!$C:$I,7,0)</f>
        <v>常白</v>
      </c>
      <c r="AW650" s="41" t="str">
        <f>VLOOKUP(E650,[1]生产部!$C:$I,6,0)</f>
        <v>12号楼CNC区域</v>
      </c>
    </row>
    <row r="651" spans="1:49" ht="21" customHeight="1">
      <c r="A651" s="237" t="s">
        <v>1940</v>
      </c>
      <c r="B651" s="229" t="s">
        <v>2115</v>
      </c>
      <c r="C651" s="45" t="s">
        <v>129</v>
      </c>
      <c r="D651" s="46" t="s">
        <v>845</v>
      </c>
      <c r="E651" s="47" t="s">
        <v>780</v>
      </c>
      <c r="F651" s="48">
        <v>41583</v>
      </c>
      <c r="G651" s="49">
        <f t="shared" si="9"/>
        <v>0</v>
      </c>
      <c r="H651" s="77">
        <f>SUMIF(积分汇总!$B:$B,D650,积分汇总!$E:$E)</f>
        <v>0</v>
      </c>
      <c r="I651" s="77">
        <f>SUMIF(记录巡查问题条数汇总!$B:$B,D650,记录巡查问题条数汇总!$E:$E)</f>
        <v>0</v>
      </c>
      <c r="J651" s="77"/>
      <c r="K651" s="77">
        <f>SUMIF(安全质量事故!$B:$B,D650,安全质量事故!$G:$G)</f>
        <v>0</v>
      </c>
      <c r="L651" s="72">
        <f>COUNTIF(M651:AQ651,标准数据!$A$2)*标准数据!$B$2+COUNTIF(M651:AQ651,标准数据!$A$3)*标准数据!$B$3+COUNTIF(M651:AQ651,标准数据!$A$4)*标准数据!$B$4</f>
        <v>0</v>
      </c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189"/>
      <c r="AR651" s="55"/>
      <c r="AV651" s="76" t="str">
        <f>VLOOKUP(E651,[1]生产部!$C:$I,7,0)</f>
        <v>常白</v>
      </c>
      <c r="AW651" s="41" t="str">
        <f>VLOOKUP(E651,[1]生产部!$C:$I,6,0)</f>
        <v>12号楼CNC区域</v>
      </c>
    </row>
    <row r="652" spans="1:49" ht="21" customHeight="1">
      <c r="A652" s="237" t="s">
        <v>1940</v>
      </c>
      <c r="B652" s="229" t="s">
        <v>2115</v>
      </c>
      <c r="C652" s="45" t="s">
        <v>129</v>
      </c>
      <c r="D652" s="46" t="s">
        <v>937</v>
      </c>
      <c r="E652" s="47" t="s">
        <v>883</v>
      </c>
      <c r="F652" s="48">
        <v>46015</v>
      </c>
      <c r="G652" s="49">
        <f t="shared" si="9"/>
        <v>0</v>
      </c>
      <c r="H652" s="77">
        <f>SUMIF(积分汇总!$B:$B,D651,积分汇总!$E:$E)</f>
        <v>0</v>
      </c>
      <c r="I652" s="77">
        <f>SUMIF(记录巡查问题条数汇总!$B:$B,D651,记录巡查问题条数汇总!$E:$E)</f>
        <v>0</v>
      </c>
      <c r="J652" s="77"/>
      <c r="K652" s="77">
        <f>SUMIF(安全质量事故!$B:$B,D651,安全质量事故!$G:$G)</f>
        <v>0</v>
      </c>
      <c r="L652" s="72">
        <f>COUNTIF(M652:AQ652,标准数据!$A$2)*标准数据!$B$2+COUNTIF(M652:AQ652,标准数据!$A$3)*标准数据!$B$3+COUNTIF(M652:AQ652,标准数据!$A$4)*标准数据!$B$4</f>
        <v>0</v>
      </c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189"/>
      <c r="AR652" s="55"/>
      <c r="AV652" s="76" t="str">
        <f>VLOOKUP(E652,[1]生产部!$C:$I,7,0)</f>
        <v>班组</v>
      </c>
      <c r="AW652" s="41" t="str">
        <f>VLOOKUP(E652,[1]生产部!$C:$I,6,0)</f>
        <v>12号楼CNC区域</v>
      </c>
    </row>
    <row r="653" spans="1:49" ht="21" customHeight="1">
      <c r="A653" s="237" t="s">
        <v>1940</v>
      </c>
      <c r="B653" s="229" t="s">
        <v>2115</v>
      </c>
      <c r="C653" s="45" t="s">
        <v>129</v>
      </c>
      <c r="D653" s="46" t="s">
        <v>739</v>
      </c>
      <c r="E653" s="47" t="s">
        <v>703</v>
      </c>
      <c r="F653" s="48">
        <v>45847</v>
      </c>
      <c r="G653" s="49">
        <f t="shared" si="9"/>
        <v>0</v>
      </c>
      <c r="H653" s="77">
        <f>SUMIF(积分汇总!$B:$B,D652,积分汇总!$E:$E)</f>
        <v>0</v>
      </c>
      <c r="I653" s="77">
        <f>SUMIF(记录巡查问题条数汇总!$B:$B,D652,记录巡查问题条数汇总!$E:$E)</f>
        <v>0</v>
      </c>
      <c r="J653" s="77"/>
      <c r="K653" s="77">
        <f>SUMIF(安全质量事故!$B:$B,D652,安全质量事故!$G:$G)</f>
        <v>0</v>
      </c>
      <c r="L653" s="72">
        <f>COUNTIF(M653:AQ653,标准数据!$A$2)*标准数据!$B$2+COUNTIF(M653:AQ653,标准数据!$A$3)*标准数据!$B$3+COUNTIF(M653:AQ653,标准数据!$A$4)*标准数据!$B$4</f>
        <v>0</v>
      </c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189"/>
      <c r="AR653" s="55"/>
      <c r="AV653" s="76" t="str">
        <f>VLOOKUP(E653,[1]生产部!$C:$I,7,0)</f>
        <v>常白</v>
      </c>
      <c r="AW653" s="41" t="str">
        <f>VLOOKUP(E653,[1]生产部!$C:$I,6,0)</f>
        <v>12号楼CNC区域</v>
      </c>
    </row>
    <row r="654" spans="1:49" ht="21" customHeight="1">
      <c r="A654" s="237" t="s">
        <v>1940</v>
      </c>
      <c r="B654" s="229" t="s">
        <v>2115</v>
      </c>
      <c r="C654" s="45" t="s">
        <v>129</v>
      </c>
      <c r="D654" s="46" t="s">
        <v>546</v>
      </c>
      <c r="E654" s="47" t="s">
        <v>514</v>
      </c>
      <c r="F654" s="48">
        <v>45509</v>
      </c>
      <c r="G654" s="49">
        <f t="shared" si="9"/>
        <v>0</v>
      </c>
      <c r="H654" s="77">
        <f>SUMIF(积分汇总!$B:$B,D653,积分汇总!$E:$E)</f>
        <v>0</v>
      </c>
      <c r="I654" s="77">
        <f>SUMIF(记录巡查问题条数汇总!$B:$B,D653,记录巡查问题条数汇总!$E:$E)</f>
        <v>0</v>
      </c>
      <c r="J654" s="77"/>
      <c r="K654" s="77">
        <f>SUMIF(安全质量事故!$B:$B,D653,安全质量事故!$G:$G)</f>
        <v>0</v>
      </c>
      <c r="L654" s="72">
        <f>COUNTIF(M654:AQ654,标准数据!$A$2)*标准数据!$B$2+COUNTIF(M654:AQ654,标准数据!$A$3)*标准数据!$B$3+COUNTIF(M654:AQ654,标准数据!$A$4)*标准数据!$B$4</f>
        <v>0</v>
      </c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189"/>
      <c r="AR654" s="55"/>
      <c r="AS654" s="41"/>
      <c r="AT654" s="41"/>
      <c r="AU654" s="41"/>
      <c r="AV654" s="76" t="str">
        <f>VLOOKUP(E654,[1]生产部!$C:$I,7,0)</f>
        <v>项目组</v>
      </c>
      <c r="AW654" s="41" t="str">
        <f>VLOOKUP(E654,[1]生产部!$C:$I,6,0)</f>
        <v>12号楼CNC区域</v>
      </c>
    </row>
    <row r="655" spans="1:49" ht="21" customHeight="1">
      <c r="A655" s="237" t="s">
        <v>1940</v>
      </c>
      <c r="B655" s="229" t="s">
        <v>2115</v>
      </c>
      <c r="C655" s="45" t="s">
        <v>146</v>
      </c>
      <c r="D655" s="46" t="s">
        <v>936</v>
      </c>
      <c r="E655" s="47" t="s">
        <v>896</v>
      </c>
      <c r="F655" s="48">
        <v>45896</v>
      </c>
      <c r="G655" s="49">
        <f t="shared" si="9"/>
        <v>0</v>
      </c>
      <c r="H655" s="77">
        <f>SUMIF(积分汇总!$B:$B,D654,积分汇总!$E:$E)</f>
        <v>0</v>
      </c>
      <c r="I655" s="77">
        <f>SUMIF(记录巡查问题条数汇总!$B:$B,D654,记录巡查问题条数汇总!$E:$E)</f>
        <v>0</v>
      </c>
      <c r="J655" s="77"/>
      <c r="K655" s="77">
        <f>SUMIF(安全质量事故!$B:$B,D654,安全质量事故!$G:$G)</f>
        <v>0</v>
      </c>
      <c r="L655" s="72">
        <f>COUNTIF(M655:AQ655,标准数据!$A$2)*标准数据!$B$2+COUNTIF(M655:AQ655,标准数据!$A$3)*标准数据!$B$3+COUNTIF(M655:AQ655,标准数据!$A$4)*标准数据!$B$4</f>
        <v>0</v>
      </c>
      <c r="M655" s="90"/>
      <c r="N655" s="90"/>
      <c r="O655" s="90"/>
      <c r="P655" s="90"/>
      <c r="Q655" s="90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189"/>
      <c r="AR655" s="55"/>
      <c r="AV655" s="76" t="str">
        <f>VLOOKUP(E655,[1]生产部!$C:$I,7,0)</f>
        <v>班组</v>
      </c>
      <c r="AW655" s="41" t="str">
        <f>VLOOKUP(E655,[1]生产部!$C:$I,6,0)</f>
        <v>12号楼CNC区域</v>
      </c>
    </row>
    <row r="656" spans="1:49" ht="21" customHeight="1">
      <c r="A656" s="237" t="s">
        <v>1940</v>
      </c>
      <c r="B656" s="229" t="s">
        <v>2115</v>
      </c>
      <c r="C656" s="45" t="s">
        <v>129</v>
      </c>
      <c r="D656" s="46" t="s">
        <v>1210</v>
      </c>
      <c r="E656" s="47" t="s">
        <v>1211</v>
      </c>
      <c r="F656" s="48">
        <v>46120</v>
      </c>
      <c r="G656" s="49">
        <f t="shared" si="9"/>
        <v>0</v>
      </c>
      <c r="H656" s="77">
        <f>SUMIF(积分汇总!$B:$B,D655,积分汇总!$E:$E)</f>
        <v>0</v>
      </c>
      <c r="I656" s="77">
        <f>SUMIF(记录巡查问题条数汇总!$B:$B,D655,记录巡查问题条数汇总!$E:$E)</f>
        <v>0</v>
      </c>
      <c r="J656" s="77"/>
      <c r="K656" s="77">
        <f>SUMIF(安全质量事故!$B:$B,D655,安全质量事故!$G:$G)</f>
        <v>0</v>
      </c>
      <c r="L656" s="72">
        <f>COUNTIF(M656:AQ656,标准数据!$A$2)*标准数据!$B$2+COUNTIF(M656:AQ656,标准数据!$A$3)*标准数据!$B$3+COUNTIF(M656:AQ656,标准数据!$A$4)*标准数据!$B$4</f>
        <v>0</v>
      </c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189"/>
      <c r="AR656" s="55"/>
      <c r="AS656" s="195" t="s">
        <v>1207</v>
      </c>
      <c r="AV656" s="76" t="str">
        <f>VLOOKUP(E656,[1]生产部!$C:$I,7,0)</f>
        <v>常白</v>
      </c>
      <c r="AW656" s="41" t="str">
        <f>VLOOKUP(E656,[1]生产部!$C:$I,6,0)</f>
        <v>12号楼CNC区域</v>
      </c>
    </row>
    <row r="657" spans="1:49" ht="21" customHeight="1">
      <c r="A657" s="237" t="s">
        <v>1940</v>
      </c>
      <c r="B657" s="229" t="s">
        <v>2115</v>
      </c>
      <c r="C657" s="45" t="s">
        <v>129</v>
      </c>
      <c r="D657" s="46" t="s">
        <v>1212</v>
      </c>
      <c r="E657" s="47" t="s">
        <v>1213</v>
      </c>
      <c r="F657" s="48">
        <v>46127</v>
      </c>
      <c r="G657" s="49">
        <f t="shared" si="9"/>
        <v>0</v>
      </c>
      <c r="H657" s="77">
        <f>SUMIF(积分汇总!$B:$B,D656,积分汇总!$E:$E)</f>
        <v>0</v>
      </c>
      <c r="I657" s="77">
        <f>SUMIF(记录巡查问题条数汇总!$B:$B,D656,记录巡查问题条数汇总!$E:$E)</f>
        <v>0</v>
      </c>
      <c r="J657" s="77"/>
      <c r="K657" s="77">
        <f>SUMIF(安全质量事故!$B:$B,D656,安全质量事故!$G:$G)</f>
        <v>0</v>
      </c>
      <c r="L657" s="72">
        <f>COUNTIF(M657:AQ657,标准数据!$A$2)*标准数据!$B$2+COUNTIF(M657:AQ657,标准数据!$A$3)*标准数据!$B$3+COUNTIF(M657:AQ657,标准数据!$A$4)*标准数据!$B$4</f>
        <v>0</v>
      </c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189"/>
      <c r="AR657" s="55"/>
      <c r="AV657" s="76" t="str">
        <f>VLOOKUP(E657,[1]生产部!$C:$I,7,0)</f>
        <v>班组</v>
      </c>
      <c r="AW657" s="41" t="str">
        <f>VLOOKUP(E657,[1]生产部!$C:$I,6,0)</f>
        <v>12号楼CNC区域</v>
      </c>
    </row>
    <row r="658" spans="1:49" ht="21" customHeight="1">
      <c r="A658" s="237" t="s">
        <v>1940</v>
      </c>
      <c r="B658" s="229" t="s">
        <v>2115</v>
      </c>
      <c r="C658" s="45" t="s">
        <v>146</v>
      </c>
      <c r="D658" s="46" t="s">
        <v>1469</v>
      </c>
      <c r="E658" s="47" t="s">
        <v>1470</v>
      </c>
      <c r="F658" s="48">
        <v>46050</v>
      </c>
      <c r="G658" s="49">
        <f t="shared" si="9"/>
        <v>0</v>
      </c>
      <c r="H658" s="77">
        <f>SUMIF(积分汇总!$B:$B,D657,积分汇总!$E:$E)</f>
        <v>0</v>
      </c>
      <c r="I658" s="77">
        <f>SUMIF(记录巡查问题条数汇总!$B:$B,D657,记录巡查问题条数汇总!$E:$E)</f>
        <v>0</v>
      </c>
      <c r="J658" s="77"/>
      <c r="K658" s="77">
        <f>SUMIF(安全质量事故!$B:$B,D657,安全质量事故!$G:$G)</f>
        <v>0</v>
      </c>
      <c r="L658" s="72">
        <f>COUNTIF(M658:AQ658,标准数据!$A$2)*标准数据!$B$2+COUNTIF(M658:AQ658,标准数据!$A$3)*标准数据!$B$3+COUNTIF(M658:AQ658,标准数据!$A$4)*标准数据!$B$4</f>
        <v>0</v>
      </c>
      <c r="M658" s="90"/>
      <c r="N658" s="90"/>
      <c r="O658" s="90"/>
      <c r="P658" s="90"/>
      <c r="Q658" s="90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189"/>
      <c r="AR658" s="55"/>
      <c r="AS658" s="196" t="s">
        <v>1468</v>
      </c>
      <c r="AV658" s="76" t="str">
        <f>VLOOKUP(E658,[1]生产部!$C:$I,7,0)</f>
        <v>班组</v>
      </c>
      <c r="AW658" s="41" t="str">
        <f>VLOOKUP(E658,[1]生产部!$C:$I,6,0)</f>
        <v>12号楼CNC区域</v>
      </c>
    </row>
    <row r="659" spans="1:49" ht="21" customHeight="1">
      <c r="A659" s="237" t="s">
        <v>1940</v>
      </c>
      <c r="B659" s="229" t="s">
        <v>2115</v>
      </c>
      <c r="C659" s="45" t="s">
        <v>129</v>
      </c>
      <c r="D659" s="46" t="s">
        <v>1471</v>
      </c>
      <c r="E659" s="47" t="s">
        <v>1472</v>
      </c>
      <c r="F659" s="48">
        <v>46085</v>
      </c>
      <c r="G659" s="49">
        <f t="shared" si="9"/>
        <v>0</v>
      </c>
      <c r="H659" s="77">
        <f>SUMIF(积分汇总!$B:$B,D658,积分汇总!$E:$E)</f>
        <v>0</v>
      </c>
      <c r="I659" s="77">
        <f>SUMIF(记录巡查问题条数汇总!$B:$B,D658,记录巡查问题条数汇总!$E:$E)</f>
        <v>0</v>
      </c>
      <c r="J659" s="77"/>
      <c r="K659" s="77">
        <f>SUMIF(安全质量事故!$B:$B,D658,安全质量事故!$G:$G)</f>
        <v>0</v>
      </c>
      <c r="L659" s="72">
        <f>COUNTIF(M659:AQ659,标准数据!$A$2)*标准数据!$B$2+COUNTIF(M659:AQ659,标准数据!$A$3)*标准数据!$B$3+COUNTIF(M659:AQ659,标准数据!$A$4)*标准数据!$B$4</f>
        <v>0</v>
      </c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189"/>
      <c r="AR659" s="55"/>
      <c r="AS659" s="196" t="s">
        <v>1468</v>
      </c>
      <c r="AV659" s="76" t="str">
        <f>VLOOKUP(E659,[1]生产部!$C:$I,7,0)</f>
        <v>班组</v>
      </c>
      <c r="AW659" s="41" t="str">
        <f>VLOOKUP(E659,[1]生产部!$C:$I,6,0)</f>
        <v>12号楼CNC区域</v>
      </c>
    </row>
    <row r="660" spans="1:49" ht="21" customHeight="1">
      <c r="A660" s="237" t="s">
        <v>1940</v>
      </c>
      <c r="B660" s="229" t="s">
        <v>2115</v>
      </c>
      <c r="C660" s="45" t="s">
        <v>129</v>
      </c>
      <c r="D660" s="46" t="s">
        <v>1473</v>
      </c>
      <c r="E660" s="47" t="s">
        <v>1474</v>
      </c>
      <c r="F660" s="48">
        <v>46050</v>
      </c>
      <c r="G660" s="49">
        <f t="shared" ref="G660:G723" si="10">(L660+H660+I660+J660-K660)</f>
        <v>0</v>
      </c>
      <c r="H660" s="77">
        <f>SUMIF(积分汇总!$B:$B,D659,积分汇总!$E:$E)</f>
        <v>0</v>
      </c>
      <c r="I660" s="77">
        <f>SUMIF(记录巡查问题条数汇总!$B:$B,D659,记录巡查问题条数汇总!$E:$E)</f>
        <v>0</v>
      </c>
      <c r="J660" s="77"/>
      <c r="K660" s="77">
        <f>SUMIF(安全质量事故!$B:$B,D659,安全质量事故!$G:$G)</f>
        <v>0</v>
      </c>
      <c r="L660" s="72">
        <f>COUNTIF(M660:AQ660,标准数据!$A$2)*标准数据!$B$2+COUNTIF(M660:AQ660,标准数据!$A$3)*标准数据!$B$3+COUNTIF(M660:AQ660,标准数据!$A$4)*标准数据!$B$4</f>
        <v>0</v>
      </c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189"/>
      <c r="AR660" s="55"/>
      <c r="AV660" s="76" t="str">
        <f>VLOOKUP(E660,[1]生产部!$C:$I,7,0)</f>
        <v>班组</v>
      </c>
      <c r="AW660" s="41" t="str">
        <f>VLOOKUP(E660,[1]生产部!$C:$I,6,0)</f>
        <v>12号楼CNC区域</v>
      </c>
    </row>
    <row r="661" spans="1:49" ht="21" customHeight="1">
      <c r="A661" s="237" t="s">
        <v>1940</v>
      </c>
      <c r="B661" s="229" t="s">
        <v>2115</v>
      </c>
      <c r="C661" s="45" t="s">
        <v>146</v>
      </c>
      <c r="D661" s="46" t="s">
        <v>1792</v>
      </c>
      <c r="E661" s="47" t="s">
        <v>1793</v>
      </c>
      <c r="F661" s="48">
        <v>46204</v>
      </c>
      <c r="G661" s="49">
        <f t="shared" si="10"/>
        <v>0</v>
      </c>
      <c r="H661" s="77">
        <f>SUMIF(积分汇总!$B:$B,D660,积分汇总!$E:$E)</f>
        <v>0</v>
      </c>
      <c r="I661" s="77">
        <f>SUMIF(记录巡查问题条数汇总!$B:$B,D660,记录巡查问题条数汇总!$E:$E)</f>
        <v>0</v>
      </c>
      <c r="J661" s="77"/>
      <c r="K661" s="77">
        <f>SUMIF(安全质量事故!$B:$B,D660,安全质量事故!$G:$G)</f>
        <v>0</v>
      </c>
      <c r="L661" s="72">
        <f>COUNTIF(M661:AQ661,标准数据!$A$2)*标准数据!$B$2+COUNTIF(M661:AQ661,标准数据!$A$3)*标准数据!$B$3+COUNTIF(M661:AQ661,标准数据!$A$4)*标准数据!$B$4</f>
        <v>0</v>
      </c>
      <c r="M661" s="90"/>
      <c r="N661" s="90"/>
      <c r="O661" s="90"/>
      <c r="P661" s="90"/>
      <c r="Q661" s="90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189"/>
      <c r="AR661" s="55"/>
      <c r="AV661" s="76" t="str">
        <f>VLOOKUP(E661,[1]生产部!$C:$I,7,0)</f>
        <v>常白</v>
      </c>
      <c r="AW661" s="41" t="str">
        <f>VLOOKUP(E661,[1]生产部!$C:$I,6,0)</f>
        <v>12号楼CNC区域</v>
      </c>
    </row>
    <row r="662" spans="1:49" ht="21" customHeight="1">
      <c r="A662" s="237" t="s">
        <v>1940</v>
      </c>
      <c r="B662" s="229" t="s">
        <v>2115</v>
      </c>
      <c r="C662" s="45" t="s">
        <v>129</v>
      </c>
      <c r="D662" s="46" t="s">
        <v>1794</v>
      </c>
      <c r="E662" s="47" t="s">
        <v>1795</v>
      </c>
      <c r="F662" s="48">
        <v>46204</v>
      </c>
      <c r="G662" s="49">
        <f t="shared" si="10"/>
        <v>0</v>
      </c>
      <c r="H662" s="77">
        <f>SUMIF(积分汇总!$B:$B,D661,积分汇总!$E:$E)</f>
        <v>0</v>
      </c>
      <c r="I662" s="77">
        <f>SUMIF(记录巡查问题条数汇总!$B:$B,D661,记录巡查问题条数汇总!$E:$E)</f>
        <v>0</v>
      </c>
      <c r="J662" s="77"/>
      <c r="K662" s="77">
        <f>SUMIF(安全质量事故!$B:$B,D661,安全质量事故!$G:$G)</f>
        <v>0</v>
      </c>
      <c r="L662" s="72">
        <f>COUNTIF(M662:AQ662,标准数据!$A$2)*标准数据!$B$2+COUNTIF(M662:AQ662,标准数据!$A$3)*标准数据!$B$3+COUNTIF(M662:AQ662,标准数据!$A$4)*标准数据!$B$4</f>
        <v>0</v>
      </c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189"/>
      <c r="AR662" s="55"/>
      <c r="AS662" s="195" t="s">
        <v>1207</v>
      </c>
      <c r="AV662" s="76" t="str">
        <f>VLOOKUP(E662,[1]生产部!$C:$I,7,0)</f>
        <v>常白</v>
      </c>
      <c r="AW662" s="41" t="str">
        <f>VLOOKUP(E662,[1]生产部!$C:$I,6,0)</f>
        <v>12号楼CNC区域</v>
      </c>
    </row>
    <row r="663" spans="1:49" ht="21" customHeight="1">
      <c r="A663" s="237" t="s">
        <v>1940</v>
      </c>
      <c r="B663" s="229" t="s">
        <v>2115</v>
      </c>
      <c r="C663" s="45" t="s">
        <v>146</v>
      </c>
      <c r="D663" s="46" t="s">
        <v>1796</v>
      </c>
      <c r="E663" s="47" t="s">
        <v>1797</v>
      </c>
      <c r="F663" s="48">
        <v>46204</v>
      </c>
      <c r="G663" s="49">
        <f t="shared" si="10"/>
        <v>0</v>
      </c>
      <c r="H663" s="77">
        <f>SUMIF(积分汇总!$B:$B,D662,积分汇总!$E:$E)</f>
        <v>0</v>
      </c>
      <c r="I663" s="77">
        <f>SUMIF(记录巡查问题条数汇总!$B:$B,D662,记录巡查问题条数汇总!$E:$E)</f>
        <v>0</v>
      </c>
      <c r="J663" s="77"/>
      <c r="K663" s="77">
        <f>SUMIF(安全质量事故!$B:$B,D662,安全质量事故!$G:$G)</f>
        <v>0</v>
      </c>
      <c r="L663" s="72">
        <f>COUNTIF(M663:AQ663,标准数据!$A$2)*标准数据!$B$2+COUNTIF(M663:AQ663,标准数据!$A$3)*标准数据!$B$3+COUNTIF(M663:AQ663,标准数据!$A$4)*标准数据!$B$4</f>
        <v>0</v>
      </c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192"/>
      <c r="AR663" s="90"/>
      <c r="AS663" s="196" t="s">
        <v>1468</v>
      </c>
      <c r="AT663" s="41"/>
      <c r="AU663" s="41"/>
      <c r="AV663" s="76" t="str">
        <f>VLOOKUP(E663,[1]生产部!$C:$I,7,0)</f>
        <v>常白</v>
      </c>
      <c r="AW663" s="41" t="str">
        <f>VLOOKUP(E663,[1]生产部!$C:$I,6,0)</f>
        <v>12号楼CNC区域</v>
      </c>
    </row>
    <row r="664" spans="1:49" ht="21" customHeight="1">
      <c r="A664" s="237" t="s">
        <v>1940</v>
      </c>
      <c r="B664" s="229" t="s">
        <v>2115</v>
      </c>
      <c r="C664" s="45" t="s">
        <v>146</v>
      </c>
      <c r="D664" s="46" t="s">
        <v>1798</v>
      </c>
      <c r="E664" s="47" t="s">
        <v>1799</v>
      </c>
      <c r="F664" s="48">
        <v>46204</v>
      </c>
      <c r="G664" s="49">
        <f t="shared" si="10"/>
        <v>0</v>
      </c>
      <c r="H664" s="77">
        <f>SUMIF(积分汇总!$B:$B,D663,积分汇总!$E:$E)</f>
        <v>0</v>
      </c>
      <c r="I664" s="77">
        <f>SUMIF(记录巡查问题条数汇总!$B:$B,D663,记录巡查问题条数汇总!$E:$E)</f>
        <v>0</v>
      </c>
      <c r="J664" s="77"/>
      <c r="K664" s="77">
        <f>SUMIF(安全质量事故!$B:$B,D663,安全质量事故!$G:$G)</f>
        <v>0</v>
      </c>
      <c r="L664" s="72">
        <f>COUNTIF(M664:AQ664,标准数据!$A$2)*标准数据!$B$2+COUNTIF(M664:AQ664,标准数据!$A$3)*标准数据!$B$3+COUNTIF(M664:AQ664,标准数据!$A$4)*标准数据!$B$4</f>
        <v>0</v>
      </c>
      <c r="M664" s="90"/>
      <c r="N664" s="90"/>
      <c r="O664" s="90"/>
      <c r="P664" s="90"/>
      <c r="Q664" s="90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189"/>
      <c r="AR664" s="55"/>
      <c r="AS664" s="196" t="s">
        <v>1468</v>
      </c>
      <c r="AV664" s="76" t="str">
        <f>VLOOKUP(E664,[1]生产部!$C:$I,7,0)</f>
        <v>常白</v>
      </c>
      <c r="AW664" s="41" t="str">
        <f>VLOOKUP(E664,[1]生产部!$C:$I,6,0)</f>
        <v>12号楼CNC区域</v>
      </c>
    </row>
    <row r="665" spans="1:49" ht="21" customHeight="1">
      <c r="A665" s="237" t="s">
        <v>1940</v>
      </c>
      <c r="B665" s="229" t="s">
        <v>2115</v>
      </c>
      <c r="C665" s="45" t="s">
        <v>129</v>
      </c>
      <c r="D665" s="46" t="s">
        <v>1800</v>
      </c>
      <c r="E665" s="47" t="s">
        <v>1801</v>
      </c>
      <c r="F665" s="48">
        <v>46204</v>
      </c>
      <c r="G665" s="49">
        <f t="shared" si="10"/>
        <v>0</v>
      </c>
      <c r="H665" s="77">
        <f>SUMIF(积分汇总!$B:$B,D664,积分汇总!$E:$E)</f>
        <v>0</v>
      </c>
      <c r="I665" s="77">
        <f>SUMIF(记录巡查问题条数汇总!$B:$B,D664,记录巡查问题条数汇总!$E:$E)</f>
        <v>0</v>
      </c>
      <c r="J665" s="77"/>
      <c r="K665" s="77">
        <f>SUMIF(安全质量事故!$B:$B,D664,安全质量事故!$G:$G)</f>
        <v>0</v>
      </c>
      <c r="L665" s="72">
        <f>COUNTIF(M665:AQ665,标准数据!$A$2)*标准数据!$B$2+COUNTIF(M665:AQ665,标准数据!$A$3)*标准数据!$B$3+COUNTIF(M665:AQ665,标准数据!$A$4)*标准数据!$B$4</f>
        <v>0</v>
      </c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189"/>
      <c r="AR665" s="55"/>
      <c r="AS665" s="196" t="s">
        <v>1468</v>
      </c>
      <c r="AV665" s="76" t="str">
        <f>VLOOKUP(E665,[1]生产部!$C:$I,7,0)</f>
        <v>常白</v>
      </c>
      <c r="AW665" s="41" t="str">
        <f>VLOOKUP(E665,[1]生产部!$C:$I,6,0)</f>
        <v>12号楼CNC区域</v>
      </c>
    </row>
    <row r="666" spans="1:49" ht="21" customHeight="1">
      <c r="A666" s="237" t="s">
        <v>1940</v>
      </c>
      <c r="B666" s="229" t="s">
        <v>2117</v>
      </c>
      <c r="C666" s="45" t="s">
        <v>129</v>
      </c>
      <c r="D666" s="46" t="s">
        <v>1802</v>
      </c>
      <c r="E666" s="47" t="s">
        <v>1803</v>
      </c>
      <c r="F666" s="48">
        <v>46197</v>
      </c>
      <c r="G666" s="49">
        <f t="shared" si="10"/>
        <v>0</v>
      </c>
      <c r="H666" s="77">
        <f>SUMIF(积分汇总!$B:$B,D665,积分汇总!$E:$E)</f>
        <v>0</v>
      </c>
      <c r="I666" s="77">
        <f>SUMIF(记录巡查问题条数汇总!$B:$B,D665,记录巡查问题条数汇总!$E:$E)</f>
        <v>0</v>
      </c>
      <c r="J666" s="77"/>
      <c r="K666" s="77">
        <f>SUMIF(安全质量事故!$B:$B,D665,安全质量事故!$G:$G)</f>
        <v>0</v>
      </c>
      <c r="L666" s="72">
        <f>COUNTIF(M666:AQ666,标准数据!$A$2)*标准数据!$B$2+COUNTIF(M666:AQ666,标准数据!$A$3)*标准数据!$B$3+COUNTIF(M666:AQ666,标准数据!$A$4)*标准数据!$B$4</f>
        <v>0</v>
      </c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189"/>
      <c r="AR666" s="55"/>
      <c r="AV666" s="76" t="str">
        <f>VLOOKUP(E666,[1]生产部!$C:$I,7,0)</f>
        <v>班组</v>
      </c>
      <c r="AW666" s="41" t="str">
        <f>VLOOKUP(E666,[1]生产部!$C:$I,6,0)</f>
        <v>12号楼D级区域</v>
      </c>
    </row>
    <row r="667" spans="1:49" ht="21" customHeight="1">
      <c r="A667" s="237" t="s">
        <v>1940</v>
      </c>
      <c r="B667" s="229" t="s">
        <v>2115</v>
      </c>
      <c r="C667" s="45" t="s">
        <v>146</v>
      </c>
      <c r="D667" s="54" t="s">
        <v>740</v>
      </c>
      <c r="E667" s="47" t="s">
        <v>711</v>
      </c>
      <c r="F667" s="48">
        <v>45868</v>
      </c>
      <c r="G667" s="49">
        <f t="shared" si="10"/>
        <v>0</v>
      </c>
      <c r="H667" s="77">
        <f>SUMIF(积分汇总!$B:$B,D666,积分汇总!$E:$E)</f>
        <v>0</v>
      </c>
      <c r="I667" s="77">
        <f>SUMIF(记录巡查问题条数汇总!$B:$B,D666,记录巡查问题条数汇总!$E:$E)</f>
        <v>0</v>
      </c>
      <c r="J667" s="77"/>
      <c r="K667" s="77">
        <f>SUMIF(安全质量事故!$B:$B,D666,安全质量事故!$G:$G)</f>
        <v>0</v>
      </c>
      <c r="L667" s="72">
        <f>COUNTIF(M667:AQ667,标准数据!$A$2)*标准数据!$B$2+COUNTIF(M667:AQ667,标准数据!$A$3)*标准数据!$B$3+COUNTIF(M667:AQ667,标准数据!$A$4)*标准数据!$B$4</f>
        <v>0</v>
      </c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192"/>
      <c r="AR667" s="90"/>
      <c r="AS667" s="41"/>
      <c r="AT667" s="41"/>
      <c r="AU667" s="41"/>
      <c r="AV667" s="76" t="str">
        <f>VLOOKUP(E667,[1]生产部!$C:$I,7,0)</f>
        <v>班组</v>
      </c>
      <c r="AW667" s="41" t="str">
        <f>VLOOKUP(E667,[1]生产部!$C:$I,6,0)</f>
        <v>12号楼CNC区域</v>
      </c>
    </row>
    <row r="668" spans="1:49" ht="21" customHeight="1">
      <c r="A668" s="237" t="s">
        <v>1940</v>
      </c>
      <c r="B668" s="229" t="s">
        <v>2115</v>
      </c>
      <c r="C668" s="45" t="s">
        <v>129</v>
      </c>
      <c r="D668" s="54" t="s">
        <v>1214</v>
      </c>
      <c r="E668" s="47" t="s">
        <v>1215</v>
      </c>
      <c r="F668" s="48">
        <v>46008</v>
      </c>
      <c r="G668" s="49">
        <f t="shared" si="10"/>
        <v>0</v>
      </c>
      <c r="H668" s="77">
        <f>SUMIF(积分汇总!$B:$B,D667,积分汇总!$E:$E)</f>
        <v>0</v>
      </c>
      <c r="I668" s="77">
        <f>SUMIF(记录巡查问题条数汇总!$B:$B,D667,记录巡查问题条数汇总!$E:$E)</f>
        <v>0</v>
      </c>
      <c r="J668" s="77"/>
      <c r="K668" s="77">
        <f>SUMIF(安全质量事故!$B:$B,D667,安全质量事故!$G:$G)</f>
        <v>0</v>
      </c>
      <c r="L668" s="72">
        <f>COUNTIF(M668:AQ668,标准数据!$A$2)*标准数据!$B$2+COUNTIF(M668:AQ668,标准数据!$A$3)*标准数据!$B$3+COUNTIF(M668:AQ668,标准数据!$A$4)*标准数据!$B$4</f>
        <v>0</v>
      </c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192"/>
      <c r="AR668" s="90"/>
      <c r="AS668" s="41"/>
      <c r="AT668" s="41"/>
      <c r="AU668" s="41"/>
      <c r="AV668" s="76" t="str">
        <f>VLOOKUP(E668,[1]生产部!$C:$I,7,0)</f>
        <v>常白</v>
      </c>
      <c r="AW668" s="41" t="str">
        <f>VLOOKUP(E668,[1]生产部!$C:$I,6,0)</f>
        <v>12号楼CNC区域</v>
      </c>
    </row>
    <row r="669" spans="1:49" ht="21" customHeight="1">
      <c r="A669" s="237" t="s">
        <v>1940</v>
      </c>
      <c r="B669" s="229" t="s">
        <v>2117</v>
      </c>
      <c r="C669" s="45" t="s">
        <v>129</v>
      </c>
      <c r="D669" s="54" t="s">
        <v>1216</v>
      </c>
      <c r="E669" s="47" t="s">
        <v>1217</v>
      </c>
      <c r="F669" s="48">
        <v>45994</v>
      </c>
      <c r="G669" s="49">
        <f t="shared" si="10"/>
        <v>0</v>
      </c>
      <c r="H669" s="77">
        <f>SUMIF(积分汇总!$B:$B,D668,积分汇总!$E:$E)</f>
        <v>0</v>
      </c>
      <c r="I669" s="77">
        <f>SUMIF(记录巡查问题条数汇总!$B:$B,D668,记录巡查问题条数汇总!$E:$E)</f>
        <v>0</v>
      </c>
      <c r="J669" s="77"/>
      <c r="K669" s="77">
        <f>SUMIF(安全质量事故!$B:$B,D668,安全质量事故!$G:$G)</f>
        <v>0</v>
      </c>
      <c r="L669" s="72">
        <f>COUNTIF(M669:AQ669,标准数据!$A$2)*标准数据!$B$2+COUNTIF(M669:AQ669,标准数据!$A$3)*标准数据!$B$3+COUNTIF(M669:AQ669,标准数据!$A$4)*标准数据!$B$4</f>
        <v>0</v>
      </c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192"/>
      <c r="AR669" s="90"/>
      <c r="AS669" s="41"/>
      <c r="AT669" s="41"/>
      <c r="AU669" s="41"/>
      <c r="AV669" s="76" t="str">
        <f>VLOOKUP(E669,[1]生产部!$C:$I,7,0)</f>
        <v>常白</v>
      </c>
      <c r="AW669" s="41" t="str">
        <f>VLOOKUP(E669,[1]生产部!$C:$I,6,0)</f>
        <v>12号楼D级区域</v>
      </c>
    </row>
    <row r="670" spans="1:49" ht="21" customHeight="1">
      <c r="A670" s="238" t="s">
        <v>1940</v>
      </c>
      <c r="B670" s="229" t="s">
        <v>2115</v>
      </c>
      <c r="C670" s="45" t="s">
        <v>129</v>
      </c>
      <c r="D670" s="46" t="s">
        <v>1386</v>
      </c>
      <c r="E670" s="47" t="s">
        <v>1387</v>
      </c>
      <c r="F670" s="48">
        <v>46155</v>
      </c>
      <c r="G670" s="49">
        <f t="shared" si="10"/>
        <v>0</v>
      </c>
      <c r="H670" s="77">
        <f>SUMIF(积分汇总!$B:$B,D669,积分汇总!$E:$E)</f>
        <v>0</v>
      </c>
      <c r="I670" s="77">
        <f>SUMIF(记录巡查问题条数汇总!$B:$B,D669,记录巡查问题条数汇总!$E:$E)</f>
        <v>0</v>
      </c>
      <c r="J670" s="77"/>
      <c r="K670" s="77">
        <f>SUMIF(安全质量事故!$B:$B,D669,安全质量事故!$G:$G)</f>
        <v>0</v>
      </c>
      <c r="L670" s="72">
        <f>COUNTIF(M670:AQ670,标准数据!$A$2)*标准数据!$B$2+COUNTIF(M670:AQ670,标准数据!$A$3)*标准数据!$B$3+COUNTIF(M670:AQ670,标准数据!$A$4)*标准数据!$B$4</f>
        <v>0</v>
      </c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192"/>
      <c r="AR670" s="90"/>
      <c r="AS670" s="63" t="s">
        <v>1559</v>
      </c>
      <c r="AT670" s="41"/>
      <c r="AU670" s="41"/>
      <c r="AV670" s="76" t="str">
        <f>VLOOKUP(E670,[1]生产部!$C:$I,7,0)</f>
        <v>班组</v>
      </c>
      <c r="AW670" s="41" t="str">
        <f>VLOOKUP(E670,[1]生产部!$C:$I,6,0)</f>
        <v>13号楼（12号楼CNC区域委培）</v>
      </c>
    </row>
    <row r="671" spans="1:49" ht="21" customHeight="1">
      <c r="A671" s="238" t="s">
        <v>1940</v>
      </c>
      <c r="B671" s="229" t="s">
        <v>2117</v>
      </c>
      <c r="C671" s="204" t="s">
        <v>146</v>
      </c>
      <c r="D671" s="202" t="s">
        <v>2055</v>
      </c>
      <c r="E671" s="201" t="s">
        <v>2056</v>
      </c>
      <c r="F671" s="203">
        <v>46225</v>
      </c>
      <c r="G671" s="49">
        <f t="shared" si="10"/>
        <v>0</v>
      </c>
      <c r="H671" s="77">
        <f>SUMIF(积分汇总!$B:$B,D670,积分汇总!$E:$E)</f>
        <v>0</v>
      </c>
      <c r="I671" s="77">
        <f>SUMIF(记录巡查问题条数汇总!$B:$B,D670,记录巡查问题条数汇总!$E:$E)</f>
        <v>0</v>
      </c>
      <c r="J671" s="77"/>
      <c r="K671" s="77">
        <f>SUMIF(安全质量事故!$B:$B,D670,安全质量事故!$G:$G)</f>
        <v>0</v>
      </c>
      <c r="L671" s="72">
        <f>COUNTIF(M671:AQ671,标准数据!$A$2)*标准数据!$B$2+COUNTIF(M671:AQ671,标准数据!$A$3)*标准数据!$B$3+COUNTIF(M671:AQ671,标准数据!$A$4)*标准数据!$B$4</f>
        <v>0</v>
      </c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192"/>
      <c r="AR671" s="90"/>
      <c r="AS671" s="63"/>
      <c r="AT671" s="41"/>
      <c r="AU671" s="41"/>
      <c r="AV671" s="76" t="str">
        <f>VLOOKUP(E671,[1]生产部!$C:$I,7,0)</f>
        <v>常白</v>
      </c>
      <c r="AW671" s="41" t="str">
        <f>VLOOKUP(E671,[1]生产部!$C:$I,6,0)</f>
        <v>12号楼CNC区域</v>
      </c>
    </row>
    <row r="672" spans="1:49" ht="21" customHeight="1">
      <c r="A672" s="238" t="s">
        <v>1940</v>
      </c>
      <c r="B672" s="229" t="s">
        <v>2115</v>
      </c>
      <c r="C672" s="204" t="s">
        <v>146</v>
      </c>
      <c r="D672" s="202" t="s">
        <v>2057</v>
      </c>
      <c r="E672" s="201" t="s">
        <v>2058</v>
      </c>
      <c r="F672" s="203">
        <v>44272</v>
      </c>
      <c r="G672" s="49">
        <f t="shared" si="10"/>
        <v>0</v>
      </c>
      <c r="H672" s="77">
        <f>SUMIF(积分汇总!$B:$B,D671,积分汇总!$E:$E)</f>
        <v>0</v>
      </c>
      <c r="I672" s="77">
        <f>SUMIF(记录巡查问题条数汇总!$B:$B,D671,记录巡查问题条数汇总!$E:$E)</f>
        <v>0</v>
      </c>
      <c r="J672" s="77"/>
      <c r="K672" s="77">
        <f>SUMIF(安全质量事故!$B:$B,D671,安全质量事故!$G:$G)</f>
        <v>0</v>
      </c>
      <c r="L672" s="72">
        <f>COUNTIF(M672:AQ672,标准数据!$A$2)*标准数据!$B$2+COUNTIF(M672:AQ672,标准数据!$A$3)*标准数据!$B$3+COUNTIF(M672:AQ672,标准数据!$A$4)*标准数据!$B$4</f>
        <v>0</v>
      </c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192"/>
      <c r="AR672" s="90"/>
      <c r="AS672" s="63"/>
      <c r="AT672" s="41"/>
      <c r="AU672" s="41"/>
      <c r="AV672" s="76" t="str">
        <f>VLOOKUP(E672,[1]生产部!$C:$I,7,0)</f>
        <v>常白</v>
      </c>
      <c r="AW672" s="41" t="str">
        <f>VLOOKUP(E672,[1]生产部!$C:$I,6,0)</f>
        <v>12号楼D级区域</v>
      </c>
    </row>
    <row r="673" spans="1:49" ht="21" customHeight="1">
      <c r="A673" s="238" t="s">
        <v>1940</v>
      </c>
      <c r="B673" s="229" t="s">
        <v>2115</v>
      </c>
      <c r="C673" s="204" t="s">
        <v>146</v>
      </c>
      <c r="D673" s="202" t="s">
        <v>2059</v>
      </c>
      <c r="E673" s="201" t="s">
        <v>2060</v>
      </c>
      <c r="F673" s="203">
        <v>45805</v>
      </c>
      <c r="G673" s="49">
        <f t="shared" si="10"/>
        <v>0</v>
      </c>
      <c r="H673" s="77">
        <f>SUMIF(积分汇总!$B:$B,D672,积分汇总!$E:$E)</f>
        <v>0</v>
      </c>
      <c r="I673" s="77">
        <f>SUMIF(记录巡查问题条数汇总!$B:$B,D672,记录巡查问题条数汇总!$E:$E)</f>
        <v>0</v>
      </c>
      <c r="J673" s="77"/>
      <c r="K673" s="77">
        <f>SUMIF(安全质量事故!$B:$B,D672,安全质量事故!$G:$G)</f>
        <v>0</v>
      </c>
      <c r="L673" s="72">
        <f>COUNTIF(M673:AQ673,标准数据!$A$2)*标准数据!$B$2+COUNTIF(M673:AQ673,标准数据!$A$3)*标准数据!$B$3+COUNTIF(M673:AQ673,标准数据!$A$4)*标准数据!$B$4</f>
        <v>0</v>
      </c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192"/>
      <c r="AR673" s="90"/>
      <c r="AS673" s="63"/>
      <c r="AT673" s="41"/>
      <c r="AU673" s="41"/>
      <c r="AV673" s="76" t="str">
        <f>VLOOKUP(E673,[1]生产部!$C:$I,7,0)</f>
        <v>常白</v>
      </c>
      <c r="AW673" s="41" t="str">
        <f>VLOOKUP(E673,[1]生产部!$C:$I,6,0)</f>
        <v>12号楼D级区域</v>
      </c>
    </row>
    <row r="674" spans="1:49" ht="21" customHeight="1">
      <c r="A674" s="238" t="s">
        <v>1940</v>
      </c>
      <c r="B674" s="229" t="s">
        <v>2117</v>
      </c>
      <c r="C674" s="204" t="s">
        <v>146</v>
      </c>
      <c r="D674" s="202" t="s">
        <v>2061</v>
      </c>
      <c r="E674" s="201" t="s">
        <v>2062</v>
      </c>
      <c r="F674" s="203">
        <v>45236</v>
      </c>
      <c r="G674" s="49">
        <f t="shared" si="10"/>
        <v>0</v>
      </c>
      <c r="H674" s="77">
        <f>SUMIF(积分汇总!$B:$B,D673,积分汇总!$E:$E)</f>
        <v>0</v>
      </c>
      <c r="I674" s="77">
        <f>SUMIF(记录巡查问题条数汇总!$B:$B,D673,记录巡查问题条数汇总!$E:$E)</f>
        <v>0</v>
      </c>
      <c r="J674" s="77"/>
      <c r="K674" s="77">
        <f>SUMIF(安全质量事故!$B:$B,D673,安全质量事故!$G:$G)</f>
        <v>0</v>
      </c>
      <c r="L674" s="72">
        <f>COUNTIF(M674:AQ674,标准数据!$A$2)*标准数据!$B$2+COUNTIF(M674:AQ674,标准数据!$A$3)*标准数据!$B$3+COUNTIF(M674:AQ674,标准数据!$A$4)*标准数据!$B$4</f>
        <v>0</v>
      </c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192"/>
      <c r="AR674" s="90"/>
      <c r="AS674" s="63"/>
      <c r="AT674" s="41"/>
      <c r="AU674" s="41"/>
      <c r="AV674" s="76" t="str">
        <f>VLOOKUP(E674,[1]生产部!$C:$I,7,0)</f>
        <v>常白</v>
      </c>
      <c r="AW674" s="41" t="str">
        <f>VLOOKUP(E674,[1]生产部!$C:$I,6,0)</f>
        <v>12号楼D级区域</v>
      </c>
    </row>
    <row r="675" spans="1:49" ht="21" customHeight="1">
      <c r="A675" s="238" t="s">
        <v>1940</v>
      </c>
      <c r="B675" s="229" t="s">
        <v>2115</v>
      </c>
      <c r="C675" s="204" t="s">
        <v>146</v>
      </c>
      <c r="D675" s="202" t="s">
        <v>2063</v>
      </c>
      <c r="E675" s="201" t="s">
        <v>2064</v>
      </c>
      <c r="F675" s="203">
        <v>44118</v>
      </c>
      <c r="G675" s="49">
        <f t="shared" si="10"/>
        <v>0</v>
      </c>
      <c r="H675" s="77">
        <f>SUMIF(积分汇总!$B:$B,D674,积分汇总!$E:$E)</f>
        <v>0</v>
      </c>
      <c r="I675" s="77">
        <f>SUMIF(记录巡查问题条数汇总!$B:$B,D674,记录巡查问题条数汇总!$E:$E)</f>
        <v>0</v>
      </c>
      <c r="J675" s="77"/>
      <c r="K675" s="77">
        <f>SUMIF(安全质量事故!$B:$B,D674,安全质量事故!$G:$G)</f>
        <v>0</v>
      </c>
      <c r="L675" s="72">
        <f>COUNTIF(M675:AQ675,标准数据!$A$2)*标准数据!$B$2+COUNTIF(M675:AQ675,标准数据!$A$3)*标准数据!$B$3+COUNTIF(M675:AQ675,标准数据!$A$4)*标准数据!$B$4</f>
        <v>0</v>
      </c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192"/>
      <c r="AR675" s="90"/>
      <c r="AS675" s="63"/>
      <c r="AT675" s="41"/>
      <c r="AU675" s="41"/>
      <c r="AV675" s="76" t="str">
        <f>VLOOKUP(E675,[1]生产部!$C:$I,7,0)</f>
        <v>常白</v>
      </c>
      <c r="AW675" s="41" t="str">
        <f>VLOOKUP(E675,[1]生产部!$C:$I,6,0)</f>
        <v>12号楼D级区域</v>
      </c>
    </row>
    <row r="676" spans="1:49" ht="21" customHeight="1">
      <c r="A676" s="238" t="s">
        <v>1940</v>
      </c>
      <c r="B676" s="229" t="s">
        <v>2117</v>
      </c>
      <c r="C676" s="204" t="s">
        <v>146</v>
      </c>
      <c r="D676" s="202" t="s">
        <v>2065</v>
      </c>
      <c r="E676" s="201" t="s">
        <v>2066</v>
      </c>
      <c r="F676" s="203">
        <v>45455</v>
      </c>
      <c r="G676" s="49">
        <f t="shared" si="10"/>
        <v>0</v>
      </c>
      <c r="H676" s="77">
        <f>SUMIF(积分汇总!$B:$B,D675,积分汇总!$E:$E)</f>
        <v>0</v>
      </c>
      <c r="I676" s="77">
        <f>SUMIF(记录巡查问题条数汇总!$B:$B,D675,记录巡查问题条数汇总!$E:$E)</f>
        <v>0</v>
      </c>
      <c r="J676" s="77"/>
      <c r="K676" s="77">
        <f>SUMIF(安全质量事故!$B:$B,D675,安全质量事故!$G:$G)</f>
        <v>0</v>
      </c>
      <c r="L676" s="72">
        <f>COUNTIF(M676:AQ676,标准数据!$A$2)*标准数据!$B$2+COUNTIF(M676:AQ676,标准数据!$A$3)*标准数据!$B$3+COUNTIF(M676:AQ676,标准数据!$A$4)*标准数据!$B$4</f>
        <v>0</v>
      </c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192"/>
      <c r="AR676" s="90"/>
      <c r="AS676" s="63"/>
      <c r="AT676" s="41"/>
      <c r="AU676" s="41"/>
      <c r="AV676" s="76" t="str">
        <f>VLOOKUP(E676,[1]生产部!$C:$I,7,0)</f>
        <v>常白</v>
      </c>
      <c r="AW676" s="41" t="str">
        <f>VLOOKUP(E676,[1]生产部!$C:$I,6,0)</f>
        <v>12号楼D级区域</v>
      </c>
    </row>
    <row r="677" spans="1:49" ht="21" customHeight="1">
      <c r="A677" s="238" t="s">
        <v>1940</v>
      </c>
      <c r="B677" s="229" t="s">
        <v>2115</v>
      </c>
      <c r="C677" s="204" t="s">
        <v>146</v>
      </c>
      <c r="D677" s="202" t="s">
        <v>2067</v>
      </c>
      <c r="E677" s="201" t="s">
        <v>2068</v>
      </c>
      <c r="F677" s="203">
        <v>46225</v>
      </c>
      <c r="G677" s="49">
        <f t="shared" si="10"/>
        <v>0</v>
      </c>
      <c r="H677" s="77">
        <f>SUMIF(积分汇总!$B:$B,D676,积分汇总!$E:$E)</f>
        <v>0</v>
      </c>
      <c r="I677" s="77">
        <f>SUMIF(记录巡查问题条数汇总!$B:$B,D676,记录巡查问题条数汇总!$E:$E)</f>
        <v>0</v>
      </c>
      <c r="J677" s="77"/>
      <c r="K677" s="77">
        <f>SUMIF(安全质量事故!$B:$B,D676,安全质量事故!$G:$G)</f>
        <v>0</v>
      </c>
      <c r="L677" s="72">
        <f>COUNTIF(M677:AQ677,标准数据!$A$2)*标准数据!$B$2+COUNTIF(M677:AQ677,标准数据!$A$3)*标准数据!$B$3+COUNTIF(M677:AQ677,标准数据!$A$4)*标准数据!$B$4</f>
        <v>0</v>
      </c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192"/>
      <c r="AR677" s="90"/>
      <c r="AS677" s="63"/>
      <c r="AT677" s="41"/>
      <c r="AU677" s="41"/>
      <c r="AV677" s="76" t="str">
        <f>VLOOKUP(E677,[1]生产部!$C:$I,7,0)</f>
        <v>常白</v>
      </c>
      <c r="AW677" s="41" t="str">
        <f>VLOOKUP(E677,[1]生产部!$C:$I,6,0)</f>
        <v>13号楼（12号楼CNC区域委培）</v>
      </c>
    </row>
    <row r="678" spans="1:49" ht="21" customHeight="1">
      <c r="A678" s="238" t="s">
        <v>1940</v>
      </c>
      <c r="B678" s="229" t="s">
        <v>2115</v>
      </c>
      <c r="C678" s="204" t="s">
        <v>146</v>
      </c>
      <c r="D678" s="202" t="s">
        <v>2069</v>
      </c>
      <c r="E678" s="201" t="s">
        <v>2070</v>
      </c>
      <c r="F678" s="203">
        <v>46225</v>
      </c>
      <c r="G678" s="49">
        <f t="shared" si="10"/>
        <v>0</v>
      </c>
      <c r="H678" s="77">
        <f>SUMIF(积分汇总!$B:$B,D677,积分汇总!$E:$E)</f>
        <v>0</v>
      </c>
      <c r="I678" s="77">
        <f>SUMIF(记录巡查问题条数汇总!$B:$B,D677,记录巡查问题条数汇总!$E:$E)</f>
        <v>0</v>
      </c>
      <c r="J678" s="77"/>
      <c r="K678" s="77">
        <f>SUMIF(安全质量事故!$B:$B,D677,安全质量事故!$G:$G)</f>
        <v>0</v>
      </c>
      <c r="L678" s="72">
        <f>COUNTIF(M678:AQ678,标准数据!$A$2)*标准数据!$B$2+COUNTIF(M678:AQ678,标准数据!$A$3)*标准数据!$B$3+COUNTIF(M678:AQ678,标准数据!$A$4)*标准数据!$B$4</f>
        <v>0</v>
      </c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192"/>
      <c r="AR678" s="90"/>
      <c r="AS678" s="63"/>
      <c r="AT678" s="41"/>
      <c r="AU678" s="41"/>
      <c r="AV678" s="76" t="str">
        <f>VLOOKUP(E678,[1]生产部!$C:$I,7,0)</f>
        <v>常白</v>
      </c>
      <c r="AW678" s="41" t="str">
        <f>VLOOKUP(E678,[1]生产部!$C:$I,6,0)</f>
        <v>13号楼（12号楼CNC区域委培）</v>
      </c>
    </row>
    <row r="679" spans="1:49" ht="21" customHeight="1">
      <c r="A679" s="234" t="s">
        <v>88</v>
      </c>
      <c r="B679" s="229" t="s">
        <v>2120</v>
      </c>
      <c r="C679" s="45" t="s">
        <v>81</v>
      </c>
      <c r="D679" s="46" t="s">
        <v>753</v>
      </c>
      <c r="E679" s="47" t="s">
        <v>712</v>
      </c>
      <c r="F679" s="48">
        <v>45980</v>
      </c>
      <c r="G679" s="49">
        <f t="shared" si="10"/>
        <v>0</v>
      </c>
      <c r="H679" s="77">
        <f>SUMIF(积分汇总!$B:$B,D678,积分汇总!$E:$E)</f>
        <v>0</v>
      </c>
      <c r="I679" s="77">
        <f>SUMIF(记录巡查问题条数汇总!$B:$B,D678,记录巡查问题条数汇总!$E:$E)</f>
        <v>0</v>
      </c>
      <c r="J679" s="77"/>
      <c r="K679" s="77">
        <f>SUMIF(安全质量事故!$B:$B,D678,安全质量事故!$G:$G)</f>
        <v>0</v>
      </c>
      <c r="L679" s="72">
        <f>COUNTIF(M679:AQ679,标准数据!$A$2)*标准数据!$B$2+COUNTIF(M679:AQ679,标准数据!$A$3)*标准数据!$B$3+COUNTIF(M679:AQ679,标准数据!$A$4)*标准数据!$B$4</f>
        <v>0</v>
      </c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192"/>
      <c r="AR679" s="90"/>
      <c r="AS679" s="285" t="s">
        <v>1039</v>
      </c>
      <c r="AT679" s="285"/>
      <c r="AU679" s="283"/>
      <c r="AV679" s="76" t="str">
        <f>VLOOKUP(E679,[1]生产部!$C:$I,7,0)</f>
        <v>常白</v>
      </c>
      <c r="AW679" s="41" t="str">
        <f>VLOOKUP(E679,[1]生产部!$C:$I,6,0)</f>
        <v>自控组</v>
      </c>
    </row>
    <row r="680" spans="1:49" ht="21" customHeight="1">
      <c r="A680" s="234" t="s">
        <v>2134</v>
      </c>
      <c r="B680" s="229" t="s">
        <v>2120</v>
      </c>
      <c r="C680" s="45" t="s">
        <v>81</v>
      </c>
      <c r="D680" s="46" t="s">
        <v>760</v>
      </c>
      <c r="E680" s="47" t="s">
        <v>761</v>
      </c>
      <c r="F680" s="48">
        <v>42914</v>
      </c>
      <c r="G680" s="49">
        <f t="shared" si="10"/>
        <v>0</v>
      </c>
      <c r="H680" s="77">
        <f>SUMIF(积分汇总!$B:$B,D679,积分汇总!$E:$E)</f>
        <v>0</v>
      </c>
      <c r="I680" s="77">
        <f>SUMIF(记录巡查问题条数汇总!$B:$B,D679,记录巡查问题条数汇总!$E:$E)</f>
        <v>0</v>
      </c>
      <c r="J680" s="77"/>
      <c r="K680" s="77">
        <f>SUMIF(安全质量事故!$B:$B,D679,安全质量事故!$G:$G)</f>
        <v>0</v>
      </c>
      <c r="L680" s="72">
        <f>COUNTIF(M680:AQ680,标准数据!$A$2)*标准数据!$B$2+COUNTIF(M680:AQ680,标准数据!$A$3)*标准数据!$B$3+COUNTIF(M680:AQ680,标准数据!$A$4)*标准数据!$B$4</f>
        <v>0</v>
      </c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192"/>
      <c r="AR680" s="90"/>
      <c r="AS680" s="225" t="s">
        <v>1031</v>
      </c>
      <c r="AT680" s="226" t="s">
        <v>1027</v>
      </c>
      <c r="AU680" s="226" t="s">
        <v>1037</v>
      </c>
      <c r="AV680" s="76" t="str">
        <f>VLOOKUP(E680,[1]生产部!$C:$I,7,0)</f>
        <v>常白</v>
      </c>
      <c r="AW680" s="41" t="str">
        <f>VLOOKUP(E680,[1]生产部!$C:$I,6,0)</f>
        <v>自控组</v>
      </c>
    </row>
    <row r="681" spans="1:49" ht="21" customHeight="1">
      <c r="A681" s="234" t="s">
        <v>2134</v>
      </c>
      <c r="B681" s="229" t="s">
        <v>2121</v>
      </c>
      <c r="C681" s="45" t="s">
        <v>81</v>
      </c>
      <c r="D681" s="46" t="s">
        <v>853</v>
      </c>
      <c r="E681" s="47" t="s">
        <v>812</v>
      </c>
      <c r="F681" s="48">
        <v>46001</v>
      </c>
      <c r="G681" s="49">
        <f t="shared" si="10"/>
        <v>0</v>
      </c>
      <c r="H681" s="77">
        <f>SUMIF(积分汇总!$B:$B,D680,积分汇总!$E:$E)</f>
        <v>0</v>
      </c>
      <c r="I681" s="77">
        <f>SUMIF(记录巡查问题条数汇总!$B:$B,D680,记录巡查问题条数汇总!$E:$E)</f>
        <v>0</v>
      </c>
      <c r="J681" s="77"/>
      <c r="K681" s="77">
        <f>SUMIF(安全质量事故!$B:$B,D680,安全质量事故!$G:$G)</f>
        <v>0</v>
      </c>
      <c r="L681" s="72">
        <f>COUNTIF(M681:AQ681,标准数据!$A$2)*标准数据!$B$2+COUNTIF(M681:AQ681,标准数据!$A$3)*标准数据!$B$3+COUNTIF(M681:AQ681,标准数据!$A$4)*标准数据!$B$4</f>
        <v>0</v>
      </c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192"/>
      <c r="AR681" s="90"/>
      <c r="AS681" s="64">
        <f>COUNTIF($M$679:$AQ$797,"a")</f>
        <v>0</v>
      </c>
      <c r="AT681" s="64">
        <f>COUNTIF($M$679:$AQ$797,"b")</f>
        <v>0</v>
      </c>
      <c r="AU681" s="64">
        <f>COUNTIF($M$679:$AQ$797,"c")</f>
        <v>0</v>
      </c>
      <c r="AV681" s="76" t="str">
        <f>VLOOKUP(E681,[1]生产部!$C:$I,7,0)</f>
        <v>常白</v>
      </c>
      <c r="AW681" s="41" t="str">
        <f>VLOOKUP(E681,[1]生产部!$C:$I,6,0)</f>
        <v>DCS&amp;仪表组</v>
      </c>
    </row>
    <row r="682" spans="1:49" ht="21" customHeight="1">
      <c r="A682" s="234" t="s">
        <v>2134</v>
      </c>
      <c r="B682" s="229" t="s">
        <v>2121</v>
      </c>
      <c r="C682" s="45" t="s">
        <v>81</v>
      </c>
      <c r="D682" s="46" t="s">
        <v>1242</v>
      </c>
      <c r="E682" s="47" t="s">
        <v>1243</v>
      </c>
      <c r="F682" s="48">
        <v>46120</v>
      </c>
      <c r="G682" s="49">
        <f t="shared" si="10"/>
        <v>0</v>
      </c>
      <c r="H682" s="77">
        <f>SUMIF(积分汇总!$B:$B,D681,积分汇总!$E:$E)</f>
        <v>0</v>
      </c>
      <c r="I682" s="77">
        <f>SUMIF(记录巡查问题条数汇总!$B:$B,D681,记录巡查问题条数汇总!$E:$E)</f>
        <v>0</v>
      </c>
      <c r="J682" s="77"/>
      <c r="K682" s="77">
        <f>SUMIF(安全质量事故!$B:$B,D681,安全质量事故!$G:$G)</f>
        <v>0</v>
      </c>
      <c r="L682" s="72">
        <f>COUNTIF(M682:AQ682,标准数据!$A$2)*标准数据!$B$2+COUNTIF(M682:AQ682,标准数据!$A$3)*标准数据!$B$3+COUNTIF(M682:AQ682,标准数据!$A$4)*标准数据!$B$4</f>
        <v>0</v>
      </c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192"/>
      <c r="AR682" s="90"/>
      <c r="AS682" s="50" t="e">
        <f>AS681/($AS$681+$AT$681+$AU$681)</f>
        <v>#DIV/0!</v>
      </c>
      <c r="AT682" s="60" t="e">
        <f>AT681/($AS$681+$AT$681+$AU$681)</f>
        <v>#DIV/0!</v>
      </c>
      <c r="AU682" s="60" t="e">
        <f>AU681/($AS$681+$AT$681+$AU$681)</f>
        <v>#DIV/0!</v>
      </c>
      <c r="AV682" s="76" t="str">
        <f>VLOOKUP(E682,[1]生产部!$C:$I,7,0)</f>
        <v>常白</v>
      </c>
      <c r="AW682" s="41" t="str">
        <f>VLOOKUP(E682,[1]生产部!$C:$I,6,0)</f>
        <v>DCS&amp;仪表组</v>
      </c>
    </row>
    <row r="683" spans="1:49" ht="21" customHeight="1">
      <c r="A683" s="234" t="s">
        <v>2134</v>
      </c>
      <c r="B683" s="229" t="s">
        <v>2121</v>
      </c>
      <c r="C683" s="45" t="s">
        <v>13</v>
      </c>
      <c r="D683" s="46" t="s">
        <v>1546</v>
      </c>
      <c r="E683" s="47" t="s">
        <v>1547</v>
      </c>
      <c r="F683" s="48">
        <v>46188</v>
      </c>
      <c r="G683" s="49">
        <f t="shared" si="10"/>
        <v>0</v>
      </c>
      <c r="H683" s="77">
        <f>SUMIF(积分汇总!$B:$B,D682,积分汇总!$E:$E)</f>
        <v>0</v>
      </c>
      <c r="I683" s="77">
        <f>SUMIF(记录巡查问题条数汇总!$B:$B,D682,记录巡查问题条数汇总!$E:$E)</f>
        <v>0</v>
      </c>
      <c r="J683" s="77"/>
      <c r="K683" s="77">
        <f>SUMIF(安全质量事故!$B:$B,D682,安全质量事故!$G:$G)</f>
        <v>0</v>
      </c>
      <c r="L683" s="72">
        <f>COUNTIF(M683:AQ683,标准数据!$A$2)*标准数据!$B$2+COUNTIF(M683:AQ683,标准数据!$A$3)*标准数据!$B$3+COUNTIF(M683:AQ683,标准数据!$A$4)*标准数据!$B$4</f>
        <v>0</v>
      </c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188"/>
      <c r="AR683" s="90"/>
      <c r="AS683" s="41"/>
      <c r="AT683" s="41"/>
      <c r="AU683" s="41"/>
      <c r="AV683" s="76" t="str">
        <f>VLOOKUP(E683,[1]生产部!$C:$I,7,0)</f>
        <v>常白</v>
      </c>
      <c r="AW683" s="41" t="str">
        <f>VLOOKUP(E683,[1]生产部!$C:$I,6,0)</f>
        <v>DCS&amp;仪表组</v>
      </c>
    </row>
    <row r="684" spans="1:49" ht="21" customHeight="1">
      <c r="A684" s="234" t="s">
        <v>2134</v>
      </c>
      <c r="B684" s="229" t="s">
        <v>2121</v>
      </c>
      <c r="C684" s="204" t="s">
        <v>13</v>
      </c>
      <c r="D684" s="202" t="s">
        <v>2071</v>
      </c>
      <c r="E684" s="201" t="s">
        <v>2072</v>
      </c>
      <c r="F684" s="203">
        <v>46232</v>
      </c>
      <c r="G684" s="49">
        <f t="shared" si="10"/>
        <v>0</v>
      </c>
      <c r="H684" s="77">
        <f>SUMIF(积分汇总!$B:$B,#REF!,积分汇总!$E:$E)</f>
        <v>0</v>
      </c>
      <c r="I684" s="77">
        <f>SUMIF(记录巡查问题条数汇总!$B:$B,#REF!,记录巡查问题条数汇总!$E:$E)</f>
        <v>0</v>
      </c>
      <c r="J684" s="77"/>
      <c r="K684" s="77">
        <f>SUMIF(安全质量事故!$B:$B,#REF!,安全质量事故!$G:$G)</f>
        <v>0</v>
      </c>
      <c r="L684" s="72">
        <f>COUNTIF(M684:AQ684,标准数据!$A$2)*标准数据!$B$2+COUNTIF(M684:AQ684,标准数据!$A$3)*标准数据!$B$3+COUNTIF(M684:AQ684,标准数据!$A$4)*标准数据!$B$4</f>
        <v>0</v>
      </c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188"/>
      <c r="AR684" s="90"/>
      <c r="AS684" s="41"/>
      <c r="AT684" s="41"/>
      <c r="AU684" s="41"/>
      <c r="AV684" s="76" t="str">
        <f>VLOOKUP(E684,[1]生产部!$C:$I,7,0)</f>
        <v>常白</v>
      </c>
      <c r="AW684" s="41" t="str">
        <f>VLOOKUP(E684,[1]生产部!$C:$I,6,0)</f>
        <v>DCS&amp;仪表组</v>
      </c>
    </row>
    <row r="685" spans="1:49" ht="21" customHeight="1">
      <c r="A685" s="234" t="s">
        <v>2134</v>
      </c>
      <c r="B685" s="229" t="s">
        <v>2121</v>
      </c>
      <c r="C685" s="45" t="s">
        <v>2073</v>
      </c>
      <c r="D685" s="46" t="s">
        <v>161</v>
      </c>
      <c r="E685" s="47" t="s">
        <v>68</v>
      </c>
      <c r="F685" s="48">
        <v>44755</v>
      </c>
      <c r="G685" s="49">
        <f t="shared" si="10"/>
        <v>0</v>
      </c>
      <c r="H685" s="77">
        <f>SUMIF(积分汇总!$B:$B,D684,积分汇总!$E:$E)</f>
        <v>0</v>
      </c>
      <c r="I685" s="77">
        <f>SUMIF(记录巡查问题条数汇总!$B:$B,D684,记录巡查问题条数汇总!$E:$E)</f>
        <v>0</v>
      </c>
      <c r="J685" s="77"/>
      <c r="K685" s="77">
        <f>SUMIF(安全质量事故!$B:$B,D684,安全质量事故!$G:$G)</f>
        <v>0</v>
      </c>
      <c r="L685" s="72">
        <f>COUNTIF(M685:AQ685,标准数据!$A$2)*标准数据!$B$2+COUNTIF(M685:AQ685,标准数据!$A$3)*标准数据!$B$3+COUNTIF(M685:AQ685,标准数据!$A$4)*标准数据!$B$4</f>
        <v>0</v>
      </c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192"/>
      <c r="AR685" s="90"/>
      <c r="AS685" s="41"/>
      <c r="AT685" s="41"/>
      <c r="AU685" s="41"/>
      <c r="AV685" s="76" t="str">
        <f>VLOOKUP(E685,[1]生产部!$C:$I,7,0)</f>
        <v>常白</v>
      </c>
      <c r="AW685" s="41" t="str">
        <f>VLOOKUP(E685,[1]生产部!$C:$I,6,0)</f>
        <v>DCS&amp;仪表组</v>
      </c>
    </row>
    <row r="686" spans="1:49" ht="21" customHeight="1">
      <c r="A686" s="234" t="s">
        <v>2134</v>
      </c>
      <c r="B686" s="229" t="s">
        <v>2121</v>
      </c>
      <c r="C686" s="45" t="s">
        <v>14</v>
      </c>
      <c r="D686" s="46" t="s">
        <v>162</v>
      </c>
      <c r="E686" s="47" t="s">
        <v>72</v>
      </c>
      <c r="F686" s="48">
        <v>44755</v>
      </c>
      <c r="G686" s="49">
        <f t="shared" si="10"/>
        <v>0</v>
      </c>
      <c r="H686" s="77">
        <f>SUMIF(积分汇总!$B:$B,D685,积分汇总!$E:$E)</f>
        <v>0</v>
      </c>
      <c r="I686" s="77">
        <f>SUMIF(记录巡查问题条数汇总!$B:$B,D685,记录巡查问题条数汇总!$E:$E)</f>
        <v>0</v>
      </c>
      <c r="J686" s="77"/>
      <c r="K686" s="77">
        <f>SUMIF(安全质量事故!$B:$B,D685,安全质量事故!$G:$G)</f>
        <v>0</v>
      </c>
      <c r="L686" s="72">
        <f>COUNTIF(M686:AQ686,标准数据!$A$2)*标准数据!$B$2+COUNTIF(M686:AQ686,标准数据!$A$3)*标准数据!$B$3+COUNTIF(M686:AQ686,标准数据!$A$4)*标准数据!$B$4</f>
        <v>0</v>
      </c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192"/>
      <c r="AR686" s="90"/>
      <c r="AS686" s="41"/>
      <c r="AT686" s="41"/>
      <c r="AU686" s="41"/>
      <c r="AV686" s="76" t="str">
        <f>VLOOKUP(E686,[1]生产部!$C:$I,7,0)</f>
        <v>常白</v>
      </c>
      <c r="AW686" s="41" t="str">
        <f>VLOOKUP(E686,[1]生产部!$C:$I,6,0)</f>
        <v>DCS&amp;仪表组</v>
      </c>
    </row>
    <row r="687" spans="1:49" ht="21" customHeight="1">
      <c r="A687" s="234" t="s">
        <v>2134</v>
      </c>
      <c r="B687" s="229" t="s">
        <v>2121</v>
      </c>
      <c r="C687" s="45" t="s">
        <v>14</v>
      </c>
      <c r="D687" s="46" t="s">
        <v>414</v>
      </c>
      <c r="E687" s="52" t="s">
        <v>410</v>
      </c>
      <c r="F687" s="48">
        <v>45798</v>
      </c>
      <c r="G687" s="49">
        <f t="shared" si="10"/>
        <v>0</v>
      </c>
      <c r="H687" s="77">
        <f>SUMIF(积分汇总!$B:$B,D686,积分汇总!$E:$E)</f>
        <v>0</v>
      </c>
      <c r="I687" s="77">
        <f>SUMIF(记录巡查问题条数汇总!$B:$B,D686,记录巡查问题条数汇总!$E:$E)</f>
        <v>0</v>
      </c>
      <c r="J687" s="77"/>
      <c r="K687" s="77">
        <f>SUMIF(安全质量事故!$B:$B,D686,安全质量事故!$G:$G)</f>
        <v>0</v>
      </c>
      <c r="L687" s="72">
        <f>COUNTIF(M687:AQ687,标准数据!$A$2)*标准数据!$B$2+COUNTIF(M687:AQ687,标准数据!$A$3)*标准数据!$B$3+COUNTIF(M687:AQ687,标准数据!$A$4)*标准数据!$B$4</f>
        <v>0</v>
      </c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192"/>
      <c r="AR687" s="90"/>
      <c r="AS687" s="41"/>
      <c r="AT687" s="41"/>
      <c r="AU687" s="41"/>
      <c r="AV687" s="76" t="str">
        <f>VLOOKUP(E687,[1]生产部!$C:$I,7,0)</f>
        <v>常白</v>
      </c>
      <c r="AW687" s="41" t="str">
        <f>VLOOKUP(E687,[1]生产部!$C:$I,6,0)</f>
        <v>DCS&amp;仪表组</v>
      </c>
    </row>
    <row r="688" spans="1:49" ht="21" customHeight="1">
      <c r="A688" s="234" t="s">
        <v>2134</v>
      </c>
      <c r="B688" s="229" t="s">
        <v>2121</v>
      </c>
      <c r="C688" s="45" t="s">
        <v>14</v>
      </c>
      <c r="D688" s="46" t="s">
        <v>1548</v>
      </c>
      <c r="E688" s="52" t="s">
        <v>1549</v>
      </c>
      <c r="F688" s="48">
        <v>46183</v>
      </c>
      <c r="G688" s="49">
        <f t="shared" si="10"/>
        <v>0</v>
      </c>
      <c r="H688" s="77">
        <f>SUMIF(积分汇总!$B:$B,D687,积分汇总!$E:$E)</f>
        <v>0</v>
      </c>
      <c r="I688" s="77">
        <f>SUMIF(记录巡查问题条数汇总!$B:$B,D687,记录巡查问题条数汇总!$E:$E)</f>
        <v>0</v>
      </c>
      <c r="J688" s="77"/>
      <c r="K688" s="77">
        <f>SUMIF(安全质量事故!$B:$B,D687,安全质量事故!$G:$G)</f>
        <v>0</v>
      </c>
      <c r="L688" s="72">
        <f>COUNTIF(M688:AQ688,标准数据!$A$2)*标准数据!$B$2+COUNTIF(M688:AQ688,标准数据!$A$3)*标准数据!$B$3+COUNTIF(M688:AQ688,标准数据!$A$4)*标准数据!$B$4</f>
        <v>0</v>
      </c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192"/>
      <c r="AR688" s="90"/>
      <c r="AS688" s="41"/>
      <c r="AT688" s="41"/>
      <c r="AU688" s="41"/>
      <c r="AV688" s="76" t="str">
        <f>VLOOKUP(E688,[1]生产部!$C:$I,7,0)</f>
        <v>常白</v>
      </c>
      <c r="AW688" s="41" t="str">
        <f>VLOOKUP(E688,[1]生产部!$C:$I,6,0)</f>
        <v>DCS&amp;仪表组</v>
      </c>
    </row>
    <row r="689" spans="1:49" ht="21" customHeight="1">
      <c r="A689" s="234" t="s">
        <v>2134</v>
      </c>
      <c r="B689" s="229" t="s">
        <v>2121</v>
      </c>
      <c r="C689" s="45" t="s">
        <v>14</v>
      </c>
      <c r="D689" s="46" t="s">
        <v>1908</v>
      </c>
      <c r="E689" s="52" t="s">
        <v>1909</v>
      </c>
      <c r="F689" s="48">
        <v>46197</v>
      </c>
      <c r="G689" s="49">
        <f t="shared" si="10"/>
        <v>0</v>
      </c>
      <c r="H689" s="77">
        <f>SUMIF(积分汇总!$B:$B,D688,积分汇总!$E:$E)</f>
        <v>0</v>
      </c>
      <c r="I689" s="77">
        <f>SUMIF(记录巡查问题条数汇总!$B:$B,D688,记录巡查问题条数汇总!$E:$E)</f>
        <v>0</v>
      </c>
      <c r="J689" s="77"/>
      <c r="K689" s="77">
        <f>SUMIF(安全质量事故!$B:$B,D688,安全质量事故!$G:$G)</f>
        <v>0</v>
      </c>
      <c r="L689" s="72">
        <f>COUNTIF(M689:AQ689,标准数据!$A$2)*标准数据!$B$2+COUNTIF(M689:AQ689,标准数据!$A$3)*标准数据!$B$3+COUNTIF(M689:AQ689,标准数据!$A$4)*标准数据!$B$4</f>
        <v>0</v>
      </c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192"/>
      <c r="AR689" s="90"/>
      <c r="AS689" s="41"/>
      <c r="AT689" s="41"/>
      <c r="AU689" s="41"/>
      <c r="AV689" s="76" t="str">
        <f>VLOOKUP(E689,[1]生产部!$C:$I,7,0)</f>
        <v>常白</v>
      </c>
      <c r="AW689" s="41" t="str">
        <f>VLOOKUP(E689,[1]生产部!$C:$I,6,0)</f>
        <v>DCS&amp;仪表组</v>
      </c>
    </row>
    <row r="690" spans="1:49" ht="21" customHeight="1">
      <c r="A690" s="234" t="s">
        <v>2134</v>
      </c>
      <c r="B690" s="229" t="s">
        <v>2121</v>
      </c>
      <c r="C690" s="45" t="s">
        <v>14</v>
      </c>
      <c r="D690" s="46" t="s">
        <v>1910</v>
      </c>
      <c r="E690" s="52" t="s">
        <v>1911</v>
      </c>
      <c r="F690" s="48">
        <v>46197</v>
      </c>
      <c r="G690" s="49">
        <f t="shared" si="10"/>
        <v>0</v>
      </c>
      <c r="H690" s="77">
        <f>SUMIF(积分汇总!$B:$B,D689,积分汇总!$E:$E)</f>
        <v>0</v>
      </c>
      <c r="I690" s="77">
        <f>SUMIF(记录巡查问题条数汇总!$B:$B,D689,记录巡查问题条数汇总!$E:$E)</f>
        <v>0</v>
      </c>
      <c r="J690" s="77"/>
      <c r="K690" s="77">
        <f>SUMIF(安全质量事故!$B:$B,D689,安全质量事故!$G:$G)</f>
        <v>0</v>
      </c>
      <c r="L690" s="72">
        <f>COUNTIF(M690:AQ690,标准数据!$A$2)*标准数据!$B$2+COUNTIF(M690:AQ690,标准数据!$A$3)*标准数据!$B$3+COUNTIF(M690:AQ690,标准数据!$A$4)*标准数据!$B$4</f>
        <v>0</v>
      </c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192"/>
      <c r="AR690" s="90"/>
      <c r="AS690" s="41"/>
      <c r="AT690" s="41"/>
      <c r="AU690" s="41"/>
      <c r="AV690" s="76" t="str">
        <f>VLOOKUP(E690,[1]生产部!$C:$I,7,0)</f>
        <v>常白</v>
      </c>
      <c r="AW690" s="41" t="str">
        <f>VLOOKUP(E690,[1]生产部!$C:$I,6,0)</f>
        <v>DCS&amp;仪表组</v>
      </c>
    </row>
    <row r="691" spans="1:49" ht="21" customHeight="1">
      <c r="A691" s="234" t="s">
        <v>2134</v>
      </c>
      <c r="B691" s="229" t="s">
        <v>2121</v>
      </c>
      <c r="C691" s="45" t="s">
        <v>129</v>
      </c>
      <c r="D691" s="46" t="s">
        <v>1912</v>
      </c>
      <c r="E691" s="47" t="s">
        <v>1913</v>
      </c>
      <c r="F691" s="48">
        <v>46113</v>
      </c>
      <c r="G691" s="49">
        <f t="shared" si="10"/>
        <v>0</v>
      </c>
      <c r="H691" s="77">
        <f>SUMIF(积分汇总!$B:$B,D690,积分汇总!$E:$E)</f>
        <v>0</v>
      </c>
      <c r="I691" s="77">
        <f>SUMIF(记录巡查问题条数汇总!$B:$B,D690,记录巡查问题条数汇总!$E:$E)</f>
        <v>0</v>
      </c>
      <c r="J691" s="77"/>
      <c r="K691" s="77">
        <f>SUMIF(安全质量事故!$B:$B,D690,安全质量事故!$G:$G)</f>
        <v>0</v>
      </c>
      <c r="L691" s="72">
        <f>COUNTIF(M691:AQ691,标准数据!$A$2)*标准数据!$B$2+COUNTIF(M691:AQ691,标准数据!$A$3)*标准数据!$B$3+COUNTIF(M691:AQ691,标准数据!$A$4)*标准数据!$B$4</f>
        <v>0</v>
      </c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192"/>
      <c r="AR691" s="90"/>
      <c r="AS691" s="41"/>
      <c r="AT691" s="41"/>
      <c r="AU691" s="41"/>
      <c r="AV691" s="76" t="str">
        <f>VLOOKUP(E691,[1]生产部!$C:$I,7,0)</f>
        <v>常白</v>
      </c>
      <c r="AW691" s="41" t="str">
        <f>VLOOKUP(E691,[1]生产部!$C:$I,6,0)</f>
        <v>DCS&amp;仪表组</v>
      </c>
    </row>
    <row r="692" spans="1:49" ht="21" customHeight="1">
      <c r="A692" s="234" t="s">
        <v>2134</v>
      </c>
      <c r="B692" s="229" t="s">
        <v>2121</v>
      </c>
      <c r="C692" s="45" t="s">
        <v>129</v>
      </c>
      <c r="D692" s="46" t="s">
        <v>278</v>
      </c>
      <c r="E692" s="47" t="s">
        <v>274</v>
      </c>
      <c r="F692" s="48">
        <v>45532</v>
      </c>
      <c r="G692" s="49">
        <f t="shared" si="10"/>
        <v>0</v>
      </c>
      <c r="H692" s="77">
        <f>SUMIF(积分汇总!$B:$B,D691,积分汇总!$E:$E)</f>
        <v>0</v>
      </c>
      <c r="I692" s="77">
        <f>SUMIF(记录巡查问题条数汇总!$B:$B,D691,记录巡查问题条数汇总!$E:$E)</f>
        <v>0</v>
      </c>
      <c r="J692" s="77"/>
      <c r="K692" s="77">
        <f>SUMIF(安全质量事故!$B:$B,D691,安全质量事故!$G:$G)</f>
        <v>0</v>
      </c>
      <c r="L692" s="72">
        <f>COUNTIF(M692:AQ692,标准数据!$A$2)*标准数据!$B$2+COUNTIF(M692:AQ692,标准数据!$A$3)*标准数据!$B$3+COUNTIF(M692:AQ692,标准数据!$A$4)*标准数据!$B$4</f>
        <v>0</v>
      </c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192"/>
      <c r="AR692" s="90"/>
      <c r="AS692" s="41"/>
      <c r="AT692" s="41"/>
      <c r="AU692" s="41"/>
      <c r="AV692" s="76" t="str">
        <f>VLOOKUP(E692,[1]生产部!$C:$I,7,0)</f>
        <v>倒班</v>
      </c>
      <c r="AW692" s="41" t="str">
        <f>VLOOKUP(E692,[1]生产部!$C:$I,6,0)</f>
        <v>DCS&amp;仪表组</v>
      </c>
    </row>
    <row r="693" spans="1:49" ht="21" customHeight="1">
      <c r="A693" s="234" t="s">
        <v>2134</v>
      </c>
      <c r="B693" s="229" t="s">
        <v>2121</v>
      </c>
      <c r="C693" s="45" t="s">
        <v>129</v>
      </c>
      <c r="D693" s="46" t="s">
        <v>283</v>
      </c>
      <c r="E693" s="47" t="s">
        <v>275</v>
      </c>
      <c r="F693" s="48">
        <v>45537</v>
      </c>
      <c r="G693" s="49">
        <f t="shared" si="10"/>
        <v>0</v>
      </c>
      <c r="H693" s="77">
        <f>SUMIF(积分汇总!$B:$B,D692,积分汇总!$E:$E)</f>
        <v>0</v>
      </c>
      <c r="I693" s="77">
        <f>SUMIF(记录巡查问题条数汇总!$B:$B,D692,记录巡查问题条数汇总!$E:$E)</f>
        <v>0</v>
      </c>
      <c r="J693" s="77"/>
      <c r="K693" s="77">
        <f>SUMIF(安全质量事故!$B:$B,D692,安全质量事故!$G:$G)</f>
        <v>0</v>
      </c>
      <c r="L693" s="72">
        <f>COUNTIF(M693:AQ693,标准数据!$A$2)*标准数据!$B$2+COUNTIF(M693:AQ693,标准数据!$A$3)*标准数据!$B$3+COUNTIF(M693:AQ693,标准数据!$A$4)*标准数据!$B$4</f>
        <v>0</v>
      </c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192"/>
      <c r="AR693" s="90"/>
      <c r="AS693" s="41"/>
      <c r="AT693" s="41"/>
      <c r="AU693" s="41"/>
      <c r="AV693" s="76" t="str">
        <f>VLOOKUP(E693,[1]生产部!$C:$I,7,0)</f>
        <v>倒班</v>
      </c>
      <c r="AW693" s="41" t="str">
        <f>VLOOKUP(E693,[1]生产部!$C:$I,6,0)</f>
        <v>DCS&amp;仪表组</v>
      </c>
    </row>
    <row r="694" spans="1:49" ht="21" customHeight="1">
      <c r="A694" s="234" t="s">
        <v>2134</v>
      </c>
      <c r="B694" s="229" t="s">
        <v>2121</v>
      </c>
      <c r="C694" s="45" t="s">
        <v>129</v>
      </c>
      <c r="D694" s="46" t="s">
        <v>331</v>
      </c>
      <c r="E694" s="47" t="s">
        <v>315</v>
      </c>
      <c r="F694" s="48">
        <v>45593</v>
      </c>
      <c r="G694" s="49">
        <f t="shared" si="10"/>
        <v>0</v>
      </c>
      <c r="H694" s="77">
        <f>SUMIF(积分汇总!$B:$B,D693,积分汇总!$E:$E)</f>
        <v>0</v>
      </c>
      <c r="I694" s="77">
        <f>SUMIF(记录巡查问题条数汇总!$B:$B,D693,记录巡查问题条数汇总!$E:$E)</f>
        <v>0</v>
      </c>
      <c r="J694" s="77"/>
      <c r="K694" s="77">
        <f>SUMIF(安全质量事故!$B:$B,D693,安全质量事故!$G:$G)</f>
        <v>0</v>
      </c>
      <c r="L694" s="72">
        <f>COUNTIF(M694:AQ694,标准数据!$A$2)*标准数据!$B$2+COUNTIF(M694:AQ694,标准数据!$A$3)*标准数据!$B$3+COUNTIF(M694:AQ694,标准数据!$A$4)*标准数据!$B$4</f>
        <v>0</v>
      </c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192"/>
      <c r="AR694" s="90"/>
      <c r="AS694" s="41"/>
      <c r="AT694" s="41"/>
      <c r="AU694" s="41"/>
      <c r="AV694" s="76" t="str">
        <f>VLOOKUP(E694,[1]生产部!$C:$I,7,0)</f>
        <v>倒班</v>
      </c>
      <c r="AW694" s="41" t="str">
        <f>VLOOKUP(E694,[1]生产部!$C:$I,6,0)</f>
        <v>DCS&amp;仪表组</v>
      </c>
    </row>
    <row r="695" spans="1:49" ht="21" customHeight="1">
      <c r="A695" s="234" t="s">
        <v>2134</v>
      </c>
      <c r="B695" s="229" t="s">
        <v>2121</v>
      </c>
      <c r="C695" s="45" t="s">
        <v>129</v>
      </c>
      <c r="D695" s="46" t="s">
        <v>634</v>
      </c>
      <c r="E695" s="47" t="s">
        <v>605</v>
      </c>
      <c r="F695" s="48">
        <v>45910</v>
      </c>
      <c r="G695" s="49">
        <f t="shared" si="10"/>
        <v>0</v>
      </c>
      <c r="H695" s="77">
        <f>SUMIF(积分汇总!$B:$B,D694,积分汇总!$E:$E)</f>
        <v>0</v>
      </c>
      <c r="I695" s="77">
        <f>SUMIF(记录巡查问题条数汇总!$B:$B,D694,记录巡查问题条数汇总!$E:$E)</f>
        <v>0</v>
      </c>
      <c r="J695" s="77"/>
      <c r="K695" s="77">
        <f>SUMIF(安全质量事故!$B:$B,D694,安全质量事故!$G:$G)</f>
        <v>0</v>
      </c>
      <c r="L695" s="72">
        <f>COUNTIF(M695:AQ695,标准数据!$A$2)*标准数据!$B$2+COUNTIF(M695:AQ695,标准数据!$A$3)*标准数据!$B$3+COUNTIF(M695:AQ695,标准数据!$A$4)*标准数据!$B$4</f>
        <v>0</v>
      </c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192"/>
      <c r="AR695" s="90"/>
      <c r="AV695" s="76" t="str">
        <f>VLOOKUP(E695,[1]生产部!$C:$I,7,0)</f>
        <v>倒班</v>
      </c>
      <c r="AW695" s="41" t="str">
        <f>VLOOKUP(E695,[1]生产部!$C:$I,6,0)</f>
        <v>DCS&amp;仪表组</v>
      </c>
    </row>
    <row r="696" spans="1:49" ht="21" customHeight="1">
      <c r="A696" s="234" t="s">
        <v>2134</v>
      </c>
      <c r="B696" s="229" t="s">
        <v>2121</v>
      </c>
      <c r="C696" s="45" t="s">
        <v>129</v>
      </c>
      <c r="D696" s="46" t="s">
        <v>635</v>
      </c>
      <c r="E696" s="47" t="s">
        <v>606</v>
      </c>
      <c r="F696" s="48">
        <v>45910</v>
      </c>
      <c r="G696" s="49">
        <f t="shared" si="10"/>
        <v>0</v>
      </c>
      <c r="H696" s="77">
        <f>SUMIF(积分汇总!$B:$B,D695,积分汇总!$E:$E)</f>
        <v>0</v>
      </c>
      <c r="I696" s="77">
        <f>SUMIF(记录巡查问题条数汇总!$B:$B,D695,记录巡查问题条数汇总!$E:$E)</f>
        <v>0</v>
      </c>
      <c r="J696" s="77"/>
      <c r="K696" s="77">
        <f>SUMIF(安全质量事故!$B:$B,D695,安全质量事故!$G:$G)</f>
        <v>0</v>
      </c>
      <c r="L696" s="72">
        <f>COUNTIF(M696:AQ696,标准数据!$A$2)*标准数据!$B$2+COUNTIF(M696:AQ696,标准数据!$A$3)*标准数据!$B$3+COUNTIF(M696:AQ696,标准数据!$A$4)*标准数据!$B$4</f>
        <v>0</v>
      </c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192"/>
      <c r="AR696" s="90"/>
      <c r="AV696" s="76" t="str">
        <f>VLOOKUP(E696,[1]生产部!$C:$I,7,0)</f>
        <v>倒班</v>
      </c>
      <c r="AW696" s="41" t="str">
        <f>VLOOKUP(E696,[1]生产部!$C:$I,6,0)</f>
        <v>DCS&amp;仪表组</v>
      </c>
    </row>
    <row r="697" spans="1:49" ht="21" customHeight="1">
      <c r="A697" s="235" t="s">
        <v>2134</v>
      </c>
      <c r="B697" s="229" t="s">
        <v>2121</v>
      </c>
      <c r="C697" s="45" t="s">
        <v>129</v>
      </c>
      <c r="D697" s="46" t="s">
        <v>636</v>
      </c>
      <c r="E697" s="47" t="s">
        <v>607</v>
      </c>
      <c r="F697" s="48">
        <v>45917</v>
      </c>
      <c r="G697" s="49">
        <f t="shared" si="10"/>
        <v>0</v>
      </c>
      <c r="H697" s="77">
        <f>SUMIF(积分汇总!$B:$B,D696,积分汇总!$E:$E)</f>
        <v>0</v>
      </c>
      <c r="I697" s="77">
        <f>SUMIF(记录巡查问题条数汇总!$B:$B,D696,记录巡查问题条数汇总!$E:$E)</f>
        <v>0</v>
      </c>
      <c r="J697" s="77"/>
      <c r="K697" s="77">
        <f>SUMIF(安全质量事故!$B:$B,D696,安全质量事故!$G:$G)</f>
        <v>0</v>
      </c>
      <c r="L697" s="72">
        <f>COUNTIF(M697:AQ697,标准数据!$A$2)*标准数据!$B$2+COUNTIF(M697:AQ697,标准数据!$A$3)*标准数据!$B$3+COUNTIF(M697:AQ697,标准数据!$A$4)*标准数据!$B$4</f>
        <v>0</v>
      </c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192"/>
      <c r="AR697" s="90"/>
      <c r="AV697" s="76" t="str">
        <f>VLOOKUP(E697,[1]生产部!$C:$I,7,0)</f>
        <v>倒班</v>
      </c>
      <c r="AW697" s="41" t="str">
        <f>VLOOKUP(E697,[1]生产部!$C:$I,6,0)</f>
        <v>DCS&amp;仪表组</v>
      </c>
    </row>
    <row r="698" spans="1:49" ht="21" customHeight="1">
      <c r="A698" s="235" t="s">
        <v>2134</v>
      </c>
      <c r="B698" s="229" t="s">
        <v>2121</v>
      </c>
      <c r="C698" s="204" t="s">
        <v>146</v>
      </c>
      <c r="D698" s="202" t="s">
        <v>2074</v>
      </c>
      <c r="E698" s="201" t="s">
        <v>2075</v>
      </c>
      <c r="F698" s="203">
        <v>46225</v>
      </c>
      <c r="G698" s="49">
        <f t="shared" si="10"/>
        <v>0</v>
      </c>
      <c r="H698" s="77">
        <f>SUMIF(积分汇总!$B:$B,D697,积分汇总!$E:$E)</f>
        <v>0</v>
      </c>
      <c r="I698" s="77">
        <f>SUMIF(记录巡查问题条数汇总!$B:$B,D697,记录巡查问题条数汇总!$E:$E)</f>
        <v>0</v>
      </c>
      <c r="J698" s="77"/>
      <c r="K698" s="77">
        <f>SUMIF(安全质量事故!$B:$B,D697,安全质量事故!$G:$G)</f>
        <v>0</v>
      </c>
      <c r="L698" s="72">
        <f>COUNTIF(M698:AQ698,标准数据!$A$2)*标准数据!$B$2+COUNTIF(M698:AQ698,标准数据!$A$3)*标准数据!$B$3+COUNTIF(M698:AQ698,标准数据!$A$4)*标准数据!$B$4</f>
        <v>0</v>
      </c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192"/>
      <c r="AR698" s="90"/>
      <c r="AV698" s="76" t="str">
        <f>VLOOKUP(E698,[1]生产部!$C:$I,7,0)</f>
        <v>常白</v>
      </c>
      <c r="AW698" s="41" t="str">
        <f>VLOOKUP(E698,[1]生产部!$C:$I,6,0)</f>
        <v>DCS&amp;仪表组</v>
      </c>
    </row>
    <row r="699" spans="1:49" ht="21" customHeight="1">
      <c r="A699" s="235" t="s">
        <v>333</v>
      </c>
      <c r="B699" s="229" t="s">
        <v>2104</v>
      </c>
      <c r="C699" s="45" t="s">
        <v>13</v>
      </c>
      <c r="D699" s="46" t="s">
        <v>664</v>
      </c>
      <c r="E699" s="47" t="s">
        <v>659</v>
      </c>
      <c r="F699" s="48">
        <v>45943</v>
      </c>
      <c r="G699" s="49">
        <f t="shared" si="10"/>
        <v>0</v>
      </c>
      <c r="H699" s="77">
        <f>SUMIF(积分汇总!$B:$B,D698,积分汇总!$E:$E)</f>
        <v>0</v>
      </c>
      <c r="I699" s="77">
        <f>SUMIF(记录巡查问题条数汇总!$B:$B,D698,记录巡查问题条数汇总!$E:$E)</f>
        <v>0</v>
      </c>
      <c r="J699" s="77"/>
      <c r="K699" s="77">
        <f>SUMIF(安全质量事故!$B:$B,D698,安全质量事故!$G:$G)</f>
        <v>0</v>
      </c>
      <c r="L699" s="72">
        <f>COUNTIF(M699:AQ699,标准数据!$A$2)*标准数据!$B$2+COUNTIF(M699:AQ699,标准数据!$A$3)*标准数据!$B$3+COUNTIF(M699:AQ699,标准数据!$A$4)*标准数据!$B$4</f>
        <v>0</v>
      </c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192"/>
      <c r="AR699" s="90"/>
      <c r="AV699" s="76" t="str">
        <f>VLOOKUP(E699,[1]生产部!$C:$I,7,0)</f>
        <v>常白</v>
      </c>
      <c r="AW699" s="41" t="str">
        <f>VLOOKUP(E699,[1]生产部!$C:$I,6,0)</f>
        <v>验证组</v>
      </c>
    </row>
    <row r="700" spans="1:49" ht="21" customHeight="1">
      <c r="A700" s="235" t="s">
        <v>2135</v>
      </c>
      <c r="B700" s="229" t="s">
        <v>2104</v>
      </c>
      <c r="C700" s="45" t="s">
        <v>13</v>
      </c>
      <c r="D700" s="46" t="s">
        <v>859</v>
      </c>
      <c r="E700" s="47" t="s">
        <v>807</v>
      </c>
      <c r="F700" s="48">
        <v>45992</v>
      </c>
      <c r="G700" s="49">
        <f t="shared" si="10"/>
        <v>0</v>
      </c>
      <c r="H700" s="77">
        <f>SUMIF(积分汇总!$B:$B,D699,积分汇总!$E:$E)</f>
        <v>0</v>
      </c>
      <c r="I700" s="77">
        <f>SUMIF(记录巡查问题条数汇总!$B:$B,D699,记录巡查问题条数汇总!$E:$E)</f>
        <v>0</v>
      </c>
      <c r="J700" s="77"/>
      <c r="K700" s="77">
        <f>SUMIF(安全质量事故!$B:$B,D699,安全质量事故!$G:$G)</f>
        <v>0</v>
      </c>
      <c r="L700" s="72">
        <f>COUNTIF(M700:AQ700,标准数据!$A$2)*标准数据!$B$2+COUNTIF(M700:AQ700,标准数据!$A$3)*标准数据!$B$3+COUNTIF(M700:AQ700,标准数据!$A$4)*标准数据!$B$4</f>
        <v>0</v>
      </c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192"/>
      <c r="AR700" s="90"/>
      <c r="AV700" s="76" t="str">
        <f>VLOOKUP(E700,[1]生产部!$C:$I,7,0)</f>
        <v>常白</v>
      </c>
      <c r="AW700" s="41" t="str">
        <f>VLOOKUP(E700,[1]生产部!$C:$I,6,0)</f>
        <v>验证组</v>
      </c>
    </row>
    <row r="701" spans="1:49" ht="21" customHeight="1">
      <c r="A701" s="235" t="s">
        <v>2135</v>
      </c>
      <c r="B701" s="229" t="s">
        <v>2122</v>
      </c>
      <c r="C701" s="45" t="s">
        <v>13</v>
      </c>
      <c r="D701" s="46" t="s">
        <v>860</v>
      </c>
      <c r="E701" s="47" t="s">
        <v>811</v>
      </c>
      <c r="F701" s="48">
        <v>45992</v>
      </c>
      <c r="G701" s="49">
        <f t="shared" si="10"/>
        <v>0</v>
      </c>
      <c r="H701" s="77">
        <f>SUMIF(积分汇总!$B:$B,D700,积分汇总!$E:$E)</f>
        <v>0</v>
      </c>
      <c r="I701" s="77">
        <f>SUMIF(记录巡查问题条数汇总!$B:$B,D700,记录巡查问题条数汇总!$E:$E)</f>
        <v>0</v>
      </c>
      <c r="J701" s="77"/>
      <c r="K701" s="77">
        <f>SUMIF(安全质量事故!$B:$B,D700,安全质量事故!$G:$G)</f>
        <v>0</v>
      </c>
      <c r="L701" s="72">
        <f>COUNTIF(M701:AQ701,标准数据!$A$2)*标准数据!$B$2+COUNTIF(M701:AQ701,标准数据!$A$3)*标准数据!$B$3+COUNTIF(M701:AQ701,标准数据!$A$4)*标准数据!$B$4</f>
        <v>0</v>
      </c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192"/>
      <c r="AR701" s="90"/>
      <c r="AV701" s="76" t="str">
        <f>VLOOKUP(E701,[1]生产部!$C:$I,7,0)</f>
        <v>常白</v>
      </c>
      <c r="AW701" s="41" t="str">
        <f>VLOOKUP(E701,[1]生产部!$C:$I,6,0)</f>
        <v>计算机化设备保障组（4&amp;5号楼）</v>
      </c>
    </row>
    <row r="702" spans="1:49" ht="21" customHeight="1">
      <c r="A702" s="235" t="s">
        <v>2135</v>
      </c>
      <c r="B702" s="229" t="s">
        <v>2104</v>
      </c>
      <c r="C702" s="45" t="s">
        <v>13</v>
      </c>
      <c r="D702" s="46" t="s">
        <v>931</v>
      </c>
      <c r="E702" s="47" t="s">
        <v>890</v>
      </c>
      <c r="F702" s="48">
        <v>43907</v>
      </c>
      <c r="G702" s="49">
        <f t="shared" si="10"/>
        <v>0</v>
      </c>
      <c r="H702" s="77">
        <f>SUMIF(积分汇总!$B:$B,D701,积分汇总!$E:$E)</f>
        <v>0</v>
      </c>
      <c r="I702" s="77">
        <f>SUMIF(记录巡查问题条数汇总!$B:$B,D701,记录巡查问题条数汇总!$E:$E)</f>
        <v>0</v>
      </c>
      <c r="J702" s="77"/>
      <c r="K702" s="77">
        <f>SUMIF(安全质量事故!$B:$B,D701,安全质量事故!$G:$G)</f>
        <v>0</v>
      </c>
      <c r="L702" s="72">
        <f>COUNTIF(M702:AQ702,标准数据!$A$2)*标准数据!$B$2+COUNTIF(M702:AQ702,标准数据!$A$3)*标准数据!$B$3+COUNTIF(M702:AQ702,标准数据!$A$4)*标准数据!$B$4</f>
        <v>0</v>
      </c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192"/>
      <c r="AR702" s="90"/>
      <c r="AV702" s="76" t="str">
        <f>VLOOKUP(E702,[1]生产部!$C:$I,7,0)</f>
        <v>常白</v>
      </c>
      <c r="AW702" s="41" t="str">
        <f>VLOOKUP(E702,[1]生产部!$C:$I,6,0)</f>
        <v>验证组</v>
      </c>
    </row>
    <row r="703" spans="1:49" ht="21" customHeight="1">
      <c r="A703" s="235" t="s">
        <v>2135</v>
      </c>
      <c r="B703" s="229" t="s">
        <v>2120</v>
      </c>
      <c r="C703" s="45" t="s">
        <v>13</v>
      </c>
      <c r="D703" s="46" t="s">
        <v>932</v>
      </c>
      <c r="E703" s="47" t="s">
        <v>899</v>
      </c>
      <c r="F703" s="48">
        <v>46015</v>
      </c>
      <c r="G703" s="49">
        <f t="shared" si="10"/>
        <v>0</v>
      </c>
      <c r="H703" s="77">
        <f>SUMIF(积分汇总!$B:$B,D702,积分汇总!$E:$E)</f>
        <v>0</v>
      </c>
      <c r="I703" s="77">
        <f>SUMIF(记录巡查问题条数汇总!$B:$B,D702,记录巡查问题条数汇总!$E:$E)</f>
        <v>0</v>
      </c>
      <c r="J703" s="77"/>
      <c r="K703" s="77">
        <f>SUMIF(安全质量事故!$B:$B,D702,安全质量事故!$G:$G)</f>
        <v>0</v>
      </c>
      <c r="L703" s="72">
        <f>COUNTIF(M703:AQ703,标准数据!$A$2)*标准数据!$B$2+COUNTIF(M703:AQ703,标准数据!$A$3)*标准数据!$B$3+COUNTIF(M703:AQ703,标准数据!$A$4)*标准数据!$B$4</f>
        <v>0</v>
      </c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192"/>
      <c r="AR703" s="90"/>
      <c r="AV703" s="76" t="str">
        <f>VLOOKUP(E703,[1]生产部!$C:$I,7,0)</f>
        <v>常白</v>
      </c>
      <c r="AW703" s="41" t="str">
        <f>VLOOKUP(E703,[1]生产部!$C:$I,6,0)</f>
        <v>自控组</v>
      </c>
    </row>
    <row r="704" spans="1:49" ht="21" customHeight="1">
      <c r="A704" s="235" t="s">
        <v>2135</v>
      </c>
      <c r="B704" s="229" t="s">
        <v>2104</v>
      </c>
      <c r="C704" s="45" t="s">
        <v>81</v>
      </c>
      <c r="D704" s="46" t="s">
        <v>1264</v>
      </c>
      <c r="E704" s="52" t="s">
        <v>1265</v>
      </c>
      <c r="F704" s="46">
        <v>46127</v>
      </c>
      <c r="G704" s="49">
        <f t="shared" si="10"/>
        <v>0</v>
      </c>
      <c r="H704" s="77">
        <f>SUMIF(积分汇总!$B:$B,D703,积分汇总!$E:$E)</f>
        <v>0</v>
      </c>
      <c r="I704" s="77">
        <f>SUMIF(记录巡查问题条数汇总!$B:$B,D703,记录巡查问题条数汇总!$E:$E)</f>
        <v>0</v>
      </c>
      <c r="J704" s="77"/>
      <c r="K704" s="77">
        <f>SUMIF(安全质量事故!$B:$B,D703,安全质量事故!$G:$G)</f>
        <v>0</v>
      </c>
      <c r="L704" s="72">
        <f>COUNTIF(M704:AQ704,标准数据!$A$2)*标准数据!$B$2+COUNTIF(M704:AQ704,标准数据!$A$3)*标准数据!$B$3+COUNTIF(M704:AQ704,标准数据!$A$4)*标准数据!$B$4</f>
        <v>0</v>
      </c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189"/>
      <c r="AR704" s="55"/>
      <c r="AS704" s="41"/>
      <c r="AT704" s="41"/>
      <c r="AU704" s="41"/>
      <c r="AV704" s="76" t="str">
        <f>VLOOKUP(E704,[1]生产部!$C:$I,7,0)</f>
        <v>常白</v>
      </c>
      <c r="AW704" s="41" t="str">
        <f>VLOOKUP(E704,[1]生产部!$C:$I,6,0)</f>
        <v>验证组</v>
      </c>
    </row>
    <row r="705" spans="1:49" ht="21" customHeight="1">
      <c r="A705" s="235" t="s">
        <v>2135</v>
      </c>
      <c r="B705" s="229" t="s">
        <v>2120</v>
      </c>
      <c r="C705" s="45" t="s">
        <v>81</v>
      </c>
      <c r="D705" s="46" t="s">
        <v>1266</v>
      </c>
      <c r="E705" s="52" t="s">
        <v>1267</v>
      </c>
      <c r="F705" s="46">
        <v>44755</v>
      </c>
      <c r="G705" s="49">
        <f t="shared" si="10"/>
        <v>0</v>
      </c>
      <c r="H705" s="77">
        <f>SUMIF(积分汇总!$B:$B,D704,积分汇总!$E:$E)</f>
        <v>0</v>
      </c>
      <c r="I705" s="77">
        <f>SUMIF(记录巡查问题条数汇总!$B:$B,D704,记录巡查问题条数汇总!$E:$E)</f>
        <v>0</v>
      </c>
      <c r="J705" s="77"/>
      <c r="K705" s="77">
        <f>SUMIF(安全质量事故!$B:$B,D704,安全质量事故!$G:$G)</f>
        <v>0</v>
      </c>
      <c r="L705" s="72">
        <f>COUNTIF(M705:AQ705,标准数据!$A$2)*标准数据!$B$2+COUNTIF(M705:AQ705,标准数据!$A$3)*标准数据!$B$3+COUNTIF(M705:AQ705,标准数据!$A$4)*标准数据!$B$4</f>
        <v>0</v>
      </c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189"/>
      <c r="AR705" s="55"/>
      <c r="AS705" s="198" t="s">
        <v>1099</v>
      </c>
      <c r="AT705" s="41"/>
      <c r="AU705" s="41"/>
      <c r="AV705" s="76" t="str">
        <f>VLOOKUP(E705,[1]生产部!$C:$I,7,0)</f>
        <v>常白</v>
      </c>
      <c r="AW705" s="41" t="str">
        <f>VLOOKUP(E705,[1]生产部!$C:$I,6,0)</f>
        <v>自控组</v>
      </c>
    </row>
    <row r="706" spans="1:49" ht="21" customHeight="1">
      <c r="A706" s="235" t="s">
        <v>2135</v>
      </c>
      <c r="B706" s="229" t="s">
        <v>2120</v>
      </c>
      <c r="C706" s="45" t="s">
        <v>81</v>
      </c>
      <c r="D706" s="46" t="s">
        <v>1116</v>
      </c>
      <c r="E706" s="52" t="s">
        <v>1418</v>
      </c>
      <c r="F706" s="46">
        <v>46134</v>
      </c>
      <c r="G706" s="49">
        <f t="shared" si="10"/>
        <v>0</v>
      </c>
      <c r="H706" s="77">
        <f>SUMIF(积分汇总!$B:$B,D705,积分汇总!$E:$E)</f>
        <v>0</v>
      </c>
      <c r="I706" s="77">
        <f>SUMIF(记录巡查问题条数汇总!$B:$B,D705,记录巡查问题条数汇总!$E:$E)</f>
        <v>0</v>
      </c>
      <c r="J706" s="77"/>
      <c r="K706" s="77">
        <f>SUMIF(安全质量事故!$B:$B,D705,安全质量事故!$G:$G)</f>
        <v>0</v>
      </c>
      <c r="L706" s="72">
        <f>COUNTIF(M706:AQ706,标准数据!$A$2)*标准数据!$B$2+COUNTIF(M706:AQ706,标准数据!$A$3)*标准数据!$B$3+COUNTIF(M706:AQ706,标准数据!$A$4)*标准数据!$B$4</f>
        <v>0</v>
      </c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189"/>
      <c r="AR706" s="55"/>
      <c r="AT706" s="41"/>
      <c r="AU706" s="41"/>
      <c r="AV706" s="76" t="str">
        <f>VLOOKUP(E706,[1]生产部!$C:$I,7,0)</f>
        <v>常白</v>
      </c>
      <c r="AW706" s="41" t="str">
        <f>VLOOKUP(E706,[1]生产部!$C:$I,6,0)</f>
        <v>自控组</v>
      </c>
    </row>
    <row r="707" spans="1:49" ht="21" customHeight="1">
      <c r="A707" s="235" t="s">
        <v>2135</v>
      </c>
      <c r="B707" s="229" t="s">
        <v>2120</v>
      </c>
      <c r="C707" s="45" t="s">
        <v>81</v>
      </c>
      <c r="D707" s="46" t="s">
        <v>1544</v>
      </c>
      <c r="E707" s="52" t="s">
        <v>1545</v>
      </c>
      <c r="F707" s="46">
        <v>46169</v>
      </c>
      <c r="G707" s="49">
        <f t="shared" si="10"/>
        <v>0</v>
      </c>
      <c r="H707" s="77">
        <f>SUMIF(积分汇总!$B:$B,#REF!,积分汇总!$E:$E)</f>
        <v>0</v>
      </c>
      <c r="I707" s="77">
        <f>SUMIF(记录巡查问题条数汇总!$B:$B,#REF!,记录巡查问题条数汇总!$E:$E)</f>
        <v>0</v>
      </c>
      <c r="J707" s="77"/>
      <c r="K707" s="77">
        <f>SUMIF(安全质量事故!$B:$B,#REF!,安全质量事故!$G:$G)</f>
        <v>0</v>
      </c>
      <c r="L707" s="72">
        <f>COUNTIF(M707:AQ707,标准数据!$A$2)*标准数据!$B$2+COUNTIF(M707:AQ707,标准数据!$A$3)*标准数据!$B$3+COUNTIF(M707:AQ707,标准数据!$A$4)*标准数据!$B$4</f>
        <v>0</v>
      </c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189"/>
      <c r="AR707" s="55"/>
      <c r="AT707" s="41"/>
      <c r="AU707" s="41"/>
      <c r="AV707" s="76" t="str">
        <f>VLOOKUP(E707,[1]生产部!$C:$I,7,0)</f>
        <v>常白</v>
      </c>
      <c r="AW707" s="41" t="str">
        <f>VLOOKUP(E707,[1]生产部!$C:$I,6,0)</f>
        <v>自控组</v>
      </c>
    </row>
    <row r="708" spans="1:49" ht="21" customHeight="1">
      <c r="A708" s="235" t="s">
        <v>2135</v>
      </c>
      <c r="B708" s="229" t="s">
        <v>2120</v>
      </c>
      <c r="C708" s="204" t="s">
        <v>13</v>
      </c>
      <c r="D708" s="202" t="s">
        <v>2076</v>
      </c>
      <c r="E708" s="205" t="s">
        <v>2077</v>
      </c>
      <c r="F708" s="202">
        <v>46225</v>
      </c>
      <c r="G708" s="49">
        <f t="shared" si="10"/>
        <v>0</v>
      </c>
      <c r="H708" s="77">
        <f>SUMIF(积分汇总!$B:$B,D707,积分汇总!$E:$E)</f>
        <v>0</v>
      </c>
      <c r="I708" s="77">
        <f>SUMIF(记录巡查问题条数汇总!$B:$B,D707,记录巡查问题条数汇总!$E:$E)</f>
        <v>0</v>
      </c>
      <c r="J708" s="77"/>
      <c r="K708" s="77">
        <f>SUMIF(安全质量事故!$B:$B,D707,安全质量事故!$G:$G)</f>
        <v>0</v>
      </c>
      <c r="L708" s="72">
        <f>COUNTIF(M708:AQ708,标准数据!$A$2)*标准数据!$B$2+COUNTIF(M708:AQ708,标准数据!$A$3)*标准数据!$B$3+COUNTIF(M708:AQ708,标准数据!$A$4)*标准数据!$B$4</f>
        <v>0</v>
      </c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189"/>
      <c r="AR708" s="55"/>
      <c r="AT708" s="41"/>
      <c r="AU708" s="41"/>
      <c r="AV708" s="76" t="str">
        <f>VLOOKUP(E708,[1]生产部!$C:$I,7,0)</f>
        <v>常白</v>
      </c>
      <c r="AW708" s="41" t="str">
        <f>VLOOKUP(E708,[1]生产部!$C:$I,6,0)</f>
        <v>自控组</v>
      </c>
    </row>
    <row r="709" spans="1:49" ht="21" customHeight="1">
      <c r="A709" s="235" t="s">
        <v>2135</v>
      </c>
      <c r="B709" s="229" t="s">
        <v>2122</v>
      </c>
      <c r="C709" s="45" t="s">
        <v>14</v>
      </c>
      <c r="D709" s="46" t="s">
        <v>299</v>
      </c>
      <c r="E709" s="47" t="s">
        <v>292</v>
      </c>
      <c r="F709" s="48">
        <v>45560</v>
      </c>
      <c r="G709" s="49">
        <f t="shared" si="10"/>
        <v>0</v>
      </c>
      <c r="H709" s="77">
        <f>SUMIF(积分汇总!$B:$B,#REF!,积分汇总!$E:$E)</f>
        <v>0</v>
      </c>
      <c r="I709" s="77">
        <f>SUMIF(记录巡查问题条数汇总!$B:$B,#REF!,记录巡查问题条数汇总!$E:$E)</f>
        <v>0</v>
      </c>
      <c r="J709" s="77"/>
      <c r="K709" s="77">
        <f>SUMIF(安全质量事故!$B:$B,#REF!,安全质量事故!$G:$G)</f>
        <v>0</v>
      </c>
      <c r="L709" s="72">
        <f>COUNTIF(M709:AQ709,标准数据!$A$2)*标准数据!$B$2+COUNTIF(M709:AQ709,标准数据!$A$3)*标准数据!$B$3+COUNTIF(M709:AQ709,标准数据!$A$4)*标准数据!$B$4</f>
        <v>0</v>
      </c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192"/>
      <c r="AR709" s="90"/>
      <c r="AV709" s="76" t="str">
        <f>VLOOKUP(E709,[1]生产部!$C:$I,7,0)</f>
        <v>常白</v>
      </c>
      <c r="AW709" s="41" t="str">
        <f>VLOOKUP(E709,[1]生产部!$C:$I,6,0)</f>
        <v>计算机化设备保障组（4&amp;5号楼）</v>
      </c>
    </row>
    <row r="710" spans="1:49" ht="21" customHeight="1">
      <c r="A710" s="235" t="s">
        <v>2135</v>
      </c>
      <c r="B710" s="229" t="s">
        <v>2104</v>
      </c>
      <c r="C710" s="45" t="s">
        <v>14</v>
      </c>
      <c r="D710" s="46" t="s">
        <v>164</v>
      </c>
      <c r="E710" s="47" t="s">
        <v>73</v>
      </c>
      <c r="F710" s="48">
        <v>44774</v>
      </c>
      <c r="G710" s="49">
        <f t="shared" si="10"/>
        <v>0</v>
      </c>
      <c r="H710" s="77">
        <f>SUMIF(积分汇总!$B:$B,D709,积分汇总!$E:$E)</f>
        <v>0</v>
      </c>
      <c r="I710" s="77">
        <f>SUMIF(记录巡查问题条数汇总!$B:$B,D709,记录巡查问题条数汇总!$E:$E)</f>
        <v>0</v>
      </c>
      <c r="J710" s="77"/>
      <c r="K710" s="77">
        <f>SUMIF(安全质量事故!$B:$B,D709,安全质量事故!$G:$G)</f>
        <v>0</v>
      </c>
      <c r="L710" s="72">
        <f>COUNTIF(M710:AQ710,标准数据!$A$2)*标准数据!$B$2+COUNTIF(M710:AQ710,标准数据!$A$3)*标准数据!$B$3+COUNTIF(M710:AQ710,标准数据!$A$4)*标准数据!$B$4</f>
        <v>0</v>
      </c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192"/>
      <c r="AR710" s="90"/>
      <c r="AS710" s="41"/>
      <c r="AT710" s="41"/>
      <c r="AU710" s="41"/>
      <c r="AV710" s="76" t="str">
        <f>VLOOKUP(E710,[1]生产部!$C:$I,7,0)</f>
        <v>常白</v>
      </c>
      <c r="AW710" s="41" t="str">
        <f>VLOOKUP(E710,[1]生产部!$C:$I,6,0)</f>
        <v>验证组</v>
      </c>
    </row>
    <row r="711" spans="1:49" ht="21" customHeight="1">
      <c r="A711" s="235" t="s">
        <v>2135</v>
      </c>
      <c r="B711" s="229" t="s">
        <v>2104</v>
      </c>
      <c r="C711" s="45" t="s">
        <v>14</v>
      </c>
      <c r="D711" s="46" t="s">
        <v>298</v>
      </c>
      <c r="E711" s="47" t="s">
        <v>291</v>
      </c>
      <c r="F711" s="48">
        <v>45588</v>
      </c>
      <c r="G711" s="49">
        <f t="shared" si="10"/>
        <v>0</v>
      </c>
      <c r="H711" s="77">
        <f>SUMIF(积分汇总!$B:$B,D710,积分汇总!$E:$E)</f>
        <v>0</v>
      </c>
      <c r="I711" s="77">
        <f>SUMIF(记录巡查问题条数汇总!$B:$B,D710,记录巡查问题条数汇总!$E:$E)</f>
        <v>0</v>
      </c>
      <c r="J711" s="77"/>
      <c r="K711" s="77">
        <f>SUMIF(安全质量事故!$B:$B,D710,安全质量事故!$G:$G)</f>
        <v>0</v>
      </c>
      <c r="L711" s="72">
        <f>COUNTIF(M711:AQ711,标准数据!$A$2)*标准数据!$B$2+COUNTIF(M711:AQ711,标准数据!$A$3)*标准数据!$B$3+COUNTIF(M711:AQ711,标准数据!$A$4)*标准数据!$B$4</f>
        <v>0</v>
      </c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192"/>
      <c r="AR711" s="90"/>
      <c r="AS711" s="41"/>
      <c r="AT711" s="41"/>
      <c r="AU711" s="41"/>
      <c r="AV711" s="76" t="str">
        <f>VLOOKUP(E711,[1]生产部!$C:$I,7,0)</f>
        <v>常白</v>
      </c>
      <c r="AW711" s="41" t="str">
        <f>VLOOKUP(E711,[1]生产部!$C:$I,6,0)</f>
        <v>验证组</v>
      </c>
    </row>
    <row r="712" spans="1:49" ht="21" customHeight="1">
      <c r="A712" s="235" t="s">
        <v>2135</v>
      </c>
      <c r="B712" s="229" t="s">
        <v>2104</v>
      </c>
      <c r="C712" s="45" t="s">
        <v>14</v>
      </c>
      <c r="D712" s="46" t="s">
        <v>349</v>
      </c>
      <c r="E712" s="47" t="s">
        <v>340</v>
      </c>
      <c r="F712" s="48">
        <v>45644</v>
      </c>
      <c r="G712" s="49">
        <f t="shared" si="10"/>
        <v>0</v>
      </c>
      <c r="H712" s="77">
        <f>SUMIF(积分汇总!$B:$B,D711,积分汇总!$E:$E)</f>
        <v>0</v>
      </c>
      <c r="I712" s="77">
        <f>SUMIF(记录巡查问题条数汇总!$B:$B,D711,记录巡查问题条数汇总!$E:$E)</f>
        <v>0</v>
      </c>
      <c r="J712" s="77"/>
      <c r="K712" s="77">
        <f>SUMIF(安全质量事故!$B:$B,D711,安全质量事故!$G:$G)</f>
        <v>0</v>
      </c>
      <c r="L712" s="72">
        <f>COUNTIF(M712:AQ712,标准数据!$A$2)*标准数据!$B$2+COUNTIF(M712:AQ712,标准数据!$A$3)*标准数据!$B$3+COUNTIF(M712:AQ712,标准数据!$A$4)*标准数据!$B$4</f>
        <v>0</v>
      </c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192"/>
      <c r="AR712" s="90"/>
      <c r="AS712" s="41"/>
      <c r="AT712" s="41"/>
      <c r="AU712" s="41"/>
      <c r="AV712" s="76" t="str">
        <f>VLOOKUP(E712,[1]生产部!$C:$I,7,0)</f>
        <v>常白</v>
      </c>
      <c r="AW712" s="41" t="str">
        <f>VLOOKUP(E712,[1]生产部!$C:$I,6,0)</f>
        <v>验证组</v>
      </c>
    </row>
    <row r="713" spans="1:49" ht="21" customHeight="1">
      <c r="A713" s="235" t="s">
        <v>2135</v>
      </c>
      <c r="B713" s="229" t="s">
        <v>2104</v>
      </c>
      <c r="C713" s="45" t="s">
        <v>14</v>
      </c>
      <c r="D713" s="46" t="s">
        <v>357</v>
      </c>
      <c r="E713" s="47" t="s">
        <v>354</v>
      </c>
      <c r="F713" s="48">
        <v>45651</v>
      </c>
      <c r="G713" s="49">
        <f t="shared" si="10"/>
        <v>0</v>
      </c>
      <c r="H713" s="77">
        <f>SUMIF(积分汇总!$B:$B,D712,积分汇总!$E:$E)</f>
        <v>0</v>
      </c>
      <c r="I713" s="77">
        <f>SUMIF(记录巡查问题条数汇总!$B:$B,D712,记录巡查问题条数汇总!$E:$E)</f>
        <v>0</v>
      </c>
      <c r="J713" s="77"/>
      <c r="K713" s="77">
        <f>SUMIF(安全质量事故!$B:$B,D712,安全质量事故!$G:$G)</f>
        <v>0</v>
      </c>
      <c r="L713" s="72">
        <f>COUNTIF(M713:AQ713,标准数据!$A$2)*标准数据!$B$2+COUNTIF(M713:AQ713,标准数据!$A$3)*标准数据!$B$3+COUNTIF(M713:AQ713,标准数据!$A$4)*标准数据!$B$4</f>
        <v>0</v>
      </c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192"/>
      <c r="AR713" s="90"/>
      <c r="AS713" s="41"/>
      <c r="AT713" s="41"/>
      <c r="AU713" s="41"/>
      <c r="AV713" s="76" t="str">
        <f>VLOOKUP(E713,[1]生产部!$C:$I,7,0)</f>
        <v>常白</v>
      </c>
      <c r="AW713" s="41" t="str">
        <f>VLOOKUP(E713,[1]生产部!$C:$I,6,0)</f>
        <v>验证组</v>
      </c>
    </row>
    <row r="714" spans="1:49" ht="21" customHeight="1">
      <c r="A714" s="234" t="s">
        <v>2135</v>
      </c>
      <c r="B714" s="229" t="s">
        <v>2104</v>
      </c>
      <c r="C714" s="45" t="s">
        <v>14</v>
      </c>
      <c r="D714" s="46" t="s">
        <v>226</v>
      </c>
      <c r="E714" s="52" t="s">
        <v>227</v>
      </c>
      <c r="F714" s="48">
        <v>45483</v>
      </c>
      <c r="G714" s="49">
        <f t="shared" si="10"/>
        <v>0</v>
      </c>
      <c r="H714" s="77">
        <f>SUMIF(积分汇总!$B:$B,D713,积分汇总!$E:$E)</f>
        <v>0</v>
      </c>
      <c r="I714" s="77">
        <f>SUMIF(记录巡查问题条数汇总!$B:$B,D713,记录巡查问题条数汇总!$E:$E)</f>
        <v>0</v>
      </c>
      <c r="J714" s="77"/>
      <c r="K714" s="77">
        <f>SUMIF(安全质量事故!$B:$B,D713,安全质量事故!$G:$G)</f>
        <v>0</v>
      </c>
      <c r="L714" s="72">
        <f>COUNTIF(M714:AQ714,标准数据!$A$2)*标准数据!$B$2+COUNTIF(M714:AQ714,标准数据!$A$3)*标准数据!$B$3+COUNTIF(M714:AQ714,标准数据!$A$4)*标准数据!$B$4</f>
        <v>0</v>
      </c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192"/>
      <c r="AR714" s="90"/>
      <c r="AV714" s="76" t="str">
        <f>VLOOKUP(E714,[1]生产部!$C:$I,7,0)</f>
        <v>常白</v>
      </c>
      <c r="AW714" s="41" t="str">
        <f>VLOOKUP(E714,[1]生产部!$C:$I,6,0)</f>
        <v>验证组</v>
      </c>
    </row>
    <row r="715" spans="1:49" ht="21" customHeight="1">
      <c r="A715" s="235" t="s">
        <v>2135</v>
      </c>
      <c r="B715" s="229" t="s">
        <v>2104</v>
      </c>
      <c r="C715" s="45" t="s">
        <v>14</v>
      </c>
      <c r="D715" s="46" t="s">
        <v>251</v>
      </c>
      <c r="E715" s="52" t="s">
        <v>255</v>
      </c>
      <c r="F715" s="48">
        <v>44617</v>
      </c>
      <c r="G715" s="49">
        <f t="shared" si="10"/>
        <v>0</v>
      </c>
      <c r="H715" s="77">
        <f>SUMIF(积分汇总!$B:$B,D714,积分汇总!$E:$E)</f>
        <v>0</v>
      </c>
      <c r="I715" s="77">
        <f>SUMIF(记录巡查问题条数汇总!$B:$B,D714,记录巡查问题条数汇总!$E:$E)</f>
        <v>0</v>
      </c>
      <c r="J715" s="77"/>
      <c r="K715" s="77">
        <f>SUMIF(安全质量事故!$B:$B,D714,安全质量事故!$G:$G)</f>
        <v>0</v>
      </c>
      <c r="L715" s="72">
        <f>COUNTIF(M715:AQ715,标准数据!$A$2)*标准数据!$B$2+COUNTIF(M715:AQ715,标准数据!$A$3)*标准数据!$B$3+COUNTIF(M715:AQ715,标准数据!$A$4)*标准数据!$B$4</f>
        <v>0</v>
      </c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192"/>
      <c r="AR715" s="90"/>
      <c r="AV715" s="76" t="str">
        <f>VLOOKUP(E715,[1]生产部!$C:$I,7,0)</f>
        <v>常白</v>
      </c>
      <c r="AW715" s="41" t="str">
        <f>VLOOKUP(E715,[1]生产部!$C:$I,6,0)</f>
        <v>验证组</v>
      </c>
    </row>
    <row r="716" spans="1:49" ht="21" customHeight="1">
      <c r="A716" s="235" t="s">
        <v>2135</v>
      </c>
      <c r="B716" s="229" t="s">
        <v>2104</v>
      </c>
      <c r="C716" s="45" t="s">
        <v>14</v>
      </c>
      <c r="D716" s="46" t="s">
        <v>554</v>
      </c>
      <c r="E716" s="52" t="s">
        <v>529</v>
      </c>
      <c r="F716" s="48">
        <v>45875</v>
      </c>
      <c r="G716" s="49">
        <f t="shared" si="10"/>
        <v>0</v>
      </c>
      <c r="H716" s="77">
        <f>SUMIF(积分汇总!$B:$B,D715,积分汇总!$E:$E)</f>
        <v>0</v>
      </c>
      <c r="I716" s="77">
        <f>SUMIF(记录巡查问题条数汇总!$B:$B,D715,记录巡查问题条数汇总!$E:$E)</f>
        <v>0</v>
      </c>
      <c r="J716" s="77"/>
      <c r="K716" s="77">
        <f>SUMIF(安全质量事故!$B:$B,D715,安全质量事故!$G:$G)</f>
        <v>0</v>
      </c>
      <c r="L716" s="72">
        <f>COUNTIF(M716:AQ716,标准数据!$A$2)*标准数据!$B$2+COUNTIF(M716:AQ716,标准数据!$A$3)*标准数据!$B$3+COUNTIF(M716:AQ716,标准数据!$A$4)*标准数据!$B$4</f>
        <v>0</v>
      </c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192"/>
      <c r="AR716" s="90"/>
      <c r="AV716" s="76" t="str">
        <f>VLOOKUP(E716,[1]生产部!$C:$I,7,0)</f>
        <v>常白</v>
      </c>
      <c r="AW716" s="41" t="str">
        <f>VLOOKUP(E716,[1]生产部!$C:$I,6,0)</f>
        <v>12号楼（验证组委培）</v>
      </c>
    </row>
    <row r="717" spans="1:49" ht="21" customHeight="1">
      <c r="A717" s="235" t="s">
        <v>2135</v>
      </c>
      <c r="B717" s="229" t="s">
        <v>2104</v>
      </c>
      <c r="C717" s="45" t="s">
        <v>14</v>
      </c>
      <c r="D717" s="46" t="s">
        <v>489</v>
      </c>
      <c r="E717" s="47" t="s">
        <v>458</v>
      </c>
      <c r="F717" s="48">
        <v>45847</v>
      </c>
      <c r="G717" s="49">
        <f t="shared" si="10"/>
        <v>0</v>
      </c>
      <c r="H717" s="77">
        <f>SUMIF(积分汇总!$B:$B,D715,积分汇总!$E:$E)</f>
        <v>0</v>
      </c>
      <c r="I717" s="77">
        <f>SUMIF(记录巡查问题条数汇总!$B:$B,D715,记录巡查问题条数汇总!$E:$E)</f>
        <v>0</v>
      </c>
      <c r="J717" s="77"/>
      <c r="K717" s="77">
        <f>SUMIF(安全质量事故!$B:$B,D715,安全质量事故!$G:$G)</f>
        <v>0</v>
      </c>
      <c r="L717" s="72">
        <f>COUNTIF(M717:AQ717,标准数据!$A$2)*标准数据!$B$2+COUNTIF(M717:AQ717,标准数据!$A$3)*标准数据!$B$3+COUNTIF(M717:AQ717,标准数据!$A$4)*标准数据!$B$4</f>
        <v>0</v>
      </c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192"/>
      <c r="AR717" s="90"/>
      <c r="AS717" s="41"/>
      <c r="AT717" s="41"/>
      <c r="AU717" s="41"/>
      <c r="AV717" s="76" t="str">
        <f>VLOOKUP(E717,[1]生产部!$C:$I,7,0)</f>
        <v>常白</v>
      </c>
      <c r="AW717" s="41" t="str">
        <f>VLOOKUP(E717,[1]生产部!$C:$I,6,0)</f>
        <v>验证组</v>
      </c>
    </row>
    <row r="718" spans="1:49" ht="21" customHeight="1">
      <c r="A718" s="235" t="s">
        <v>2135</v>
      </c>
      <c r="B718" s="229" t="s">
        <v>2123</v>
      </c>
      <c r="C718" s="45" t="s">
        <v>14</v>
      </c>
      <c r="D718" s="46" t="s">
        <v>493</v>
      </c>
      <c r="E718" s="47" t="s">
        <v>457</v>
      </c>
      <c r="F718" s="48">
        <v>45854</v>
      </c>
      <c r="G718" s="49">
        <f t="shared" si="10"/>
        <v>0</v>
      </c>
      <c r="H718" s="77">
        <f>SUMIF(积分汇总!$B:$B,D717,积分汇总!$E:$E)</f>
        <v>0</v>
      </c>
      <c r="I718" s="77">
        <f>SUMIF(记录巡查问题条数汇总!$B:$B,D717,记录巡查问题条数汇总!$E:$E)</f>
        <v>0</v>
      </c>
      <c r="J718" s="77"/>
      <c r="K718" s="77">
        <f>SUMIF(安全质量事故!$B:$B,D717,安全质量事故!$G:$G)</f>
        <v>0</v>
      </c>
      <c r="L718" s="72">
        <f>COUNTIF(M718:AQ718,标准数据!$A$2)*标准数据!$B$2+COUNTIF(M718:AQ718,标准数据!$A$3)*标准数据!$B$3+COUNTIF(M718:AQ718,标准数据!$A$4)*标准数据!$B$4</f>
        <v>0</v>
      </c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192"/>
      <c r="AR718" s="90"/>
      <c r="AS718" s="41"/>
      <c r="AT718" s="41"/>
      <c r="AU718" s="41"/>
      <c r="AV718" s="76" t="str">
        <f>VLOOKUP(E718,[1]生产部!$C:$I,7,0)</f>
        <v>常白</v>
      </c>
      <c r="AW718" s="41" t="str">
        <f>VLOOKUP(E718,[1]生产部!$C:$I,6,0)</f>
        <v>计算机化设备保障组（11&amp;12号楼）</v>
      </c>
    </row>
    <row r="719" spans="1:49" ht="21" customHeight="1">
      <c r="A719" s="235" t="s">
        <v>2135</v>
      </c>
      <c r="B719" s="229" t="s">
        <v>2104</v>
      </c>
      <c r="C719" s="45" t="s">
        <v>14</v>
      </c>
      <c r="D719" s="46" t="s">
        <v>625</v>
      </c>
      <c r="E719" s="47" t="s">
        <v>590</v>
      </c>
      <c r="F719" s="48">
        <v>45910</v>
      </c>
      <c r="G719" s="49">
        <f t="shared" si="10"/>
        <v>0</v>
      </c>
      <c r="H719" s="77">
        <f>SUMIF(积分汇总!$B:$B,#REF!,积分汇总!$E:$E)</f>
        <v>0</v>
      </c>
      <c r="I719" s="77">
        <f>SUMIF(记录巡查问题条数汇总!$B:$B,#REF!,记录巡查问题条数汇总!$E:$E)</f>
        <v>0</v>
      </c>
      <c r="J719" s="77"/>
      <c r="K719" s="77">
        <f>SUMIF(安全质量事故!$B:$B,#REF!,安全质量事故!$G:$G)</f>
        <v>0</v>
      </c>
      <c r="L719" s="72">
        <f>COUNTIF(M719:AQ719,标准数据!$A$2)*标准数据!$B$2+COUNTIF(M719:AQ719,标准数据!$A$3)*标准数据!$B$3+COUNTIF(M719:AQ719,标准数据!$A$4)*标准数据!$B$4</f>
        <v>0</v>
      </c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189"/>
      <c r="AR719" s="55"/>
      <c r="AV719" s="76" t="str">
        <f>VLOOKUP(E719,[1]生产部!$C:$I,7,0)</f>
        <v>常白</v>
      </c>
      <c r="AW719" s="41" t="str">
        <f>VLOOKUP(E719,[1]生产部!$C:$I,6,0)</f>
        <v>12号楼（验证组委培）</v>
      </c>
    </row>
    <row r="720" spans="1:49" ht="21" customHeight="1">
      <c r="A720" s="235" t="s">
        <v>2135</v>
      </c>
      <c r="B720" s="229" t="s">
        <v>2104</v>
      </c>
      <c r="C720" s="45" t="s">
        <v>14</v>
      </c>
      <c r="D720" s="46" t="s">
        <v>556</v>
      </c>
      <c r="E720" s="47" t="s">
        <v>531</v>
      </c>
      <c r="F720" s="48">
        <v>45882</v>
      </c>
      <c r="G720" s="49">
        <f t="shared" si="10"/>
        <v>0</v>
      </c>
      <c r="H720" s="77">
        <f>SUMIF(积分汇总!$B:$B,#REF!,积分汇总!$E:$E)</f>
        <v>0</v>
      </c>
      <c r="I720" s="77">
        <f>SUMIF(记录巡查问题条数汇总!$B:$B,#REF!,记录巡查问题条数汇总!$E:$E)</f>
        <v>0</v>
      </c>
      <c r="J720" s="77"/>
      <c r="K720" s="77">
        <f>SUMIF(安全质量事故!$B:$B,#REF!,安全质量事故!$G:$G)</f>
        <v>0</v>
      </c>
      <c r="L720" s="72">
        <f>COUNTIF(M720:AQ720,标准数据!$A$2)*标准数据!$B$2+COUNTIF(M720:AQ720,标准数据!$A$3)*标准数据!$B$3+COUNTIF(M720:AQ720,标准数据!$A$4)*标准数据!$B$4</f>
        <v>0</v>
      </c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192"/>
      <c r="AR720" s="90"/>
      <c r="AS720" s="41"/>
      <c r="AT720" s="41"/>
      <c r="AU720" s="41"/>
      <c r="AV720" s="76" t="str">
        <f>VLOOKUP(E720,[1]生产部!$C:$I,7,0)</f>
        <v>常白</v>
      </c>
      <c r="AW720" s="41" t="str">
        <f>VLOOKUP(E720,[1]生产部!$C:$I,6,0)</f>
        <v>12号楼（验证组委培）</v>
      </c>
    </row>
    <row r="721" spans="1:49" ht="21" customHeight="1">
      <c r="A721" s="235" t="s">
        <v>2135</v>
      </c>
      <c r="B721" s="229" t="s">
        <v>2123</v>
      </c>
      <c r="C721" s="45" t="s">
        <v>14</v>
      </c>
      <c r="D721" s="46" t="s">
        <v>639</v>
      </c>
      <c r="E721" s="47" t="s">
        <v>603</v>
      </c>
      <c r="F721" s="48">
        <v>45908</v>
      </c>
      <c r="G721" s="49">
        <f t="shared" si="10"/>
        <v>0</v>
      </c>
      <c r="H721" s="77">
        <f>SUMIF(积分汇总!$B:$B,D720,积分汇总!$E:$E)</f>
        <v>0</v>
      </c>
      <c r="I721" s="77">
        <f>SUMIF(记录巡查问题条数汇总!$B:$B,D720,记录巡查问题条数汇总!$E:$E)</f>
        <v>0</v>
      </c>
      <c r="J721" s="77"/>
      <c r="K721" s="77">
        <f>SUMIF(安全质量事故!$B:$B,D720,安全质量事故!$G:$G)</f>
        <v>0</v>
      </c>
      <c r="L721" s="72">
        <f>COUNTIF(M721:AQ721,标准数据!$A$2)*标准数据!$B$2+COUNTIF(M721:AQ721,标准数据!$A$3)*标准数据!$B$3+COUNTIF(M721:AQ721,标准数据!$A$4)*标准数据!$B$4</f>
        <v>0</v>
      </c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192"/>
      <c r="AR721" s="90"/>
      <c r="AS721" s="41"/>
      <c r="AT721" s="41"/>
      <c r="AU721" s="41"/>
      <c r="AV721" s="76" t="str">
        <f>VLOOKUP(E721,[1]生产部!$C:$I,7,0)</f>
        <v>常白</v>
      </c>
      <c r="AW721" s="41" t="str">
        <f>VLOOKUP(E721,[1]生产部!$C:$I,6,0)</f>
        <v>计算机化设备保障组（11&amp;12号楼）</v>
      </c>
    </row>
    <row r="722" spans="1:49" ht="21" customHeight="1">
      <c r="A722" s="235" t="s">
        <v>2135</v>
      </c>
      <c r="B722" s="229" t="s">
        <v>2122</v>
      </c>
      <c r="C722" s="45" t="s">
        <v>14</v>
      </c>
      <c r="D722" s="46" t="s">
        <v>640</v>
      </c>
      <c r="E722" s="47" t="s">
        <v>604</v>
      </c>
      <c r="F722" s="48">
        <v>45910</v>
      </c>
      <c r="G722" s="49">
        <f t="shared" si="10"/>
        <v>0</v>
      </c>
      <c r="H722" s="77">
        <f>SUMIF(积分汇总!$B:$B,D721,积分汇总!$E:$E)</f>
        <v>0</v>
      </c>
      <c r="I722" s="77">
        <f>SUMIF(记录巡查问题条数汇总!$B:$B,D721,记录巡查问题条数汇总!$E:$E)</f>
        <v>0</v>
      </c>
      <c r="J722" s="77"/>
      <c r="K722" s="77">
        <f>SUMIF(安全质量事故!$B:$B,D721,安全质量事故!$G:$G)</f>
        <v>0</v>
      </c>
      <c r="L722" s="72">
        <f>COUNTIF(M722:AQ722,标准数据!$A$2)*标准数据!$B$2+COUNTIF(M722:AQ722,标准数据!$A$3)*标准数据!$B$3+COUNTIF(M722:AQ722,标准数据!$A$4)*标准数据!$B$4</f>
        <v>0</v>
      </c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192"/>
      <c r="AR722" s="90"/>
      <c r="AS722" s="41"/>
      <c r="AT722" s="41"/>
      <c r="AU722" s="41"/>
      <c r="AV722" s="76" t="str">
        <f>VLOOKUP(E722,[1]生产部!$C:$I,7,0)</f>
        <v>常白</v>
      </c>
      <c r="AW722" s="41" t="str">
        <f>VLOOKUP(E722,[1]生产部!$C:$I,6,0)</f>
        <v>计算机化设备保障组（4&amp;5号楼）</v>
      </c>
    </row>
    <row r="723" spans="1:49" ht="21" customHeight="1">
      <c r="A723" s="235" t="s">
        <v>2135</v>
      </c>
      <c r="B723" s="229" t="s">
        <v>2104</v>
      </c>
      <c r="C723" s="45" t="s">
        <v>14</v>
      </c>
      <c r="D723" s="46" t="s">
        <v>741</v>
      </c>
      <c r="E723" s="47" t="s">
        <v>710</v>
      </c>
      <c r="F723" s="48">
        <v>45980</v>
      </c>
      <c r="G723" s="49">
        <f t="shared" si="10"/>
        <v>0</v>
      </c>
      <c r="H723" s="77">
        <f>SUMIF(积分汇总!$B:$B,D722,积分汇总!$E:$E)</f>
        <v>0</v>
      </c>
      <c r="I723" s="77">
        <f>SUMIF(记录巡查问题条数汇总!$B:$B,D722,记录巡查问题条数汇总!$E:$E)</f>
        <v>0</v>
      </c>
      <c r="J723" s="77"/>
      <c r="K723" s="77">
        <f>SUMIF(安全质量事故!$B:$B,D722,安全质量事故!$G:$G)</f>
        <v>0</v>
      </c>
      <c r="L723" s="72">
        <f>COUNTIF(M723:AQ723,标准数据!$A$2)*标准数据!$B$2+COUNTIF(M723:AQ723,标准数据!$A$3)*标准数据!$B$3+COUNTIF(M723:AQ723,标准数据!$A$4)*标准数据!$B$4</f>
        <v>0</v>
      </c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192"/>
      <c r="AR723" s="90"/>
      <c r="AS723" s="41"/>
      <c r="AT723" s="41"/>
      <c r="AU723" s="41"/>
      <c r="AV723" s="76" t="str">
        <f>VLOOKUP(E723,[1]生产部!$C:$I,7,0)</f>
        <v>常白</v>
      </c>
      <c r="AW723" s="41" t="str">
        <f>VLOOKUP(E723,[1]生产部!$C:$I,6,0)</f>
        <v>验证组</v>
      </c>
    </row>
    <row r="724" spans="1:49" ht="21" customHeight="1">
      <c r="A724" s="235" t="s">
        <v>2135</v>
      </c>
      <c r="B724" s="229" t="s">
        <v>2104</v>
      </c>
      <c r="C724" s="45" t="s">
        <v>14</v>
      </c>
      <c r="D724" s="46" t="s">
        <v>861</v>
      </c>
      <c r="E724" s="47" t="s">
        <v>808</v>
      </c>
      <c r="F724" s="48">
        <v>46008</v>
      </c>
      <c r="G724" s="49">
        <f t="shared" ref="G724:G791" si="11">(L724+H724+I724+J724-K724)</f>
        <v>0</v>
      </c>
      <c r="H724" s="77">
        <f>SUMIF(积分汇总!$B:$B,#REF!,积分汇总!$E:$E)</f>
        <v>0</v>
      </c>
      <c r="I724" s="77">
        <f>SUMIF(记录巡查问题条数汇总!$B:$B,#REF!,记录巡查问题条数汇总!$E:$E)</f>
        <v>0</v>
      </c>
      <c r="J724" s="77"/>
      <c r="K724" s="77">
        <f>SUMIF(安全质量事故!$B:$B,#REF!,安全质量事故!$G:$G)</f>
        <v>0</v>
      </c>
      <c r="L724" s="72">
        <f>COUNTIF(M724:AQ724,标准数据!$A$2)*标准数据!$B$2+COUNTIF(M724:AQ724,标准数据!$A$3)*标准数据!$B$3+COUNTIF(M724:AQ724,标准数据!$A$4)*标准数据!$B$4</f>
        <v>0</v>
      </c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189"/>
      <c r="AR724" s="55"/>
      <c r="AV724" s="76" t="str">
        <f>VLOOKUP(E724,[1]生产部!$C:$I,7,0)</f>
        <v>常白</v>
      </c>
      <c r="AW724" s="41" t="str">
        <f>VLOOKUP(E724,[1]生产部!$C:$I,6,0)</f>
        <v>验证组</v>
      </c>
    </row>
    <row r="725" spans="1:49" ht="21" customHeight="1">
      <c r="A725" s="235" t="s">
        <v>2135</v>
      </c>
      <c r="B725" s="229" t="s">
        <v>2122</v>
      </c>
      <c r="C725" s="45" t="s">
        <v>14</v>
      </c>
      <c r="D725" s="46" t="s">
        <v>912</v>
      </c>
      <c r="E725" s="47" t="s">
        <v>897</v>
      </c>
      <c r="F725" s="48">
        <v>46013</v>
      </c>
      <c r="G725" s="49">
        <f t="shared" si="11"/>
        <v>0</v>
      </c>
      <c r="H725" s="77">
        <f>SUMIF(积分汇总!$B:$B,D724,积分汇总!$E:$E)</f>
        <v>0</v>
      </c>
      <c r="I725" s="77">
        <f>SUMIF(记录巡查问题条数汇总!$B:$B,D724,记录巡查问题条数汇总!$E:$E)</f>
        <v>0</v>
      </c>
      <c r="J725" s="77"/>
      <c r="K725" s="77">
        <f>SUMIF(安全质量事故!$B:$B,D724,安全质量事故!$G:$G)</f>
        <v>0</v>
      </c>
      <c r="L725" s="72">
        <f>COUNTIF(M725:AQ725,标准数据!$A$2)*标准数据!$B$2+COUNTIF(M725:AQ725,标准数据!$A$3)*标准数据!$B$3+COUNTIF(M725:AQ725,标准数据!$A$4)*标准数据!$B$4</f>
        <v>0</v>
      </c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189"/>
      <c r="AR725" s="55"/>
      <c r="AV725" s="76" t="str">
        <f>VLOOKUP(E725,[1]生产部!$C:$I,7,0)</f>
        <v>常白</v>
      </c>
      <c r="AW725" s="41" t="str">
        <f>VLOOKUP(E725,[1]生产部!$C:$I,6,0)</f>
        <v>计算机化设备保障组（4&amp;5号楼）</v>
      </c>
    </row>
    <row r="726" spans="1:49" ht="21" customHeight="1">
      <c r="A726" s="235" t="s">
        <v>2135</v>
      </c>
      <c r="B726" s="229" t="s">
        <v>2123</v>
      </c>
      <c r="C726" s="45" t="s">
        <v>14</v>
      </c>
      <c r="D726" s="46" t="s">
        <v>913</v>
      </c>
      <c r="E726" s="47" t="s">
        <v>898</v>
      </c>
      <c r="F726" s="48">
        <v>46015</v>
      </c>
      <c r="G726" s="49">
        <f t="shared" si="11"/>
        <v>0</v>
      </c>
      <c r="H726" s="77">
        <f>SUMIF(积分汇总!$B:$B,D725,积分汇总!$E:$E)</f>
        <v>0</v>
      </c>
      <c r="I726" s="77">
        <f>SUMIF(记录巡查问题条数汇总!$B:$B,D725,记录巡查问题条数汇总!$E:$E)</f>
        <v>0</v>
      </c>
      <c r="J726" s="77"/>
      <c r="K726" s="77">
        <f>SUMIF(安全质量事故!$B:$B,D725,安全质量事故!$G:$G)</f>
        <v>0</v>
      </c>
      <c r="L726" s="72">
        <f>COUNTIF(M726:AQ726,标准数据!$A$2)*标准数据!$B$2+COUNTIF(M726:AQ726,标准数据!$A$3)*标准数据!$B$3+COUNTIF(M726:AQ726,标准数据!$A$4)*标准数据!$B$4</f>
        <v>0</v>
      </c>
      <c r="M726" s="90"/>
      <c r="N726" s="90"/>
      <c r="O726" s="90"/>
      <c r="P726" s="90"/>
      <c r="Q726" s="90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189"/>
      <c r="AR726" s="55"/>
      <c r="AV726" s="76" t="str">
        <f>VLOOKUP(E726,[1]生产部!$C:$I,7,0)</f>
        <v>常白</v>
      </c>
      <c r="AW726" s="41" t="str">
        <f>VLOOKUP(E726,[1]生产部!$C:$I,6,0)</f>
        <v>计算机化设备保障组（11&amp;12号楼）</v>
      </c>
    </row>
    <row r="727" spans="1:49" ht="21" customHeight="1">
      <c r="A727" s="235" t="s">
        <v>2135</v>
      </c>
      <c r="B727" s="229" t="s">
        <v>2104</v>
      </c>
      <c r="C727" s="45" t="s">
        <v>14</v>
      </c>
      <c r="D727" s="46" t="s">
        <v>923</v>
      </c>
      <c r="E727" s="47" t="s">
        <v>891</v>
      </c>
      <c r="F727" s="48">
        <v>46015</v>
      </c>
      <c r="G727" s="49">
        <f t="shared" si="11"/>
        <v>0</v>
      </c>
      <c r="H727" s="77">
        <f>SUMIF(积分汇总!$B:$B,D726,积分汇总!$E:$E)</f>
        <v>0</v>
      </c>
      <c r="I727" s="77">
        <f>SUMIF(记录巡查问题条数汇总!$B:$B,D726,记录巡查问题条数汇总!$E:$E)</f>
        <v>0</v>
      </c>
      <c r="J727" s="77"/>
      <c r="K727" s="77">
        <f>SUMIF(安全质量事故!$B:$B,D726,安全质量事故!$G:$G)</f>
        <v>0</v>
      </c>
      <c r="L727" s="72">
        <f>COUNTIF(M727:AQ727,标准数据!$A$2)*标准数据!$B$2+COUNTIF(M727:AQ727,标准数据!$A$3)*标准数据!$B$3+COUNTIF(M727:AQ727,标准数据!$A$4)*标准数据!$B$4</f>
        <v>0</v>
      </c>
      <c r="M727" s="90"/>
      <c r="N727" s="90"/>
      <c r="O727" s="90"/>
      <c r="P727" s="90"/>
      <c r="Q727" s="90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189"/>
      <c r="AR727" s="55"/>
      <c r="AV727" s="76" t="str">
        <f>VLOOKUP(E727,[1]生产部!$C:$I,7,0)</f>
        <v>常白</v>
      </c>
      <c r="AW727" s="41" t="str">
        <f>VLOOKUP(E727,[1]生产部!$C:$I,6,0)</f>
        <v>验证组</v>
      </c>
    </row>
    <row r="728" spans="1:49" ht="21" customHeight="1">
      <c r="A728" s="235" t="s">
        <v>2135</v>
      </c>
      <c r="B728" s="229" t="s">
        <v>2115</v>
      </c>
      <c r="C728" s="45" t="s">
        <v>14</v>
      </c>
      <c r="D728" s="46" t="s">
        <v>553</v>
      </c>
      <c r="E728" s="52" t="s">
        <v>528</v>
      </c>
      <c r="F728" s="48">
        <v>45868</v>
      </c>
      <c r="G728" s="49">
        <f t="shared" si="11"/>
        <v>0</v>
      </c>
      <c r="H728" s="77">
        <f>SUMIF(积分汇总!$B:$B,D727,积分汇总!$E:$E)</f>
        <v>0</v>
      </c>
      <c r="I728" s="77">
        <f>SUMIF(记录巡查问题条数汇总!$B:$B,D727,记录巡查问题条数汇总!$E:$E)</f>
        <v>0</v>
      </c>
      <c r="J728" s="77"/>
      <c r="K728" s="77">
        <f>SUMIF(安全质量事故!$B:$B,D727,安全质量事故!$G:$G)</f>
        <v>0</v>
      </c>
      <c r="L728" s="72">
        <f>COUNTIF(M728:AQ728,标准数据!$A$2)*标准数据!$B$2+COUNTIF(M728:AQ728,标准数据!$A$3)*标准数据!$B$3+COUNTIF(M728:AQ728,标准数据!$A$4)*标准数据!$B$4</f>
        <v>0</v>
      </c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192"/>
      <c r="AR728" s="90"/>
      <c r="AV728" s="76" t="str">
        <f>VLOOKUP(E728,[1]生产部!$C:$I,7,0)</f>
        <v>常白</v>
      </c>
      <c r="AW728" s="41" t="str">
        <f>VLOOKUP(E728,[1]生产部!$C:$I,6,0)</f>
        <v>12号楼（验证组委培）</v>
      </c>
    </row>
    <row r="729" spans="1:49" ht="21" customHeight="1">
      <c r="A729" s="235" t="s">
        <v>2135</v>
      </c>
      <c r="B729" s="229" t="s">
        <v>2104</v>
      </c>
      <c r="C729" s="45" t="s">
        <v>14</v>
      </c>
      <c r="D729" s="46" t="s">
        <v>829</v>
      </c>
      <c r="E729" s="47" t="s">
        <v>787</v>
      </c>
      <c r="F729" s="48">
        <v>45994</v>
      </c>
      <c r="G729" s="49">
        <f t="shared" si="11"/>
        <v>0</v>
      </c>
      <c r="H729" s="77">
        <f>SUMIF(积分汇总!$B:$B,D728,积分汇总!$E:$E)</f>
        <v>0</v>
      </c>
      <c r="I729" s="77">
        <f>SUMIF(记录巡查问题条数汇总!$B:$B,D728,记录巡查问题条数汇总!$E:$E)</f>
        <v>0</v>
      </c>
      <c r="J729" s="77"/>
      <c r="K729" s="77">
        <f>SUMIF(安全质量事故!$B:$B,D728,安全质量事故!$G:$G)</f>
        <v>0</v>
      </c>
      <c r="L729" s="72">
        <f>COUNTIF(M729:AQ729,标准数据!$A$2)*标准数据!$B$2+COUNTIF(M729:AQ729,标准数据!$A$3)*标准数据!$B$3+COUNTIF(M729:AQ729,标准数据!$A$4)*标准数据!$B$4</f>
        <v>0</v>
      </c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192"/>
      <c r="AR729" s="90"/>
      <c r="AS729" s="41"/>
      <c r="AT729" s="41"/>
      <c r="AU729" s="41"/>
      <c r="AV729" s="76" t="str">
        <f>VLOOKUP(E729,[1]生产部!$C:$I,7,0)</f>
        <v>常白</v>
      </c>
      <c r="AW729" s="41" t="str">
        <f>VLOOKUP(E729,[1]生产部!$C:$I,6,0)</f>
        <v>12号楼（验证组委培）</v>
      </c>
    </row>
    <row r="730" spans="1:49" ht="21" customHeight="1">
      <c r="A730" s="235" t="s">
        <v>2135</v>
      </c>
      <c r="B730" s="229" t="s">
        <v>2115</v>
      </c>
      <c r="C730" s="45" t="s">
        <v>14</v>
      </c>
      <c r="D730" s="46" t="s">
        <v>477</v>
      </c>
      <c r="E730" s="47" t="s">
        <v>442</v>
      </c>
      <c r="F730" s="48">
        <v>45847</v>
      </c>
      <c r="G730" s="49">
        <f t="shared" si="11"/>
        <v>0</v>
      </c>
      <c r="H730" s="77">
        <f>SUMIF(积分汇总!$B:$B,D729,积分汇总!$E:$E)</f>
        <v>0</v>
      </c>
      <c r="I730" s="77">
        <f>SUMIF(记录巡查问题条数汇总!$B:$B,D729,记录巡查问题条数汇总!$E:$E)</f>
        <v>0</v>
      </c>
      <c r="J730" s="77"/>
      <c r="K730" s="77">
        <f>SUMIF(安全质量事故!$B:$B,D729,安全质量事故!$G:$G)</f>
        <v>0</v>
      </c>
      <c r="L730" s="72">
        <f>COUNTIF(M730:AQ730,标准数据!$A$2)*标准数据!$B$2+COUNTIF(M730:AQ730,标准数据!$A$3)*标准数据!$B$3+COUNTIF(M730:AQ730,标准数据!$A$4)*标准数据!$B$4</f>
        <v>0</v>
      </c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189"/>
      <c r="AR730" s="55"/>
      <c r="AV730" s="76" t="str">
        <f>VLOOKUP(E730,[1]生产部!$C:$I,7,0)</f>
        <v>常白</v>
      </c>
      <c r="AW730" s="41" t="str">
        <f>VLOOKUP(E730,[1]生产部!$C:$I,6,0)</f>
        <v>12号楼（验证组委培）</v>
      </c>
    </row>
    <row r="731" spans="1:49" ht="21" customHeight="1">
      <c r="A731" s="235" t="s">
        <v>2135</v>
      </c>
      <c r="B731" s="229" t="s">
        <v>2123</v>
      </c>
      <c r="C731" s="45" t="s">
        <v>87</v>
      </c>
      <c r="D731" s="46" t="s">
        <v>1244</v>
      </c>
      <c r="E731" s="52" t="s">
        <v>1245</v>
      </c>
      <c r="F731" s="46">
        <v>46113</v>
      </c>
      <c r="G731" s="49">
        <f t="shared" si="11"/>
        <v>0</v>
      </c>
      <c r="H731" s="77">
        <f>SUMIF(积分汇总!$B:$B,#REF!,积分汇总!$E:$E)</f>
        <v>0</v>
      </c>
      <c r="I731" s="77">
        <f>SUMIF(记录巡查问题条数汇总!$B:$B,#REF!,记录巡查问题条数汇总!$E:$E)</f>
        <v>0</v>
      </c>
      <c r="J731" s="77"/>
      <c r="K731" s="77">
        <f>SUMIF(安全质量事故!$B:$B,#REF!,安全质量事故!$G:$G)</f>
        <v>0</v>
      </c>
      <c r="L731" s="72">
        <f>COUNTIF(M731:AQ731,标准数据!$A$2)*标准数据!$B$2+COUNTIF(M731:AQ731,标准数据!$A$3)*标准数据!$B$3+COUNTIF(M731:AQ731,标准数据!$A$4)*标准数据!$B$4</f>
        <v>0</v>
      </c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189"/>
      <c r="AR731" s="55"/>
      <c r="AS731" s="41"/>
      <c r="AT731" s="41"/>
      <c r="AU731" s="41"/>
      <c r="AV731" s="76" t="str">
        <f>VLOOKUP(E731,[1]生产部!$C:$I,7,0)</f>
        <v>常白</v>
      </c>
      <c r="AW731" s="41" t="str">
        <f>VLOOKUP(E731,[1]生产部!$C:$I,6,0)</f>
        <v>计算机化设备保障组（11&amp;12号楼）</v>
      </c>
    </row>
    <row r="732" spans="1:49" ht="21" customHeight="1">
      <c r="A732" s="235" t="s">
        <v>2135</v>
      </c>
      <c r="B732" s="229" t="s">
        <v>2104</v>
      </c>
      <c r="C732" s="45" t="s">
        <v>14</v>
      </c>
      <c r="D732" s="46" t="s">
        <v>1248</v>
      </c>
      <c r="E732" s="47" t="s">
        <v>1249</v>
      </c>
      <c r="F732" s="48">
        <v>46120</v>
      </c>
      <c r="G732" s="49">
        <f t="shared" si="11"/>
        <v>0</v>
      </c>
      <c r="H732" s="77">
        <f>SUMIF(积分汇总!$B:$B,D731,积分汇总!$E:$E)</f>
        <v>0</v>
      </c>
      <c r="I732" s="77">
        <f>SUMIF(记录巡查问题条数汇总!$B:$B,D731,记录巡查问题条数汇总!$E:$E)</f>
        <v>0</v>
      </c>
      <c r="J732" s="77"/>
      <c r="K732" s="77">
        <f>SUMIF(安全质量事故!$B:$B,D731,安全质量事故!$G:$G)</f>
        <v>0</v>
      </c>
      <c r="L732" s="72">
        <f>COUNTIF(M732:AQ732,标准数据!$A$2)*标准数据!$B$2+COUNTIF(M732:AQ732,标准数据!$A$3)*标准数据!$B$3+COUNTIF(M732:AQ732,标准数据!$A$4)*标准数据!$B$4</f>
        <v>0</v>
      </c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189"/>
      <c r="AR732" s="55"/>
      <c r="AS732" s="41"/>
      <c r="AT732" s="41"/>
      <c r="AU732" s="41"/>
      <c r="AV732" s="76" t="str">
        <f>VLOOKUP(E732,[1]生产部!$C:$I,7,0)</f>
        <v>常白</v>
      </c>
      <c r="AW732" s="41" t="str">
        <f>VLOOKUP(E732,[1]生产部!$C:$I,6,0)</f>
        <v>验证组</v>
      </c>
    </row>
    <row r="733" spans="1:49" ht="21" customHeight="1">
      <c r="A733" s="235" t="s">
        <v>2135</v>
      </c>
      <c r="B733" s="229" t="s">
        <v>2104</v>
      </c>
      <c r="C733" s="45" t="s">
        <v>14</v>
      </c>
      <c r="D733" s="46" t="s">
        <v>1250</v>
      </c>
      <c r="E733" s="52" t="s">
        <v>1251</v>
      </c>
      <c r="F733" s="46">
        <v>46125</v>
      </c>
      <c r="G733" s="49">
        <f t="shared" si="11"/>
        <v>0</v>
      </c>
      <c r="H733" s="77">
        <f>SUMIF(积分汇总!$B:$B,D732,积分汇总!$E:$E)</f>
        <v>0</v>
      </c>
      <c r="I733" s="77">
        <f>SUMIF(记录巡查问题条数汇总!$B:$B,D732,记录巡查问题条数汇总!$E:$E)</f>
        <v>0</v>
      </c>
      <c r="J733" s="77"/>
      <c r="K733" s="77">
        <f>SUMIF(安全质量事故!$B:$B,D732,安全质量事故!$G:$G)</f>
        <v>0</v>
      </c>
      <c r="L733" s="72">
        <f>COUNTIF(M733:AQ733,标准数据!$A$2)*标准数据!$B$2+COUNTIF(M733:AQ733,标准数据!$A$3)*标准数据!$B$3+COUNTIF(M733:AQ733,标准数据!$A$4)*标准数据!$B$4</f>
        <v>0</v>
      </c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189"/>
      <c r="AR733" s="55"/>
      <c r="AS733" s="41"/>
      <c r="AT733" s="41"/>
      <c r="AU733" s="41"/>
      <c r="AV733" s="76" t="str">
        <f>VLOOKUP(E733,[1]生产部!$C:$I,7,0)</f>
        <v>常白</v>
      </c>
      <c r="AW733" s="41" t="str">
        <f>VLOOKUP(E733,[1]生产部!$C:$I,6,0)</f>
        <v>验证组</v>
      </c>
    </row>
    <row r="734" spans="1:49" ht="21" customHeight="1">
      <c r="A734" s="235" t="s">
        <v>2135</v>
      </c>
      <c r="B734" s="229" t="s">
        <v>2104</v>
      </c>
      <c r="C734" s="45" t="s">
        <v>14</v>
      </c>
      <c r="D734" s="46" t="s">
        <v>1252</v>
      </c>
      <c r="E734" s="52" t="s">
        <v>1253</v>
      </c>
      <c r="F734" s="48">
        <v>46127</v>
      </c>
      <c r="G734" s="49">
        <f t="shared" si="11"/>
        <v>0</v>
      </c>
      <c r="H734" s="77">
        <f>SUMIF(积分汇总!$B:$B,D733,积分汇总!$E:$E)</f>
        <v>0</v>
      </c>
      <c r="I734" s="77">
        <f>SUMIF(记录巡查问题条数汇总!$B:$B,D733,记录巡查问题条数汇总!$E:$E)</f>
        <v>0</v>
      </c>
      <c r="J734" s="77"/>
      <c r="K734" s="77">
        <f>SUMIF(安全质量事故!$B:$B,D733,安全质量事故!$G:$G)</f>
        <v>0</v>
      </c>
      <c r="L734" s="72">
        <f>COUNTIF(M734:AQ734,标准数据!$A$2)*标准数据!$B$2+COUNTIF(M734:AQ734,标准数据!$A$3)*标准数据!$B$3+COUNTIF(M734:AQ734,标准数据!$A$4)*标准数据!$B$4</f>
        <v>0</v>
      </c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192"/>
      <c r="AR734" s="90"/>
      <c r="AV734" s="76" t="str">
        <f>VLOOKUP(E734,[1]生产部!$C:$I,7,0)</f>
        <v>常白</v>
      </c>
      <c r="AW734" s="41" t="str">
        <f>VLOOKUP(E734,[1]生产部!$C:$I,6,0)</f>
        <v>验证组</v>
      </c>
    </row>
    <row r="735" spans="1:49" ht="21" customHeight="1">
      <c r="A735" s="235" t="s">
        <v>2135</v>
      </c>
      <c r="B735" s="229" t="s">
        <v>2104</v>
      </c>
      <c r="C735" s="45" t="s">
        <v>14</v>
      </c>
      <c r="D735" s="46" t="s">
        <v>1254</v>
      </c>
      <c r="E735" s="47" t="s">
        <v>1255</v>
      </c>
      <c r="F735" s="48">
        <v>46113</v>
      </c>
      <c r="G735" s="49">
        <f t="shared" si="11"/>
        <v>0</v>
      </c>
      <c r="H735" s="77">
        <f>SUMIF(积分汇总!$B:$B,D734,积分汇总!$E:$E)</f>
        <v>0</v>
      </c>
      <c r="I735" s="77">
        <f>SUMIF(记录巡查问题条数汇总!$B:$B,D734,记录巡查问题条数汇总!$E:$E)</f>
        <v>0</v>
      </c>
      <c r="J735" s="77"/>
      <c r="K735" s="77">
        <f>SUMIF(安全质量事故!$B:$B,D734,安全质量事故!$G:$G)</f>
        <v>0</v>
      </c>
      <c r="L735" s="72">
        <f>COUNTIF(M735:AQ735,标准数据!$A$2)*标准数据!$B$2+COUNTIF(M735:AQ735,标准数据!$A$3)*标准数据!$B$3+COUNTIF(M735:AQ735,标准数据!$A$4)*标准数据!$B$4</f>
        <v>0</v>
      </c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192"/>
      <c r="AR735" s="90"/>
      <c r="AS735" s="41"/>
      <c r="AT735" s="41"/>
      <c r="AU735" s="41"/>
      <c r="AV735" s="76" t="str">
        <f>VLOOKUP(E735,[1]生产部!$C:$I,7,0)</f>
        <v>常白</v>
      </c>
      <c r="AW735" s="41" t="str">
        <f>VLOOKUP(E735,[1]生产部!$C:$I,6,0)</f>
        <v>验证组</v>
      </c>
    </row>
    <row r="736" spans="1:49" ht="21" customHeight="1">
      <c r="A736" s="235" t="s">
        <v>2135</v>
      </c>
      <c r="B736" s="229" t="s">
        <v>2104</v>
      </c>
      <c r="C736" s="45" t="s">
        <v>14</v>
      </c>
      <c r="D736" s="46" t="s">
        <v>1256</v>
      </c>
      <c r="E736" s="47" t="s">
        <v>1257</v>
      </c>
      <c r="F736" s="48">
        <v>46120</v>
      </c>
      <c r="G736" s="49">
        <f t="shared" si="11"/>
        <v>0</v>
      </c>
      <c r="H736" s="77">
        <f>SUMIF(积分汇总!$B:$B,D735,积分汇总!$E:$E)</f>
        <v>0</v>
      </c>
      <c r="I736" s="77">
        <f>SUMIF(记录巡查问题条数汇总!$B:$B,D735,记录巡查问题条数汇总!$E:$E)</f>
        <v>0</v>
      </c>
      <c r="J736" s="77"/>
      <c r="K736" s="77">
        <f>SUMIF(安全质量事故!$B:$B,D735,安全质量事故!$G:$G)</f>
        <v>0</v>
      </c>
      <c r="L736" s="72">
        <f>COUNTIF(M736:AQ736,标准数据!$A$2)*标准数据!$B$2+COUNTIF(M736:AQ736,标准数据!$A$3)*标准数据!$B$3+COUNTIF(M736:AQ736,标准数据!$A$4)*标准数据!$B$4</f>
        <v>0</v>
      </c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189"/>
      <c r="AR736" s="55"/>
      <c r="AV736" s="76" t="str">
        <f>VLOOKUP(E736,[1]生产部!$C:$I,7,0)</f>
        <v>常白</v>
      </c>
      <c r="AW736" s="41" t="str">
        <f>VLOOKUP(E736,[1]生产部!$C:$I,6,0)</f>
        <v>验证组</v>
      </c>
    </row>
    <row r="737" spans="1:49" ht="21" customHeight="1">
      <c r="A737" s="235" t="s">
        <v>2135</v>
      </c>
      <c r="B737" s="229" t="s">
        <v>2104</v>
      </c>
      <c r="C737" s="45" t="s">
        <v>14</v>
      </c>
      <c r="D737" s="46" t="s">
        <v>1258</v>
      </c>
      <c r="E737" s="47" t="s">
        <v>1259</v>
      </c>
      <c r="F737" s="48">
        <v>46127</v>
      </c>
      <c r="G737" s="49">
        <f t="shared" si="11"/>
        <v>0</v>
      </c>
      <c r="H737" s="77">
        <f>SUMIF(积分汇总!$B:$B,D736,积分汇总!$E:$E)</f>
        <v>0</v>
      </c>
      <c r="I737" s="77">
        <f>SUMIF(记录巡查问题条数汇总!$B:$B,D736,记录巡查问题条数汇总!$E:$E)</f>
        <v>0</v>
      </c>
      <c r="J737" s="77"/>
      <c r="K737" s="77">
        <f>SUMIF(安全质量事故!$B:$B,D736,安全质量事故!$G:$G)</f>
        <v>0</v>
      </c>
      <c r="L737" s="72">
        <f>COUNTIF(M737:AQ737,标准数据!$A$2)*标准数据!$B$2+COUNTIF(M737:AQ737,标准数据!$A$3)*标准数据!$B$3+COUNTIF(M737:AQ737,标准数据!$A$4)*标准数据!$B$4</f>
        <v>0</v>
      </c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189"/>
      <c r="AR737" s="55"/>
      <c r="AV737" s="76" t="str">
        <f>VLOOKUP(E737,[1]生产部!$C:$I,7,0)</f>
        <v>常白</v>
      </c>
      <c r="AW737" s="41" t="str">
        <f>VLOOKUP(E737,[1]生产部!$C:$I,6,0)</f>
        <v>验证组</v>
      </c>
    </row>
    <row r="738" spans="1:49" ht="21" customHeight="1">
      <c r="A738" s="235" t="s">
        <v>2135</v>
      </c>
      <c r="B738" s="229" t="s">
        <v>2104</v>
      </c>
      <c r="C738" s="45" t="s">
        <v>87</v>
      </c>
      <c r="D738" s="46" t="s">
        <v>1260</v>
      </c>
      <c r="E738" s="52" t="s">
        <v>1261</v>
      </c>
      <c r="F738" s="46">
        <v>46127</v>
      </c>
      <c r="G738" s="49">
        <f t="shared" si="11"/>
        <v>0</v>
      </c>
      <c r="H738" s="77">
        <f>SUMIF(积分汇总!$B:$B,D737,积分汇总!$E:$E)</f>
        <v>0</v>
      </c>
      <c r="I738" s="77">
        <f>SUMIF(记录巡查问题条数汇总!$B:$B,D737,记录巡查问题条数汇总!$E:$E)</f>
        <v>0</v>
      </c>
      <c r="J738" s="77"/>
      <c r="K738" s="77">
        <f>SUMIF(安全质量事故!$B:$B,D737,安全质量事故!$G:$G)</f>
        <v>0</v>
      </c>
      <c r="L738" s="72">
        <f>COUNTIF(M738:AQ738,标准数据!$A$2)*标准数据!$B$2+COUNTIF(M738:AQ738,标准数据!$A$3)*标准数据!$B$3+COUNTIF(M738:AQ738,标准数据!$A$4)*标准数据!$B$4</f>
        <v>0</v>
      </c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189"/>
      <c r="AR738" s="55"/>
      <c r="AS738" s="41"/>
      <c r="AT738" s="41"/>
      <c r="AU738" s="41"/>
      <c r="AV738" s="76" t="str">
        <f>VLOOKUP(E738,[1]生产部!$C:$I,7,0)</f>
        <v>常白</v>
      </c>
      <c r="AW738" s="41" t="str">
        <f>VLOOKUP(E738,[1]生产部!$C:$I,6,0)</f>
        <v>验证组</v>
      </c>
    </row>
    <row r="739" spans="1:49" ht="21" customHeight="1">
      <c r="A739" s="235" t="s">
        <v>2135</v>
      </c>
      <c r="B739" s="229" t="s">
        <v>2104</v>
      </c>
      <c r="C739" s="45" t="s">
        <v>87</v>
      </c>
      <c r="D739" s="46" t="s">
        <v>1262</v>
      </c>
      <c r="E739" s="52" t="s">
        <v>1263</v>
      </c>
      <c r="F739" s="46">
        <v>46127</v>
      </c>
      <c r="G739" s="49">
        <f t="shared" si="11"/>
        <v>0</v>
      </c>
      <c r="H739" s="77">
        <f>SUMIF(积分汇总!$B:$B,D738,积分汇总!$E:$E)</f>
        <v>0</v>
      </c>
      <c r="I739" s="77">
        <f>SUMIF(记录巡查问题条数汇总!$B:$B,D738,记录巡查问题条数汇总!$E:$E)</f>
        <v>0</v>
      </c>
      <c r="J739" s="77"/>
      <c r="K739" s="77">
        <f>SUMIF(安全质量事故!$B:$B,D738,安全质量事故!$G:$G)</f>
        <v>0</v>
      </c>
      <c r="L739" s="72">
        <f>COUNTIF(M739:AQ739,标准数据!$A$2)*标准数据!$B$2+COUNTIF(M739:AQ739,标准数据!$A$3)*标准数据!$B$3+COUNTIF(M739:AQ739,标准数据!$A$4)*标准数据!$B$4</f>
        <v>0</v>
      </c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189"/>
      <c r="AR739" s="55"/>
      <c r="AS739" s="41"/>
      <c r="AT739" s="41"/>
      <c r="AU739" s="41"/>
      <c r="AV739" s="76" t="str">
        <f>VLOOKUP(E739,[1]生产部!$C:$I,7,0)</f>
        <v>常白</v>
      </c>
      <c r="AW739" s="41" t="str">
        <f>VLOOKUP(E739,[1]生产部!$C:$I,6,0)</f>
        <v>验证组</v>
      </c>
    </row>
    <row r="740" spans="1:49" ht="21" customHeight="1">
      <c r="A740" s="235" t="s">
        <v>2135</v>
      </c>
      <c r="B740" s="229" t="s">
        <v>2104</v>
      </c>
      <c r="C740" s="45" t="s">
        <v>87</v>
      </c>
      <c r="D740" s="46" t="s">
        <v>840</v>
      </c>
      <c r="E740" s="52" t="s">
        <v>801</v>
      </c>
      <c r="F740" s="46">
        <v>45889</v>
      </c>
      <c r="G740" s="49">
        <f t="shared" si="11"/>
        <v>0</v>
      </c>
      <c r="H740" s="77">
        <f>SUMIF(积分汇总!$B:$B,D739,积分汇总!$E:$E)</f>
        <v>0</v>
      </c>
      <c r="I740" s="77">
        <f>SUMIF(记录巡查问题条数汇总!$B:$B,D739,记录巡查问题条数汇总!$E:$E)</f>
        <v>0</v>
      </c>
      <c r="J740" s="77"/>
      <c r="K740" s="77">
        <f>SUMIF(安全质量事故!$B:$B,D739,安全质量事故!$G:$G)</f>
        <v>0</v>
      </c>
      <c r="L740" s="72">
        <f>COUNTIF(M740:AQ740,标准数据!$A$2)*标准数据!$B$2+COUNTIF(M740:AQ740,标准数据!$A$3)*标准数据!$B$3+COUNTIF(M740:AQ740,标准数据!$A$4)*标准数据!$B$4</f>
        <v>0</v>
      </c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189"/>
      <c r="AR740" s="55"/>
      <c r="AS740" s="41"/>
      <c r="AT740" s="41"/>
      <c r="AU740" s="41"/>
      <c r="AV740" s="76" t="str">
        <f>VLOOKUP(E740,[1]生产部!$C:$I,7,0)</f>
        <v>常白</v>
      </c>
      <c r="AW740" s="41" t="str">
        <f>VLOOKUP(E740,[1]生产部!$C:$I,6,0)</f>
        <v>12号楼（验证组委培）</v>
      </c>
    </row>
    <row r="741" spans="1:49" ht="21" customHeight="1">
      <c r="A741" s="235" t="s">
        <v>2135</v>
      </c>
      <c r="B741" s="229" t="s">
        <v>2104</v>
      </c>
      <c r="C741" s="45" t="s">
        <v>14</v>
      </c>
      <c r="D741" s="46" t="s">
        <v>841</v>
      </c>
      <c r="E741" s="52" t="s">
        <v>802</v>
      </c>
      <c r="F741" s="48">
        <v>45987</v>
      </c>
      <c r="G741" s="49">
        <f t="shared" si="11"/>
        <v>0</v>
      </c>
      <c r="H741" s="77">
        <f>SUMIF(积分汇总!$B:$B,D740,积分汇总!$E:$E)</f>
        <v>0</v>
      </c>
      <c r="I741" s="77">
        <f>SUMIF(记录巡查问题条数汇总!$B:$B,D740,记录巡查问题条数汇总!$E:$E)</f>
        <v>0</v>
      </c>
      <c r="J741" s="77"/>
      <c r="K741" s="77">
        <f>SUMIF(安全质量事故!$B:$B,D740,安全质量事故!$G:$G)</f>
        <v>0</v>
      </c>
      <c r="L741" s="72">
        <f>COUNTIF(M741:AQ741,标准数据!$A$2)*标准数据!$B$2+COUNTIF(M741:AQ741,标准数据!$A$3)*标准数据!$B$3+COUNTIF(M741:AQ741,标准数据!$A$4)*标准数据!$B$4</f>
        <v>0</v>
      </c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192"/>
      <c r="AR741" s="90"/>
      <c r="AV741" s="76" t="str">
        <f>VLOOKUP(E741,[1]生产部!$C:$I,7,0)</f>
        <v>常白</v>
      </c>
      <c r="AW741" s="41" t="str">
        <f>VLOOKUP(E741,[1]生产部!$C:$I,6,0)</f>
        <v>12号楼（验证组委培）</v>
      </c>
    </row>
    <row r="742" spans="1:49" ht="21" customHeight="1">
      <c r="A742" s="235" t="s">
        <v>2135</v>
      </c>
      <c r="B742" s="229" t="s">
        <v>2104</v>
      </c>
      <c r="C742" s="45" t="s">
        <v>14</v>
      </c>
      <c r="D742" s="46" t="s">
        <v>1404</v>
      </c>
      <c r="E742" s="47" t="s">
        <v>1405</v>
      </c>
      <c r="F742" s="48">
        <v>46153</v>
      </c>
      <c r="G742" s="49">
        <f t="shared" si="11"/>
        <v>0</v>
      </c>
      <c r="H742" s="77">
        <f>SUMIF(积分汇总!$B:$B,D741,积分汇总!$E:$E)</f>
        <v>0</v>
      </c>
      <c r="I742" s="77">
        <f>SUMIF(记录巡查问题条数汇总!$B:$B,D741,记录巡查问题条数汇总!$E:$E)</f>
        <v>0</v>
      </c>
      <c r="J742" s="77"/>
      <c r="K742" s="77">
        <f>SUMIF(安全质量事故!$B:$B,D741,安全质量事故!$G:$G)</f>
        <v>0</v>
      </c>
      <c r="L742" s="72">
        <f>COUNTIF(M742:AQ742,标准数据!$A$2)*标准数据!$B$2+COUNTIF(M742:AQ742,标准数据!$A$3)*标准数据!$B$3+COUNTIF(M742:AQ742,标准数据!$A$4)*标准数据!$B$4</f>
        <v>0</v>
      </c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189"/>
      <c r="AR742" s="55"/>
      <c r="AV742" s="76" t="str">
        <f>VLOOKUP(E742,[1]生产部!$C:$I,7,0)</f>
        <v>常白</v>
      </c>
      <c r="AW742" s="41" t="str">
        <f>VLOOKUP(E742,[1]生产部!$C:$I,6,0)</f>
        <v>验证组</v>
      </c>
    </row>
    <row r="743" spans="1:49" ht="21" customHeight="1">
      <c r="A743" s="235" t="s">
        <v>2135</v>
      </c>
      <c r="B743" s="229" t="s">
        <v>2104</v>
      </c>
      <c r="C743" s="45" t="s">
        <v>87</v>
      </c>
      <c r="D743" s="46" t="s">
        <v>1406</v>
      </c>
      <c r="E743" s="52" t="s">
        <v>1407</v>
      </c>
      <c r="F743" s="46">
        <v>46155</v>
      </c>
      <c r="G743" s="49">
        <f t="shared" si="11"/>
        <v>0</v>
      </c>
      <c r="H743" s="77">
        <f>SUMIF(积分汇总!$B:$B,D742,积分汇总!$E:$E)</f>
        <v>0</v>
      </c>
      <c r="I743" s="77">
        <f>SUMIF(记录巡查问题条数汇总!$B:$B,D742,记录巡查问题条数汇总!$E:$E)</f>
        <v>0</v>
      </c>
      <c r="J743" s="77"/>
      <c r="K743" s="77">
        <f>SUMIF(安全质量事故!$B:$B,D742,安全质量事故!$G:$G)</f>
        <v>0</v>
      </c>
      <c r="L743" s="72">
        <f>COUNTIF(M743:AQ743,标准数据!$A$2)*标准数据!$B$2+COUNTIF(M743:AQ743,标准数据!$A$3)*标准数据!$B$3+COUNTIF(M743:AQ743,标准数据!$A$4)*标准数据!$B$4</f>
        <v>0</v>
      </c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189"/>
      <c r="AR743" s="55"/>
      <c r="AS743" s="41"/>
      <c r="AT743" s="41"/>
      <c r="AU743" s="41"/>
      <c r="AV743" s="76" t="str">
        <f>VLOOKUP(E743,[1]生产部!$C:$I,7,0)</f>
        <v>常白</v>
      </c>
      <c r="AW743" s="41" t="str">
        <f>VLOOKUP(E743,[1]生产部!$C:$I,6,0)</f>
        <v>验证组</v>
      </c>
    </row>
    <row r="744" spans="1:49" ht="21" customHeight="1">
      <c r="A744" s="235" t="s">
        <v>2135</v>
      </c>
      <c r="B744" s="229" t="s">
        <v>2104</v>
      </c>
      <c r="C744" s="45" t="s">
        <v>87</v>
      </c>
      <c r="D744" s="46" t="s">
        <v>1408</v>
      </c>
      <c r="E744" s="52" t="s">
        <v>1409</v>
      </c>
      <c r="F744" s="46">
        <v>46134</v>
      </c>
      <c r="G744" s="49">
        <f t="shared" si="11"/>
        <v>0</v>
      </c>
      <c r="H744" s="77">
        <f>SUMIF(积分汇总!$B:$B,D743,积分汇总!$E:$E)</f>
        <v>0</v>
      </c>
      <c r="I744" s="77">
        <f>SUMIF(记录巡查问题条数汇总!$B:$B,D743,记录巡查问题条数汇总!$E:$E)</f>
        <v>0</v>
      </c>
      <c r="J744" s="77"/>
      <c r="K744" s="77">
        <f>SUMIF(安全质量事故!$B:$B,D743,安全质量事故!$G:$G)</f>
        <v>0</v>
      </c>
      <c r="L744" s="72">
        <f>COUNTIF(M744:AQ744,标准数据!$A$2)*标准数据!$B$2+COUNTIF(M744:AQ744,标准数据!$A$3)*标准数据!$B$3+COUNTIF(M744:AQ744,标准数据!$A$4)*标准数据!$B$4</f>
        <v>0</v>
      </c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189"/>
      <c r="AR744" s="55"/>
      <c r="AS744" s="41"/>
      <c r="AT744" s="41"/>
      <c r="AU744" s="41"/>
      <c r="AV744" s="76" t="str">
        <f>VLOOKUP(E744,[1]生产部!$C:$I,7,0)</f>
        <v>常白</v>
      </c>
      <c r="AW744" s="41" t="str">
        <f>VLOOKUP(E744,[1]生产部!$C:$I,6,0)</f>
        <v>验证组</v>
      </c>
    </row>
    <row r="745" spans="1:49" ht="21" customHeight="1">
      <c r="A745" s="235" t="s">
        <v>2135</v>
      </c>
      <c r="B745" s="229" t="s">
        <v>2104</v>
      </c>
      <c r="C745" s="45" t="s">
        <v>14</v>
      </c>
      <c r="D745" s="46" t="s">
        <v>1410</v>
      </c>
      <c r="E745" s="47" t="s">
        <v>1411</v>
      </c>
      <c r="F745" s="48">
        <v>46153</v>
      </c>
      <c r="G745" s="49">
        <f t="shared" si="11"/>
        <v>0</v>
      </c>
      <c r="H745" s="77">
        <f>SUMIF(积分汇总!$B:$B,D744,积分汇总!$E:$E)</f>
        <v>0</v>
      </c>
      <c r="I745" s="77">
        <f>SUMIF(记录巡查问题条数汇总!$B:$B,D744,记录巡查问题条数汇总!$E:$E)</f>
        <v>0</v>
      </c>
      <c r="J745" s="77"/>
      <c r="K745" s="77">
        <f>SUMIF(安全质量事故!$B:$B,D744,安全质量事故!$G:$G)</f>
        <v>0</v>
      </c>
      <c r="L745" s="72">
        <f>COUNTIF(M745:AQ745,标准数据!$A$2)*标准数据!$B$2+COUNTIF(M745:AQ745,标准数据!$A$3)*标准数据!$B$3+COUNTIF(M745:AQ745,标准数据!$A$4)*标准数据!$B$4</f>
        <v>0</v>
      </c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189"/>
      <c r="AR745" s="55"/>
      <c r="AV745" s="76" t="str">
        <f>VLOOKUP(E745,[1]生产部!$C:$I,7,0)</f>
        <v>常白</v>
      </c>
      <c r="AW745" s="41" t="str">
        <f>VLOOKUP(E745,[1]生产部!$C:$I,6,0)</f>
        <v>验证组</v>
      </c>
    </row>
    <row r="746" spans="1:49" ht="21" customHeight="1">
      <c r="A746" s="235" t="s">
        <v>2135</v>
      </c>
      <c r="B746" s="229" t="s">
        <v>2104</v>
      </c>
      <c r="C746" s="45" t="s">
        <v>87</v>
      </c>
      <c r="D746" s="46" t="s">
        <v>1412</v>
      </c>
      <c r="E746" s="52" t="s">
        <v>1413</v>
      </c>
      <c r="F746" s="46">
        <v>46153</v>
      </c>
      <c r="G746" s="49">
        <f t="shared" si="11"/>
        <v>0</v>
      </c>
      <c r="H746" s="77">
        <f>SUMIF(积分汇总!$B:$B,D745,积分汇总!$E:$E)</f>
        <v>0</v>
      </c>
      <c r="I746" s="77">
        <f>SUMIF(记录巡查问题条数汇总!$B:$B,D745,记录巡查问题条数汇总!$E:$E)</f>
        <v>0</v>
      </c>
      <c r="J746" s="77"/>
      <c r="K746" s="77">
        <f>SUMIF(安全质量事故!$B:$B,D745,安全质量事故!$G:$G)</f>
        <v>0</v>
      </c>
      <c r="L746" s="72">
        <f>COUNTIF(M746:AQ746,标准数据!$A$2)*标准数据!$B$2+COUNTIF(M746:AQ746,标准数据!$A$3)*标准数据!$B$3+COUNTIF(M746:AQ746,标准数据!$A$4)*标准数据!$B$4</f>
        <v>0</v>
      </c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189"/>
      <c r="AR746" s="55"/>
      <c r="AS746" s="41"/>
      <c r="AT746" s="41"/>
      <c r="AU746" s="41"/>
      <c r="AV746" s="76" t="str">
        <f>VLOOKUP(E746,[1]生产部!$C:$I,7,0)</f>
        <v>常白</v>
      </c>
      <c r="AW746" s="41" t="str">
        <f>VLOOKUP(E746,[1]生产部!$C:$I,6,0)</f>
        <v>验证组</v>
      </c>
    </row>
    <row r="747" spans="1:49" ht="21" customHeight="1">
      <c r="A747" s="235" t="s">
        <v>2135</v>
      </c>
      <c r="B747" s="229" t="s">
        <v>2104</v>
      </c>
      <c r="C747" s="45" t="s">
        <v>87</v>
      </c>
      <c r="D747" s="46" t="s">
        <v>1414</v>
      </c>
      <c r="E747" s="52" t="s">
        <v>1415</v>
      </c>
      <c r="F747" s="46">
        <v>46155</v>
      </c>
      <c r="G747" s="49">
        <f t="shared" si="11"/>
        <v>0</v>
      </c>
      <c r="H747" s="77">
        <f>SUMIF(积分汇总!$B:$B,D746,积分汇总!$E:$E)</f>
        <v>0</v>
      </c>
      <c r="I747" s="77">
        <f>SUMIF(记录巡查问题条数汇总!$B:$B,D746,记录巡查问题条数汇总!$E:$E)</f>
        <v>0</v>
      </c>
      <c r="J747" s="77"/>
      <c r="K747" s="77">
        <f>SUMIF(安全质量事故!$B:$B,D746,安全质量事故!$G:$G)</f>
        <v>0</v>
      </c>
      <c r="L747" s="72">
        <f>COUNTIF(M747:AQ747,标准数据!$A$2)*标准数据!$B$2+COUNTIF(M747:AQ747,标准数据!$A$3)*标准数据!$B$3+COUNTIF(M747:AQ747,标准数据!$A$4)*标准数据!$B$4</f>
        <v>0</v>
      </c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189"/>
      <c r="AR747" s="55"/>
      <c r="AS747" s="41"/>
      <c r="AT747" s="41"/>
      <c r="AU747" s="41"/>
      <c r="AV747" s="76" t="str">
        <f>VLOOKUP(E747,[1]生产部!$C:$I,7,0)</f>
        <v>常白</v>
      </c>
      <c r="AW747" s="41" t="str">
        <f>VLOOKUP(E747,[1]生产部!$C:$I,6,0)</f>
        <v>验证组</v>
      </c>
    </row>
    <row r="748" spans="1:49" ht="21" customHeight="1">
      <c r="A748" s="235" t="s">
        <v>2135</v>
      </c>
      <c r="B748" s="229" t="s">
        <v>2114</v>
      </c>
      <c r="C748" s="45" t="s">
        <v>14</v>
      </c>
      <c r="D748" s="46" t="s">
        <v>1577</v>
      </c>
      <c r="E748" s="52" t="s">
        <v>1578</v>
      </c>
      <c r="F748" s="46">
        <v>46204</v>
      </c>
      <c r="G748" s="49">
        <f t="shared" si="11"/>
        <v>0</v>
      </c>
      <c r="H748" s="77">
        <f>SUMIF(积分汇总!$B:$B,D747,积分汇总!$E:$E)</f>
        <v>0</v>
      </c>
      <c r="I748" s="77">
        <f>SUMIF(记录巡查问题条数汇总!$B:$B,D747,记录巡查问题条数汇总!$E:$E)</f>
        <v>0</v>
      </c>
      <c r="J748" s="77"/>
      <c r="K748" s="77">
        <f>SUMIF(安全质量事故!$B:$B,D747,安全质量事故!$G:$G)</f>
        <v>0</v>
      </c>
      <c r="L748" s="72">
        <f>COUNTIF(M748:AQ748,标准数据!$A$2)*标准数据!$B$2+COUNTIF(M748:AQ748,标准数据!$A$3)*标准数据!$B$3+COUNTIF(M748:AQ748,标准数据!$A$4)*标准数据!$B$4</f>
        <v>0</v>
      </c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188"/>
      <c r="AR748" s="90"/>
      <c r="AV748" s="76" t="str">
        <f>VLOOKUP(E748,[1]生产部!$C:$I,7,0)</f>
        <v>常白</v>
      </c>
      <c r="AW748" s="41" t="str">
        <f>VLOOKUP(E748,[1]生产部!$C:$I,6,0)</f>
        <v>4号楼（计算机化设备保障组委培）</v>
      </c>
    </row>
    <row r="749" spans="1:49" ht="21" customHeight="1">
      <c r="A749" s="235" t="s">
        <v>2135</v>
      </c>
      <c r="B749" s="229" t="s">
        <v>2115</v>
      </c>
      <c r="C749" s="45" t="s">
        <v>146</v>
      </c>
      <c r="D749" s="46" t="s">
        <v>329</v>
      </c>
      <c r="E749" s="47" t="s">
        <v>304</v>
      </c>
      <c r="F749" s="48">
        <v>45600</v>
      </c>
      <c r="G749" s="49">
        <f t="shared" si="11"/>
        <v>0</v>
      </c>
      <c r="H749" s="77">
        <f>SUMIF(积分汇总!$B:$B,D748,积分汇总!$E:$E)</f>
        <v>0</v>
      </c>
      <c r="I749" s="77">
        <f>SUMIF(记录巡查问题条数汇总!$B:$B,D748,记录巡查问题条数汇总!$E:$E)</f>
        <v>0</v>
      </c>
      <c r="J749" s="77"/>
      <c r="K749" s="77">
        <f>SUMIF(安全质量事故!$B:$B,D748,安全质量事故!$G:$G)</f>
        <v>0</v>
      </c>
      <c r="L749" s="72">
        <f>COUNTIF(M749:AQ749,标准数据!$A$2)*标准数据!$B$2+COUNTIF(M749:AQ749,标准数据!$A$3)*标准数据!$B$3+COUNTIF(M749:AQ749,标准数据!$A$4)*标准数据!$B$4</f>
        <v>0</v>
      </c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189"/>
      <c r="AR749" s="55"/>
      <c r="AV749" s="76" t="str">
        <f>VLOOKUP(E749,[1]生产部!$C:$I,7,0)</f>
        <v>常白</v>
      </c>
      <c r="AW749" s="41" t="str">
        <f>VLOOKUP(E749,[1]生产部!$C:$I,6,0)</f>
        <v>12号楼（验证组委培）</v>
      </c>
    </row>
    <row r="750" spans="1:49" ht="21" customHeight="1">
      <c r="A750" s="235" t="s">
        <v>2135</v>
      </c>
      <c r="B750" s="229" t="s">
        <v>2117</v>
      </c>
      <c r="C750" s="45" t="s">
        <v>14</v>
      </c>
      <c r="D750" s="46" t="s">
        <v>1750</v>
      </c>
      <c r="E750" s="47" t="s">
        <v>1751</v>
      </c>
      <c r="F750" s="48">
        <v>46197</v>
      </c>
      <c r="G750" s="49">
        <f t="shared" si="11"/>
        <v>0</v>
      </c>
      <c r="H750" s="77">
        <f>SUMIF(积分汇总!$B:$B,D749,积分汇总!$E:$E)</f>
        <v>0</v>
      </c>
      <c r="I750" s="77">
        <f>SUMIF(记录巡查问题条数汇总!$B:$B,D749,记录巡查问题条数汇总!$E:$E)</f>
        <v>0</v>
      </c>
      <c r="J750" s="77"/>
      <c r="K750" s="77">
        <f>SUMIF(安全质量事故!$B:$B,D749,安全质量事故!$G:$G)</f>
        <v>0</v>
      </c>
      <c r="L750" s="72">
        <f>COUNTIF(M750:AQ750,标准数据!$A$2)*标准数据!$B$2+COUNTIF(M750:AQ750,标准数据!$A$3)*标准数据!$B$3+COUNTIF(M750:AQ750,标准数据!$A$4)*标准数据!$B$4</f>
        <v>0</v>
      </c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189"/>
      <c r="AR750" s="55"/>
      <c r="AS750" s="41"/>
      <c r="AT750" s="41"/>
      <c r="AU750" s="41"/>
      <c r="AV750" s="76" t="str">
        <f>VLOOKUP(E750,[1]生产部!$C:$I,7,0)</f>
        <v>常白</v>
      </c>
      <c r="AW750" s="41" t="str">
        <f>VLOOKUP(E750,[1]生产部!$C:$I,6,0)</f>
        <v>12号楼（验证组委培）</v>
      </c>
    </row>
    <row r="751" spans="1:49" ht="21.75" customHeight="1">
      <c r="A751" s="235" t="s">
        <v>2135</v>
      </c>
      <c r="B751" s="229" t="s">
        <v>2114</v>
      </c>
      <c r="C751" s="45" t="s">
        <v>14</v>
      </c>
      <c r="D751" s="46" t="s">
        <v>1770</v>
      </c>
      <c r="E751" s="47" t="s">
        <v>1771</v>
      </c>
      <c r="F751" s="48">
        <v>46215</v>
      </c>
      <c r="G751" s="49">
        <f t="shared" si="11"/>
        <v>0</v>
      </c>
      <c r="H751" s="77">
        <f>SUMIF(积分汇总!$B:$B,D749,积分汇总!$E:$E)</f>
        <v>0</v>
      </c>
      <c r="I751" s="77">
        <f>SUMIF(记录巡查问题条数汇总!$B:$B,D749,记录巡查问题条数汇总!$E:$E)</f>
        <v>0</v>
      </c>
      <c r="J751" s="77"/>
      <c r="K751" s="77">
        <f>SUMIF(安全质量事故!$B:$B,D749,安全质量事故!$G:$G)</f>
        <v>0</v>
      </c>
      <c r="L751" s="72">
        <f>COUNTIF(M751:AQ751,标准数据!$A$2)*标准数据!$B$2+COUNTIF(M751:AQ751,标准数据!$A$3)*标准数据!$B$3+COUNTIF(M751:AQ751,标准数据!$A$4)*标准数据!$B$4</f>
        <v>0</v>
      </c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189"/>
      <c r="AR751" s="55"/>
      <c r="AV751" s="76" t="str">
        <f>VLOOKUP(E751,[1]生产部!$C:$I,7,0)</f>
        <v>常白</v>
      </c>
      <c r="AW751" s="41" t="str">
        <f>VLOOKUP(E751,[1]生产部!$C:$I,6,0)</f>
        <v>12号楼（计算机化设备保障组委培）</v>
      </c>
    </row>
    <row r="752" spans="1:49" ht="21" customHeight="1">
      <c r="A752" s="235" t="s">
        <v>2135</v>
      </c>
      <c r="B752" s="229" t="s">
        <v>2114</v>
      </c>
      <c r="C752" s="45" t="s">
        <v>14</v>
      </c>
      <c r="D752" s="46" t="s">
        <v>1349</v>
      </c>
      <c r="E752" s="47" t="s">
        <v>1350</v>
      </c>
      <c r="F752" s="48">
        <v>46139</v>
      </c>
      <c r="G752" s="49">
        <f t="shared" si="11"/>
        <v>0</v>
      </c>
      <c r="H752" s="77">
        <f>SUMIF(积分汇总!$B:$B,D748,积分汇总!$E:$E)</f>
        <v>0</v>
      </c>
      <c r="I752" s="77">
        <f>SUMIF(记录巡查问题条数汇总!$B:$B,D748,记录巡查问题条数汇总!$E:$E)</f>
        <v>0</v>
      </c>
      <c r="J752" s="77"/>
      <c r="K752" s="77">
        <f>SUMIF(安全质量事故!$B:$B,D748,安全质量事故!$G:$G)</f>
        <v>0</v>
      </c>
      <c r="L752" s="72">
        <f>COUNTIF(M752:AQ752,标准数据!$A$2)*标准数据!$B$2+COUNTIF(M752:AQ752,标准数据!$A$3)*标准数据!$B$3+COUNTIF(M752:AQ752,标准数据!$A$4)*标准数据!$B$4</f>
        <v>0</v>
      </c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189"/>
      <c r="AR752" s="55"/>
      <c r="AV752" s="76" t="str">
        <f>VLOOKUP(E752,[1]生产部!$C:$I,7,0)</f>
        <v>常白</v>
      </c>
      <c r="AW752" s="41" t="str">
        <f>VLOOKUP(E752,[1]生产部!$C:$I,6,0)</f>
        <v>13号楼（计算机化设备保障组委培）</v>
      </c>
    </row>
    <row r="753" spans="1:49" ht="21" customHeight="1">
      <c r="A753" s="235" t="s">
        <v>2135</v>
      </c>
      <c r="B753" s="229" t="s">
        <v>2104</v>
      </c>
      <c r="C753" s="45" t="s">
        <v>87</v>
      </c>
      <c r="D753" s="46" t="s">
        <v>1388</v>
      </c>
      <c r="E753" s="52" t="s">
        <v>1389</v>
      </c>
      <c r="F753" s="46">
        <v>46139</v>
      </c>
      <c r="G753" s="49">
        <f t="shared" si="11"/>
        <v>0</v>
      </c>
      <c r="H753" s="77">
        <f>SUMIF(积分汇总!$B:$B,D747,积分汇总!$E:$E)</f>
        <v>0</v>
      </c>
      <c r="I753" s="77">
        <f>SUMIF(记录巡查问题条数汇总!$B:$B,D747,记录巡查问题条数汇总!$E:$E)</f>
        <v>0</v>
      </c>
      <c r="J753" s="77"/>
      <c r="K753" s="77">
        <f>SUMIF(安全质量事故!$B:$B,D747,安全质量事故!$G:$G)</f>
        <v>0</v>
      </c>
      <c r="L753" s="72">
        <f>COUNTIF(M753:AQ753,标准数据!$A$2)*标准数据!$B$2+COUNTIF(M753:AQ753,标准数据!$A$3)*标准数据!$B$3+COUNTIF(M753:AQ753,标准数据!$A$4)*标准数据!$B$4</f>
        <v>0</v>
      </c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189"/>
      <c r="AR753" s="55"/>
      <c r="AS753" s="41"/>
      <c r="AT753" s="41"/>
      <c r="AU753" s="41"/>
      <c r="AV753" s="76" t="str">
        <f>VLOOKUP(E753,[1]生产部!$C:$I,7,0)</f>
        <v>常白</v>
      </c>
      <c r="AW753" s="41" t="str">
        <f>VLOOKUP(E753,[1]生产部!$C:$I,6,0)</f>
        <v>13号楼（验证组委培）</v>
      </c>
    </row>
    <row r="754" spans="1:49" ht="21" customHeight="1">
      <c r="A754" s="235" t="s">
        <v>2135</v>
      </c>
      <c r="B754" s="229" t="s">
        <v>2104</v>
      </c>
      <c r="C754" s="45" t="s">
        <v>87</v>
      </c>
      <c r="D754" s="46" t="s">
        <v>1390</v>
      </c>
      <c r="E754" s="52" t="s">
        <v>1391</v>
      </c>
      <c r="F754" s="46">
        <v>46139</v>
      </c>
      <c r="G754" s="49">
        <f t="shared" si="11"/>
        <v>0</v>
      </c>
      <c r="H754" s="77">
        <f>SUMIF(积分汇总!$B:$B,D753,积分汇总!$E:$E)</f>
        <v>0</v>
      </c>
      <c r="I754" s="77">
        <f>SUMIF(记录巡查问题条数汇总!$B:$B,D753,记录巡查问题条数汇总!$E:$E)</f>
        <v>0</v>
      </c>
      <c r="J754" s="77"/>
      <c r="K754" s="77">
        <f>SUMIF(安全质量事故!$B:$B,D753,安全质量事故!$G:$G)</f>
        <v>0</v>
      </c>
      <c r="L754" s="72">
        <f>COUNTIF(M754:AQ754,标准数据!$A$2)*标准数据!$B$2+COUNTIF(M754:AQ754,标准数据!$A$3)*标准数据!$B$3+COUNTIF(M754:AQ754,标准数据!$A$4)*标准数据!$B$4</f>
        <v>0</v>
      </c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189"/>
      <c r="AR754" s="55"/>
      <c r="AS754" s="41"/>
      <c r="AT754" s="41"/>
      <c r="AU754" s="41"/>
      <c r="AV754" s="76" t="str">
        <f>VLOOKUP(E754,[1]生产部!$C:$I,7,0)</f>
        <v>常白</v>
      </c>
      <c r="AW754" s="41" t="str">
        <f>VLOOKUP(E754,[1]生产部!$C:$I,6,0)</f>
        <v>13号楼（验证组委培）</v>
      </c>
    </row>
    <row r="755" spans="1:49" ht="21" customHeight="1">
      <c r="A755" s="235" t="s">
        <v>2135</v>
      </c>
      <c r="B755" s="229" t="s">
        <v>2104</v>
      </c>
      <c r="C755" s="45" t="s">
        <v>14</v>
      </c>
      <c r="D755" s="46" t="s">
        <v>1392</v>
      </c>
      <c r="E755" s="52" t="s">
        <v>1393</v>
      </c>
      <c r="F755" s="46">
        <v>46139</v>
      </c>
      <c r="G755" s="49">
        <f t="shared" si="11"/>
        <v>0</v>
      </c>
      <c r="H755" s="77">
        <f>SUMIF(积分汇总!$B:$B,D754,积分汇总!$E:$E)</f>
        <v>0</v>
      </c>
      <c r="I755" s="77">
        <f>SUMIF(记录巡查问题条数汇总!$B:$B,D754,记录巡查问题条数汇总!$E:$E)</f>
        <v>0</v>
      </c>
      <c r="J755" s="77"/>
      <c r="K755" s="77">
        <f>SUMIF(安全质量事故!$B:$B,D754,安全质量事故!$G:$G)</f>
        <v>0</v>
      </c>
      <c r="L755" s="72">
        <f>COUNTIF(M755:AQ755,标准数据!$A$2)*标准数据!$B$2+COUNTIF(M755:AQ755,标准数据!$A$3)*标准数据!$B$3+COUNTIF(M755:AQ755,标准数据!$A$4)*标准数据!$B$4</f>
        <v>0</v>
      </c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188"/>
      <c r="AR755" s="90"/>
      <c r="AV755" s="76" t="str">
        <f>VLOOKUP(E755,[1]生产部!$C:$I,7,0)</f>
        <v>常白</v>
      </c>
      <c r="AW755" s="41" t="str">
        <f>VLOOKUP(E755,[1]生产部!$C:$I,6,0)</f>
        <v>13号楼（验证组委培）</v>
      </c>
    </row>
    <row r="756" spans="1:49" ht="21" customHeight="1">
      <c r="A756" s="235" t="s">
        <v>2135</v>
      </c>
      <c r="B756" s="229" t="s">
        <v>2104</v>
      </c>
      <c r="C756" s="45" t="s">
        <v>14</v>
      </c>
      <c r="D756" s="46" t="s">
        <v>1394</v>
      </c>
      <c r="E756" s="47" t="s">
        <v>1395</v>
      </c>
      <c r="F756" s="48">
        <v>46139</v>
      </c>
      <c r="G756" s="49">
        <f t="shared" si="11"/>
        <v>0</v>
      </c>
      <c r="H756" s="77">
        <f>SUMIF(积分汇总!$B:$B,D755,积分汇总!$E:$E)</f>
        <v>0</v>
      </c>
      <c r="I756" s="77">
        <f>SUMIF(记录巡查问题条数汇总!$B:$B,D755,记录巡查问题条数汇总!$E:$E)</f>
        <v>0</v>
      </c>
      <c r="J756" s="77"/>
      <c r="K756" s="77">
        <f>SUMIF(安全质量事故!$B:$B,D755,安全质量事故!$G:$G)</f>
        <v>0</v>
      </c>
      <c r="L756" s="72">
        <f>COUNTIF(M756:AQ756,标准数据!$A$2)*标准数据!$B$2+COUNTIF(M756:AQ756,标准数据!$A$3)*标准数据!$B$3+COUNTIF(M756:AQ756,标准数据!$A$4)*标准数据!$B$4</f>
        <v>0</v>
      </c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189"/>
      <c r="AR756" s="55"/>
      <c r="AV756" s="76" t="str">
        <f>VLOOKUP(E756,[1]生产部!$C:$I,7,0)</f>
        <v>常白</v>
      </c>
      <c r="AW756" s="41" t="str">
        <f>VLOOKUP(E756,[1]生产部!$C:$I,6,0)</f>
        <v>13号楼（验证组委培）</v>
      </c>
    </row>
    <row r="757" spans="1:49" ht="21" customHeight="1">
      <c r="A757" s="235" t="s">
        <v>2135</v>
      </c>
      <c r="B757" s="229" t="s">
        <v>2104</v>
      </c>
      <c r="C757" s="45" t="s">
        <v>87</v>
      </c>
      <c r="D757" s="46" t="s">
        <v>1396</v>
      </c>
      <c r="E757" s="52" t="s">
        <v>1397</v>
      </c>
      <c r="F757" s="46">
        <v>46139</v>
      </c>
      <c r="G757" s="49">
        <f t="shared" si="11"/>
        <v>0</v>
      </c>
      <c r="H757" s="77">
        <f>SUMIF(积分汇总!$B:$B,D756,积分汇总!$E:$E)</f>
        <v>0</v>
      </c>
      <c r="I757" s="77">
        <f>SUMIF(记录巡查问题条数汇总!$B:$B,D756,记录巡查问题条数汇总!$E:$E)</f>
        <v>0</v>
      </c>
      <c r="J757" s="77"/>
      <c r="K757" s="77">
        <f>SUMIF(安全质量事故!$B:$B,D756,安全质量事故!$G:$G)</f>
        <v>0</v>
      </c>
      <c r="L757" s="72">
        <f>COUNTIF(M757:AQ757,标准数据!$A$2)*标准数据!$B$2+COUNTIF(M757:AQ757,标准数据!$A$3)*标准数据!$B$3+COUNTIF(M757:AQ757,标准数据!$A$4)*标准数据!$B$4</f>
        <v>0</v>
      </c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189"/>
      <c r="AR757" s="55"/>
      <c r="AS757" s="41"/>
      <c r="AT757" s="41"/>
      <c r="AU757" s="41"/>
      <c r="AV757" s="76" t="str">
        <f>VLOOKUP(E757,[1]生产部!$C:$I,7,0)</f>
        <v>常白</v>
      </c>
      <c r="AW757" s="41" t="str">
        <f>VLOOKUP(E757,[1]生产部!$C:$I,6,0)</f>
        <v>13号楼（验证组委培）</v>
      </c>
    </row>
    <row r="758" spans="1:49" ht="21" customHeight="1">
      <c r="A758" s="235" t="s">
        <v>2135</v>
      </c>
      <c r="B758" s="229" t="s">
        <v>2104</v>
      </c>
      <c r="C758" s="45" t="s">
        <v>87</v>
      </c>
      <c r="D758" s="46" t="s">
        <v>831</v>
      </c>
      <c r="E758" s="52" t="s">
        <v>1398</v>
      </c>
      <c r="F758" s="46">
        <v>46139</v>
      </c>
      <c r="G758" s="49">
        <f t="shared" si="11"/>
        <v>0</v>
      </c>
      <c r="H758" s="77">
        <f>SUMIF(积分汇总!$B:$B,D757,积分汇总!$E:$E)</f>
        <v>0</v>
      </c>
      <c r="I758" s="77">
        <f>SUMIF(记录巡查问题条数汇总!$B:$B,D757,记录巡查问题条数汇总!$E:$E)</f>
        <v>0</v>
      </c>
      <c r="J758" s="77"/>
      <c r="K758" s="77">
        <f>SUMIF(安全质量事故!$B:$B,D757,安全质量事故!$G:$G)</f>
        <v>0</v>
      </c>
      <c r="L758" s="72">
        <f>COUNTIF(M758:AQ758,标准数据!$A$2)*标准数据!$B$2+COUNTIF(M758:AQ758,标准数据!$A$3)*标准数据!$B$3+COUNTIF(M758:AQ758,标准数据!$A$4)*标准数据!$B$4</f>
        <v>0</v>
      </c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189"/>
      <c r="AR758" s="55"/>
      <c r="AS758" s="41"/>
      <c r="AT758" s="41"/>
      <c r="AU758" s="41"/>
      <c r="AV758" s="76" t="str">
        <f>VLOOKUP(E758,[1]生产部!$C:$I,7,0)</f>
        <v>常白</v>
      </c>
      <c r="AW758" s="41" t="str">
        <f>VLOOKUP(E758,[1]生产部!$C:$I,6,0)</f>
        <v>13号楼（验证组委培）</v>
      </c>
    </row>
    <row r="759" spans="1:49" ht="21" customHeight="1">
      <c r="A759" s="235" t="s">
        <v>2135</v>
      </c>
      <c r="B759" s="229" t="s">
        <v>2104</v>
      </c>
      <c r="C759" s="45" t="s">
        <v>14</v>
      </c>
      <c r="D759" s="46" t="s">
        <v>1399</v>
      </c>
      <c r="E759" s="52" t="s">
        <v>1400</v>
      </c>
      <c r="F759" s="46">
        <v>46139</v>
      </c>
      <c r="G759" s="49">
        <f t="shared" si="11"/>
        <v>0</v>
      </c>
      <c r="H759" s="77">
        <f>SUMIF(积分汇总!$B:$B,D758,积分汇总!$E:$E)</f>
        <v>0</v>
      </c>
      <c r="I759" s="77">
        <f>SUMIF(记录巡查问题条数汇总!$B:$B,D758,记录巡查问题条数汇总!$E:$E)</f>
        <v>0</v>
      </c>
      <c r="J759" s="77"/>
      <c r="K759" s="77">
        <f>SUMIF(安全质量事故!$B:$B,D758,安全质量事故!$G:$G)</f>
        <v>0</v>
      </c>
      <c r="L759" s="72">
        <f>COUNTIF(M759:AQ759,标准数据!$A$2)*标准数据!$B$2+COUNTIF(M759:AQ759,标准数据!$A$3)*标准数据!$B$3+COUNTIF(M759:AQ759,标准数据!$A$4)*标准数据!$B$4</f>
        <v>0</v>
      </c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188"/>
      <c r="AR759" s="90"/>
      <c r="AV759" s="76" t="str">
        <f>VLOOKUP(E759,[1]生产部!$C:$I,7,0)</f>
        <v>常白</v>
      </c>
      <c r="AW759" s="41" t="str">
        <f>VLOOKUP(E759,[1]生产部!$C:$I,6,0)</f>
        <v>13号楼（验证组委培）</v>
      </c>
    </row>
    <row r="760" spans="1:49" ht="21" customHeight="1">
      <c r="A760" s="235" t="s">
        <v>2135</v>
      </c>
      <c r="B760" s="229" t="s">
        <v>2117</v>
      </c>
      <c r="C760" s="45" t="s">
        <v>14</v>
      </c>
      <c r="D760" s="46" t="s">
        <v>1319</v>
      </c>
      <c r="E760" s="47" t="s">
        <v>1320</v>
      </c>
      <c r="F760" s="48">
        <v>46134</v>
      </c>
      <c r="G760" s="49">
        <f t="shared" si="11"/>
        <v>0</v>
      </c>
      <c r="H760" s="77">
        <f>SUMIF(积分汇总!$B:$B,D759,积分汇总!$E:$E)</f>
        <v>0</v>
      </c>
      <c r="I760" s="77">
        <f>SUMIF(记录巡查问题条数汇总!$B:$B,D759,记录巡查问题条数汇总!$E:$E)</f>
        <v>0</v>
      </c>
      <c r="J760" s="77"/>
      <c r="K760" s="77">
        <f>SUMIF(安全质量事故!$B:$B,D759,安全质量事故!$G:$G)</f>
        <v>0</v>
      </c>
      <c r="L760" s="72">
        <f>COUNTIF(M760:AQ760,标准数据!$A$2)*标准数据!$B$2+COUNTIF(M760:AQ760,标准数据!$A$3)*标准数据!$B$3+COUNTIF(M760:AQ760,标准数据!$A$4)*标准数据!$B$4</f>
        <v>0</v>
      </c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189"/>
      <c r="AR760" s="55"/>
      <c r="AV760" s="76" t="str">
        <f>VLOOKUP(E760,[1]生产部!$C:$I,7,0)</f>
        <v>常白</v>
      </c>
      <c r="AW760" s="41" t="str">
        <f>VLOOKUP(E760,[1]生产部!$C:$I,6,0)</f>
        <v>12号楼（验证组委培）</v>
      </c>
    </row>
    <row r="761" spans="1:49" ht="21" customHeight="1">
      <c r="A761" s="235" t="s">
        <v>2135</v>
      </c>
      <c r="B761" s="229" t="s">
        <v>2117</v>
      </c>
      <c r="C761" s="45" t="s">
        <v>14</v>
      </c>
      <c r="D761" s="47" t="s">
        <v>1321</v>
      </c>
      <c r="E761" s="52" t="s">
        <v>1322</v>
      </c>
      <c r="F761" s="46">
        <v>46134</v>
      </c>
      <c r="G761" s="49">
        <f t="shared" si="11"/>
        <v>0</v>
      </c>
      <c r="H761" s="77">
        <f>SUMIF(积分汇总!$B:$B,D760,积分汇总!$E:$E)</f>
        <v>0</v>
      </c>
      <c r="I761" s="77">
        <f>SUMIF(记录巡查问题条数汇总!$B:$B,D760,记录巡查问题条数汇总!$E:$E)</f>
        <v>0</v>
      </c>
      <c r="J761" s="77"/>
      <c r="K761" s="77">
        <f>SUMIF(安全质量事故!$B:$B,D760,安全质量事故!$G:$G)</f>
        <v>0</v>
      </c>
      <c r="L761" s="72">
        <f>COUNTIF(M761:AQ761,标准数据!$A$2)*标准数据!$B$2+COUNTIF(M761:AQ761,标准数据!$A$3)*标准数据!$B$3+COUNTIF(M761:AQ761,标准数据!$A$4)*标准数据!$B$4</f>
        <v>0</v>
      </c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189"/>
      <c r="AR761" s="55"/>
      <c r="AV761" s="76" t="str">
        <f>VLOOKUP(E761,[1]生产部!$C:$I,7,0)</f>
        <v>常白</v>
      </c>
      <c r="AW761" s="41" t="str">
        <f>VLOOKUP(E761,[1]生产部!$C:$I,6,0)</f>
        <v>12号楼（验证组委培）</v>
      </c>
    </row>
    <row r="762" spans="1:49" ht="21" customHeight="1">
      <c r="A762" s="235" t="s">
        <v>2135</v>
      </c>
      <c r="B762" s="229" t="s">
        <v>2104</v>
      </c>
      <c r="C762" s="45" t="s">
        <v>14</v>
      </c>
      <c r="D762" s="47" t="s">
        <v>1323</v>
      </c>
      <c r="E762" s="52" t="s">
        <v>1324</v>
      </c>
      <c r="F762" s="46">
        <v>46134</v>
      </c>
      <c r="G762" s="49">
        <f t="shared" si="11"/>
        <v>0</v>
      </c>
      <c r="H762" s="77">
        <f>SUMIF(积分汇总!$B:$B,D761,积分汇总!$E:$E)</f>
        <v>0</v>
      </c>
      <c r="I762" s="77">
        <f>SUMIF(记录巡查问题条数汇总!$B:$B,D761,记录巡查问题条数汇总!$E:$E)</f>
        <v>0</v>
      </c>
      <c r="J762" s="77"/>
      <c r="K762" s="77">
        <f>SUMIF(安全质量事故!$B:$B,D761,安全质量事故!$G:$G)</f>
        <v>0</v>
      </c>
      <c r="L762" s="72">
        <f>COUNTIF(M762:AQ762,标准数据!$A$2)*标准数据!$B$2+COUNTIF(M762:AQ762,标准数据!$A$3)*标准数据!$B$3+COUNTIF(M762:AQ762,标准数据!$A$4)*标准数据!$B$4</f>
        <v>0</v>
      </c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189"/>
      <c r="AR762" s="55"/>
      <c r="AV762" s="76" t="str">
        <f>VLOOKUP(E762,[1]生产部!$C:$I,7,0)</f>
        <v>常白</v>
      </c>
      <c r="AW762" s="41" t="str">
        <f>VLOOKUP(E762,[1]生产部!$C:$I,6,0)</f>
        <v>12号楼（验证组委培）</v>
      </c>
    </row>
    <row r="763" spans="1:49" ht="21" customHeight="1">
      <c r="A763" s="235" t="s">
        <v>2135</v>
      </c>
      <c r="B763" s="229" t="s">
        <v>2104</v>
      </c>
      <c r="C763" s="45" t="s">
        <v>14</v>
      </c>
      <c r="D763" s="47" t="s">
        <v>1325</v>
      </c>
      <c r="E763" s="52" t="s">
        <v>1326</v>
      </c>
      <c r="F763" s="46">
        <v>46134</v>
      </c>
      <c r="G763" s="49">
        <f t="shared" si="11"/>
        <v>0</v>
      </c>
      <c r="H763" s="77">
        <f>SUMIF(积分汇总!$B:$B,D762,积分汇总!$E:$E)</f>
        <v>0</v>
      </c>
      <c r="I763" s="77">
        <f>SUMIF(记录巡查问题条数汇总!$B:$B,D762,记录巡查问题条数汇总!$E:$E)</f>
        <v>0</v>
      </c>
      <c r="J763" s="77"/>
      <c r="K763" s="77">
        <f>SUMIF(安全质量事故!$B:$B,D762,安全质量事故!$G:$G)</f>
        <v>0</v>
      </c>
      <c r="L763" s="72">
        <f>COUNTIF(M763:AQ763,标准数据!$A$2)*标准数据!$B$2+COUNTIF(M763:AQ763,标准数据!$A$3)*标准数据!$B$3+COUNTIF(M763:AQ763,标准数据!$A$4)*标准数据!$B$4</f>
        <v>0</v>
      </c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189"/>
      <c r="AR763" s="55"/>
      <c r="AV763" s="76" t="str">
        <f>VLOOKUP(E763,[1]生产部!$C:$I,7,0)</f>
        <v>常白</v>
      </c>
      <c r="AW763" s="41" t="str">
        <f>VLOOKUP(E763,[1]生产部!$C:$I,6,0)</f>
        <v>12号楼（验证组委培）</v>
      </c>
    </row>
    <row r="764" spans="1:49" s="51" customFormat="1" ht="21" customHeight="1">
      <c r="A764" s="235" t="s">
        <v>2135</v>
      </c>
      <c r="B764" s="229" t="s">
        <v>2115</v>
      </c>
      <c r="C764" s="45" t="s">
        <v>14</v>
      </c>
      <c r="D764" s="46" t="s">
        <v>1329</v>
      </c>
      <c r="E764" s="47" t="s">
        <v>1330</v>
      </c>
      <c r="F764" s="48">
        <v>46139</v>
      </c>
      <c r="G764" s="49">
        <f t="shared" si="11"/>
        <v>0</v>
      </c>
      <c r="H764" s="77">
        <f>SUMIF(积分汇总!$B:$B,#REF!,积分汇总!$E:$E)</f>
        <v>0</v>
      </c>
      <c r="I764" s="77">
        <f>SUMIF(记录巡查问题条数汇总!$B:$B,#REF!,记录巡查问题条数汇总!$E:$E)</f>
        <v>0</v>
      </c>
      <c r="J764" s="77"/>
      <c r="K764" s="77">
        <f>SUMIF(安全质量事故!$B:$B,#REF!,安全质量事故!$G:$G)</f>
        <v>0</v>
      </c>
      <c r="L764" s="72">
        <f>COUNTIF(M764:AQ764,标准数据!$A$2)*标准数据!$B$2+COUNTIF(M764:AQ764,标准数据!$A$3)*标准数据!$B$3+COUNTIF(M764:AQ764,标准数据!$A$4)*标准数据!$B$4</f>
        <v>0</v>
      </c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192"/>
      <c r="AR764" s="90"/>
      <c r="AV764" s="76" t="str">
        <f>VLOOKUP(E764,[1]生产部!$C:$I,7,0)</f>
        <v>常白</v>
      </c>
      <c r="AW764" s="41" t="str">
        <f>VLOOKUP(E764,[1]生产部!$C:$I,6,0)</f>
        <v>12号楼（验证组委培）</v>
      </c>
    </row>
    <row r="765" spans="1:49" ht="21" customHeight="1">
      <c r="A765" s="235" t="s">
        <v>2135</v>
      </c>
      <c r="B765" s="229" t="s">
        <v>2104</v>
      </c>
      <c r="C765" s="45" t="s">
        <v>14</v>
      </c>
      <c r="D765" s="46" t="s">
        <v>492</v>
      </c>
      <c r="E765" s="47" t="s">
        <v>456</v>
      </c>
      <c r="F765" s="48">
        <v>45847</v>
      </c>
      <c r="G765" s="49">
        <f t="shared" si="11"/>
        <v>0</v>
      </c>
      <c r="H765" s="77">
        <f>SUMIF(积分汇总!$B:$B,D764,积分汇总!$E:$E)</f>
        <v>0</v>
      </c>
      <c r="I765" s="77">
        <f>SUMIF(记录巡查问题条数汇总!$B:$B,D764,记录巡查问题条数汇总!$E:$E)</f>
        <v>0</v>
      </c>
      <c r="J765" s="77"/>
      <c r="K765" s="77">
        <f>SUMIF(安全质量事故!$B:$B,D764,安全质量事故!$G:$G)</f>
        <v>0</v>
      </c>
      <c r="L765" s="72">
        <f>COUNTIF(M765:AQ765,标准数据!$A$2)*标准数据!$B$2+COUNTIF(M765:AQ765,标准数据!$A$3)*标准数据!$B$3+COUNTIF(M765:AQ765,标准数据!$A$4)*标准数据!$B$4</f>
        <v>0</v>
      </c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89"/>
      <c r="AO765" s="89"/>
      <c r="AP765" s="89"/>
      <c r="AQ765" s="188"/>
      <c r="AR765" s="90"/>
      <c r="AV765" s="76" t="str">
        <f>VLOOKUP(E765,[1]生产部!$C:$I,7,0)</f>
        <v>常白</v>
      </c>
      <c r="AW765" s="41" t="str">
        <f>VLOOKUP(E765,[1]生产部!$C:$I,6,0)</f>
        <v>验证组</v>
      </c>
    </row>
    <row r="766" spans="1:49" ht="21" customHeight="1">
      <c r="A766" s="235" t="s">
        <v>2135</v>
      </c>
      <c r="B766" s="229" t="s">
        <v>2104</v>
      </c>
      <c r="C766" s="45" t="s">
        <v>14</v>
      </c>
      <c r="D766" s="46" t="s">
        <v>857</v>
      </c>
      <c r="E766" s="52" t="s">
        <v>805</v>
      </c>
      <c r="F766" s="48">
        <v>45994</v>
      </c>
      <c r="G766" s="49">
        <f t="shared" si="11"/>
        <v>0</v>
      </c>
      <c r="H766" s="77">
        <f>SUMIF(积分汇总!$B:$B,D765,积分汇总!$E:$E)</f>
        <v>0</v>
      </c>
      <c r="I766" s="77">
        <f>SUMIF(记录巡查问题条数汇总!$B:$B,D765,记录巡查问题条数汇总!$E:$E)</f>
        <v>0</v>
      </c>
      <c r="J766" s="77"/>
      <c r="K766" s="77">
        <f>SUMIF(安全质量事故!$B:$B,D765,安全质量事故!$G:$G)</f>
        <v>0</v>
      </c>
      <c r="L766" s="72">
        <f>COUNTIF(M766:AQ766,标准数据!$A$2)*标准数据!$B$2+COUNTIF(M766:AQ766,标准数据!$A$3)*标准数据!$B$3+COUNTIF(M766:AQ766,标准数据!$A$4)*标准数据!$B$4</f>
        <v>0</v>
      </c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192"/>
      <c r="AR766" s="90"/>
      <c r="AV766" s="76" t="str">
        <f>VLOOKUP(E766,[1]生产部!$C:$I,7,0)</f>
        <v>常白</v>
      </c>
      <c r="AW766" s="41" t="str">
        <f>VLOOKUP(E766,[1]生产部!$C:$I,6,0)</f>
        <v>验证组</v>
      </c>
    </row>
    <row r="767" spans="1:49" ht="21" customHeight="1">
      <c r="A767" s="235" t="s">
        <v>2135</v>
      </c>
      <c r="B767" s="229" t="s">
        <v>2104</v>
      </c>
      <c r="C767" s="45" t="s">
        <v>14</v>
      </c>
      <c r="D767" s="46" t="s">
        <v>858</v>
      </c>
      <c r="E767" s="52" t="s">
        <v>806</v>
      </c>
      <c r="F767" s="48">
        <v>45994</v>
      </c>
      <c r="G767" s="49">
        <f t="shared" si="11"/>
        <v>0</v>
      </c>
      <c r="H767" s="77">
        <f>SUMIF(积分汇总!$B:$B,D766,积分汇总!$E:$E)</f>
        <v>0</v>
      </c>
      <c r="I767" s="77">
        <f>SUMIF(记录巡查问题条数汇总!$B:$B,D766,记录巡查问题条数汇总!$E:$E)</f>
        <v>0</v>
      </c>
      <c r="J767" s="77"/>
      <c r="K767" s="77">
        <f>SUMIF(安全质量事故!$B:$B,D766,安全质量事故!$G:$G)</f>
        <v>0</v>
      </c>
      <c r="L767" s="72">
        <f>COUNTIF(M767:AQ767,标准数据!$A$2)*标准数据!$B$2+COUNTIF(M767:AQ767,标准数据!$A$3)*标准数据!$B$3+COUNTIF(M767:AQ767,标准数据!$A$4)*标准数据!$B$4</f>
        <v>0</v>
      </c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192"/>
      <c r="AR767" s="90"/>
      <c r="AV767" s="76" t="str">
        <f>VLOOKUP(E767,[1]生产部!$C:$I,7,0)</f>
        <v>常白</v>
      </c>
      <c r="AW767" s="41" t="str">
        <f>VLOOKUP(E767,[1]生产部!$C:$I,6,0)</f>
        <v>验证组</v>
      </c>
    </row>
    <row r="768" spans="1:49" ht="21" customHeight="1">
      <c r="A768" s="235" t="s">
        <v>2135</v>
      </c>
      <c r="B768" s="229" t="s">
        <v>2116</v>
      </c>
      <c r="C768" s="45" t="s">
        <v>14</v>
      </c>
      <c r="D768" s="47" t="s">
        <v>1428</v>
      </c>
      <c r="E768" s="52" t="s">
        <v>1429</v>
      </c>
      <c r="F768" s="46">
        <v>46176</v>
      </c>
      <c r="G768" s="49">
        <f t="shared" si="11"/>
        <v>0</v>
      </c>
      <c r="H768" s="77">
        <f>SUMIF(积分汇总!$B:$B,#REF!,积分汇总!$E:$E)</f>
        <v>0</v>
      </c>
      <c r="I768" s="77">
        <f>SUMIF(记录巡查问题条数汇总!$B:$B,#REF!,记录巡查问题条数汇总!$E:$E)</f>
        <v>0</v>
      </c>
      <c r="J768" s="77"/>
      <c r="K768" s="77">
        <f>SUMIF(安全质量事故!$B:$B,#REF!,安全质量事故!$G:$G)</f>
        <v>0</v>
      </c>
      <c r="L768" s="72">
        <f>COUNTIF(M768:AQ768,标准数据!$A$2)*标准数据!$B$2+COUNTIF(M768:AQ768,标准数据!$A$3)*标准数据!$B$3+COUNTIF(M768:AQ768,标准数据!$A$4)*标准数据!$B$4</f>
        <v>0</v>
      </c>
      <c r="M768" s="90"/>
      <c r="N768" s="90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189"/>
      <c r="AR768" s="55"/>
      <c r="AV768" s="76" t="str">
        <f>VLOOKUP(E768,[1]生产部!$C:$I,7,0)</f>
        <v>常白</v>
      </c>
      <c r="AW768" s="41" t="str">
        <f>VLOOKUP(E768,[1]生产部!$C:$I,6,0)</f>
        <v>5号楼（验证组委培）</v>
      </c>
    </row>
    <row r="769" spans="1:49" ht="21" customHeight="1">
      <c r="A769" s="235" t="s">
        <v>2135</v>
      </c>
      <c r="B769" s="229" t="s">
        <v>2123</v>
      </c>
      <c r="C769" s="45" t="s">
        <v>14</v>
      </c>
      <c r="D769" s="46" t="s">
        <v>1724</v>
      </c>
      <c r="E769" s="47" t="s">
        <v>1725</v>
      </c>
      <c r="F769" s="48">
        <v>46197</v>
      </c>
      <c r="G769" s="49">
        <f t="shared" si="11"/>
        <v>0</v>
      </c>
      <c r="H769" s="77">
        <f>SUMIF(积分汇总!$B:$B,#REF!,积分汇总!$E:$E)</f>
        <v>0</v>
      </c>
      <c r="I769" s="77">
        <f>SUMIF(记录巡查问题条数汇总!$B:$B,#REF!,记录巡查问题条数汇总!$E:$E)</f>
        <v>0</v>
      </c>
      <c r="J769" s="77"/>
      <c r="K769" s="77">
        <f>SUMIF(安全质量事故!$B:$B,#REF!,安全质量事故!$G:$G)</f>
        <v>0</v>
      </c>
      <c r="L769" s="72">
        <f>COUNTIF(M769:AQ769,标准数据!$A$2)*标准数据!$B$2+COUNTIF(M769:AQ769,标准数据!$A$3)*标准数据!$B$3+COUNTIF(M769:AQ769,标准数据!$A$4)*标准数据!$B$4</f>
        <v>0</v>
      </c>
      <c r="M769" s="90"/>
      <c r="N769" s="90"/>
      <c r="O769" s="90"/>
      <c r="P769" s="90"/>
      <c r="Q769" s="90"/>
      <c r="R769" s="90"/>
      <c r="S769" s="90"/>
      <c r="T769" s="90"/>
      <c r="U769" s="90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189"/>
      <c r="AR769" s="55"/>
      <c r="AV769" s="76" t="str">
        <f>VLOOKUP(E769,[1]生产部!$C:$I,7,0)</f>
        <v>常白</v>
      </c>
      <c r="AW769" s="41" t="str">
        <f>VLOOKUP(E769,[1]生产部!$C:$I,6,0)</f>
        <v>计算机化设备保障组（11&amp;12号楼）</v>
      </c>
    </row>
    <row r="770" spans="1:49" ht="21" customHeight="1">
      <c r="A770" s="235" t="s">
        <v>2135</v>
      </c>
      <c r="B770" s="229" t="s">
        <v>2122</v>
      </c>
      <c r="C770" s="45" t="s">
        <v>14</v>
      </c>
      <c r="D770" s="46" t="s">
        <v>1904</v>
      </c>
      <c r="E770" s="47" t="s">
        <v>1905</v>
      </c>
      <c r="F770" s="48">
        <v>46215</v>
      </c>
      <c r="G770" s="49">
        <f t="shared" si="11"/>
        <v>0</v>
      </c>
      <c r="H770" s="77">
        <f>SUMIF(积分汇总!$B:$B,#REF!,积分汇总!$E:$E)</f>
        <v>0</v>
      </c>
      <c r="I770" s="77">
        <f>SUMIF(记录巡查问题条数汇总!$B:$B,#REF!,记录巡查问题条数汇总!$E:$E)</f>
        <v>0</v>
      </c>
      <c r="J770" s="77"/>
      <c r="K770" s="77">
        <f>SUMIF(安全质量事故!$B:$B,#REF!,安全质量事故!$G:$G)</f>
        <v>0</v>
      </c>
      <c r="L770" s="72">
        <f>COUNTIF(M770:AQ770,标准数据!$A$2)*标准数据!$B$2+COUNTIF(M770:AQ770,标准数据!$A$3)*标准数据!$B$3+COUNTIF(M770:AQ770,标准数据!$A$4)*标准数据!$B$4</f>
        <v>0</v>
      </c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189"/>
      <c r="AR770" s="55"/>
      <c r="AV770" s="76" t="str">
        <f>VLOOKUP(E770,[1]生产部!$C:$I,7,0)</f>
        <v>常白</v>
      </c>
      <c r="AW770" s="41" t="str">
        <f>VLOOKUP(E770,[1]生产部!$C:$I,6,0)</f>
        <v>计算机化设备保障组（4&amp;5号楼）</v>
      </c>
    </row>
    <row r="771" spans="1:49" s="51" customFormat="1" ht="21" customHeight="1">
      <c r="A771" s="235" t="s">
        <v>2135</v>
      </c>
      <c r="B771" s="229" t="s">
        <v>2122</v>
      </c>
      <c r="C771" s="45" t="s">
        <v>14</v>
      </c>
      <c r="D771" s="46" t="s">
        <v>1906</v>
      </c>
      <c r="E771" s="47" t="s">
        <v>1907</v>
      </c>
      <c r="F771" s="48">
        <v>46215</v>
      </c>
      <c r="G771" s="49">
        <f t="shared" si="11"/>
        <v>0</v>
      </c>
      <c r="H771" s="77">
        <f>SUMIF(积分汇总!$B:$B,D770,积分汇总!$E:$E)</f>
        <v>0</v>
      </c>
      <c r="I771" s="77">
        <f>SUMIF(记录巡查问题条数汇总!$B:$B,D770,记录巡查问题条数汇总!$E:$E)</f>
        <v>0</v>
      </c>
      <c r="J771" s="77"/>
      <c r="K771" s="77">
        <f>SUMIF(安全质量事故!$B:$B,D770,安全质量事故!$G:$G)</f>
        <v>0</v>
      </c>
      <c r="L771" s="72">
        <f>COUNTIF(M771:AQ771,标准数据!$A$2)*标准数据!$B$2+COUNTIF(M771:AQ771,标准数据!$A$3)*标准数据!$B$3+COUNTIF(M771:AQ771,标准数据!$A$4)*标准数据!$B$4</f>
        <v>0</v>
      </c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56"/>
      <c r="Y771" s="56"/>
      <c r="Z771" s="56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192"/>
      <c r="AR771" s="90"/>
      <c r="AV771" s="76" t="str">
        <f>VLOOKUP(E771,[1]生产部!$C:$I,7,0)</f>
        <v>常白</v>
      </c>
      <c r="AW771" s="41" t="str">
        <f>VLOOKUP(E771,[1]生产部!$C:$I,6,0)</f>
        <v>计算机化设备保障组（4&amp;5号楼）</v>
      </c>
    </row>
    <row r="772" spans="1:49" ht="20.25" customHeight="1">
      <c r="A772" s="235" t="s">
        <v>2135</v>
      </c>
      <c r="B772" s="229" t="s">
        <v>2122</v>
      </c>
      <c r="C772" s="45" t="s">
        <v>14</v>
      </c>
      <c r="D772" s="46" t="s">
        <v>1594</v>
      </c>
      <c r="E772" s="47" t="s">
        <v>1595</v>
      </c>
      <c r="F772" s="48">
        <v>46208</v>
      </c>
      <c r="G772" s="49">
        <f t="shared" si="11"/>
        <v>0</v>
      </c>
      <c r="H772" s="77">
        <f>SUMIF(积分汇总!$B:$B,D771,积分汇总!$E:$E)</f>
        <v>0</v>
      </c>
      <c r="I772" s="77">
        <f>SUMIF(记录巡查问题条数汇总!$B:$B,D771,记录巡查问题条数汇总!$E:$E)</f>
        <v>0</v>
      </c>
      <c r="J772" s="77"/>
      <c r="K772" s="77">
        <f>SUMIF(安全质量事故!$B:$B,D771,安全质量事故!$G:$G)</f>
        <v>0</v>
      </c>
      <c r="L772" s="72">
        <f>COUNTIF(M772:AQ772,标准数据!$A$2)*标准数据!$B$2+COUNTIF(M772:AQ772,标准数据!$A$3)*标准数据!$B$3+COUNTIF(M772:AQ772,标准数据!$A$4)*标准数据!$B$4</f>
        <v>0</v>
      </c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188"/>
      <c r="AR772" s="90"/>
      <c r="AV772" s="76" t="str">
        <f>VLOOKUP(E772,[1]生产部!$C:$I,7,0)</f>
        <v>常白</v>
      </c>
      <c r="AW772" s="41" t="str">
        <f>VLOOKUP(E772,[1]生产部!$C:$I,6,0)</f>
        <v>计算机化设备保障组（4&amp;5号楼）</v>
      </c>
    </row>
    <row r="773" spans="1:49" ht="21" customHeight="1">
      <c r="A773" s="235" t="s">
        <v>2135</v>
      </c>
      <c r="B773" s="229" t="s">
        <v>2114</v>
      </c>
      <c r="C773" s="45" t="s">
        <v>14</v>
      </c>
      <c r="D773" s="46" t="s">
        <v>1582</v>
      </c>
      <c r="E773" s="47" t="s">
        <v>1583</v>
      </c>
      <c r="F773" s="48">
        <v>46197</v>
      </c>
      <c r="G773" s="49">
        <f t="shared" si="11"/>
        <v>0</v>
      </c>
      <c r="H773" s="77">
        <f>SUMIF(积分汇总!$B:$B,D772,积分汇总!$E:$E)</f>
        <v>0</v>
      </c>
      <c r="I773" s="77">
        <f>SUMIF(记录巡查问题条数汇总!$B:$B,D772,记录巡查问题条数汇总!$E:$E)</f>
        <v>0</v>
      </c>
      <c r="J773" s="77"/>
      <c r="K773" s="77">
        <f>SUMIF(安全质量事故!$B:$B,D772,安全质量事故!$G:$G)</f>
        <v>0</v>
      </c>
      <c r="L773" s="72">
        <f>COUNTIF(M773:AQ773,标准数据!$A$2)*标准数据!$B$2+COUNTIF(M773:AQ773,标准数据!$A$3)*标准数据!$B$3+COUNTIF(M773:AQ773,标准数据!$A$4)*标准数据!$B$4</f>
        <v>0</v>
      </c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188"/>
      <c r="AR773" s="90"/>
      <c r="AV773" s="76" t="str">
        <f>VLOOKUP(E773,[1]生产部!$C:$I,7,0)</f>
        <v>常白</v>
      </c>
      <c r="AW773" s="41" t="str">
        <f>VLOOKUP(E773,[1]生产部!$C:$I,6,0)</f>
        <v>4号楼（计算机化设备保障组委培）</v>
      </c>
    </row>
    <row r="774" spans="1:49" ht="21" customHeight="1">
      <c r="A774" s="235" t="s">
        <v>2135</v>
      </c>
      <c r="B774" s="229" t="s">
        <v>2114</v>
      </c>
      <c r="C774" s="45" t="s">
        <v>14</v>
      </c>
      <c r="D774" s="46" t="s">
        <v>1611</v>
      </c>
      <c r="E774" s="47" t="s">
        <v>1612</v>
      </c>
      <c r="F774" s="48">
        <v>46215</v>
      </c>
      <c r="G774" s="49">
        <f t="shared" si="11"/>
        <v>0</v>
      </c>
      <c r="H774" s="77">
        <f>SUMIF(积分汇总!$B:$B,D772,积分汇总!$E:$E)</f>
        <v>0</v>
      </c>
      <c r="I774" s="77">
        <f>SUMIF(记录巡查问题条数汇总!$B:$B,D772,记录巡查问题条数汇总!$E:$E)</f>
        <v>0</v>
      </c>
      <c r="J774" s="77"/>
      <c r="K774" s="77">
        <f>SUMIF(安全质量事故!$B:$B,D772,安全质量事故!$G:$G)</f>
        <v>0</v>
      </c>
      <c r="L774" s="72">
        <f>COUNTIF(M774:AQ774,标准数据!$A$2)*标准数据!$B$2+COUNTIF(M774:AQ774,标准数据!$A$3)*标准数据!$B$3+COUNTIF(M774:AQ774,标准数据!$A$4)*标准数据!$B$4</f>
        <v>0</v>
      </c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188"/>
      <c r="AR774" s="90"/>
      <c r="AV774" s="76" t="str">
        <f>VLOOKUP(E774,[1]生产部!$C:$I,7,0)</f>
        <v>常白</v>
      </c>
      <c r="AW774" s="41" t="str">
        <f>VLOOKUP(E774,[1]生产部!$C:$I,6,0)</f>
        <v>4号楼（计算机化设备保障组委培）</v>
      </c>
    </row>
    <row r="775" spans="1:49" ht="21" customHeight="1">
      <c r="A775" s="235" t="s">
        <v>2135</v>
      </c>
      <c r="B775" s="229" t="s">
        <v>2114</v>
      </c>
      <c r="C775" s="45" t="s">
        <v>14</v>
      </c>
      <c r="D775" s="46" t="s">
        <v>1850</v>
      </c>
      <c r="E775" s="47" t="s">
        <v>1851</v>
      </c>
      <c r="F775" s="48">
        <v>46215</v>
      </c>
      <c r="G775" s="49">
        <f t="shared" si="11"/>
        <v>0</v>
      </c>
      <c r="H775" s="77">
        <f>SUMIF(积分汇总!$B:$B,D774,积分汇总!$E:$E)</f>
        <v>0</v>
      </c>
      <c r="I775" s="77">
        <f>SUMIF(记录巡查问题条数汇总!$B:$B,D774,记录巡查问题条数汇总!$E:$E)</f>
        <v>0</v>
      </c>
      <c r="J775" s="77"/>
      <c r="K775" s="77">
        <f>SUMIF(安全质量事故!$B:$B,D774,安全质量事故!$G:$G)</f>
        <v>0</v>
      </c>
      <c r="L775" s="72">
        <f>COUNTIF(M775:AQ775,标准数据!$A$2)*标准数据!$B$2+COUNTIF(M775:AQ775,标准数据!$A$3)*标准数据!$B$3+COUNTIF(M775:AQ775,标准数据!$A$4)*标准数据!$B$4</f>
        <v>0</v>
      </c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56"/>
      <c r="AD775" s="90"/>
      <c r="AE775" s="90"/>
      <c r="AF775" s="90"/>
      <c r="AG775" s="90"/>
      <c r="AH775" s="90"/>
      <c r="AI775" s="56"/>
      <c r="AJ775" s="90"/>
      <c r="AK775" s="90"/>
      <c r="AL775" s="90"/>
      <c r="AM775" s="90"/>
      <c r="AN775" s="56"/>
      <c r="AO775" s="90"/>
      <c r="AP775" s="90"/>
      <c r="AQ775" s="189"/>
      <c r="AR775" s="55"/>
      <c r="AT775" s="41"/>
      <c r="AU775" s="41"/>
      <c r="AV775" s="76" t="str">
        <f>VLOOKUP(E775,[1]生产部!$C:$I,7,0)</f>
        <v>常白</v>
      </c>
      <c r="AW775" s="41" t="str">
        <f>VLOOKUP(E775,[1]生产部!$C:$I,6,0)</f>
        <v>5号楼（计算机化设备保障组委培）</v>
      </c>
    </row>
    <row r="776" spans="1:49" ht="21" customHeight="1">
      <c r="A776" s="235" t="s">
        <v>2135</v>
      </c>
      <c r="B776" s="229" t="s">
        <v>2114</v>
      </c>
      <c r="C776" s="45" t="s">
        <v>14</v>
      </c>
      <c r="D776" s="46" t="s">
        <v>1866</v>
      </c>
      <c r="E776" s="47" t="s">
        <v>1867</v>
      </c>
      <c r="F776" s="48">
        <v>46215</v>
      </c>
      <c r="G776" s="49">
        <f t="shared" si="11"/>
        <v>0</v>
      </c>
      <c r="H776" s="77">
        <f>SUMIF(积分汇总!$B:$B,D774,积分汇总!$E:$E)</f>
        <v>0</v>
      </c>
      <c r="I776" s="77">
        <f>SUMIF(记录巡查问题条数汇总!$B:$B,D774,记录巡查问题条数汇总!$E:$E)</f>
        <v>0</v>
      </c>
      <c r="J776" s="77"/>
      <c r="K776" s="77">
        <f>SUMIF(安全质量事故!$B:$B,D774,安全质量事故!$G:$G)</f>
        <v>0</v>
      </c>
      <c r="L776" s="72">
        <f>COUNTIF(M776:AQ776,标准数据!$A$2)*标准数据!$B$2+COUNTIF(M776:AQ776,标准数据!$A$3)*标准数据!$B$3+COUNTIF(M776:AQ776,标准数据!$A$4)*标准数据!$B$4</f>
        <v>0</v>
      </c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56"/>
      <c r="AD776" s="90"/>
      <c r="AE776" s="90"/>
      <c r="AF776" s="90"/>
      <c r="AG776" s="90"/>
      <c r="AH776" s="90"/>
      <c r="AI776" s="56"/>
      <c r="AJ776" s="90"/>
      <c r="AK776" s="90"/>
      <c r="AL776" s="90"/>
      <c r="AM776" s="90"/>
      <c r="AN776" s="56"/>
      <c r="AO776" s="90"/>
      <c r="AP776" s="90"/>
      <c r="AQ776" s="189"/>
      <c r="AR776" s="55"/>
      <c r="AT776" s="41"/>
      <c r="AU776" s="41"/>
      <c r="AV776" s="76" t="str">
        <f>VLOOKUP(E776,[1]生产部!$C:$I,7,0)</f>
        <v>常白</v>
      </c>
      <c r="AW776" s="41" t="str">
        <f>VLOOKUP(E776,[1]生产部!$C:$I,6,0)</f>
        <v>5号楼（计算机化设备保障组委培）</v>
      </c>
    </row>
    <row r="777" spans="1:49" ht="21" customHeight="1">
      <c r="A777" s="235" t="s">
        <v>2135</v>
      </c>
      <c r="B777" s="229" t="s">
        <v>2114</v>
      </c>
      <c r="C777" s="45" t="s">
        <v>14</v>
      </c>
      <c r="D777" s="46" t="s">
        <v>1868</v>
      </c>
      <c r="E777" s="47" t="s">
        <v>1869</v>
      </c>
      <c r="F777" s="48">
        <v>46215</v>
      </c>
      <c r="G777" s="49">
        <f t="shared" si="11"/>
        <v>0</v>
      </c>
      <c r="H777" s="77">
        <f>SUMIF(积分汇总!$B:$B,D776,积分汇总!$E:$E)</f>
        <v>0</v>
      </c>
      <c r="I777" s="77">
        <f>SUMIF(记录巡查问题条数汇总!$B:$B,D776,记录巡查问题条数汇总!$E:$E)</f>
        <v>0</v>
      </c>
      <c r="J777" s="77"/>
      <c r="K777" s="77">
        <f>SUMIF(安全质量事故!$B:$B,D776,安全质量事故!$G:$G)</f>
        <v>0</v>
      </c>
      <c r="L777" s="72">
        <f>COUNTIF(M777:AQ777,标准数据!$A$2)*标准数据!$B$2+COUNTIF(M777:AQ777,标准数据!$A$3)*标准数据!$B$3+COUNTIF(M777:AQ777,标准数据!$A$4)*标准数据!$B$4</f>
        <v>0</v>
      </c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56"/>
      <c r="AD777" s="90"/>
      <c r="AE777" s="90"/>
      <c r="AF777" s="90"/>
      <c r="AG777" s="90"/>
      <c r="AH777" s="90"/>
      <c r="AI777" s="56"/>
      <c r="AJ777" s="90"/>
      <c r="AK777" s="90"/>
      <c r="AL777" s="90"/>
      <c r="AM777" s="90"/>
      <c r="AN777" s="56"/>
      <c r="AO777" s="90"/>
      <c r="AP777" s="90"/>
      <c r="AQ777" s="189"/>
      <c r="AR777" s="55"/>
      <c r="AT777" s="41"/>
      <c r="AU777" s="41"/>
      <c r="AV777" s="76" t="str">
        <f>VLOOKUP(E777,[1]生产部!$C:$I,7,0)</f>
        <v>常白</v>
      </c>
      <c r="AW777" s="41" t="str">
        <f>VLOOKUP(E777,[1]生产部!$C:$I,6,0)</f>
        <v>5号楼（计算机化设备保障组委培）</v>
      </c>
    </row>
    <row r="778" spans="1:49" ht="21" customHeight="1">
      <c r="A778" s="235" t="s">
        <v>2135</v>
      </c>
      <c r="B778" s="229" t="s">
        <v>2104</v>
      </c>
      <c r="C778" s="45" t="s">
        <v>14</v>
      </c>
      <c r="D778" s="46" t="s">
        <v>1339</v>
      </c>
      <c r="E778" s="52" t="s">
        <v>1340</v>
      </c>
      <c r="F778" s="48">
        <v>46134</v>
      </c>
      <c r="G778" s="49">
        <f t="shared" si="11"/>
        <v>0</v>
      </c>
      <c r="H778" s="77">
        <f>SUMIF(积分汇总!$B:$B,D777,积分汇总!$E:$E)</f>
        <v>0</v>
      </c>
      <c r="I778" s="77">
        <f>SUMIF(记录巡查问题条数汇总!$B:$B,D777,记录巡查问题条数汇总!$E:$E)</f>
        <v>0</v>
      </c>
      <c r="J778" s="77"/>
      <c r="K778" s="77">
        <f>SUMIF(安全质量事故!$B:$B,D777,安全质量事故!$G:$G)</f>
        <v>0</v>
      </c>
      <c r="L778" s="72">
        <f>COUNTIF(M778:AQ778,标准数据!$A$2)*标准数据!$B$2+COUNTIF(M778:AQ778,标准数据!$A$3)*标准数据!$B$3+COUNTIF(M778:AQ778,标准数据!$A$4)*标准数据!$B$4</f>
        <v>0</v>
      </c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192"/>
      <c r="AR778" s="90"/>
      <c r="AV778" s="76" t="str">
        <f>VLOOKUP(E778,[1]生产部!$C:$I,7,0)</f>
        <v>常白</v>
      </c>
      <c r="AW778" s="41" t="str">
        <f>VLOOKUP(E778,[1]生产部!$C:$I,6,0)</f>
        <v>13号楼（验证组委培）</v>
      </c>
    </row>
    <row r="779" spans="1:49" ht="20.25" customHeight="1">
      <c r="A779" s="235" t="s">
        <v>2135</v>
      </c>
      <c r="B779" s="229" t="s">
        <v>2115</v>
      </c>
      <c r="C779" s="204" t="s">
        <v>14</v>
      </c>
      <c r="D779" s="202" t="s">
        <v>2078</v>
      </c>
      <c r="E779" s="201" t="s">
        <v>2079</v>
      </c>
      <c r="F779" s="203">
        <v>44018</v>
      </c>
      <c r="G779" s="49">
        <f t="shared" si="11"/>
        <v>0</v>
      </c>
      <c r="H779" s="77">
        <f>SUMIF(积分汇总!$B:$B,D772,积分汇总!$E:$E)</f>
        <v>0</v>
      </c>
      <c r="I779" s="77">
        <f>SUMIF(记录巡查问题条数汇总!$B:$B,D772,记录巡查问题条数汇总!$E:$E)</f>
        <v>0</v>
      </c>
      <c r="J779" s="77"/>
      <c r="K779" s="77">
        <f>SUMIF(安全质量事故!$B:$B,D772,安全质量事故!$G:$G)</f>
        <v>0</v>
      </c>
      <c r="L779" s="72">
        <f>COUNTIF(M779:AQ779,标准数据!$A$2)*标准数据!$B$2+COUNTIF(M779:AQ779,标准数据!$A$3)*标准数据!$B$3+COUNTIF(M779:AQ779,标准数据!$A$4)*标准数据!$B$4</f>
        <v>0</v>
      </c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188"/>
      <c r="AR779" s="90"/>
      <c r="AV779" s="76" t="str">
        <f>VLOOKUP(E779,[1]生产部!$C:$I,7,0)</f>
        <v>常白</v>
      </c>
      <c r="AW779" s="41" t="str">
        <f>VLOOKUP(E779,[1]生产部!$C:$I,6,0)</f>
        <v>12号楼（验证组委培）</v>
      </c>
    </row>
    <row r="780" spans="1:49" ht="20.25" customHeight="1">
      <c r="A780" s="235" t="s">
        <v>2135</v>
      </c>
      <c r="B780" s="229" t="s">
        <v>2123</v>
      </c>
      <c r="C780" s="204" t="s">
        <v>14</v>
      </c>
      <c r="D780" s="202" t="s">
        <v>2080</v>
      </c>
      <c r="E780" s="201" t="s">
        <v>2081</v>
      </c>
      <c r="F780" s="203">
        <v>46225</v>
      </c>
      <c r="G780" s="49">
        <f t="shared" si="11"/>
        <v>0</v>
      </c>
      <c r="H780" s="77">
        <f>SUMIF(积分汇总!$B:$B,D779,积分汇总!$E:$E)</f>
        <v>0</v>
      </c>
      <c r="I780" s="77">
        <f>SUMIF(记录巡查问题条数汇总!$B:$B,D779,记录巡查问题条数汇总!$E:$E)</f>
        <v>0</v>
      </c>
      <c r="J780" s="77"/>
      <c r="K780" s="77">
        <f>SUMIF(安全质量事故!$B:$B,D779,安全质量事故!$G:$G)</f>
        <v>0</v>
      </c>
      <c r="L780" s="72">
        <f>COUNTIF(M780:AQ780,标准数据!$A$2)*标准数据!$B$2+COUNTIF(M780:AQ780,标准数据!$A$3)*标准数据!$B$3+COUNTIF(M780:AQ780,标准数据!$A$4)*标准数据!$B$4</f>
        <v>0</v>
      </c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188"/>
      <c r="AR780" s="90"/>
      <c r="AV780" s="76" t="str">
        <f>VLOOKUP(E780,[1]生产部!$C:$I,7,0)</f>
        <v>常白</v>
      </c>
      <c r="AW780" s="41" t="str">
        <f>VLOOKUP(E780,[1]生产部!$C:$I,6,0)</f>
        <v>计算机化设备保障组（11&amp;12号楼）</v>
      </c>
    </row>
    <row r="781" spans="1:49" ht="20.25" customHeight="1">
      <c r="A781" s="235" t="s">
        <v>2135</v>
      </c>
      <c r="B781" s="229" t="s">
        <v>2122</v>
      </c>
      <c r="C781" s="204" t="s">
        <v>14</v>
      </c>
      <c r="D781" s="202" t="s">
        <v>2082</v>
      </c>
      <c r="E781" s="201" t="s">
        <v>2083</v>
      </c>
      <c r="F781" s="203">
        <v>46225</v>
      </c>
      <c r="G781" s="49">
        <f t="shared" si="11"/>
        <v>0</v>
      </c>
      <c r="H781" s="77">
        <f>SUMIF(积分汇总!$B:$B,D780,积分汇总!$E:$E)</f>
        <v>0</v>
      </c>
      <c r="I781" s="77">
        <f>SUMIF(记录巡查问题条数汇总!$B:$B,D780,记录巡查问题条数汇总!$E:$E)</f>
        <v>0</v>
      </c>
      <c r="J781" s="77"/>
      <c r="K781" s="77">
        <f>SUMIF(安全质量事故!$B:$B,D780,安全质量事故!$G:$G)</f>
        <v>0</v>
      </c>
      <c r="L781" s="72">
        <f>COUNTIF(M781:AQ781,标准数据!$A$2)*标准数据!$B$2+COUNTIF(M781:AQ781,标准数据!$A$3)*标准数据!$B$3+COUNTIF(M781:AQ781,标准数据!$A$4)*标准数据!$B$4</f>
        <v>0</v>
      </c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188"/>
      <c r="AR781" s="90"/>
      <c r="AV781" s="76" t="str">
        <f>VLOOKUP(E781,[1]生产部!$C:$I,7,0)</f>
        <v>常白</v>
      </c>
      <c r="AW781" s="41" t="str">
        <f>VLOOKUP(E781,[1]生产部!$C:$I,6,0)</f>
        <v>计算机化设备保障组（4&amp;5号楼）</v>
      </c>
    </row>
    <row r="782" spans="1:49" ht="20.25" customHeight="1">
      <c r="A782" s="235" t="s">
        <v>2135</v>
      </c>
      <c r="B782" s="229" t="s">
        <v>2104</v>
      </c>
      <c r="C782" s="204" t="s">
        <v>14</v>
      </c>
      <c r="D782" s="202" t="s">
        <v>2084</v>
      </c>
      <c r="E782" s="201" t="s">
        <v>2085</v>
      </c>
      <c r="F782" s="203">
        <v>46225</v>
      </c>
      <c r="G782" s="49">
        <f t="shared" si="11"/>
        <v>0</v>
      </c>
      <c r="H782" s="77">
        <f>SUMIF(积分汇总!$B:$B,D781,积分汇总!$E:$E)</f>
        <v>0</v>
      </c>
      <c r="I782" s="77">
        <f>SUMIF(记录巡查问题条数汇总!$B:$B,D781,记录巡查问题条数汇总!$E:$E)</f>
        <v>0</v>
      </c>
      <c r="J782" s="77"/>
      <c r="K782" s="77">
        <f>SUMIF(安全质量事故!$B:$B,D781,安全质量事故!$G:$G)</f>
        <v>0</v>
      </c>
      <c r="L782" s="72">
        <f>COUNTIF(M782:AQ782,标准数据!$A$2)*标准数据!$B$2+COUNTIF(M782:AQ782,标准数据!$A$3)*标准数据!$B$3+COUNTIF(M782:AQ782,标准数据!$A$4)*标准数据!$B$4</f>
        <v>0</v>
      </c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188"/>
      <c r="AR782" s="90"/>
      <c r="AV782" s="76" t="str">
        <f>VLOOKUP(E782,[1]生产部!$C:$I,7,0)</f>
        <v>常白</v>
      </c>
      <c r="AW782" s="41" t="str">
        <f>VLOOKUP(E782,[1]生产部!$C:$I,6,0)</f>
        <v>验证组</v>
      </c>
    </row>
    <row r="783" spans="1:49" ht="21" customHeight="1">
      <c r="A783" s="235" t="s">
        <v>2135</v>
      </c>
      <c r="B783" s="229" t="s">
        <v>2104</v>
      </c>
      <c r="C783" s="45" t="s">
        <v>129</v>
      </c>
      <c r="D783" s="46" t="s">
        <v>483</v>
      </c>
      <c r="E783" s="47" t="s">
        <v>449</v>
      </c>
      <c r="F783" s="48">
        <v>45840</v>
      </c>
      <c r="G783" s="49">
        <f t="shared" si="11"/>
        <v>0</v>
      </c>
      <c r="H783" s="77">
        <f>SUMIF(积分汇总!$B:$B,D782,积分汇总!$E:$E)</f>
        <v>0</v>
      </c>
      <c r="I783" s="77">
        <f>SUMIF(记录巡查问题条数汇总!$B:$B,D782,记录巡查问题条数汇总!$E:$E)</f>
        <v>0</v>
      </c>
      <c r="J783" s="77"/>
      <c r="K783" s="77">
        <f>SUMIF(安全质量事故!$B:$B,D782,安全质量事故!$G:$G)</f>
        <v>0</v>
      </c>
      <c r="L783" s="72">
        <f>COUNTIF(M783:AQ783,标准数据!$A$2)*标准数据!$B$2+COUNTIF(M783:AQ783,标准数据!$A$3)*标准数据!$B$3+COUNTIF(M783:AQ783,标准数据!$A$4)*标准数据!$B$4</f>
        <v>0</v>
      </c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189"/>
      <c r="AR783" s="55"/>
      <c r="AS783" s="41"/>
      <c r="AT783" s="41"/>
      <c r="AU783" s="41"/>
      <c r="AV783" s="76" t="str">
        <f>VLOOKUP(E783,[1]生产部!$C:$I,7,0)</f>
        <v>常白</v>
      </c>
      <c r="AW783" s="41" t="str">
        <f>VLOOKUP(E783,[1]生产部!$C:$I,6,0)</f>
        <v>12号楼（验证组委培）</v>
      </c>
    </row>
    <row r="784" spans="1:49" ht="21" customHeight="1">
      <c r="A784" s="235" t="s">
        <v>2135</v>
      </c>
      <c r="B784" s="229" t="s">
        <v>2104</v>
      </c>
      <c r="C784" s="45" t="s">
        <v>129</v>
      </c>
      <c r="D784" s="46" t="s">
        <v>738</v>
      </c>
      <c r="E784" s="47" t="s">
        <v>702</v>
      </c>
      <c r="F784" s="48">
        <v>45966</v>
      </c>
      <c r="G784" s="49">
        <f t="shared" si="11"/>
        <v>0</v>
      </c>
      <c r="H784" s="77">
        <f>SUMIF(积分汇总!$B:$B,#REF!,积分汇总!$E:$E)</f>
        <v>0</v>
      </c>
      <c r="I784" s="77">
        <f>SUMIF(记录巡查问题条数汇总!$B:$B,#REF!,记录巡查问题条数汇总!$E:$E)</f>
        <v>0</v>
      </c>
      <c r="J784" s="77"/>
      <c r="K784" s="77">
        <f>SUMIF(安全质量事故!$B:$B,#REF!,安全质量事故!$G:$G)</f>
        <v>0</v>
      </c>
      <c r="L784" s="72">
        <f>COUNTIF(M784:AQ784,标准数据!$A$2)*标准数据!$B$2+COUNTIF(M784:AQ784,标准数据!$A$3)*标准数据!$B$3+COUNTIF(M784:AQ784,标准数据!$A$4)*标准数据!$B$4</f>
        <v>0</v>
      </c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189"/>
      <c r="AR784" s="55"/>
      <c r="AV784" s="76" t="str">
        <f>VLOOKUP(E784,[1]生产部!$C:$I,7,0)</f>
        <v>常白</v>
      </c>
      <c r="AW784" s="41" t="str">
        <f>VLOOKUP(E784,[1]生产部!$C:$I,6,0)</f>
        <v>12号楼（验证组委培）</v>
      </c>
    </row>
    <row r="785" spans="1:49" ht="21" customHeight="1">
      <c r="A785" s="235" t="s">
        <v>2135</v>
      </c>
      <c r="B785" s="229" t="s">
        <v>2104</v>
      </c>
      <c r="C785" s="45" t="s">
        <v>129</v>
      </c>
      <c r="D785" s="46" t="s">
        <v>281</v>
      </c>
      <c r="E785" s="47" t="s">
        <v>269</v>
      </c>
      <c r="F785" s="48">
        <v>45537</v>
      </c>
      <c r="G785" s="49">
        <f t="shared" si="11"/>
        <v>0</v>
      </c>
      <c r="H785" s="77">
        <f>SUMIF(积分汇总!$B:$B,D784,积分汇总!$E:$E)</f>
        <v>0</v>
      </c>
      <c r="I785" s="77">
        <f>SUMIF(记录巡查问题条数汇总!$B:$B,D784,记录巡查问题条数汇总!$E:$E)</f>
        <v>0</v>
      </c>
      <c r="J785" s="77"/>
      <c r="K785" s="77">
        <f>SUMIF(安全质量事故!$B:$B,D784,安全质量事故!$G:$G)</f>
        <v>0</v>
      </c>
      <c r="L785" s="72">
        <f>COUNTIF(M785:AQ785,标准数据!$A$2)*标准数据!$B$2+COUNTIF(M785:AQ785,标准数据!$A$3)*标准数据!$B$3+COUNTIF(M785:AQ785,标准数据!$A$4)*标准数据!$B$4</f>
        <v>0</v>
      </c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189"/>
      <c r="AR785" s="55"/>
      <c r="AS785" s="41"/>
      <c r="AT785" s="41"/>
      <c r="AU785" s="41"/>
      <c r="AV785" s="76" t="str">
        <f>VLOOKUP(E785,[1]生产部!$C:$I,7,0)</f>
        <v>常白</v>
      </c>
      <c r="AW785" s="41" t="str">
        <f>VLOOKUP(E785,[1]生产部!$C:$I,6,0)</f>
        <v>12号楼（验证组委培）</v>
      </c>
    </row>
    <row r="786" spans="1:49" ht="21" customHeight="1">
      <c r="A786" s="235" t="s">
        <v>2135</v>
      </c>
      <c r="B786" s="229" t="s">
        <v>2104</v>
      </c>
      <c r="C786" s="45" t="s">
        <v>146</v>
      </c>
      <c r="D786" s="46" t="s">
        <v>935</v>
      </c>
      <c r="E786" s="47" t="s">
        <v>895</v>
      </c>
      <c r="F786" s="48">
        <v>45889</v>
      </c>
      <c r="G786" s="49">
        <f t="shared" si="11"/>
        <v>0</v>
      </c>
      <c r="H786" s="77">
        <f>SUMIF(积分汇总!$B:$B,D785,积分汇总!$E:$E)</f>
        <v>0</v>
      </c>
      <c r="I786" s="77">
        <f>SUMIF(记录巡查问题条数汇总!$B:$B,D785,记录巡查问题条数汇总!$E:$E)</f>
        <v>0</v>
      </c>
      <c r="J786" s="77"/>
      <c r="K786" s="77">
        <f>SUMIF(安全质量事故!$B:$B,D785,安全质量事故!$G:$G)</f>
        <v>0</v>
      </c>
      <c r="L786" s="72">
        <f>COUNTIF(M786:AQ786,标准数据!$A$2)*标准数据!$B$2+COUNTIF(M786:AQ786,标准数据!$A$3)*标准数据!$B$3+COUNTIF(M786:AQ786,标准数据!$A$4)*标准数据!$B$4</f>
        <v>0</v>
      </c>
      <c r="M786" s="90"/>
      <c r="N786" s="90"/>
      <c r="O786" s="90"/>
      <c r="P786" s="90"/>
      <c r="Q786" s="90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189"/>
      <c r="AR786" s="55"/>
      <c r="AV786" s="76" t="str">
        <f>VLOOKUP(E786,[1]生产部!$C:$I,7,0)</f>
        <v>常白</v>
      </c>
      <c r="AW786" s="41" t="str">
        <f>VLOOKUP(E786,[1]生产部!$C:$I,6,0)</f>
        <v>12号楼（验证组委培）</v>
      </c>
    </row>
    <row r="787" spans="1:49" ht="21" customHeight="1">
      <c r="A787" s="235" t="s">
        <v>2135</v>
      </c>
      <c r="B787" s="229" t="s">
        <v>2104</v>
      </c>
      <c r="C787" s="45" t="s">
        <v>146</v>
      </c>
      <c r="D787" s="46" t="s">
        <v>1426</v>
      </c>
      <c r="E787" s="47" t="s">
        <v>1427</v>
      </c>
      <c r="F787" s="48">
        <v>46176</v>
      </c>
      <c r="G787" s="49">
        <f t="shared" si="11"/>
        <v>0</v>
      </c>
      <c r="H787" s="77">
        <f>SUMIF(积分汇总!$B:$B,D786,积分汇总!$E:$E)</f>
        <v>0</v>
      </c>
      <c r="I787" s="77">
        <f>SUMIF(记录巡查问题条数汇总!$B:$B,D786,记录巡查问题条数汇总!$E:$E)</f>
        <v>0</v>
      </c>
      <c r="J787" s="77"/>
      <c r="K787" s="77">
        <f>SUMIF(安全质量事故!$B:$B,D786,安全质量事故!$G:$G)</f>
        <v>0</v>
      </c>
      <c r="L787" s="72">
        <f>COUNTIF(M787:AQ787,标准数据!$A$2)*标准数据!$B$2+COUNTIF(M787:AQ787,标准数据!$A$3)*标准数据!$B$3+COUNTIF(M787:AQ787,标准数据!$A$4)*标准数据!$B$4</f>
        <v>0</v>
      </c>
      <c r="M787" s="90"/>
      <c r="N787" s="90"/>
      <c r="O787" s="90"/>
      <c r="P787" s="90"/>
      <c r="Q787" s="90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189"/>
      <c r="AR787" s="55"/>
      <c r="AV787" s="76" t="str">
        <f>VLOOKUP(E787,[1]生产部!$C:$I,7,0)</f>
        <v>常白</v>
      </c>
      <c r="AW787" s="41" t="str">
        <f>VLOOKUP(E787,[1]生产部!$C:$I,6,0)</f>
        <v>5号楼（验证组委培）</v>
      </c>
    </row>
    <row r="788" spans="1:49" ht="21" customHeight="1">
      <c r="A788" s="235" t="s">
        <v>2135</v>
      </c>
      <c r="B788" s="229" t="s">
        <v>2104</v>
      </c>
      <c r="C788" s="45" t="s">
        <v>146</v>
      </c>
      <c r="D788" s="46" t="s">
        <v>1914</v>
      </c>
      <c r="E788" s="47" t="s">
        <v>1915</v>
      </c>
      <c r="F788" s="48">
        <v>46204</v>
      </c>
      <c r="G788" s="49">
        <f t="shared" si="11"/>
        <v>0</v>
      </c>
      <c r="H788" s="77">
        <f>SUMIF(积分汇总!$B:$B,D787,积分汇总!$E:$E)</f>
        <v>0</v>
      </c>
      <c r="I788" s="77">
        <f>SUMIF(记录巡查问题条数汇总!$B:$B,D787,记录巡查问题条数汇总!$E:$E)</f>
        <v>0</v>
      </c>
      <c r="J788" s="77"/>
      <c r="K788" s="77">
        <f>SUMIF(安全质量事故!$B:$B,D787,安全质量事故!$G:$G)</f>
        <v>0</v>
      </c>
      <c r="L788" s="72">
        <f>COUNTIF(M788:AQ788,标准数据!$A$2)*标准数据!$B$2+COUNTIF(M788:AQ788,标准数据!$A$3)*标准数据!$B$3+COUNTIF(M788:AQ788,标准数据!$A$4)*标准数据!$B$4</f>
        <v>0</v>
      </c>
      <c r="M788" s="90"/>
      <c r="N788" s="90"/>
      <c r="O788" s="90"/>
      <c r="P788" s="90"/>
      <c r="Q788" s="90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189"/>
      <c r="AR788" s="55"/>
      <c r="AV788" s="76" t="str">
        <f>VLOOKUP(E788,[1]生产部!$C:$I,7,0)</f>
        <v>常白</v>
      </c>
      <c r="AW788" s="41" t="str">
        <f>VLOOKUP(E788,[1]生产部!$C:$I,6,0)</f>
        <v>验证组</v>
      </c>
    </row>
    <row r="789" spans="1:49" ht="21" customHeight="1">
      <c r="A789" s="235" t="s">
        <v>2135</v>
      </c>
      <c r="B789" s="229" t="s">
        <v>2104</v>
      </c>
      <c r="C789" s="45" t="s">
        <v>146</v>
      </c>
      <c r="D789" s="46" t="s">
        <v>1916</v>
      </c>
      <c r="E789" s="47" t="s">
        <v>1917</v>
      </c>
      <c r="F789" s="48">
        <v>46204</v>
      </c>
      <c r="G789" s="49">
        <f t="shared" si="11"/>
        <v>0</v>
      </c>
      <c r="H789" s="77">
        <f>SUMIF(积分汇总!$B:$B,D788,积分汇总!$E:$E)</f>
        <v>0</v>
      </c>
      <c r="I789" s="77">
        <f>SUMIF(记录巡查问题条数汇总!$B:$B,D788,记录巡查问题条数汇总!$E:$E)</f>
        <v>0</v>
      </c>
      <c r="J789" s="77"/>
      <c r="K789" s="77">
        <f>SUMIF(安全质量事故!$B:$B,D788,安全质量事故!$G:$G)</f>
        <v>0</v>
      </c>
      <c r="L789" s="72">
        <f>COUNTIF(M789:AQ789,标准数据!$A$2)*标准数据!$B$2+COUNTIF(M789:AQ789,标准数据!$A$3)*标准数据!$B$3+COUNTIF(M789:AQ789,标准数据!$A$4)*标准数据!$B$4</f>
        <v>0</v>
      </c>
      <c r="M789" s="90"/>
      <c r="N789" s="90"/>
      <c r="O789" s="90"/>
      <c r="P789" s="90"/>
      <c r="Q789" s="90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189"/>
      <c r="AR789" s="55"/>
      <c r="AV789" s="76" t="str">
        <f>VLOOKUP(E789,[1]生产部!$C:$I,7,0)</f>
        <v>常白</v>
      </c>
      <c r="AW789" s="41" t="str">
        <f>VLOOKUP(E789,[1]生产部!$C:$I,6,0)</f>
        <v>验证组</v>
      </c>
    </row>
    <row r="790" spans="1:49" ht="21" customHeight="1">
      <c r="A790" s="234" t="s">
        <v>415</v>
      </c>
      <c r="B790" s="229" t="s">
        <v>2114</v>
      </c>
      <c r="C790" s="45" t="s">
        <v>14</v>
      </c>
      <c r="D790" s="46" t="s">
        <v>621</v>
      </c>
      <c r="E790" s="52" t="s">
        <v>599</v>
      </c>
      <c r="F790" s="48">
        <v>45896</v>
      </c>
      <c r="G790" s="49">
        <f t="shared" si="11"/>
        <v>0</v>
      </c>
      <c r="H790" s="77">
        <f>SUMIF(积分汇总!$B:$B,D789,积分汇总!$E:$E)</f>
        <v>0</v>
      </c>
      <c r="I790" s="77">
        <f>SUMIF(记录巡查问题条数汇总!$B:$B,D789,记录巡查问题条数汇总!$E:$E)</f>
        <v>0</v>
      </c>
      <c r="J790" s="77"/>
      <c r="K790" s="77">
        <f>SUMIF(安全质量事故!$B:$B,D789,安全质量事故!$G:$G)</f>
        <v>0</v>
      </c>
      <c r="L790" s="72">
        <f>COUNTIF(M790:AQ790,标准数据!$A$2)*标准数据!$B$2+COUNTIF(M790:AQ790,标准数据!$A$3)*标准数据!$B$3+COUNTIF(M790:AQ790,标准数据!$A$4)*标准数据!$B$4</f>
        <v>0</v>
      </c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192"/>
      <c r="AR790" s="90"/>
      <c r="AS790" s="281" t="s">
        <v>1040</v>
      </c>
      <c r="AT790" s="282"/>
      <c r="AU790" s="282"/>
      <c r="AV790" s="76" t="str">
        <f>VLOOKUP(E790,[1]生产部!$C:$I,7,0)</f>
        <v>常白</v>
      </c>
      <c r="AW790" s="41" t="str">
        <f>VLOOKUP(E790,[1]生产部!$C:$I,6,0)</f>
        <v>培训&amp;合规&amp;审计组</v>
      </c>
    </row>
    <row r="791" spans="1:49" ht="21" customHeight="1">
      <c r="A791" s="234" t="s">
        <v>2136</v>
      </c>
      <c r="B791" s="229" t="s">
        <v>2114</v>
      </c>
      <c r="C791" s="45" t="s">
        <v>14</v>
      </c>
      <c r="D791" s="46" t="s">
        <v>369</v>
      </c>
      <c r="E791" s="52" t="s">
        <v>362</v>
      </c>
      <c r="F791" s="48">
        <v>45700</v>
      </c>
      <c r="G791" s="49">
        <f t="shared" si="11"/>
        <v>0</v>
      </c>
      <c r="H791" s="77">
        <f>SUMIF(积分汇总!$B:$B,D790,积分汇总!$E:$E)</f>
        <v>0</v>
      </c>
      <c r="I791" s="77">
        <f>SUMIF(记录巡查问题条数汇总!$B:$B,D790,记录巡查问题条数汇总!$E:$E)</f>
        <v>0</v>
      </c>
      <c r="J791" s="77"/>
      <c r="K791" s="77">
        <f>SUMIF(安全质量事故!$B:$B,D790,安全质量事故!$G:$G)</f>
        <v>0</v>
      </c>
      <c r="L791" s="72">
        <f>COUNTIF(M791:AQ791,标准数据!$A$2)*标准数据!$B$2+COUNTIF(M791:AQ791,标准数据!$A$3)*标准数据!$B$3+COUNTIF(M791:AQ791,标准数据!$A$4)*标准数据!$B$4</f>
        <v>0</v>
      </c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192"/>
      <c r="AR791" s="90"/>
      <c r="AS791" s="223" t="s">
        <v>1031</v>
      </c>
      <c r="AT791" s="224" t="s">
        <v>1041</v>
      </c>
      <c r="AU791" s="224" t="s">
        <v>1028</v>
      </c>
      <c r="AV791" s="76" t="str">
        <f>VLOOKUP(E791,[1]生产部!$C:$I,7,0)</f>
        <v>常白</v>
      </c>
      <c r="AW791" s="41" t="str">
        <f>VLOOKUP(E791,[1]生产部!$C:$I,6,0)</f>
        <v>培训&amp;合规&amp;审计组</v>
      </c>
    </row>
    <row r="792" spans="1:49" ht="21" customHeight="1">
      <c r="A792" s="234" t="s">
        <v>2136</v>
      </c>
      <c r="B792" s="229" t="s">
        <v>2114</v>
      </c>
      <c r="C792" s="45" t="s">
        <v>14</v>
      </c>
      <c r="D792" s="46" t="s">
        <v>638</v>
      </c>
      <c r="E792" s="47" t="s">
        <v>602</v>
      </c>
      <c r="F792" s="48">
        <v>45908</v>
      </c>
      <c r="G792" s="49">
        <f t="shared" ref="G792:G848" si="12">(L792+H792+I792+J792-K792)</f>
        <v>0</v>
      </c>
      <c r="H792" s="77">
        <f>SUMIF(积分汇总!$B:$B,D791,积分汇总!$E:$E)</f>
        <v>0</v>
      </c>
      <c r="I792" s="77">
        <f>SUMIF(记录巡查问题条数汇总!$B:$B,D791,记录巡查问题条数汇总!$E:$E)</f>
        <v>0</v>
      </c>
      <c r="J792" s="77"/>
      <c r="K792" s="77">
        <f>SUMIF(安全质量事故!$B:$B,D791,安全质量事故!$G:$G)</f>
        <v>0</v>
      </c>
      <c r="L792" s="72">
        <f>COUNTIF(M792:AQ792,标准数据!$A$2)*标准数据!$B$2+COUNTIF(M792:AQ792,标准数据!$A$3)*标准数据!$B$3+COUNTIF(M792:AQ792,标准数据!$A$4)*标准数据!$B$4</f>
        <v>0</v>
      </c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192"/>
      <c r="AR792" s="90"/>
      <c r="AS792" s="64">
        <f>COUNTIF(M790:AQ797,"a")</f>
        <v>0</v>
      </c>
      <c r="AT792" s="64">
        <f>COUNTIF(M790:AQ797,"b")</f>
        <v>0</v>
      </c>
      <c r="AU792" s="64">
        <f>COUNTIF(M790:AQ797,"c")</f>
        <v>0</v>
      </c>
      <c r="AV792" s="76" t="str">
        <f>VLOOKUP(E792,[1]生产部!$C:$I,7,0)</f>
        <v>常白</v>
      </c>
      <c r="AW792" s="41" t="str">
        <f>VLOOKUP(E792,[1]生产部!$C:$I,6,0)</f>
        <v>培训&amp;合规&amp;审计组</v>
      </c>
    </row>
    <row r="793" spans="1:49" ht="21" customHeight="1">
      <c r="A793" s="234" t="s">
        <v>2136</v>
      </c>
      <c r="B793" s="229" t="s">
        <v>2114</v>
      </c>
      <c r="C793" s="45" t="s">
        <v>14</v>
      </c>
      <c r="D793" s="46" t="s">
        <v>1416</v>
      </c>
      <c r="E793" s="52" t="s">
        <v>1417</v>
      </c>
      <c r="F793" s="48">
        <v>46139</v>
      </c>
      <c r="G793" s="49">
        <f t="shared" si="12"/>
        <v>0</v>
      </c>
      <c r="H793" s="77">
        <f>SUMIF(积分汇总!$B:$B,D792,积分汇总!$E:$E)</f>
        <v>0</v>
      </c>
      <c r="I793" s="77">
        <f>SUMIF(记录巡查问题条数汇总!$B:$B,D792,记录巡查问题条数汇总!$E:$E)</f>
        <v>0</v>
      </c>
      <c r="J793" s="77"/>
      <c r="K793" s="77">
        <f>SUMIF(安全质量事故!$B:$B,D792,安全质量事故!$G:$G)</f>
        <v>0</v>
      </c>
      <c r="L793" s="72">
        <f>COUNTIF(M793:AQ793,标准数据!$A$2)*标准数据!$B$2+COUNTIF(M793:AQ793,标准数据!$A$3)*标准数据!$B$3+COUNTIF(M793:AQ793,标准数据!$A$4)*标准数据!$B$4</f>
        <v>0</v>
      </c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192"/>
      <c r="AR793" s="90"/>
      <c r="AS793" s="50" t="e">
        <f>AS792/($AS$792+$AT$792+$AU$792)</f>
        <v>#DIV/0!</v>
      </c>
      <c r="AT793" s="50" t="e">
        <f>AT792/($AS$792+$AT$792+$AU$792)</f>
        <v>#DIV/0!</v>
      </c>
      <c r="AU793" s="50" t="e">
        <f>AU792/($AS$792+$AT$792+$AU$792)</f>
        <v>#DIV/0!</v>
      </c>
      <c r="AV793" s="76" t="str">
        <f>VLOOKUP(E793,[1]生产部!$C:$I,7,0)</f>
        <v>常白</v>
      </c>
      <c r="AW793" s="41" t="str">
        <f>VLOOKUP(E793,[1]生产部!$C:$I,6,0)</f>
        <v>培训&amp;合规&amp;审计组</v>
      </c>
    </row>
    <row r="794" spans="1:49" ht="21" customHeight="1">
      <c r="A794" s="234" t="s">
        <v>2136</v>
      </c>
      <c r="B794" s="229" t="s">
        <v>2114</v>
      </c>
      <c r="C794" s="45" t="s">
        <v>14</v>
      </c>
      <c r="D794" s="46" t="s">
        <v>1143</v>
      </c>
      <c r="E794" s="47" t="s">
        <v>1144</v>
      </c>
      <c r="F794" s="48">
        <v>46127</v>
      </c>
      <c r="G794" s="49">
        <f t="shared" si="12"/>
        <v>0</v>
      </c>
      <c r="H794" s="77">
        <f>SUMIF(积分汇总!$B:$B,D791,积分汇总!$E:$E)</f>
        <v>0</v>
      </c>
      <c r="I794" s="77">
        <f>SUMIF(记录巡查问题条数汇总!$B:$B,D791,记录巡查问题条数汇总!$E:$E)</f>
        <v>0</v>
      </c>
      <c r="J794" s="77"/>
      <c r="K794" s="77">
        <f>SUMIF(安全质量事故!$B:$B,D791,安全质量事故!$G:$G)</f>
        <v>0</v>
      </c>
      <c r="L794" s="72">
        <f>COUNTIF(M794:AQ794,标准数据!$A$2)*标准数据!$B$2+COUNTIF(M794:AQ794,标准数据!$A$3)*标准数据!$B$3+COUNTIF(M794:AQ794,标准数据!$A$4)*标准数据!$B$4</f>
        <v>0</v>
      </c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189"/>
      <c r="AR794" s="55"/>
      <c r="AV794" s="76" t="str">
        <f>VLOOKUP(E794,[1]生产部!$C:$I,7,0)</f>
        <v>常白</v>
      </c>
      <c r="AW794" s="41" t="str">
        <f>VLOOKUP(E794,[1]生产部!$C:$I,6,0)</f>
        <v>11号楼（合规组委培）</v>
      </c>
    </row>
    <row r="795" spans="1:49" ht="21" customHeight="1">
      <c r="A795" s="234" t="s">
        <v>2136</v>
      </c>
      <c r="B795" s="229" t="s">
        <v>2114</v>
      </c>
      <c r="C795" s="45" t="s">
        <v>129</v>
      </c>
      <c r="D795" s="46" t="s">
        <v>1441</v>
      </c>
      <c r="E795" s="47" t="s">
        <v>1442</v>
      </c>
      <c r="F795" s="48">
        <v>46174</v>
      </c>
      <c r="G795" s="49">
        <f t="shared" si="12"/>
        <v>0</v>
      </c>
      <c r="H795" s="77">
        <f>SUMIF(积分汇总!$B:$B,D793,积分汇总!$E:$E)</f>
        <v>0</v>
      </c>
      <c r="I795" s="77">
        <f>SUMIF(记录巡查问题条数汇总!$B:$B,D793,记录巡查问题条数汇总!$E:$E)</f>
        <v>0</v>
      </c>
      <c r="J795" s="77"/>
      <c r="K795" s="77">
        <f>SUMIF(安全质量事故!$B:$B,D793,安全质量事故!$G:$G)</f>
        <v>0</v>
      </c>
      <c r="L795" s="72">
        <f>COUNTIF(M795:AQ795,标准数据!$A$2)*标准数据!$B$2+COUNTIF(M795:AQ795,标准数据!$A$3)*标准数据!$B$3+COUNTIF(M795:AQ795,标准数据!$A$4)*标准数据!$B$4</f>
        <v>0</v>
      </c>
      <c r="M795" s="56"/>
      <c r="N795" s="56"/>
      <c r="O795" s="56"/>
      <c r="P795" s="56"/>
      <c r="Q795" s="56"/>
      <c r="R795" s="56"/>
      <c r="S795" s="56"/>
      <c r="T795" s="55"/>
      <c r="U795" s="55"/>
      <c r="V795" s="55"/>
      <c r="W795" s="55"/>
      <c r="X795" s="55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189"/>
      <c r="AR795" s="55"/>
      <c r="AS795" s="41"/>
      <c r="AT795" s="41"/>
      <c r="AU795" s="41"/>
      <c r="AV795" s="76" t="str">
        <f>VLOOKUP(E795,[1]生产部!$C:$I,7,0)</f>
        <v>常白</v>
      </c>
      <c r="AW795" s="41" t="str">
        <f>VLOOKUP(E795,[1]生产部!$C:$I,6,0)</f>
        <v>11号楼（合规组委培）</v>
      </c>
    </row>
    <row r="796" spans="1:49" ht="21" customHeight="1">
      <c r="A796" s="234" t="s">
        <v>2136</v>
      </c>
      <c r="B796" s="229" t="s">
        <v>2114</v>
      </c>
      <c r="C796" s="45" t="s">
        <v>146</v>
      </c>
      <c r="D796" s="46" t="s">
        <v>933</v>
      </c>
      <c r="E796" s="52" t="s">
        <v>888</v>
      </c>
      <c r="F796" s="48">
        <v>45882</v>
      </c>
      <c r="G796" s="49">
        <f t="shared" si="12"/>
        <v>0</v>
      </c>
      <c r="H796" s="77">
        <f>SUMIF(积分汇总!$B:$B,D793,积分汇总!$E:$E)</f>
        <v>0</v>
      </c>
      <c r="I796" s="77">
        <f>SUMIF(记录巡查问题条数汇总!$B:$B,D793,记录巡查问题条数汇总!$E:$E)</f>
        <v>0</v>
      </c>
      <c r="J796" s="77"/>
      <c r="K796" s="77">
        <f>SUMIF(安全质量事故!$B:$B,D793,安全质量事故!$G:$G)</f>
        <v>0</v>
      </c>
      <c r="L796" s="72">
        <f>COUNTIF(M796:AQ796,标准数据!$A$2)*标准数据!$B$2+COUNTIF(M796:AQ796,标准数据!$A$3)*标准数据!$B$3+COUNTIF(M796:AQ796,标准数据!$A$4)*标准数据!$B$4</f>
        <v>0</v>
      </c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192"/>
      <c r="AR796" s="90"/>
      <c r="AV796" s="76" t="str">
        <f>VLOOKUP(E796,[1]生产部!$C:$I,7,0)</f>
        <v>常白</v>
      </c>
      <c r="AW796" s="41" t="str">
        <f>VLOOKUP(E796,[1]生产部!$C:$I,6,0)</f>
        <v>培训&amp;合规&amp;审计组</v>
      </c>
    </row>
    <row r="797" spans="1:49" ht="21" customHeight="1">
      <c r="A797" s="234" t="s">
        <v>2136</v>
      </c>
      <c r="B797" s="229" t="s">
        <v>2114</v>
      </c>
      <c r="C797" s="45" t="s">
        <v>146</v>
      </c>
      <c r="D797" s="46" t="s">
        <v>934</v>
      </c>
      <c r="E797" s="52" t="s">
        <v>889</v>
      </c>
      <c r="F797" s="48">
        <v>45924</v>
      </c>
      <c r="G797" s="49">
        <f t="shared" si="12"/>
        <v>0</v>
      </c>
      <c r="H797" s="77">
        <f>SUMIF(积分汇总!$B:$B,D796,积分汇总!$E:$E)</f>
        <v>0</v>
      </c>
      <c r="I797" s="77">
        <f>SUMIF(记录巡查问题条数汇总!$B:$B,D796,记录巡查问题条数汇总!$E:$E)</f>
        <v>0</v>
      </c>
      <c r="J797" s="77"/>
      <c r="K797" s="77">
        <f>SUMIF(安全质量事故!$B:$B,D796,安全质量事故!$G:$G)</f>
        <v>0</v>
      </c>
      <c r="L797" s="72">
        <f>COUNTIF(M797:AQ797,标准数据!$A$2)*标准数据!$B$2+COUNTIF(M797:AQ797,标准数据!$A$3)*标准数据!$B$3+COUNTIF(M797:AQ797,标准数据!$A$4)*标准数据!$B$4</f>
        <v>0</v>
      </c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192"/>
      <c r="AR797" s="90"/>
      <c r="AV797" s="76" t="str">
        <f>VLOOKUP(E797,[1]生产部!$C:$I,7,0)</f>
        <v>常白</v>
      </c>
      <c r="AW797" s="41" t="str">
        <f>VLOOKUP(E797,[1]生产部!$C:$I,6,0)</f>
        <v>培训&amp;合规&amp;审计组</v>
      </c>
    </row>
    <row r="798" spans="1:49" ht="21" customHeight="1">
      <c r="A798" s="235" t="s">
        <v>1042</v>
      </c>
      <c r="B798" s="229" t="s">
        <v>2124</v>
      </c>
      <c r="C798" s="45" t="s">
        <v>2073</v>
      </c>
      <c r="D798" s="46" t="s">
        <v>491</v>
      </c>
      <c r="E798" s="52" t="s">
        <v>460</v>
      </c>
      <c r="F798" s="46">
        <v>45833</v>
      </c>
      <c r="G798" s="49">
        <f t="shared" si="12"/>
        <v>0</v>
      </c>
      <c r="H798" s="77">
        <f>SUMIF(积分汇总!$B:$B,D797,积分汇总!$E:$E)</f>
        <v>0</v>
      </c>
      <c r="I798" s="77">
        <f>SUMIF(记录巡查问题条数汇总!$B:$B,D797,记录巡查问题条数汇总!$E:$E)</f>
        <v>0</v>
      </c>
      <c r="J798" s="77"/>
      <c r="K798" s="77">
        <f>SUMIF(安全质量事故!$B:$B,D797,安全质量事故!$G:$G)</f>
        <v>0</v>
      </c>
      <c r="L798" s="72">
        <f>COUNTIF(M798:AQ798,标准数据!$A$2)*标准数据!$B$2+COUNTIF(M798:AQ798,标准数据!$A$3)*标准数据!$B$3+COUNTIF(M798:AQ798,标准数据!$A$4)*标准数据!$B$4</f>
        <v>0</v>
      </c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192"/>
      <c r="AR798" s="90"/>
      <c r="AS798" s="281" t="s">
        <v>1043</v>
      </c>
      <c r="AT798" s="282"/>
      <c r="AU798" s="282"/>
      <c r="AV798" s="76" t="str">
        <f>VLOOKUP(E798,[1]生产部!$C:$I,7,0)</f>
        <v>常白</v>
      </c>
      <c r="AW798" s="41" t="str">
        <f>VLOOKUP(E798,[1]生产部!$C:$I,6,0)</f>
        <v>外围/罐区组</v>
      </c>
    </row>
    <row r="799" spans="1:49" ht="21" customHeight="1">
      <c r="A799" s="235" t="s">
        <v>2137</v>
      </c>
      <c r="B799" s="229" t="s">
        <v>2124</v>
      </c>
      <c r="C799" s="45" t="s">
        <v>87</v>
      </c>
      <c r="D799" s="46" t="s">
        <v>866</v>
      </c>
      <c r="E799" s="47" t="s">
        <v>774</v>
      </c>
      <c r="F799" s="48">
        <v>44454</v>
      </c>
      <c r="G799" s="49">
        <f t="shared" si="12"/>
        <v>0</v>
      </c>
      <c r="H799" s="77">
        <f>SUMIF(积分汇总!$B:$B,D798,积分汇总!$E:$E)</f>
        <v>0</v>
      </c>
      <c r="I799" s="77">
        <f>SUMIF(记录巡查问题条数汇总!$B:$B,D798,记录巡查问题条数汇总!$E:$E)</f>
        <v>0</v>
      </c>
      <c r="J799" s="77"/>
      <c r="K799" s="77">
        <f>SUMIF(安全质量事故!$B:$B,D798,安全质量事故!$G:$G)</f>
        <v>0</v>
      </c>
      <c r="L799" s="72">
        <f>COUNTIF(M799:AQ799,标准数据!$A$2)*标准数据!$B$2+COUNTIF(M799:AQ799,标准数据!$A$3)*标准数据!$B$3+COUNTIF(M799:AQ799,标准数据!$A$4)*标准数据!$B$4</f>
        <v>0</v>
      </c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189"/>
      <c r="AR799" s="55"/>
      <c r="AS799" s="223" t="s">
        <v>1031</v>
      </c>
      <c r="AT799" s="224" t="s">
        <v>1041</v>
      </c>
      <c r="AU799" s="224" t="s">
        <v>1028</v>
      </c>
      <c r="AV799" s="76" t="str">
        <f>VLOOKUP(E799,[1]生产部!$C:$I,7,0)</f>
        <v>常白</v>
      </c>
      <c r="AW799" s="41" t="str">
        <f>VLOOKUP(E799,[1]生产部!$C:$I,6,0)</f>
        <v>外围/罐区组</v>
      </c>
    </row>
    <row r="800" spans="1:49" ht="21" customHeight="1">
      <c r="A800" s="235" t="s">
        <v>2137</v>
      </c>
      <c r="B800" s="229" t="s">
        <v>2124</v>
      </c>
      <c r="C800" s="45" t="s">
        <v>87</v>
      </c>
      <c r="D800" s="46" t="s">
        <v>1246</v>
      </c>
      <c r="E800" s="52" t="s">
        <v>1247</v>
      </c>
      <c r="F800" s="46">
        <v>46120</v>
      </c>
      <c r="G800" s="49">
        <f t="shared" si="12"/>
        <v>0</v>
      </c>
      <c r="H800" s="77">
        <f>SUMIF(积分汇总!$B:$B,D799,积分汇总!$E:$E)</f>
        <v>0</v>
      </c>
      <c r="I800" s="77">
        <f>SUMIF(记录巡查问题条数汇总!$B:$B,D799,记录巡查问题条数汇总!$E:$E)</f>
        <v>0</v>
      </c>
      <c r="J800" s="77"/>
      <c r="K800" s="77">
        <f>SUMIF(安全质量事故!$B:$B,D799,安全质量事故!$G:$G)</f>
        <v>0</v>
      </c>
      <c r="L800" s="72">
        <f>COUNTIF(M800:AQ800,标准数据!$A$2)*标准数据!$B$2+COUNTIF(M800:AQ800,标准数据!$A$3)*标准数据!$B$3+COUNTIF(M800:AQ800,标准数据!$A$4)*标准数据!$B$4</f>
        <v>0</v>
      </c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192"/>
      <c r="AR800" s="90"/>
      <c r="AS800" s="65">
        <f>COUNTIF(M798:AQ810,"a")</f>
        <v>0</v>
      </c>
      <c r="AT800" s="65">
        <f>COUNTIF(M798:AQ810,"b")</f>
        <v>0</v>
      </c>
      <c r="AU800" s="65">
        <f>COUNTIF(M798:AQ810,"c")</f>
        <v>0</v>
      </c>
      <c r="AV800" s="76" t="str">
        <f>VLOOKUP(E800,[1]生产部!$C:$I,7,0)</f>
        <v>常白</v>
      </c>
      <c r="AW800" s="41" t="str">
        <f>VLOOKUP(E800,[1]生产部!$C:$I,6,0)</f>
        <v>外围/罐区组</v>
      </c>
    </row>
    <row r="801" spans="1:49" ht="21" customHeight="1">
      <c r="A801" s="235" t="s">
        <v>2137</v>
      </c>
      <c r="B801" s="229" t="s">
        <v>2124</v>
      </c>
      <c r="C801" s="45" t="s">
        <v>87</v>
      </c>
      <c r="D801" s="46" t="s">
        <v>1552</v>
      </c>
      <c r="E801" s="52" t="s">
        <v>1553</v>
      </c>
      <c r="F801" s="46">
        <v>46169</v>
      </c>
      <c r="G801" s="49">
        <f t="shared" si="12"/>
        <v>0</v>
      </c>
      <c r="H801" s="77">
        <f>SUMIF(积分汇总!$B:$B,D800,积分汇总!$E:$E)</f>
        <v>0</v>
      </c>
      <c r="I801" s="77">
        <f>SUMIF(记录巡查问题条数汇总!$B:$B,D800,记录巡查问题条数汇总!$E:$E)</f>
        <v>0</v>
      </c>
      <c r="J801" s="77"/>
      <c r="K801" s="77">
        <f>SUMIF(安全质量事故!$B:$B,D800,安全质量事故!$G:$G)</f>
        <v>0</v>
      </c>
      <c r="L801" s="72">
        <f>COUNTIF(M801:AQ801,标准数据!$A$2)*标准数据!$B$2+COUNTIF(M801:AQ801,标准数据!$A$3)*标准数据!$B$3+COUNTIF(M801:AQ801,标准数据!$A$4)*标准数据!$B$4</f>
        <v>0</v>
      </c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192"/>
      <c r="AR801" s="90"/>
      <c r="AS801" s="50" t="e">
        <f>AS800/($AS$800+$AT$800+$AU$800)</f>
        <v>#DIV/0!</v>
      </c>
      <c r="AT801" s="60" t="e">
        <f>AT800/($AS$800+$AT$800+$AU$800)</f>
        <v>#DIV/0!</v>
      </c>
      <c r="AU801" s="60" t="e">
        <f>AU800/($AS$800+$AT$800+$AU$800)</f>
        <v>#DIV/0!</v>
      </c>
      <c r="AV801" s="76" t="str">
        <f>VLOOKUP(E801,[1]生产部!$C:$I,7,0)</f>
        <v>常白</v>
      </c>
      <c r="AW801" s="41" t="str">
        <f>VLOOKUP(E801,[1]生产部!$C:$I,6,0)</f>
        <v>外围/罐区组</v>
      </c>
    </row>
    <row r="802" spans="1:49" ht="21" customHeight="1">
      <c r="A802" s="235" t="s">
        <v>2137</v>
      </c>
      <c r="B802" s="229" t="s">
        <v>2124</v>
      </c>
      <c r="C802" s="45" t="s">
        <v>129</v>
      </c>
      <c r="D802" s="46" t="s">
        <v>567</v>
      </c>
      <c r="E802" s="52" t="s">
        <v>534</v>
      </c>
      <c r="F802" s="46">
        <v>45868</v>
      </c>
      <c r="G802" s="49">
        <f t="shared" si="12"/>
        <v>0</v>
      </c>
      <c r="H802" s="77">
        <f>SUMIF(积分汇总!$B:$B,D801,积分汇总!$E:$E)</f>
        <v>0</v>
      </c>
      <c r="I802" s="77">
        <f>SUMIF(记录巡查问题条数汇总!$B:$B,D801,记录巡查问题条数汇总!$E:$E)</f>
        <v>0</v>
      </c>
      <c r="J802" s="77"/>
      <c r="K802" s="77">
        <f>SUMIF(安全质量事故!$B:$B,D801,安全质量事故!$G:$G)</f>
        <v>0</v>
      </c>
      <c r="L802" s="72">
        <f>COUNTIF(M802:AQ802,标准数据!$A$2)*标准数据!$B$2+COUNTIF(M802:AQ802,标准数据!$A$3)*标准数据!$B$3+COUNTIF(M802:AQ802,标准数据!$A$4)*标准数据!$B$4</f>
        <v>0</v>
      </c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192"/>
      <c r="AR802" s="90"/>
      <c r="AS802" s="41"/>
      <c r="AT802" s="41"/>
      <c r="AU802" s="41"/>
      <c r="AV802" s="76" t="str">
        <f>VLOOKUP(E802,[1]生产部!$C:$I,7,0)</f>
        <v>常白</v>
      </c>
      <c r="AW802" s="41" t="str">
        <f>VLOOKUP(E802,[1]生产部!$C:$I,6,0)</f>
        <v>外围/罐区组</v>
      </c>
    </row>
    <row r="803" spans="1:49" ht="21" customHeight="1">
      <c r="A803" s="235" t="s">
        <v>2137</v>
      </c>
      <c r="B803" s="229" t="s">
        <v>2124</v>
      </c>
      <c r="C803" s="61" t="s">
        <v>146</v>
      </c>
      <c r="D803" s="46" t="s">
        <v>107</v>
      </c>
      <c r="E803" s="52" t="s">
        <v>103</v>
      </c>
      <c r="F803" s="46">
        <v>45063</v>
      </c>
      <c r="G803" s="49">
        <f t="shared" si="12"/>
        <v>0</v>
      </c>
      <c r="H803" s="77">
        <f>SUMIF(积分汇总!$B:$B,D802,积分汇总!$E:$E)</f>
        <v>0</v>
      </c>
      <c r="I803" s="77">
        <f>SUMIF(记录巡查问题条数汇总!$B:$B,D802,记录巡查问题条数汇总!$E:$E)</f>
        <v>0</v>
      </c>
      <c r="J803" s="77"/>
      <c r="K803" s="77">
        <f>SUMIF(安全质量事故!$B:$B,D802,安全质量事故!$G:$G)</f>
        <v>0</v>
      </c>
      <c r="L803" s="72">
        <f>COUNTIF(M803:AQ803,标准数据!$A$2)*标准数据!$B$2+COUNTIF(M803:AQ803,标准数据!$A$3)*标准数据!$B$3+COUNTIF(M803:AQ803,标准数据!$A$4)*标准数据!$B$4</f>
        <v>0</v>
      </c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192"/>
      <c r="AR803" s="90"/>
      <c r="AS803" s="41"/>
      <c r="AT803" s="41"/>
      <c r="AU803" s="41"/>
      <c r="AV803" s="76" t="str">
        <f>VLOOKUP(E803,[1]生产部!$C:$I,7,0)</f>
        <v>常白</v>
      </c>
      <c r="AW803" s="41" t="str">
        <f>VLOOKUP(E803,[1]生产部!$C:$I,6,0)</f>
        <v>外围/罐区组</v>
      </c>
    </row>
    <row r="804" spans="1:49" ht="21" customHeight="1">
      <c r="A804" s="235" t="s">
        <v>2137</v>
      </c>
      <c r="B804" s="229" t="s">
        <v>2124</v>
      </c>
      <c r="C804" s="61" t="s">
        <v>146</v>
      </c>
      <c r="D804" s="46" t="s">
        <v>108</v>
      </c>
      <c r="E804" s="52" t="s">
        <v>104</v>
      </c>
      <c r="F804" s="46">
        <v>45063</v>
      </c>
      <c r="G804" s="49">
        <f t="shared" si="12"/>
        <v>0</v>
      </c>
      <c r="H804" s="77">
        <f>SUMIF(积分汇总!$B:$B,D803,积分汇总!$E:$E)</f>
        <v>0</v>
      </c>
      <c r="I804" s="77">
        <f>SUMIF(记录巡查问题条数汇总!$B:$B,D803,记录巡查问题条数汇总!$E:$E)</f>
        <v>0</v>
      </c>
      <c r="J804" s="77"/>
      <c r="K804" s="77">
        <f>SUMIF(安全质量事故!$B:$B,D803,安全质量事故!$G:$G)</f>
        <v>0</v>
      </c>
      <c r="L804" s="72">
        <f>COUNTIF(M804:AQ804,标准数据!$A$2)*标准数据!$B$2+COUNTIF(M804:AQ804,标准数据!$A$3)*标准数据!$B$3+COUNTIF(M804:AQ804,标准数据!$A$4)*标准数据!$B$4</f>
        <v>0</v>
      </c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192"/>
      <c r="AR804" s="90"/>
      <c r="AS804" s="41"/>
      <c r="AT804" s="41"/>
      <c r="AU804" s="41"/>
      <c r="AV804" s="76" t="str">
        <f>VLOOKUP(E804,[1]生产部!$C:$I,7,0)</f>
        <v>常白</v>
      </c>
      <c r="AW804" s="41" t="str">
        <f>VLOOKUP(E804,[1]生产部!$C:$I,6,0)</f>
        <v>外围/罐区组</v>
      </c>
    </row>
    <row r="805" spans="1:49" ht="21" customHeight="1">
      <c r="A805" s="235" t="s">
        <v>2137</v>
      </c>
      <c r="B805" s="229" t="s">
        <v>2124</v>
      </c>
      <c r="C805" s="61" t="s">
        <v>146</v>
      </c>
      <c r="D805" s="46" t="s">
        <v>399</v>
      </c>
      <c r="E805" s="52" t="s">
        <v>391</v>
      </c>
      <c r="F805" s="46">
        <v>45756</v>
      </c>
      <c r="G805" s="49">
        <f t="shared" si="12"/>
        <v>0</v>
      </c>
      <c r="H805" s="77">
        <f>SUMIF(积分汇总!$B:$B,D804,积分汇总!$E:$E)</f>
        <v>0</v>
      </c>
      <c r="I805" s="77">
        <f>SUMIF(记录巡查问题条数汇总!$B:$B,D804,记录巡查问题条数汇总!$E:$E)</f>
        <v>0</v>
      </c>
      <c r="J805" s="77"/>
      <c r="K805" s="77">
        <f>SUMIF(安全质量事故!$B:$B,D804,安全质量事故!$G:$G)</f>
        <v>0</v>
      </c>
      <c r="L805" s="72">
        <f>COUNTIF(M805:AQ805,标准数据!$A$2)*标准数据!$B$2+COUNTIF(M805:AQ805,标准数据!$A$3)*标准数据!$B$3+COUNTIF(M805:AQ805,标准数据!$A$4)*标准数据!$B$4</f>
        <v>0</v>
      </c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192"/>
      <c r="AR805" s="90"/>
      <c r="AS805" s="41"/>
      <c r="AT805" s="41"/>
      <c r="AU805" s="41"/>
      <c r="AV805" s="76" t="str">
        <f>VLOOKUP(E805,[1]生产部!$C:$I,7,0)</f>
        <v>常白</v>
      </c>
      <c r="AW805" s="41" t="str">
        <f>VLOOKUP(E805,[1]生产部!$C:$I,6,0)</f>
        <v>外围/罐区组</v>
      </c>
    </row>
    <row r="806" spans="1:49" ht="21" customHeight="1">
      <c r="A806" s="235" t="s">
        <v>2137</v>
      </c>
      <c r="B806" s="229" t="s">
        <v>2124</v>
      </c>
      <c r="C806" s="61" t="s">
        <v>146</v>
      </c>
      <c r="D806" s="46" t="s">
        <v>252</v>
      </c>
      <c r="E806" s="52" t="s">
        <v>244</v>
      </c>
      <c r="F806" s="48">
        <v>43770</v>
      </c>
      <c r="G806" s="49">
        <f t="shared" si="12"/>
        <v>0</v>
      </c>
      <c r="H806" s="77">
        <f>SUMIF(积分汇总!$B:$B,D805,积分汇总!$E:$E)</f>
        <v>0</v>
      </c>
      <c r="I806" s="77">
        <f>SUMIF(记录巡查问题条数汇总!$B:$B,D805,记录巡查问题条数汇总!$E:$E)</f>
        <v>0</v>
      </c>
      <c r="J806" s="77"/>
      <c r="K806" s="77">
        <f>SUMIF(安全质量事故!$B:$B,D805,安全质量事故!$G:$G)</f>
        <v>0</v>
      </c>
      <c r="L806" s="72">
        <f>COUNTIF(M806:AQ806,标准数据!$A$2)*标准数据!$B$2+COUNTIF(M806:AQ806,标准数据!$A$3)*标准数据!$B$3+COUNTIF(M806:AQ806,标准数据!$A$4)*标准数据!$B$4</f>
        <v>0</v>
      </c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192"/>
      <c r="AR806" s="90"/>
      <c r="AV806" s="76" t="str">
        <f>VLOOKUP(E806,[1]生产部!$C:$I,7,0)</f>
        <v>常白</v>
      </c>
      <c r="AW806" s="41" t="str">
        <f>VLOOKUP(E806,[1]生产部!$C:$I,6,0)</f>
        <v>外围/罐区组</v>
      </c>
    </row>
    <row r="807" spans="1:49" ht="21" customHeight="1">
      <c r="A807" s="235" t="s">
        <v>2137</v>
      </c>
      <c r="B807" s="229" t="s">
        <v>2124</v>
      </c>
      <c r="C807" s="61" t="s">
        <v>146</v>
      </c>
      <c r="D807" s="46" t="s">
        <v>855</v>
      </c>
      <c r="E807" s="52" t="s">
        <v>814</v>
      </c>
      <c r="F807" s="46">
        <v>44363</v>
      </c>
      <c r="G807" s="49">
        <f t="shared" si="12"/>
        <v>0</v>
      </c>
      <c r="H807" s="77">
        <f>SUMIF(积分汇总!$B:$B,D806,积分汇总!$E:$E)</f>
        <v>0</v>
      </c>
      <c r="I807" s="77">
        <f>SUMIF(记录巡查问题条数汇总!$B:$B,D806,记录巡查问题条数汇总!$E:$E)</f>
        <v>0</v>
      </c>
      <c r="J807" s="77"/>
      <c r="K807" s="77">
        <f>SUMIF(安全质量事故!$B:$B,D806,安全质量事故!$G:$G)</f>
        <v>0</v>
      </c>
      <c r="L807" s="72">
        <f>COUNTIF(M807:AQ807,标准数据!$A$2)*标准数据!$B$2+COUNTIF(M807:AQ807,标准数据!$A$3)*标准数据!$B$3+COUNTIF(M807:AQ807,标准数据!$A$4)*标准数据!$B$4</f>
        <v>0</v>
      </c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192"/>
      <c r="AR807" s="90"/>
      <c r="AS807" s="41"/>
      <c r="AT807" s="41"/>
      <c r="AU807" s="41"/>
      <c r="AV807" s="76" t="str">
        <f>VLOOKUP(E807,[1]生产部!$C:$I,7,0)</f>
        <v>常白</v>
      </c>
      <c r="AW807" s="41" t="str">
        <f>VLOOKUP(E807,[1]生产部!$C:$I,6,0)</f>
        <v>外围/罐区组</v>
      </c>
    </row>
    <row r="808" spans="1:49" ht="21" customHeight="1">
      <c r="A808" s="235" t="s">
        <v>2137</v>
      </c>
      <c r="B808" s="229" t="s">
        <v>2124</v>
      </c>
      <c r="C808" s="61" t="s">
        <v>146</v>
      </c>
      <c r="D808" s="46" t="s">
        <v>856</v>
      </c>
      <c r="E808" s="52" t="s">
        <v>815</v>
      </c>
      <c r="F808" s="46">
        <v>45994</v>
      </c>
      <c r="G808" s="49">
        <f t="shared" si="12"/>
        <v>0</v>
      </c>
      <c r="H808" s="77">
        <f>SUMIF(积分汇总!$B:$B,D807,积分汇总!$E:$E)</f>
        <v>0</v>
      </c>
      <c r="I808" s="77">
        <f>SUMIF(记录巡查问题条数汇总!$B:$B,D807,记录巡查问题条数汇总!$E:$E)</f>
        <v>0</v>
      </c>
      <c r="J808" s="77"/>
      <c r="K808" s="77">
        <f>SUMIF(安全质量事故!$B:$B,D807,安全质量事故!$G:$G)</f>
        <v>0</v>
      </c>
      <c r="L808" s="72">
        <f>COUNTIF(M808:AQ808,标准数据!$A$2)*标准数据!$B$2+COUNTIF(M808:AQ808,标准数据!$A$3)*标准数据!$B$3+COUNTIF(M808:AQ808,标准数据!$A$4)*标准数据!$B$4</f>
        <v>0</v>
      </c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192"/>
      <c r="AR808" s="90"/>
      <c r="AS808" s="41"/>
      <c r="AT808" s="41"/>
      <c r="AU808" s="41"/>
      <c r="AV808" s="76" t="str">
        <f>VLOOKUP(E808,[1]生产部!$C:$I,7,0)</f>
        <v>常白</v>
      </c>
      <c r="AW808" s="41" t="str">
        <f>VLOOKUP(E808,[1]生产部!$C:$I,6,0)</f>
        <v>外围/罐区组</v>
      </c>
    </row>
    <row r="809" spans="1:49" ht="21" customHeight="1">
      <c r="A809" s="235" t="s">
        <v>2137</v>
      </c>
      <c r="B809" s="229" t="s">
        <v>2124</v>
      </c>
      <c r="C809" s="61" t="s">
        <v>146</v>
      </c>
      <c r="D809" s="46" t="s">
        <v>940</v>
      </c>
      <c r="E809" s="52" t="s">
        <v>902</v>
      </c>
      <c r="F809" s="48">
        <v>46029</v>
      </c>
      <c r="G809" s="49">
        <f t="shared" si="12"/>
        <v>0</v>
      </c>
      <c r="H809" s="77">
        <f>SUMIF(积分汇总!$B:$B,D808,积分汇总!$E:$E)</f>
        <v>0</v>
      </c>
      <c r="I809" s="77">
        <f>SUMIF(记录巡查问题条数汇总!$B:$B,D808,记录巡查问题条数汇总!$E:$E)</f>
        <v>0</v>
      </c>
      <c r="J809" s="77"/>
      <c r="K809" s="77">
        <f>SUMIF(安全质量事故!$B:$B,D808,安全质量事故!$G:$G)</f>
        <v>0</v>
      </c>
      <c r="L809" s="72">
        <f>COUNTIF(M809:AQ809,标准数据!$A$2)*标准数据!$B$2+COUNTIF(M809:AQ809,标准数据!$A$3)*标准数据!$B$3+COUNTIF(M809:AQ809,标准数据!$A$4)*标准数据!$B$4</f>
        <v>0</v>
      </c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192"/>
      <c r="AR809" s="90"/>
      <c r="AV809" s="76" t="str">
        <f>VLOOKUP(E809,[1]生产部!$C:$I,7,0)</f>
        <v>常白</v>
      </c>
      <c r="AW809" s="41" t="str">
        <f>VLOOKUP(E809,[1]生产部!$C:$I,6,0)</f>
        <v>外围/罐区组</v>
      </c>
    </row>
    <row r="810" spans="1:49" ht="21" customHeight="1">
      <c r="A810" s="235" t="s">
        <v>2137</v>
      </c>
      <c r="B810" s="229" t="s">
        <v>2124</v>
      </c>
      <c r="C810" s="61" t="s">
        <v>146</v>
      </c>
      <c r="D810" s="46" t="s">
        <v>1554</v>
      </c>
      <c r="E810" s="52" t="s">
        <v>1555</v>
      </c>
      <c r="F810" s="48">
        <v>46169</v>
      </c>
      <c r="G810" s="49">
        <f t="shared" si="12"/>
        <v>0</v>
      </c>
      <c r="H810" s="77">
        <f>SUMIF(积分汇总!$B:$B,D809,积分汇总!$E:$E)</f>
        <v>0</v>
      </c>
      <c r="I810" s="77">
        <f>SUMIF(记录巡查问题条数汇总!$B:$B,D809,记录巡查问题条数汇总!$E:$E)</f>
        <v>0</v>
      </c>
      <c r="J810" s="77"/>
      <c r="K810" s="77">
        <f>SUMIF(安全质量事故!$B:$B,D809,安全质量事故!$G:$G)</f>
        <v>0</v>
      </c>
      <c r="L810" s="72">
        <f>COUNTIF(M810:AQ810,标准数据!$A$2)*标准数据!$B$2+COUNTIF(M810:AQ810,标准数据!$A$3)*标准数据!$B$3+COUNTIF(M810:AQ810,标准数据!$A$4)*标准数据!$B$4</f>
        <v>0</v>
      </c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192"/>
      <c r="AR810" s="90"/>
      <c r="AV810" s="76" t="str">
        <f>VLOOKUP(E810,[1]生产部!$C:$I,7,0)</f>
        <v>常白</v>
      </c>
      <c r="AW810" s="41" t="str">
        <f>VLOOKUP(E810,[1]生产部!$C:$I,6,0)</f>
        <v>外围/罐区组</v>
      </c>
    </row>
    <row r="811" spans="1:49" ht="21" customHeight="1">
      <c r="A811" s="234" t="s">
        <v>256</v>
      </c>
      <c r="B811" s="229" t="s">
        <v>2125</v>
      </c>
      <c r="C811" s="45" t="s">
        <v>87</v>
      </c>
      <c r="D811" s="46" t="s">
        <v>165</v>
      </c>
      <c r="E811" s="52" t="s">
        <v>89</v>
      </c>
      <c r="F811" s="46">
        <v>44755</v>
      </c>
      <c r="G811" s="49">
        <f t="shared" si="12"/>
        <v>0</v>
      </c>
      <c r="H811" s="77">
        <f>SUMIF(积分汇总!$B:$B,D810,积分汇总!$E:$E)</f>
        <v>0</v>
      </c>
      <c r="I811" s="77">
        <f>SUMIF(记录巡查问题条数汇总!$B:$B,D810,记录巡查问题条数汇总!$E:$E)</f>
        <v>0</v>
      </c>
      <c r="J811" s="77"/>
      <c r="K811" s="77">
        <f>SUMIF(安全质量事故!$B:$B,D810,安全质量事故!$G:$G)</f>
        <v>0</v>
      </c>
      <c r="L811" s="72">
        <f>COUNTIF(M811:AQ811,标准数据!$A$2)*标准数据!$B$2+COUNTIF(M811:AQ811,标准数据!$A$3)*标准数据!$B$3+COUNTIF(M811:AQ811,标准数据!$A$4)*标准数据!$B$4</f>
        <v>0</v>
      </c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192"/>
      <c r="AR811" s="90"/>
      <c r="AS811" s="281" t="s">
        <v>1044</v>
      </c>
      <c r="AT811" s="282"/>
      <c r="AU811" s="282"/>
      <c r="AV811" s="76" t="str">
        <f>VLOOKUP(E811,[1]生产部!$C:$I,7,0)</f>
        <v>倒班</v>
      </c>
      <c r="AW811" s="41" t="str">
        <f>VLOOKUP(E811,[1]生产部!$C:$I,6,0)</f>
        <v>环保设备设施组</v>
      </c>
    </row>
    <row r="812" spans="1:49" ht="21" customHeight="1">
      <c r="A812" s="234" t="s">
        <v>295</v>
      </c>
      <c r="B812" s="229" t="s">
        <v>2125</v>
      </c>
      <c r="C812" s="45" t="s">
        <v>87</v>
      </c>
      <c r="D812" s="46" t="s">
        <v>496</v>
      </c>
      <c r="E812" s="52" t="s">
        <v>461</v>
      </c>
      <c r="F812" s="46">
        <v>45488</v>
      </c>
      <c r="G812" s="49">
        <f t="shared" si="12"/>
        <v>0</v>
      </c>
      <c r="H812" s="77">
        <f>SUMIF(积分汇总!$B:$B,D811,积分汇总!$E:$E)</f>
        <v>0</v>
      </c>
      <c r="I812" s="77">
        <f>SUMIF(记录巡查问题条数汇总!$B:$B,D811,记录巡查问题条数汇总!$E:$E)</f>
        <v>0</v>
      </c>
      <c r="J812" s="77"/>
      <c r="K812" s="77">
        <f>SUMIF(安全质量事故!$B:$B,D811,安全质量事故!$G:$G)</f>
        <v>0</v>
      </c>
      <c r="L812" s="72">
        <f>COUNTIF(M812:AQ812,标准数据!$A$2)*标准数据!$B$2+COUNTIF(M812:AQ812,标准数据!$A$3)*标准数据!$B$3+COUNTIF(M812:AQ812,标准数据!$A$4)*标准数据!$B$4</f>
        <v>0</v>
      </c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192"/>
      <c r="AR812" s="90"/>
      <c r="AS812" s="223" t="s">
        <v>1031</v>
      </c>
      <c r="AT812" s="224" t="s">
        <v>1041</v>
      </c>
      <c r="AU812" s="224" t="s">
        <v>1028</v>
      </c>
      <c r="AV812" s="76" t="str">
        <f>VLOOKUP(E812,[1]生产部!$C:$I,7,0)</f>
        <v>常白</v>
      </c>
      <c r="AW812" s="41" t="str">
        <f>VLOOKUP(E812,[1]生产部!$C:$I,6,0)</f>
        <v>环保设备设施组</v>
      </c>
    </row>
    <row r="813" spans="1:49" ht="21" customHeight="1">
      <c r="A813" s="234" t="s">
        <v>295</v>
      </c>
      <c r="B813" s="229" t="s">
        <v>2125</v>
      </c>
      <c r="C813" s="45" t="s">
        <v>87</v>
      </c>
      <c r="D813" s="46" t="s">
        <v>497</v>
      </c>
      <c r="E813" s="52" t="s">
        <v>463</v>
      </c>
      <c r="F813" s="46">
        <v>45216</v>
      </c>
      <c r="G813" s="49">
        <f t="shared" si="12"/>
        <v>0</v>
      </c>
      <c r="H813" s="77">
        <f>SUMIF(积分汇总!$B:$B,D812,积分汇总!$E:$E)</f>
        <v>0</v>
      </c>
      <c r="I813" s="77">
        <f>SUMIF(记录巡查问题条数汇总!$B:$B,D812,记录巡查问题条数汇总!$E:$E)</f>
        <v>0</v>
      </c>
      <c r="J813" s="77"/>
      <c r="K813" s="77">
        <f>SUMIF(安全质量事故!$B:$B,D812,安全质量事故!$G:$G)</f>
        <v>0</v>
      </c>
      <c r="L813" s="72">
        <f>COUNTIF(M813:AQ813,标准数据!$A$2)*标准数据!$B$2+COUNTIF(M813:AQ813,标准数据!$A$3)*标准数据!$B$3+COUNTIF(M813:AQ813,标准数据!$A$4)*标准数据!$B$4</f>
        <v>0</v>
      </c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192"/>
      <c r="AR813" s="90"/>
      <c r="AS813" s="64">
        <f>COUNTIF(M811:AQ826,"a")</f>
        <v>0</v>
      </c>
      <c r="AT813" s="64">
        <f>COUNTIF(M811:AQ826,"b")</f>
        <v>0</v>
      </c>
      <c r="AU813" s="64">
        <f>COUNTIF(M811:AQ826,"c")</f>
        <v>0</v>
      </c>
      <c r="AV813" s="76" t="str">
        <f>VLOOKUP(E813,[1]生产部!$C:$I,7,0)</f>
        <v>倒班</v>
      </c>
      <c r="AW813" s="41" t="str">
        <f>VLOOKUP(E813,[1]生产部!$C:$I,6,0)</f>
        <v>环保设备设施组</v>
      </c>
    </row>
    <row r="814" spans="1:49" ht="21" customHeight="1">
      <c r="A814" s="234" t="s">
        <v>295</v>
      </c>
      <c r="B814" s="229" t="s">
        <v>2125</v>
      </c>
      <c r="C814" s="45" t="s">
        <v>87</v>
      </c>
      <c r="D814" s="46" t="s">
        <v>498</v>
      </c>
      <c r="E814" s="52" t="s">
        <v>464</v>
      </c>
      <c r="F814" s="46">
        <v>45042</v>
      </c>
      <c r="G814" s="49">
        <f t="shared" si="12"/>
        <v>0</v>
      </c>
      <c r="H814" s="77">
        <f>SUMIF(积分汇总!$B:$B,D813,积分汇总!$E:$E)</f>
        <v>0</v>
      </c>
      <c r="I814" s="77">
        <f>SUMIF(记录巡查问题条数汇总!$B:$B,D813,记录巡查问题条数汇总!$E:$E)</f>
        <v>0</v>
      </c>
      <c r="J814" s="77"/>
      <c r="K814" s="77">
        <f>SUMIF(安全质量事故!$B:$B,D813,安全质量事故!$G:$G)</f>
        <v>0</v>
      </c>
      <c r="L814" s="72">
        <f>COUNTIF(M814:AQ814,标准数据!$A$2)*标准数据!$B$2+COUNTIF(M814:AQ814,标准数据!$A$3)*标准数据!$B$3+COUNTIF(M814:AQ814,标准数据!$A$4)*标准数据!$B$4</f>
        <v>0</v>
      </c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192"/>
      <c r="AR814" s="90"/>
      <c r="AS814" s="50" t="e">
        <f>AS813/($AS$813+$AT$813+$AU$813)</f>
        <v>#DIV/0!</v>
      </c>
      <c r="AT814" s="60" t="e">
        <f>AT813/($AS$813+$AT$813+$AU$813)</f>
        <v>#DIV/0!</v>
      </c>
      <c r="AU814" s="60" t="e">
        <f>AU813/($AS$813+$AT$813+$AU$813)</f>
        <v>#DIV/0!</v>
      </c>
      <c r="AV814" s="76" t="str">
        <f>VLOOKUP(E814,[1]生产部!$C:$I,7,0)</f>
        <v>倒班</v>
      </c>
      <c r="AW814" s="41" t="str">
        <f>VLOOKUP(E814,[1]生产部!$C:$I,6,0)</f>
        <v>环保设备设施组</v>
      </c>
    </row>
    <row r="815" spans="1:49" ht="21" customHeight="1">
      <c r="A815" s="234" t="s">
        <v>295</v>
      </c>
      <c r="B815" s="229" t="s">
        <v>2125</v>
      </c>
      <c r="C815" s="45" t="s">
        <v>87</v>
      </c>
      <c r="D815" s="46" t="s">
        <v>622</v>
      </c>
      <c r="E815" s="52" t="s">
        <v>608</v>
      </c>
      <c r="F815" s="46">
        <v>45896</v>
      </c>
      <c r="G815" s="49">
        <f t="shared" si="12"/>
        <v>0</v>
      </c>
      <c r="H815" s="77">
        <f>SUMIF(积分汇总!$B:$B,D814,积分汇总!$E:$E)</f>
        <v>0</v>
      </c>
      <c r="I815" s="77">
        <f>SUMIF(记录巡查问题条数汇总!$B:$B,D814,记录巡查问题条数汇总!$E:$E)</f>
        <v>0</v>
      </c>
      <c r="J815" s="77"/>
      <c r="K815" s="77">
        <f>SUMIF(安全质量事故!$B:$B,D814,安全质量事故!$G:$G)</f>
        <v>0</v>
      </c>
      <c r="L815" s="72">
        <f>COUNTIF(M815:AQ815,标准数据!$A$2)*标准数据!$B$2+COUNTIF(M815:AQ815,标准数据!$A$3)*标准数据!$B$3+COUNTIF(M815:AQ815,标准数据!$A$4)*标准数据!$B$4</f>
        <v>0</v>
      </c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192"/>
      <c r="AR815" s="90"/>
      <c r="AS815" s="41"/>
      <c r="AT815" s="41"/>
      <c r="AU815" s="41"/>
      <c r="AV815" s="76" t="str">
        <f>VLOOKUP(E815,[1]生产部!$C:$I,7,0)</f>
        <v>倒班</v>
      </c>
      <c r="AW815" s="41" t="str">
        <f>VLOOKUP(E815,[1]生产部!$C:$I,6,0)</f>
        <v>环保设备设施组</v>
      </c>
    </row>
    <row r="816" spans="1:49" ht="21" customHeight="1">
      <c r="A816" s="234" t="s">
        <v>295</v>
      </c>
      <c r="B816" s="229" t="s">
        <v>2125</v>
      </c>
      <c r="C816" s="45" t="s">
        <v>87</v>
      </c>
      <c r="D816" s="46" t="s">
        <v>2093</v>
      </c>
      <c r="E816" s="52" t="s">
        <v>865</v>
      </c>
      <c r="F816" s="46">
        <v>45999</v>
      </c>
      <c r="G816" s="49">
        <f t="shared" si="12"/>
        <v>0</v>
      </c>
      <c r="H816" s="77">
        <f>SUMIF(积分汇总!$B:$B,D815,积分汇总!$E:$E)</f>
        <v>0</v>
      </c>
      <c r="I816" s="77">
        <f>SUMIF(记录巡查问题条数汇总!$B:$B,D815,记录巡查问题条数汇总!$E:$E)</f>
        <v>0</v>
      </c>
      <c r="J816" s="77"/>
      <c r="K816" s="77">
        <f>SUMIF(安全质量事故!$B:$B,D815,安全质量事故!$G:$G)</f>
        <v>0</v>
      </c>
      <c r="L816" s="72">
        <f>COUNTIF(M816:AQ816,标准数据!$A$2)*标准数据!$B$2+COUNTIF(M816:AQ816,标准数据!$A$3)*标准数据!$B$3+COUNTIF(M816:AQ816,标准数据!$A$4)*标准数据!$B$4</f>
        <v>0</v>
      </c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192"/>
      <c r="AR816" s="90"/>
      <c r="AS816" s="41"/>
      <c r="AT816" s="41"/>
      <c r="AU816" s="41"/>
      <c r="AV816" s="76" t="str">
        <f>VLOOKUP(E816,[1]生产部!$C:$I,7,0)</f>
        <v>常白</v>
      </c>
      <c r="AW816" s="41" t="str">
        <f>VLOOKUP(E816,[1]生产部!$C:$I,6,0)</f>
        <v>环保设备设施组</v>
      </c>
    </row>
    <row r="817" spans="1:49" ht="21" customHeight="1">
      <c r="A817" s="234" t="s">
        <v>295</v>
      </c>
      <c r="B817" s="229" t="s">
        <v>2125</v>
      </c>
      <c r="C817" s="45" t="s">
        <v>14</v>
      </c>
      <c r="D817" s="46" t="s">
        <v>924</v>
      </c>
      <c r="E817" s="47" t="s">
        <v>903</v>
      </c>
      <c r="F817" s="48">
        <v>46036</v>
      </c>
      <c r="G817" s="49">
        <f t="shared" si="12"/>
        <v>0</v>
      </c>
      <c r="H817" s="77">
        <f>SUMIF(积分汇总!$B:$B,D816,积分汇总!$E:$E)</f>
        <v>0</v>
      </c>
      <c r="I817" s="77">
        <f>SUMIF(记录巡查问题条数汇总!$B:$B,D816,记录巡查问题条数汇总!$E:$E)</f>
        <v>0</v>
      </c>
      <c r="J817" s="77"/>
      <c r="K817" s="77">
        <f>SUMIF(安全质量事故!$B:$B,D816,安全质量事故!$G:$G)</f>
        <v>0</v>
      </c>
      <c r="L817" s="72">
        <f>COUNTIF(M817:AQ817,标准数据!$A$2)*标准数据!$B$2+COUNTIF(M817:AQ817,标准数据!$A$3)*标准数据!$B$3+COUNTIF(M817:AQ817,标准数据!$A$4)*标准数据!$B$4</f>
        <v>0</v>
      </c>
      <c r="M817" s="90"/>
      <c r="N817" s="90"/>
      <c r="O817" s="90"/>
      <c r="P817" s="90"/>
      <c r="Q817" s="90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189"/>
      <c r="AR817" s="55"/>
      <c r="AV817" s="76" t="str">
        <f>VLOOKUP(E817,[1]生产部!$C:$I,7,0)</f>
        <v>倒班</v>
      </c>
      <c r="AW817" s="41" t="str">
        <f>VLOOKUP(E817,[1]生产部!$C:$I,6,0)</f>
        <v>环保设备设施组</v>
      </c>
    </row>
    <row r="818" spans="1:49" ht="21" customHeight="1">
      <c r="A818" s="234" t="s">
        <v>295</v>
      </c>
      <c r="B818" s="229" t="s">
        <v>2125</v>
      </c>
      <c r="C818" s="204" t="s">
        <v>14</v>
      </c>
      <c r="D818" s="202" t="s">
        <v>2086</v>
      </c>
      <c r="E818" s="201" t="s">
        <v>2087</v>
      </c>
      <c r="F818" s="203">
        <v>46225</v>
      </c>
      <c r="G818" s="49">
        <f t="shared" si="12"/>
        <v>0</v>
      </c>
      <c r="H818" s="77">
        <f>SUMIF(积分汇总!$B:$B,D817,积分汇总!$E:$E)</f>
        <v>0</v>
      </c>
      <c r="I818" s="77">
        <f>SUMIF(记录巡查问题条数汇总!$B:$B,D817,记录巡查问题条数汇总!$E:$E)</f>
        <v>0</v>
      </c>
      <c r="J818" s="77"/>
      <c r="K818" s="77">
        <f>SUMIF(安全质量事故!$B:$B,D817,安全质量事故!$G:$G)</f>
        <v>0</v>
      </c>
      <c r="L818" s="72">
        <f>COUNTIF(M818:AQ818,标准数据!$A$2)*标准数据!$B$2+COUNTIF(M818:AQ818,标准数据!$A$3)*标准数据!$B$3+COUNTIF(M818:AQ818,标准数据!$A$4)*标准数据!$B$4</f>
        <v>0</v>
      </c>
      <c r="M818" s="90"/>
      <c r="N818" s="90"/>
      <c r="O818" s="90"/>
      <c r="P818" s="90"/>
      <c r="Q818" s="90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189"/>
      <c r="AR818" s="55"/>
      <c r="AV818" s="76" t="str">
        <f>VLOOKUP(E818,[1]生产部!$C:$I,7,0)</f>
        <v>倒班</v>
      </c>
      <c r="AW818" s="41" t="str">
        <f>VLOOKUP(E818,[1]生产部!$C:$I,6,0)</f>
        <v>环保设备设施组</v>
      </c>
    </row>
    <row r="819" spans="1:49" ht="21" customHeight="1">
      <c r="A819" s="234" t="s">
        <v>295</v>
      </c>
      <c r="B819" s="229" t="s">
        <v>2125</v>
      </c>
      <c r="C819" s="204" t="s">
        <v>14</v>
      </c>
      <c r="D819" s="202" t="s">
        <v>2088</v>
      </c>
      <c r="E819" s="201" t="s">
        <v>2089</v>
      </c>
      <c r="F819" s="203">
        <v>46225</v>
      </c>
      <c r="G819" s="49">
        <f t="shared" si="12"/>
        <v>0</v>
      </c>
      <c r="H819" s="77">
        <f>SUMIF(积分汇总!$B:$B,D818,积分汇总!$E:$E)</f>
        <v>0</v>
      </c>
      <c r="I819" s="77">
        <f>SUMIF(记录巡查问题条数汇总!$B:$B,D818,记录巡查问题条数汇总!$E:$E)</f>
        <v>0</v>
      </c>
      <c r="J819" s="77"/>
      <c r="K819" s="77">
        <f>SUMIF(安全质量事故!$B:$B,D818,安全质量事故!$G:$G)</f>
        <v>0</v>
      </c>
      <c r="L819" s="72">
        <f>COUNTIF(M819:AQ819,标准数据!$A$2)*标准数据!$B$2+COUNTIF(M819:AQ819,标准数据!$A$3)*标准数据!$B$3+COUNTIF(M819:AQ819,标准数据!$A$4)*标准数据!$B$4</f>
        <v>0</v>
      </c>
      <c r="M819" s="90"/>
      <c r="N819" s="90"/>
      <c r="O819" s="90"/>
      <c r="P819" s="90"/>
      <c r="Q819" s="90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189"/>
      <c r="AR819" s="55"/>
      <c r="AV819" s="76" t="str">
        <f>VLOOKUP(E819,[1]生产部!$C:$I,7,0)</f>
        <v>倒班</v>
      </c>
      <c r="AW819" s="41" t="str">
        <f>VLOOKUP(E819,[1]生产部!$C:$I,6,0)</f>
        <v>环保设备设施组</v>
      </c>
    </row>
    <row r="820" spans="1:49" ht="21" customHeight="1">
      <c r="A820" s="234" t="s">
        <v>295</v>
      </c>
      <c r="B820" s="229" t="s">
        <v>2125</v>
      </c>
      <c r="C820" s="204" t="s">
        <v>14</v>
      </c>
      <c r="D820" s="202" t="s">
        <v>2090</v>
      </c>
      <c r="E820" s="201" t="s">
        <v>2091</v>
      </c>
      <c r="F820" s="203">
        <v>46225</v>
      </c>
      <c r="G820" s="49">
        <f t="shared" si="12"/>
        <v>0</v>
      </c>
      <c r="H820" s="77">
        <f>SUMIF(积分汇总!$B:$B,D819,积分汇总!$E:$E)</f>
        <v>0</v>
      </c>
      <c r="I820" s="77">
        <f>SUMIF(记录巡查问题条数汇总!$B:$B,D819,记录巡查问题条数汇总!$E:$E)</f>
        <v>0</v>
      </c>
      <c r="J820" s="77"/>
      <c r="K820" s="77">
        <f>SUMIF(安全质量事故!$B:$B,D819,安全质量事故!$G:$G)</f>
        <v>0</v>
      </c>
      <c r="L820" s="72">
        <f>COUNTIF(M820:AQ820,标准数据!$A$2)*标准数据!$B$2+COUNTIF(M820:AQ820,标准数据!$A$3)*标准数据!$B$3+COUNTIF(M820:AQ820,标准数据!$A$4)*标准数据!$B$4</f>
        <v>0</v>
      </c>
      <c r="M820" s="90"/>
      <c r="N820" s="90"/>
      <c r="O820" s="90"/>
      <c r="P820" s="90"/>
      <c r="Q820" s="90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189"/>
      <c r="AR820" s="55"/>
      <c r="AV820" s="76" t="str">
        <f>VLOOKUP(E820,[1]生产部!$C:$I,7,0)</f>
        <v>倒班</v>
      </c>
      <c r="AW820" s="41" t="str">
        <f>VLOOKUP(E820,[1]生产部!$C:$I,6,0)</f>
        <v>环保设备设施组</v>
      </c>
    </row>
    <row r="821" spans="1:49" ht="21" customHeight="1">
      <c r="A821" s="234" t="s">
        <v>295</v>
      </c>
      <c r="B821" s="229" t="s">
        <v>2125</v>
      </c>
      <c r="C821" s="61" t="s">
        <v>13</v>
      </c>
      <c r="D821" s="46" t="s">
        <v>1012</v>
      </c>
      <c r="E821" s="52" t="s">
        <v>1013</v>
      </c>
      <c r="F821" s="46">
        <v>45457</v>
      </c>
      <c r="G821" s="49">
        <f t="shared" si="12"/>
        <v>0</v>
      </c>
      <c r="H821" s="77">
        <f>SUMIF(积分汇总!$B:$B,D820,积分汇总!$E:$E)</f>
        <v>0</v>
      </c>
      <c r="I821" s="77">
        <f>SUMIF(记录巡查问题条数汇总!$B:$B,D820,记录巡查问题条数汇总!$E:$E)</f>
        <v>0</v>
      </c>
      <c r="J821" s="77"/>
      <c r="K821" s="77">
        <f>SUMIF(安全质量事故!$B:$B,D820,安全质量事故!$G:$G)</f>
        <v>0</v>
      </c>
      <c r="L821" s="72">
        <f>COUNTIF(M821:AQ821,标准数据!$A$2)*标准数据!$B$2+COUNTIF(M821:AQ821,标准数据!$A$3)*标准数据!$B$3+COUNTIF(M821:AQ821,标准数据!$A$4)*标准数据!$B$4</f>
        <v>0</v>
      </c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192"/>
      <c r="AR821" s="90"/>
      <c r="AV821" s="76" t="str">
        <f>VLOOKUP(E821,[1]生产部!$C:$I,7,0)</f>
        <v>常白</v>
      </c>
      <c r="AW821" s="41" t="str">
        <f>VLOOKUP(E821,[1]生产部!$C:$I,6,0)</f>
        <v>环保设备设施组</v>
      </c>
    </row>
    <row r="822" spans="1:49" ht="21" customHeight="1">
      <c r="A822" s="234" t="s">
        <v>295</v>
      </c>
      <c r="B822" s="229" t="s">
        <v>2125</v>
      </c>
      <c r="C822" s="61" t="s">
        <v>146</v>
      </c>
      <c r="D822" s="46" t="s">
        <v>166</v>
      </c>
      <c r="E822" s="52" t="s">
        <v>90</v>
      </c>
      <c r="F822" s="46">
        <v>44790</v>
      </c>
      <c r="G822" s="49">
        <f t="shared" si="12"/>
        <v>0</v>
      </c>
      <c r="H822" s="77">
        <f>SUMIF(积分汇总!$B:$B,D821,积分汇总!$E:$E)</f>
        <v>0</v>
      </c>
      <c r="I822" s="77">
        <f>SUMIF(记录巡查问题条数汇总!$B:$B,D821,记录巡查问题条数汇总!$E:$E)</f>
        <v>0</v>
      </c>
      <c r="J822" s="77"/>
      <c r="K822" s="77">
        <f>SUMIF(安全质量事故!$B:$B,D821,安全质量事故!$G:$G)</f>
        <v>0</v>
      </c>
      <c r="L822" s="72">
        <f>COUNTIF(M822:AQ822,标准数据!$A$2)*标准数据!$B$2+COUNTIF(M822:AQ822,标准数据!$A$3)*标准数据!$B$3+COUNTIF(M822:AQ822,标准数据!$A$4)*标准数据!$B$4</f>
        <v>0</v>
      </c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192"/>
      <c r="AR822" s="90"/>
      <c r="AS822" s="41"/>
      <c r="AT822" s="41"/>
      <c r="AU822" s="41"/>
      <c r="AV822" s="76" t="str">
        <f>VLOOKUP(E822,[1]生产部!$C:$I,7,0)</f>
        <v>倒班</v>
      </c>
      <c r="AW822" s="41" t="str">
        <f>VLOOKUP(E822,[1]生产部!$C:$I,6,0)</f>
        <v>环保设备设施组</v>
      </c>
    </row>
    <row r="823" spans="1:49" ht="21" customHeight="1">
      <c r="A823" s="234" t="s">
        <v>295</v>
      </c>
      <c r="B823" s="229" t="s">
        <v>2125</v>
      </c>
      <c r="C823" s="61" t="s">
        <v>146</v>
      </c>
      <c r="D823" s="46" t="s">
        <v>151</v>
      </c>
      <c r="E823" s="52" t="s">
        <v>91</v>
      </c>
      <c r="F823" s="46">
        <v>44790</v>
      </c>
      <c r="G823" s="49">
        <f t="shared" si="12"/>
        <v>0</v>
      </c>
      <c r="H823" s="77">
        <f>SUMIF(积分汇总!$B:$B,D822,积分汇总!$E:$E)</f>
        <v>0</v>
      </c>
      <c r="I823" s="77">
        <f>SUMIF(记录巡查问题条数汇总!$B:$B,D822,记录巡查问题条数汇总!$E:$E)</f>
        <v>0</v>
      </c>
      <c r="J823" s="77"/>
      <c r="K823" s="77">
        <f>SUMIF(安全质量事故!$B:$B,D822,安全质量事故!$G:$G)</f>
        <v>0</v>
      </c>
      <c r="L823" s="72">
        <f>COUNTIF(M823:AQ823,标准数据!$A$2)*标准数据!$B$2+COUNTIF(M823:AQ823,标准数据!$A$3)*标准数据!$B$3+COUNTIF(M823:AQ823,标准数据!$A$4)*标准数据!$B$4</f>
        <v>0</v>
      </c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192"/>
      <c r="AR823" s="90"/>
      <c r="AS823" s="41"/>
      <c r="AT823" s="41"/>
      <c r="AU823" s="41"/>
      <c r="AV823" s="76" t="str">
        <f>VLOOKUP(E823,[1]生产部!$C:$I,7,0)</f>
        <v>倒班</v>
      </c>
      <c r="AW823" s="41" t="str">
        <f>VLOOKUP(E823,[1]生产部!$C:$I,6,0)</f>
        <v>环保设备设施组</v>
      </c>
    </row>
    <row r="824" spans="1:49" ht="21" customHeight="1">
      <c r="A824" s="234" t="s">
        <v>295</v>
      </c>
      <c r="B824" s="229" t="s">
        <v>2125</v>
      </c>
      <c r="C824" s="61" t="s">
        <v>146</v>
      </c>
      <c r="D824" s="46" t="s">
        <v>167</v>
      </c>
      <c r="E824" s="52" t="s">
        <v>92</v>
      </c>
      <c r="F824" s="46">
        <v>44790</v>
      </c>
      <c r="G824" s="49">
        <f t="shared" si="12"/>
        <v>0</v>
      </c>
      <c r="H824" s="77">
        <f>SUMIF(积分汇总!$B:$B,D823,积分汇总!$E:$E)</f>
        <v>0</v>
      </c>
      <c r="I824" s="77">
        <f>SUMIF(记录巡查问题条数汇总!$B:$B,D823,记录巡查问题条数汇总!$E:$E)</f>
        <v>0</v>
      </c>
      <c r="J824" s="77"/>
      <c r="K824" s="77">
        <f>SUMIF(安全质量事故!$B:$B,D823,安全质量事故!$G:$G)</f>
        <v>0</v>
      </c>
      <c r="L824" s="72">
        <f>COUNTIF(M824:AQ824,标准数据!$A$2)*标准数据!$B$2+COUNTIF(M824:AQ824,标准数据!$A$3)*标准数据!$B$3+COUNTIF(M824:AQ824,标准数据!$A$4)*标准数据!$B$4</f>
        <v>0</v>
      </c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192"/>
      <c r="AR824" s="90"/>
      <c r="AS824" s="41"/>
      <c r="AT824" s="41"/>
      <c r="AU824" s="41"/>
      <c r="AV824" s="76" t="str">
        <f>VLOOKUP(E824,[1]生产部!$C:$I,7,0)</f>
        <v>倒班</v>
      </c>
      <c r="AW824" s="41" t="str">
        <f>VLOOKUP(E824,[1]生产部!$C:$I,6,0)</f>
        <v>环保设备设施组</v>
      </c>
    </row>
    <row r="825" spans="1:49" ht="21" customHeight="1">
      <c r="A825" s="234" t="s">
        <v>295</v>
      </c>
      <c r="B825" s="229" t="s">
        <v>2125</v>
      </c>
      <c r="C825" s="61" t="s">
        <v>146</v>
      </c>
      <c r="D825" s="46" t="s">
        <v>266</v>
      </c>
      <c r="E825" s="52" t="s">
        <v>267</v>
      </c>
      <c r="F825" s="46">
        <v>45063</v>
      </c>
      <c r="G825" s="49">
        <f t="shared" si="12"/>
        <v>0</v>
      </c>
      <c r="H825" s="77">
        <f>SUMIF(积分汇总!$B:$B,D824,积分汇总!$E:$E)</f>
        <v>0</v>
      </c>
      <c r="I825" s="77">
        <f>SUMIF(记录巡查问题条数汇总!$B:$B,D824,记录巡查问题条数汇总!$E:$E)</f>
        <v>0</v>
      </c>
      <c r="J825" s="77"/>
      <c r="K825" s="77">
        <f>SUMIF(安全质量事故!$B:$B,D824,安全质量事故!$G:$G)</f>
        <v>0</v>
      </c>
      <c r="L825" s="72">
        <f>COUNTIF(M825:AQ825,标准数据!$A$2)*标准数据!$B$2+COUNTIF(M825:AQ825,标准数据!$A$3)*标准数据!$B$3+COUNTIF(M825:AQ825,标准数据!$A$4)*标准数据!$B$4</f>
        <v>0</v>
      </c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192"/>
      <c r="AR825" s="90"/>
      <c r="AV825" s="76" t="str">
        <f>VLOOKUP(E825,[1]生产部!$C:$I,7,0)</f>
        <v>倒班</v>
      </c>
      <c r="AW825" s="41" t="str">
        <f>VLOOKUP(E825,[1]生产部!$C:$I,6,0)</f>
        <v>环保设备设施组</v>
      </c>
    </row>
    <row r="826" spans="1:49" ht="21" customHeight="1">
      <c r="A826" s="234" t="s">
        <v>295</v>
      </c>
      <c r="B826" s="229" t="s">
        <v>2125</v>
      </c>
      <c r="C826" s="61" t="s">
        <v>146</v>
      </c>
      <c r="D826" s="46" t="s">
        <v>109</v>
      </c>
      <c r="E826" s="52" t="s">
        <v>102</v>
      </c>
      <c r="F826" s="46">
        <v>44770</v>
      </c>
      <c r="G826" s="49">
        <f t="shared" si="12"/>
        <v>0</v>
      </c>
      <c r="H826" s="77">
        <f>SUMIF(积分汇总!$B:$B,D825,积分汇总!$E:$E)</f>
        <v>0</v>
      </c>
      <c r="I826" s="77">
        <f>SUMIF(记录巡查问题条数汇总!$B:$B,D825,记录巡查问题条数汇总!$E:$E)</f>
        <v>0</v>
      </c>
      <c r="J826" s="77"/>
      <c r="K826" s="77">
        <f>SUMIF(安全质量事故!$B:$B,D825,安全质量事故!$G:$G)</f>
        <v>0</v>
      </c>
      <c r="L826" s="72">
        <f>COUNTIF(M826:AQ826,标准数据!$A$2)*标准数据!$B$2+COUNTIF(M826:AQ826,标准数据!$A$3)*标准数据!$B$3+COUNTIF(M826:AQ826,标准数据!$A$4)*标准数据!$B$4</f>
        <v>0</v>
      </c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192"/>
      <c r="AR826" s="90"/>
      <c r="AV826" s="76" t="str">
        <f>VLOOKUP(E826,[1]生产部!$C:$I,7,0)</f>
        <v>倒班</v>
      </c>
      <c r="AW826" s="41" t="str">
        <f>VLOOKUP(E826,[1]生产部!$C:$I,6,0)</f>
        <v>环保设备设施组</v>
      </c>
    </row>
    <row r="827" spans="1:49" ht="21" customHeight="1">
      <c r="A827" s="235" t="s">
        <v>1045</v>
      </c>
      <c r="B827" s="229" t="s">
        <v>2126</v>
      </c>
      <c r="C827" s="45" t="s">
        <v>154</v>
      </c>
      <c r="D827" s="46" t="s">
        <v>168</v>
      </c>
      <c r="E827" s="52" t="s">
        <v>25</v>
      </c>
      <c r="F827" s="46">
        <v>41487</v>
      </c>
      <c r="G827" s="49">
        <f t="shared" si="12"/>
        <v>0</v>
      </c>
      <c r="H827" s="77">
        <f>SUMIF(积分汇总!$B:$B,D826,积分汇总!$E:$E)</f>
        <v>0</v>
      </c>
      <c r="I827" s="77">
        <f>SUMIF(记录巡查问题条数汇总!$B:$B,D826,记录巡查问题条数汇总!$E:$E)</f>
        <v>0</v>
      </c>
      <c r="J827" s="77"/>
      <c r="K827" s="77">
        <f>SUMIF(安全质量事故!$B:$B,D826,安全质量事故!$G:$G)</f>
        <v>0</v>
      </c>
      <c r="L827" s="72">
        <f>COUNTIF(M827:AQ827,标准数据!$A$2)*标准数据!$B$2+COUNTIF(M827:AQ827,标准数据!$A$3)*标准数据!$B$3+COUNTIF(M827:AQ827,标准数据!$A$4)*标准数据!$B$4</f>
        <v>0</v>
      </c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192"/>
      <c r="AR827" s="90"/>
      <c r="AS827" s="280" t="s">
        <v>1046</v>
      </c>
      <c r="AT827" s="280"/>
      <c r="AU827" s="281"/>
      <c r="AV827" s="76" t="str">
        <f>VLOOKUP(E827,[1]生产部!$C:$I,7,0)</f>
        <v>常白</v>
      </c>
      <c r="AW827" s="41" t="str">
        <f>VLOOKUP(E827,[1]生产部!$C:$I,6,0)</f>
        <v>清洗组（4号楼）</v>
      </c>
    </row>
    <row r="828" spans="1:49" ht="21" customHeight="1">
      <c r="A828" s="235" t="s">
        <v>1045</v>
      </c>
      <c r="B828" s="229" t="s">
        <v>2127</v>
      </c>
      <c r="C828" s="61" t="s">
        <v>131</v>
      </c>
      <c r="D828" s="46" t="s">
        <v>169</v>
      </c>
      <c r="E828" s="52" t="s">
        <v>27</v>
      </c>
      <c r="F828" s="46">
        <v>44013</v>
      </c>
      <c r="G828" s="49">
        <f t="shared" si="12"/>
        <v>0</v>
      </c>
      <c r="H828" s="77">
        <f>SUMIF(积分汇总!$B:$B,D827,积分汇总!$E:$E)</f>
        <v>0</v>
      </c>
      <c r="I828" s="77">
        <f>SUMIF(记录巡查问题条数汇总!$B:$B,D827,记录巡查问题条数汇总!$E:$E)</f>
        <v>0</v>
      </c>
      <c r="J828" s="77"/>
      <c r="K828" s="77">
        <f>SUMIF(安全质量事故!$B:$B,D827,安全质量事故!$G:$G)</f>
        <v>0</v>
      </c>
      <c r="L828" s="72">
        <f>COUNTIF(M828:AQ828,标准数据!$A$2)*标准数据!$B$2+COUNTIF(M828:AQ828,标准数据!$A$3)*标准数据!$B$3+COUNTIF(M828:AQ828,标准数据!$A$4)*标准数据!$B$4</f>
        <v>0</v>
      </c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192"/>
      <c r="AR828" s="90"/>
      <c r="AS828" s="223" t="s">
        <v>1031</v>
      </c>
      <c r="AT828" s="224" t="s">
        <v>1041</v>
      </c>
      <c r="AU828" s="224" t="s">
        <v>1028</v>
      </c>
      <c r="AV828" s="76" t="str">
        <f>VLOOKUP(E828,[1]生产部!$C:$I,7,0)</f>
        <v>常白</v>
      </c>
      <c r="AW828" s="41" t="str">
        <f>VLOOKUP(E828,[1]生产部!$C:$I,6,0)</f>
        <v>清洗组（11号楼）</v>
      </c>
    </row>
    <row r="829" spans="1:49" ht="21.75" customHeight="1">
      <c r="A829" s="235" t="s">
        <v>1045</v>
      </c>
      <c r="B829" s="229" t="s">
        <v>2126</v>
      </c>
      <c r="C829" s="47" t="s">
        <v>1922</v>
      </c>
      <c r="D829" s="46" t="s">
        <v>152</v>
      </c>
      <c r="E829" s="52" t="s">
        <v>24</v>
      </c>
      <c r="F829" s="46">
        <v>42949</v>
      </c>
      <c r="G829" s="49">
        <f t="shared" si="12"/>
        <v>0</v>
      </c>
      <c r="H829" s="77">
        <f>SUMIF(积分汇总!$B:$B,D828,积分汇总!$E:$E)</f>
        <v>0</v>
      </c>
      <c r="I829" s="77">
        <f>SUMIF(记录巡查问题条数汇总!$B:$B,D828,记录巡查问题条数汇总!$E:$E)</f>
        <v>0</v>
      </c>
      <c r="J829" s="77"/>
      <c r="K829" s="77">
        <f>SUMIF(安全质量事故!$B:$B,D828,安全质量事故!$G:$G)</f>
        <v>0</v>
      </c>
      <c r="L829" s="72">
        <f>COUNTIF(M829:AQ829,标准数据!$A$2)*标准数据!$B$2+COUNTIF(M829:AQ829,标准数据!$A$3)*标准数据!$B$3+COUNTIF(M829:AQ829,标准数据!$A$4)*标准数据!$B$4</f>
        <v>0</v>
      </c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192"/>
      <c r="AR829" s="90"/>
      <c r="AS829" s="64">
        <f>COUNTIF(M827:AQ848,"a")</f>
        <v>0</v>
      </c>
      <c r="AT829" s="64">
        <f>COUNTIF(M827:AQ848,"b")</f>
        <v>0</v>
      </c>
      <c r="AU829" s="64">
        <f>COUNTIF(M827:AQ848,"c")</f>
        <v>0</v>
      </c>
      <c r="AV829" s="76" t="str">
        <f>VLOOKUP(E829,[1]生产部!$C:$I,7,0)</f>
        <v>常白</v>
      </c>
      <c r="AW829" s="41" t="str">
        <f>VLOOKUP(E829,[1]生产部!$C:$I,6,0)</f>
        <v>清洗组（4号楼）</v>
      </c>
    </row>
    <row r="830" spans="1:49" ht="21" customHeight="1">
      <c r="A830" s="235" t="s">
        <v>1045</v>
      </c>
      <c r="B830" s="229" t="s">
        <v>2126</v>
      </c>
      <c r="C830" s="61" t="s">
        <v>146</v>
      </c>
      <c r="D830" s="46" t="s">
        <v>173</v>
      </c>
      <c r="E830" s="52" t="s">
        <v>171</v>
      </c>
      <c r="F830" s="48">
        <v>43271</v>
      </c>
      <c r="G830" s="49">
        <f t="shared" si="12"/>
        <v>0</v>
      </c>
      <c r="H830" s="77">
        <f>SUMIF(积分汇总!$B:$B,D829,积分汇总!$E:$E)</f>
        <v>0</v>
      </c>
      <c r="I830" s="77">
        <f>SUMIF(记录巡查问题条数汇总!$B:$B,D829,记录巡查问题条数汇总!$E:$E)</f>
        <v>0</v>
      </c>
      <c r="J830" s="77"/>
      <c r="K830" s="77">
        <f>SUMIF(安全质量事故!$B:$B,D829,安全质量事故!$G:$G)</f>
        <v>0</v>
      </c>
      <c r="L830" s="72">
        <f>COUNTIF(M830:AQ830,标准数据!$A$2)*标准数据!$B$2+COUNTIF(M830:AQ830,标准数据!$A$3)*标准数据!$B$3+COUNTIF(M830:AQ830,标准数据!$A$4)*标准数据!$B$4</f>
        <v>0</v>
      </c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192"/>
      <c r="AR830" s="90"/>
      <c r="AS830" s="50" t="e">
        <f>AS829/($AS$829+$AT$829+$AU$829)</f>
        <v>#DIV/0!</v>
      </c>
      <c r="AT830" s="60" t="e">
        <f>AT829/($AS$829+$AT$829+$AU$829)</f>
        <v>#DIV/0!</v>
      </c>
      <c r="AU830" s="60" t="e">
        <f>AU829/($AS$829+$AT$829+$AU$829)</f>
        <v>#DIV/0!</v>
      </c>
      <c r="AV830" s="76" t="str">
        <f>VLOOKUP(E830,[1]生产部!$C:$I,7,0)</f>
        <v>常白</v>
      </c>
      <c r="AW830" s="41" t="str">
        <f>VLOOKUP(E830,[1]生产部!$C:$I,6,0)</f>
        <v>清洗组（4号楼）</v>
      </c>
    </row>
    <row r="831" spans="1:49" ht="21" customHeight="1">
      <c r="A831" s="235" t="s">
        <v>1045</v>
      </c>
      <c r="B831" s="229" t="s">
        <v>2127</v>
      </c>
      <c r="C831" s="47" t="s">
        <v>1881</v>
      </c>
      <c r="D831" s="46" t="s">
        <v>170</v>
      </c>
      <c r="E831" s="52" t="s">
        <v>26</v>
      </c>
      <c r="F831" s="46">
        <v>43935</v>
      </c>
      <c r="G831" s="49">
        <f t="shared" si="12"/>
        <v>0</v>
      </c>
      <c r="H831" s="77">
        <f>SUMIF(积分汇总!$B:$B,D830,积分汇总!$E:$E)</f>
        <v>0</v>
      </c>
      <c r="I831" s="77">
        <f>SUMIF(记录巡查问题条数汇总!$B:$B,D830,记录巡查问题条数汇总!$E:$E)</f>
        <v>0</v>
      </c>
      <c r="J831" s="77"/>
      <c r="K831" s="77">
        <f>SUMIF(安全质量事故!$B:$B,D830,安全质量事故!$G:$G)</f>
        <v>0</v>
      </c>
      <c r="L831" s="72">
        <f>COUNTIF(M831:AQ831,标准数据!$A$2)*标准数据!$B$2+COUNTIF(M831:AQ831,标准数据!$A$3)*标准数据!$B$3+COUNTIF(M831:AQ831,标准数据!$A$4)*标准数据!$B$4</f>
        <v>0</v>
      </c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192"/>
      <c r="AR831" s="90"/>
      <c r="AS831" s="41"/>
      <c r="AT831" s="41"/>
      <c r="AU831" s="41"/>
      <c r="AV831" s="76" t="str">
        <f>VLOOKUP(E831,[1]生产部!$C:$I,7,0)</f>
        <v>常白</v>
      </c>
      <c r="AW831" s="41" t="str">
        <f>VLOOKUP(E831,[1]生产部!$C:$I,6,0)</f>
        <v>清洗组（11号楼）</v>
      </c>
    </row>
    <row r="832" spans="1:49" ht="21" customHeight="1">
      <c r="A832" s="235" t="s">
        <v>1045</v>
      </c>
      <c r="B832" s="229" t="s">
        <v>2127</v>
      </c>
      <c r="C832" s="47" t="s">
        <v>1881</v>
      </c>
      <c r="D832" s="46" t="s">
        <v>174</v>
      </c>
      <c r="E832" s="52" t="s">
        <v>172</v>
      </c>
      <c r="F832" s="48">
        <v>45033</v>
      </c>
      <c r="G832" s="49">
        <f t="shared" si="12"/>
        <v>0</v>
      </c>
      <c r="H832" s="77">
        <f>SUMIF(积分汇总!$B:$B,D831,积分汇总!$E:$E)</f>
        <v>0</v>
      </c>
      <c r="I832" s="77">
        <f>SUMIF(记录巡查问题条数汇总!$B:$B,D831,记录巡查问题条数汇总!$E:$E)</f>
        <v>0</v>
      </c>
      <c r="J832" s="77"/>
      <c r="K832" s="77">
        <f>SUMIF(安全质量事故!$B:$B,D831,安全质量事故!$G:$G)</f>
        <v>0</v>
      </c>
      <c r="L832" s="72">
        <f>COUNTIF(M832:AQ832,标准数据!$A$2)*标准数据!$B$2+COUNTIF(M832:AQ832,标准数据!$A$3)*标准数据!$B$3+COUNTIF(M832:AQ832,标准数据!$A$4)*标准数据!$B$4</f>
        <v>0</v>
      </c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192"/>
      <c r="AR832" s="90"/>
      <c r="AV832" s="76" t="str">
        <f>VLOOKUP(E832,[1]生产部!$C:$I,7,0)</f>
        <v>常白</v>
      </c>
      <c r="AW832" s="41" t="str">
        <f>VLOOKUP(E832,[1]生产部!$C:$I,6,0)</f>
        <v>清洗组（11号楼）</v>
      </c>
    </row>
    <row r="833" spans="1:49" ht="21" customHeight="1">
      <c r="A833" s="235" t="s">
        <v>1045</v>
      </c>
      <c r="B833" s="229" t="s">
        <v>2126</v>
      </c>
      <c r="C833" s="47" t="s">
        <v>1881</v>
      </c>
      <c r="D833" s="46" t="s">
        <v>348</v>
      </c>
      <c r="E833" s="52" t="s">
        <v>342</v>
      </c>
      <c r="F833" s="46">
        <v>45642</v>
      </c>
      <c r="G833" s="49">
        <f t="shared" si="12"/>
        <v>0</v>
      </c>
      <c r="H833" s="77">
        <f>SUMIF(积分汇总!$B:$B,D832,积分汇总!$E:$E)</f>
        <v>0</v>
      </c>
      <c r="I833" s="77">
        <f>SUMIF(记录巡查问题条数汇总!$B:$B,D832,记录巡查问题条数汇总!$E:$E)</f>
        <v>0</v>
      </c>
      <c r="J833" s="77"/>
      <c r="K833" s="77">
        <f>SUMIF(安全质量事故!$B:$B,D832,安全质量事故!$G:$G)</f>
        <v>0</v>
      </c>
      <c r="L833" s="72">
        <f>COUNTIF(M833:AQ833,标准数据!$A$2)*标准数据!$B$2+COUNTIF(M833:AQ833,标准数据!$A$3)*标准数据!$B$3+COUNTIF(M833:AQ833,标准数据!$A$4)*标准数据!$B$4</f>
        <v>0</v>
      </c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192"/>
      <c r="AR833" s="90"/>
      <c r="AV833" s="76" t="str">
        <f>VLOOKUP(E833,[1]生产部!$C:$I,7,0)</f>
        <v>常白</v>
      </c>
      <c r="AW833" s="41" t="str">
        <f>VLOOKUP(E833,[1]生产部!$C:$I,6,0)</f>
        <v>清洗组（4号楼）</v>
      </c>
    </row>
    <row r="834" spans="1:49" ht="21" customHeight="1">
      <c r="A834" s="235" t="s">
        <v>1045</v>
      </c>
      <c r="B834" s="229" t="s">
        <v>2126</v>
      </c>
      <c r="C834" s="61" t="s">
        <v>146</v>
      </c>
      <c r="D834" s="46" t="s">
        <v>490</v>
      </c>
      <c r="E834" s="52" t="s">
        <v>459</v>
      </c>
      <c r="F834" s="46">
        <v>45847</v>
      </c>
      <c r="G834" s="49">
        <f t="shared" si="12"/>
        <v>0</v>
      </c>
      <c r="H834" s="77">
        <f>SUMIF(积分汇总!$B:$B,D833,积分汇总!$E:$E)</f>
        <v>0</v>
      </c>
      <c r="I834" s="77">
        <f>SUMIF(记录巡查问题条数汇总!$B:$B,D833,记录巡查问题条数汇总!$E:$E)</f>
        <v>0</v>
      </c>
      <c r="J834" s="77"/>
      <c r="K834" s="77">
        <f>SUMIF(安全质量事故!$B:$B,D833,安全质量事故!$G:$G)</f>
        <v>0</v>
      </c>
      <c r="L834" s="72">
        <f>COUNTIF(M834:AQ834,标准数据!$A$2)*标准数据!$B$2+COUNTIF(M834:AQ834,标准数据!$A$3)*标准数据!$B$3+COUNTIF(M834:AQ834,标准数据!$A$4)*标准数据!$B$4</f>
        <v>0</v>
      </c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192"/>
      <c r="AR834" s="90"/>
      <c r="AV834" s="76" t="str">
        <f>VLOOKUP(E834,[1]生产部!$C:$I,7,0)</f>
        <v>常白</v>
      </c>
      <c r="AW834" s="41" t="str">
        <f>VLOOKUP(E834,[1]生产部!$C:$I,6,0)</f>
        <v>清洗组（4号楼）</v>
      </c>
    </row>
    <row r="835" spans="1:49" ht="21" customHeight="1">
      <c r="A835" s="235" t="s">
        <v>1045</v>
      </c>
      <c r="B835" s="229" t="s">
        <v>2127</v>
      </c>
      <c r="C835" s="61" t="s">
        <v>146</v>
      </c>
      <c r="D835" s="46" t="s">
        <v>755</v>
      </c>
      <c r="E835" s="52" t="s">
        <v>713</v>
      </c>
      <c r="F835" s="46">
        <v>45964</v>
      </c>
      <c r="G835" s="49">
        <f t="shared" si="12"/>
        <v>0</v>
      </c>
      <c r="H835" s="77">
        <f>SUMIF(积分汇总!$B:$B,D834,积分汇总!$E:$E)</f>
        <v>0</v>
      </c>
      <c r="I835" s="77">
        <f>SUMIF(记录巡查问题条数汇总!$B:$B,D834,记录巡查问题条数汇总!$E:$E)</f>
        <v>0</v>
      </c>
      <c r="J835" s="77"/>
      <c r="K835" s="77">
        <f>SUMIF(安全质量事故!$B:$B,D834,安全质量事故!$G:$G)</f>
        <v>0</v>
      </c>
      <c r="L835" s="72">
        <f>COUNTIF(M835:AQ835,标准数据!$A$2)*标准数据!$B$2+COUNTIF(M835:AQ835,标准数据!$A$3)*标准数据!$B$3+COUNTIF(M835:AQ835,标准数据!$A$4)*标准数据!$B$4</f>
        <v>0</v>
      </c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192"/>
      <c r="AR835" s="90"/>
      <c r="AS835" s="41"/>
      <c r="AT835" s="41"/>
      <c r="AU835" s="41"/>
      <c r="AV835" s="76" t="str">
        <f>VLOOKUP(E835,[1]生产部!$C:$I,7,0)</f>
        <v>常白</v>
      </c>
      <c r="AW835" s="41" t="str">
        <f>VLOOKUP(E835,[1]生产部!$C:$I,6,0)</f>
        <v>清洗组（11号楼）</v>
      </c>
    </row>
    <row r="836" spans="1:49" ht="21" customHeight="1">
      <c r="A836" s="235" t="s">
        <v>1045</v>
      </c>
      <c r="B836" s="229" t="s">
        <v>2127</v>
      </c>
      <c r="C836" s="47" t="s">
        <v>1881</v>
      </c>
      <c r="D836" s="46" t="s">
        <v>756</v>
      </c>
      <c r="E836" s="52" t="s">
        <v>714</v>
      </c>
      <c r="F836" s="48">
        <v>45966</v>
      </c>
      <c r="G836" s="49">
        <f t="shared" si="12"/>
        <v>0</v>
      </c>
      <c r="H836" s="77">
        <f>SUMIF(积分汇总!$B:$B,D835,积分汇总!$E:$E)</f>
        <v>0</v>
      </c>
      <c r="I836" s="77">
        <f>SUMIF(记录巡查问题条数汇总!$B:$B,D835,记录巡查问题条数汇总!$E:$E)</f>
        <v>0</v>
      </c>
      <c r="J836" s="77"/>
      <c r="K836" s="77">
        <f>SUMIF(安全质量事故!$B:$B,D835,安全质量事故!$G:$G)</f>
        <v>0</v>
      </c>
      <c r="L836" s="72">
        <f>COUNTIF(M836:AQ836,标准数据!$A$2)*标准数据!$B$2+COUNTIF(M836:AQ836,标准数据!$A$3)*标准数据!$B$3+COUNTIF(M836:AQ836,标准数据!$A$4)*标准数据!$B$4</f>
        <v>0</v>
      </c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192"/>
      <c r="AR836" s="90"/>
      <c r="AV836" s="76" t="str">
        <f>VLOOKUP(E836,[1]生产部!$C:$I,7,0)</f>
        <v>常白</v>
      </c>
      <c r="AW836" s="41" t="str">
        <f>VLOOKUP(E836,[1]生产部!$C:$I,6,0)</f>
        <v>清洗组（11号楼）</v>
      </c>
    </row>
    <row r="837" spans="1:49" ht="21" customHeight="1">
      <c r="A837" s="235" t="s">
        <v>1045</v>
      </c>
      <c r="B837" s="229" t="s">
        <v>2126</v>
      </c>
      <c r="C837" s="61" t="s">
        <v>146</v>
      </c>
      <c r="D837" s="46" t="s">
        <v>757</v>
      </c>
      <c r="E837" s="52" t="s">
        <v>715</v>
      </c>
      <c r="F837" s="46">
        <v>45959</v>
      </c>
      <c r="G837" s="49">
        <f t="shared" si="12"/>
        <v>0</v>
      </c>
      <c r="H837" s="77">
        <f>SUMIF(积分汇总!$B:$B,D836,积分汇总!$E:$E)</f>
        <v>0</v>
      </c>
      <c r="I837" s="77">
        <f>SUMIF(记录巡查问题条数汇总!$B:$B,D836,记录巡查问题条数汇总!$E:$E)</f>
        <v>0</v>
      </c>
      <c r="J837" s="77"/>
      <c r="K837" s="77">
        <f>SUMIF(安全质量事故!$B:$B,D836,安全质量事故!$G:$G)</f>
        <v>0</v>
      </c>
      <c r="L837" s="72">
        <f>COUNTIF(M837:AQ837,标准数据!$A$2)*标准数据!$B$2+COUNTIF(M837:AQ837,标准数据!$A$3)*标准数据!$B$3+COUNTIF(M837:AQ837,标准数据!$A$4)*标准数据!$B$4</f>
        <v>0</v>
      </c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192"/>
      <c r="AR837" s="90"/>
      <c r="AV837" s="76" t="str">
        <f>VLOOKUP(E837,[1]生产部!$C:$I,7,0)</f>
        <v>常白</v>
      </c>
      <c r="AW837" s="41" t="str">
        <f>VLOOKUP(E837,[1]生产部!$C:$I,6,0)</f>
        <v>清洗组（4号楼）</v>
      </c>
    </row>
    <row r="838" spans="1:49" ht="21" customHeight="1">
      <c r="A838" s="235" t="s">
        <v>1045</v>
      </c>
      <c r="B838" s="229" t="s">
        <v>2128</v>
      </c>
      <c r="C838" s="47" t="s">
        <v>1881</v>
      </c>
      <c r="D838" s="46" t="s">
        <v>758</v>
      </c>
      <c r="E838" s="52" t="s">
        <v>716</v>
      </c>
      <c r="F838" s="46">
        <v>45966</v>
      </c>
      <c r="G838" s="49">
        <f t="shared" si="12"/>
        <v>0</v>
      </c>
      <c r="H838" s="77">
        <f>SUMIF(积分汇总!$B:$B,D837,积分汇总!$E:$E)</f>
        <v>0</v>
      </c>
      <c r="I838" s="77">
        <f>SUMIF(记录巡查问题条数汇总!$B:$B,D837,记录巡查问题条数汇总!$E:$E)</f>
        <v>0</v>
      </c>
      <c r="J838" s="77"/>
      <c r="K838" s="77">
        <f>SUMIF(安全质量事故!$B:$B,D837,安全质量事故!$G:$G)</f>
        <v>0</v>
      </c>
      <c r="L838" s="72">
        <f>COUNTIF(M838:AQ838,标准数据!$A$2)*标准数据!$B$2+COUNTIF(M838:AQ838,标准数据!$A$3)*标准数据!$B$3+COUNTIF(M838:AQ838,标准数据!$A$4)*标准数据!$B$4</f>
        <v>0</v>
      </c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192"/>
      <c r="AR838" s="90"/>
      <c r="AV838" s="76" t="str">
        <f>VLOOKUP(E838,[1]生产部!$C:$I,7,0)</f>
        <v>常白</v>
      </c>
      <c r="AW838" s="41" t="str">
        <f>VLOOKUP(E838,[1]生产部!$C:$I,6,0)</f>
        <v>清洗组（12号楼）</v>
      </c>
    </row>
    <row r="839" spans="1:49" ht="21" customHeight="1">
      <c r="A839" s="235" t="s">
        <v>1045</v>
      </c>
      <c r="B839" s="229" t="s">
        <v>2128</v>
      </c>
      <c r="C839" s="47" t="s">
        <v>1881</v>
      </c>
      <c r="D839" s="46" t="s">
        <v>759</v>
      </c>
      <c r="E839" s="52" t="s">
        <v>717</v>
      </c>
      <c r="F839" s="46">
        <v>45971</v>
      </c>
      <c r="G839" s="49">
        <f t="shared" si="12"/>
        <v>0</v>
      </c>
      <c r="H839" s="77">
        <f>SUMIF(积分汇总!$B:$B,D838,积分汇总!$E:$E)</f>
        <v>0</v>
      </c>
      <c r="I839" s="77">
        <f>SUMIF(记录巡查问题条数汇总!$B:$B,D838,记录巡查问题条数汇总!$E:$E)</f>
        <v>0</v>
      </c>
      <c r="J839" s="77"/>
      <c r="K839" s="77">
        <f>SUMIF(安全质量事故!$B:$B,D838,安全质量事故!$G:$G)</f>
        <v>0</v>
      </c>
      <c r="L839" s="72">
        <f>COUNTIF(M839:AQ839,标准数据!$A$2)*标准数据!$B$2+COUNTIF(M839:AQ839,标准数据!$A$3)*标准数据!$B$3+COUNTIF(M839:AQ839,标准数据!$A$4)*标准数据!$B$4</f>
        <v>0</v>
      </c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192"/>
      <c r="AR839" s="90"/>
      <c r="AV839" s="76" t="str">
        <f>VLOOKUP(E839,[1]生产部!$C:$I,7,0)</f>
        <v>常白</v>
      </c>
      <c r="AW839" s="41" t="str">
        <f>VLOOKUP(E839,[1]生产部!$C:$I,6,0)</f>
        <v>清洗组（12号楼）</v>
      </c>
    </row>
    <row r="840" spans="1:49" ht="21" customHeight="1">
      <c r="A840" s="235" t="s">
        <v>1045</v>
      </c>
      <c r="B840" s="229" t="s">
        <v>2128</v>
      </c>
      <c r="C840" s="47" t="s">
        <v>1881</v>
      </c>
      <c r="D840" s="46" t="s">
        <v>854</v>
      </c>
      <c r="E840" s="52" t="s">
        <v>813</v>
      </c>
      <c r="F840" s="46">
        <v>44433</v>
      </c>
      <c r="G840" s="49">
        <f t="shared" si="12"/>
        <v>0</v>
      </c>
      <c r="H840" s="77">
        <f>SUMIF(积分汇总!$B:$B,D839,积分汇总!$E:$E)</f>
        <v>0</v>
      </c>
      <c r="I840" s="77">
        <f>SUMIF(记录巡查问题条数汇总!$B:$B,D839,记录巡查问题条数汇总!$E:$E)</f>
        <v>0</v>
      </c>
      <c r="J840" s="77"/>
      <c r="K840" s="77">
        <f>SUMIF(安全质量事故!$B:$B,D839,安全质量事故!$G:$G)</f>
        <v>0</v>
      </c>
      <c r="L840" s="72">
        <f>COUNTIF(M840:AQ840,标准数据!$A$2)*标准数据!$B$2+COUNTIF(M840:AQ840,标准数据!$A$3)*标准数据!$B$3+COUNTIF(M840:AQ840,标准数据!$A$4)*标准数据!$B$4</f>
        <v>0</v>
      </c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192"/>
      <c r="AR840" s="90"/>
      <c r="AV840" s="76" t="str">
        <f>VLOOKUP(E840,[1]生产部!$C:$I,7,0)</f>
        <v>常白</v>
      </c>
      <c r="AW840" s="41" t="str">
        <f>VLOOKUP(E840,[1]生产部!$C:$I,6,0)</f>
        <v>清洗组（12号楼）</v>
      </c>
    </row>
    <row r="841" spans="1:49" ht="21" customHeight="1">
      <c r="A841" s="235" t="s">
        <v>1045</v>
      </c>
      <c r="B841" s="229" t="s">
        <v>2129</v>
      </c>
      <c r="C841" s="61" t="s">
        <v>146</v>
      </c>
      <c r="D841" s="46" t="s">
        <v>2092</v>
      </c>
      <c r="E841" s="52" t="s">
        <v>901</v>
      </c>
      <c r="F841" s="46">
        <v>46029</v>
      </c>
      <c r="G841" s="49">
        <f t="shared" si="12"/>
        <v>0</v>
      </c>
      <c r="H841" s="77">
        <f>SUMIF(积分汇总!$B:$B,D840,积分汇总!$E:$E)</f>
        <v>0</v>
      </c>
      <c r="I841" s="77">
        <f>SUMIF(记录巡查问题条数汇总!$B:$B,D840,记录巡查问题条数汇总!$E:$E)</f>
        <v>0</v>
      </c>
      <c r="J841" s="77"/>
      <c r="K841" s="77">
        <f>SUMIF(安全质量事故!$B:$B,D840,安全质量事故!$G:$G)</f>
        <v>0</v>
      </c>
      <c r="L841" s="72">
        <f>COUNTIF(M841:AQ841,标准数据!$A$2)*标准数据!$B$2+COUNTIF(M841:AQ841,标准数据!$A$3)*标准数据!$B$3+COUNTIF(M841:AQ841,标准数据!$A$4)*标准数据!$B$4</f>
        <v>0</v>
      </c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192"/>
      <c r="AR841" s="90"/>
      <c r="AV841" s="76" t="str">
        <f>VLOOKUP(E841,[1]生产部!$C:$I,7,0)</f>
        <v>常白</v>
      </c>
      <c r="AW841" s="41" t="str">
        <f>VLOOKUP(E841,[1]生产部!$C:$I,6,0)</f>
        <v>清洗组（5号楼）</v>
      </c>
    </row>
    <row r="842" spans="1:49" ht="21" customHeight="1">
      <c r="A842" s="235" t="s">
        <v>1045</v>
      </c>
      <c r="B842" s="229" t="s">
        <v>2130</v>
      </c>
      <c r="C842" s="61" t="s">
        <v>146</v>
      </c>
      <c r="D842" s="86" t="s">
        <v>1382</v>
      </c>
      <c r="E842" s="86" t="s">
        <v>1383</v>
      </c>
      <c r="F842" s="85">
        <v>46139</v>
      </c>
      <c r="G842" s="49">
        <f t="shared" si="12"/>
        <v>0</v>
      </c>
      <c r="H842" s="77">
        <f>SUMIF(积分汇总!$B:$B,D841,积分汇总!$E:$E)</f>
        <v>0</v>
      </c>
      <c r="I842" s="77">
        <f>SUMIF(记录巡查问题条数汇总!$B:$B,D841,记录巡查问题条数汇总!$E:$E)</f>
        <v>0</v>
      </c>
      <c r="J842" s="77"/>
      <c r="K842" s="77">
        <f>SUMIF(安全质量事故!$B:$B,D841,安全质量事故!$G:$G)</f>
        <v>0</v>
      </c>
      <c r="L842" s="72">
        <f>COUNTIF(M842:AQ842,标准数据!$A$2)*标准数据!$B$2+COUNTIF(M842:AQ842,标准数据!$A$3)*标准数据!$B$3+COUNTIF(M842:AQ842,标准数据!$A$4)*标准数据!$B$4</f>
        <v>0</v>
      </c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192"/>
      <c r="AR842" s="90"/>
      <c r="AV842" s="76" t="str">
        <f>VLOOKUP(E842,[1]生产部!$C:$I,7,0)</f>
        <v>常白</v>
      </c>
      <c r="AW842" s="41" t="str">
        <f>VLOOKUP(E842,[1]生产部!$C:$I,6,0)</f>
        <v>清洗组（13号楼）</v>
      </c>
    </row>
    <row r="843" spans="1:49" ht="21" customHeight="1">
      <c r="A843" s="235" t="s">
        <v>1045</v>
      </c>
      <c r="B843" s="229" t="s">
        <v>2130</v>
      </c>
      <c r="C843" s="61" t="s">
        <v>146</v>
      </c>
      <c r="D843" s="86" t="s">
        <v>1384</v>
      </c>
      <c r="E843" s="86" t="s">
        <v>1385</v>
      </c>
      <c r="F843" s="85">
        <v>46139</v>
      </c>
      <c r="G843" s="49">
        <f t="shared" si="12"/>
        <v>0</v>
      </c>
      <c r="H843" s="77">
        <f>SUMIF(积分汇总!$B:$B,D842,积分汇总!$E:$E)</f>
        <v>0</v>
      </c>
      <c r="I843" s="77">
        <f>SUMIF(记录巡查问题条数汇总!$B:$B,D842,记录巡查问题条数汇总!$E:$E)</f>
        <v>0</v>
      </c>
      <c r="J843" s="77"/>
      <c r="K843" s="77">
        <f>SUMIF(安全质量事故!$B:$B,D842,安全质量事故!$G:$G)</f>
        <v>0</v>
      </c>
      <c r="L843" s="72">
        <f>COUNTIF(M843:AQ843,标准数据!$A$2)*标准数据!$B$2+COUNTIF(M843:AQ843,标准数据!$A$3)*标准数据!$B$3+COUNTIF(M843:AQ843,标准数据!$A$4)*标准数据!$B$4</f>
        <v>0</v>
      </c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192"/>
      <c r="AR843" s="90"/>
      <c r="AV843" s="76" t="str">
        <f>VLOOKUP(E843,[1]生产部!$C:$I,7,0)</f>
        <v>常白</v>
      </c>
      <c r="AW843" s="41" t="str">
        <f>VLOOKUP(E843,[1]生产部!$C:$I,6,0)</f>
        <v>清洗组（13号楼）</v>
      </c>
    </row>
    <row r="844" spans="1:49" ht="21" customHeight="1">
      <c r="A844" s="235" t="s">
        <v>1045</v>
      </c>
      <c r="B844" s="229" t="s">
        <v>2130</v>
      </c>
      <c r="C844" s="61" t="s">
        <v>146</v>
      </c>
      <c r="D844" s="27" t="s">
        <v>1561</v>
      </c>
      <c r="E844" s="86" t="s">
        <v>1562</v>
      </c>
      <c r="F844" s="85">
        <v>46155</v>
      </c>
      <c r="G844" s="49">
        <f t="shared" si="12"/>
        <v>0</v>
      </c>
      <c r="H844" s="77">
        <f>SUMIF(积分汇总!$B:$B,D843,积分汇总!$E:$E)</f>
        <v>0</v>
      </c>
      <c r="I844" s="77">
        <f>SUMIF(记录巡查问题条数汇总!$B:$B,D843,记录巡查问题条数汇总!$E:$E)</f>
        <v>0</v>
      </c>
      <c r="J844" s="77"/>
      <c r="K844" s="77">
        <f>SUMIF(安全质量事故!$B:$B,D843,安全质量事故!$G:$G)</f>
        <v>0</v>
      </c>
      <c r="L844" s="72">
        <f>COUNTIF(M844:AQ844,标准数据!$A$2)*标准数据!$B$2+COUNTIF(M844:AQ844,标准数据!$A$3)*标准数据!$B$3+COUNTIF(M844:AQ844,标准数据!$A$4)*标准数据!$B$4</f>
        <v>0</v>
      </c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192"/>
      <c r="AR844" s="90"/>
      <c r="AV844" s="76" t="str">
        <f>VLOOKUP(E844,[1]生产部!$C:$I,7,0)</f>
        <v>常白</v>
      </c>
      <c r="AW844" s="41" t="str">
        <f>VLOOKUP(E844,[1]生产部!$C:$I,6,0)</f>
        <v>清洗组（13号楼）</v>
      </c>
    </row>
    <row r="845" spans="1:49" ht="21" customHeight="1">
      <c r="A845" s="235" t="s">
        <v>1045</v>
      </c>
      <c r="B845" s="229" t="s">
        <v>2128</v>
      </c>
      <c r="C845" s="47" t="s">
        <v>1881</v>
      </c>
      <c r="D845" s="86" t="s">
        <v>1550</v>
      </c>
      <c r="E845" s="86" t="s">
        <v>1551</v>
      </c>
      <c r="F845" s="85">
        <v>46181</v>
      </c>
      <c r="G845" s="49">
        <f t="shared" si="12"/>
        <v>0</v>
      </c>
      <c r="H845" s="77">
        <f>SUMIF(积分汇总!$B:$B,D844,积分汇总!$E:$E)</f>
        <v>0</v>
      </c>
      <c r="I845" s="77">
        <f>SUMIF(记录巡查问题条数汇总!$B:$B,D844,记录巡查问题条数汇总!$E:$E)</f>
        <v>0</v>
      </c>
      <c r="J845" s="77"/>
      <c r="K845" s="77">
        <f>SUMIF(安全质量事故!$B:$B,D844,安全质量事故!$G:$G)</f>
        <v>0</v>
      </c>
      <c r="L845" s="72">
        <f>COUNTIF(M845:AQ845,标准数据!$A$2)*标准数据!$B$2+COUNTIF(M845:AQ845,标准数据!$A$3)*标准数据!$B$3+COUNTIF(M845:AQ845,标准数据!$A$4)*标准数据!$B$4</f>
        <v>0</v>
      </c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192"/>
      <c r="AR845" s="90"/>
      <c r="AV845" s="76" t="str">
        <f>VLOOKUP(E845,[1]生产部!$C:$I,7,0)</f>
        <v>常白</v>
      </c>
      <c r="AW845" s="41" t="str">
        <f>VLOOKUP(E845,[1]生产部!$C:$I,6,0)</f>
        <v>清洗组（12号楼）</v>
      </c>
    </row>
    <row r="846" spans="1:49" ht="21" customHeight="1">
      <c r="A846" s="235" t="s">
        <v>1045</v>
      </c>
      <c r="B846" s="229" t="s">
        <v>2130</v>
      </c>
      <c r="C846" s="61" t="s">
        <v>146</v>
      </c>
      <c r="D846" s="27" t="s">
        <v>1877</v>
      </c>
      <c r="E846" s="86" t="s">
        <v>1878</v>
      </c>
      <c r="F846" s="85">
        <v>46197</v>
      </c>
      <c r="G846" s="49">
        <f t="shared" si="12"/>
        <v>0</v>
      </c>
      <c r="H846" s="77">
        <f>SUMIF(积分汇总!$B:$B,D845,积分汇总!$E:$E)</f>
        <v>0</v>
      </c>
      <c r="I846" s="77">
        <f>SUMIF(记录巡查问题条数汇总!$B:$B,D845,记录巡查问题条数汇总!$E:$E)</f>
        <v>0</v>
      </c>
      <c r="J846" s="77"/>
      <c r="K846" s="77">
        <f>SUMIF(安全质量事故!$B:$B,D845,安全质量事故!$G:$G)</f>
        <v>0</v>
      </c>
      <c r="L846" s="72">
        <f>COUNTIF(M846:AQ846,标准数据!$A$2)*标准数据!$B$2+COUNTIF(M846:AQ846,标准数据!$A$3)*标准数据!$B$3+COUNTIF(M846:AQ846,标准数据!$A$4)*标准数据!$B$4</f>
        <v>0</v>
      </c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192"/>
      <c r="AR846" s="90"/>
      <c r="AV846" s="76" t="str">
        <f>VLOOKUP(E846,[1]生产部!$C:$I,7,0)</f>
        <v>常白</v>
      </c>
      <c r="AW846" s="41" t="str">
        <f>VLOOKUP(E846,[1]生产部!$C:$I,6,0)</f>
        <v>清洗组（13号楼）</v>
      </c>
    </row>
    <row r="847" spans="1:49" ht="21" customHeight="1">
      <c r="A847" s="235" t="s">
        <v>1045</v>
      </c>
      <c r="B847" s="229" t="s">
        <v>2130</v>
      </c>
      <c r="C847" s="47" t="s">
        <v>1881</v>
      </c>
      <c r="D847" s="86" t="s">
        <v>1879</v>
      </c>
      <c r="E847" s="86" t="s">
        <v>1880</v>
      </c>
      <c r="F847" s="85">
        <v>46204</v>
      </c>
      <c r="G847" s="49">
        <f t="shared" si="12"/>
        <v>0</v>
      </c>
      <c r="H847" s="77">
        <f>SUMIF(积分汇总!$B:$B,D846,积分汇总!$E:$E)</f>
        <v>0</v>
      </c>
      <c r="I847" s="77">
        <f>SUMIF(记录巡查问题条数汇总!$B:$B,D846,记录巡查问题条数汇总!$E:$E)</f>
        <v>0</v>
      </c>
      <c r="J847" s="77"/>
      <c r="K847" s="77">
        <f>SUMIF(安全质量事故!$B:$B,D846,安全质量事故!$G:$G)</f>
        <v>0</v>
      </c>
      <c r="L847" s="72">
        <f>COUNTIF(M847:AQ847,标准数据!$A$2)*标准数据!$B$2+COUNTIF(M847:AQ847,标准数据!$A$3)*标准数据!$B$3+COUNTIF(M847:AQ847,标准数据!$A$4)*标准数据!$B$4</f>
        <v>0</v>
      </c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192"/>
      <c r="AR847" s="90"/>
      <c r="AV847" s="76" t="str">
        <f>VLOOKUP(E847,[1]生产部!$C:$I,7,0)</f>
        <v>常白</v>
      </c>
      <c r="AW847" s="41" t="str">
        <f>VLOOKUP(E847,[1]生产部!$C:$I,6,0)</f>
        <v>清洗组（13号楼）</v>
      </c>
    </row>
    <row r="848" spans="1:49" ht="21" customHeight="1">
      <c r="A848" s="235" t="s">
        <v>1045</v>
      </c>
      <c r="B848" s="229" t="s">
        <v>2128</v>
      </c>
      <c r="C848" s="47" t="s">
        <v>1881</v>
      </c>
      <c r="D848" s="27" t="s">
        <v>1726</v>
      </c>
      <c r="E848" s="86" t="s">
        <v>1727</v>
      </c>
      <c r="F848" s="85">
        <v>46204</v>
      </c>
      <c r="G848" s="49">
        <f t="shared" si="12"/>
        <v>0</v>
      </c>
      <c r="H848" s="77">
        <f>SUMIF(积分汇总!$B:$B,D847,积分汇总!$E:$E)</f>
        <v>0</v>
      </c>
      <c r="I848" s="77">
        <f>SUMIF(记录巡查问题条数汇总!$B:$B,D847,记录巡查问题条数汇总!$E:$E)</f>
        <v>0</v>
      </c>
      <c r="J848" s="77"/>
      <c r="K848" s="77">
        <f>SUMIF(安全质量事故!$B:$B,D847,安全质量事故!$G:$G)</f>
        <v>0</v>
      </c>
      <c r="L848" s="72">
        <f>COUNTIF(M848:AQ848,标准数据!$A$2)*标准数据!$B$2+COUNTIF(M848:AQ848,标准数据!$A$3)*标准数据!$B$3+COUNTIF(M848:AQ848,标准数据!$A$4)*标准数据!$B$4</f>
        <v>0</v>
      </c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192"/>
      <c r="AR848" s="90"/>
      <c r="AV848" s="76" t="str">
        <f>VLOOKUP(E848,[1]生产部!$C:$I,7,0)</f>
        <v>常白</v>
      </c>
      <c r="AW848" s="41" t="str">
        <f>VLOOKUP(E848,[1]生产部!$C:$I,6,0)</f>
        <v>清洗组（12号楼）</v>
      </c>
    </row>
    <row r="849" spans="5:8" ht="21" customHeight="1">
      <c r="E849" s="87"/>
      <c r="F849" s="62"/>
      <c r="G849" s="94">
        <f>SUM(G4:K848)</f>
        <v>0</v>
      </c>
      <c r="H849" s="95">
        <f>SUM(H18:H848)</f>
        <v>0</v>
      </c>
    </row>
  </sheetData>
  <sheetProtection formatCells="0" insertHyperlinks="0" autoFilter="0"/>
  <autoFilter ref="A2:AW849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4" showButton="0"/>
    <filterColumn colId="45" showButton="0"/>
  </autoFilter>
  <mergeCells count="23">
    <mergeCell ref="H2:H3"/>
    <mergeCell ref="C2:C3"/>
    <mergeCell ref="D2:D3"/>
    <mergeCell ref="E2:E3"/>
    <mergeCell ref="F2:F3"/>
    <mergeCell ref="G2:G3"/>
    <mergeCell ref="AS458:AU458"/>
    <mergeCell ref="I2:I3"/>
    <mergeCell ref="J2:J3"/>
    <mergeCell ref="K2:K3"/>
    <mergeCell ref="L2:L3"/>
    <mergeCell ref="M2:AQ2"/>
    <mergeCell ref="AS2:AU2"/>
    <mergeCell ref="AS93:AU93"/>
    <mergeCell ref="AS187:AU187"/>
    <mergeCell ref="AS203:AU203"/>
    <mergeCell ref="AS286:AU286"/>
    <mergeCell ref="AS383:AU383"/>
    <mergeCell ref="AS679:AU679"/>
    <mergeCell ref="AS790:AU790"/>
    <mergeCell ref="AS798:AU798"/>
    <mergeCell ref="AS811:AU811"/>
    <mergeCell ref="AS827:AU827"/>
  </mergeCells>
  <phoneticPr fontId="9" type="noConversion"/>
  <conditionalFormatting sqref="M3:AR3">
    <cfRule type="expression" dxfId="1485" priority="1318" stopIfTrue="1">
      <formula>OR(WEEKDAY(M3)=1,WEEKDAY(M3)=7)</formula>
    </cfRule>
  </conditionalFormatting>
  <conditionalFormatting sqref="E799">
    <cfRule type="duplicateValues" dxfId="1484" priority="1317"/>
  </conditionalFormatting>
  <conditionalFormatting sqref="E83:E89 E91">
    <cfRule type="duplicateValues" dxfId="1483" priority="1316"/>
  </conditionalFormatting>
  <conditionalFormatting sqref="E182:E183">
    <cfRule type="duplicateValues" dxfId="1482" priority="1315"/>
  </conditionalFormatting>
  <conditionalFormatting sqref="E516">
    <cfRule type="duplicateValues" dxfId="1481" priority="1314"/>
  </conditionalFormatting>
  <conditionalFormatting sqref="E457">
    <cfRule type="duplicateValues" dxfId="1480" priority="1313"/>
  </conditionalFormatting>
  <conditionalFormatting sqref="E821">
    <cfRule type="duplicateValues" dxfId="1479" priority="1312"/>
  </conditionalFormatting>
  <conditionalFormatting sqref="E184">
    <cfRule type="duplicateValues" dxfId="1478" priority="1311"/>
  </conditionalFormatting>
  <conditionalFormatting sqref="E283">
    <cfRule type="duplicateValues" dxfId="1477" priority="1309"/>
  </conditionalFormatting>
  <conditionalFormatting sqref="E282">
    <cfRule type="duplicateValues" dxfId="1476" priority="1310"/>
  </conditionalFormatting>
  <conditionalFormatting sqref="E260">
    <cfRule type="duplicateValues" dxfId="1475" priority="1307"/>
  </conditionalFormatting>
  <conditionalFormatting sqref="E258">
    <cfRule type="duplicateValues" dxfId="1474" priority="1308"/>
  </conditionalFormatting>
  <conditionalFormatting sqref="E259">
    <cfRule type="duplicateValues" dxfId="1473" priority="1306"/>
  </conditionalFormatting>
  <conditionalFormatting sqref="E381">
    <cfRule type="duplicateValues" dxfId="1472" priority="1305"/>
  </conditionalFormatting>
  <conditionalFormatting sqref="E380">
    <cfRule type="duplicateValues" dxfId="1471" priority="1304"/>
  </conditionalFormatting>
  <conditionalFormatting sqref="E620">
    <cfRule type="duplicateValues" dxfId="1470" priority="1303"/>
  </conditionalFormatting>
  <conditionalFormatting sqref="E620">
    <cfRule type="duplicateValues" dxfId="1469" priority="1302"/>
  </conditionalFormatting>
  <conditionalFormatting sqref="E668">
    <cfRule type="duplicateValues" dxfId="1468" priority="1301"/>
  </conditionalFormatting>
  <conditionalFormatting sqref="E90">
    <cfRule type="duplicateValues" dxfId="1467" priority="1300"/>
  </conditionalFormatting>
  <conditionalFormatting sqref="E685">
    <cfRule type="duplicateValues" dxfId="1466" priority="1299"/>
  </conditionalFormatting>
  <conditionalFormatting sqref="E757">
    <cfRule type="duplicateValues" dxfId="1465" priority="1298"/>
  </conditionalFormatting>
  <conditionalFormatting sqref="E840:E841">
    <cfRule type="duplicateValues" dxfId="1464" priority="1297"/>
  </conditionalFormatting>
  <conditionalFormatting sqref="E803">
    <cfRule type="duplicateValues" dxfId="1463" priority="1319"/>
  </conditionalFormatting>
  <conditionalFormatting sqref="E704">
    <cfRule type="duplicateValues" dxfId="1462" priority="1296"/>
  </conditionalFormatting>
  <conditionalFormatting sqref="E705">
    <cfRule type="duplicateValues" dxfId="1461" priority="1295"/>
  </conditionalFormatting>
  <conditionalFormatting sqref="E473">
    <cfRule type="duplicateValues" dxfId="1460" priority="1292"/>
  </conditionalFormatting>
  <conditionalFormatting sqref="E472:E473">
    <cfRule type="duplicateValues" dxfId="1459" priority="1290"/>
    <cfRule type="duplicateValues" dxfId="1458" priority="1291"/>
  </conditionalFormatting>
  <conditionalFormatting sqref="E472">
    <cfRule type="duplicateValues" dxfId="1457" priority="1293"/>
  </conditionalFormatting>
  <conditionalFormatting sqref="E472:E473">
    <cfRule type="duplicateValues" dxfId="1456" priority="1294"/>
  </conditionalFormatting>
  <conditionalFormatting sqref="E517">
    <cfRule type="duplicateValues" dxfId="1455" priority="1288"/>
  </conditionalFormatting>
  <conditionalFormatting sqref="E517">
    <cfRule type="duplicateValues" dxfId="1454" priority="1286"/>
    <cfRule type="duplicateValues" dxfId="1453" priority="1287"/>
  </conditionalFormatting>
  <conditionalFormatting sqref="E517">
    <cfRule type="duplicateValues" dxfId="1452" priority="1289"/>
  </conditionalFormatting>
  <conditionalFormatting sqref="E518:E519">
    <cfRule type="duplicateValues" dxfId="1451" priority="1282"/>
    <cfRule type="duplicateValues" dxfId="1450" priority="1283"/>
  </conditionalFormatting>
  <conditionalFormatting sqref="E518:E519">
    <cfRule type="duplicateValues" dxfId="1449" priority="1284"/>
  </conditionalFormatting>
  <conditionalFormatting sqref="E518:E519">
    <cfRule type="duplicateValues" dxfId="1448" priority="1285"/>
  </conditionalFormatting>
  <conditionalFormatting sqref="E521">
    <cfRule type="duplicateValues" dxfId="1447" priority="1280"/>
  </conditionalFormatting>
  <conditionalFormatting sqref="E521">
    <cfRule type="duplicateValues" dxfId="1446" priority="1278"/>
    <cfRule type="duplicateValues" dxfId="1445" priority="1279"/>
  </conditionalFormatting>
  <conditionalFormatting sqref="E521">
    <cfRule type="duplicateValues" dxfId="1444" priority="1281"/>
  </conditionalFormatting>
  <conditionalFormatting sqref="E654">
    <cfRule type="duplicateValues" dxfId="1443" priority="1274"/>
    <cfRule type="duplicateValues" dxfId="1442" priority="1275"/>
  </conditionalFormatting>
  <conditionalFormatting sqref="E654">
    <cfRule type="duplicateValues" dxfId="1441" priority="1276"/>
  </conditionalFormatting>
  <conditionalFormatting sqref="E654">
    <cfRule type="duplicateValues" dxfId="1440" priority="1277"/>
  </conditionalFormatting>
  <conditionalFormatting sqref="E663">
    <cfRule type="duplicateValues" dxfId="1439" priority="1270"/>
    <cfRule type="duplicateValues" dxfId="1438" priority="1271"/>
  </conditionalFormatting>
  <conditionalFormatting sqref="E663">
    <cfRule type="duplicateValues" dxfId="1437" priority="1272"/>
  </conditionalFormatting>
  <conditionalFormatting sqref="E663">
    <cfRule type="duplicateValues" dxfId="1436" priority="1273"/>
  </conditionalFormatting>
  <conditionalFormatting sqref="E667">
    <cfRule type="duplicateValues" dxfId="1435" priority="1266"/>
    <cfRule type="duplicateValues" dxfId="1434" priority="1267"/>
  </conditionalFormatting>
  <conditionalFormatting sqref="E667">
    <cfRule type="duplicateValues" dxfId="1433" priority="1268"/>
  </conditionalFormatting>
  <conditionalFormatting sqref="E667">
    <cfRule type="duplicateValues" dxfId="1432" priority="1269"/>
  </conditionalFormatting>
  <conditionalFormatting sqref="E664">
    <cfRule type="duplicateValues" dxfId="1431" priority="1320"/>
    <cfRule type="duplicateValues" dxfId="1430" priority="1321"/>
  </conditionalFormatting>
  <conditionalFormatting sqref="E664">
    <cfRule type="duplicateValues" dxfId="1429" priority="1322"/>
  </conditionalFormatting>
  <conditionalFormatting sqref="E793">
    <cfRule type="duplicateValues" dxfId="1428" priority="1262"/>
  </conditionalFormatting>
  <conditionalFormatting sqref="E793">
    <cfRule type="duplicateValues" dxfId="1427" priority="1263"/>
    <cfRule type="duplicateValues" dxfId="1426" priority="1264"/>
  </conditionalFormatting>
  <conditionalFormatting sqref="E793">
    <cfRule type="duplicateValues" dxfId="1425" priority="1265"/>
  </conditionalFormatting>
  <conditionalFormatting sqref="E793">
    <cfRule type="duplicateValues" dxfId="1424" priority="1261"/>
  </conditionalFormatting>
  <conditionalFormatting sqref="E759">
    <cfRule type="duplicateValues" dxfId="1423" priority="1256"/>
  </conditionalFormatting>
  <conditionalFormatting sqref="E759">
    <cfRule type="duplicateValues" dxfId="1422" priority="1257"/>
  </conditionalFormatting>
  <conditionalFormatting sqref="E759">
    <cfRule type="duplicateValues" dxfId="1421" priority="1258"/>
    <cfRule type="duplicateValues" dxfId="1420" priority="1259"/>
  </conditionalFormatting>
  <conditionalFormatting sqref="E759">
    <cfRule type="duplicateValues" dxfId="1419" priority="1260"/>
  </conditionalFormatting>
  <conditionalFormatting sqref="E204">
    <cfRule type="duplicateValues" dxfId="1418" priority="1253"/>
  </conditionalFormatting>
  <conditionalFormatting sqref="E204">
    <cfRule type="duplicateValues" dxfId="1417" priority="1254"/>
    <cfRule type="duplicateValues" dxfId="1416" priority="1255"/>
  </conditionalFormatting>
  <conditionalFormatting sqref="E222:E225">
    <cfRule type="duplicateValues" dxfId="1415" priority="1252"/>
  </conditionalFormatting>
  <conditionalFormatting sqref="E229">
    <cfRule type="duplicateValues" dxfId="1414" priority="1250"/>
  </conditionalFormatting>
  <conditionalFormatting sqref="E229">
    <cfRule type="duplicateValues" dxfId="1413" priority="1248"/>
    <cfRule type="duplicateValues" dxfId="1412" priority="1249"/>
  </conditionalFormatting>
  <conditionalFormatting sqref="E229">
    <cfRule type="duplicateValues" dxfId="1411" priority="1251"/>
  </conditionalFormatting>
  <conditionalFormatting sqref="E229">
    <cfRule type="duplicateValues" dxfId="1410" priority="1247"/>
  </conditionalFormatting>
  <conditionalFormatting sqref="E253 E235:E237 E250">
    <cfRule type="duplicateValues" dxfId="1409" priority="1242"/>
  </conditionalFormatting>
  <conditionalFormatting sqref="E250 E235:E237">
    <cfRule type="duplicateValues" dxfId="1408" priority="1243"/>
  </conditionalFormatting>
  <conditionalFormatting sqref="E253 E235:E237 E250">
    <cfRule type="duplicateValues" dxfId="1407" priority="1244"/>
    <cfRule type="duplicateValues" dxfId="1406" priority="1245"/>
  </conditionalFormatting>
  <conditionalFormatting sqref="E235:E237">
    <cfRule type="duplicateValues" dxfId="1405" priority="1246"/>
  </conditionalFormatting>
  <conditionalFormatting sqref="E254">
    <cfRule type="duplicateValues" dxfId="1404" priority="1240"/>
  </conditionalFormatting>
  <conditionalFormatting sqref="E254">
    <cfRule type="duplicateValues" dxfId="1403" priority="1238"/>
    <cfRule type="duplicateValues" dxfId="1402" priority="1239"/>
  </conditionalFormatting>
  <conditionalFormatting sqref="E254">
    <cfRule type="duplicateValues" dxfId="1401" priority="1241"/>
  </conditionalFormatting>
  <conditionalFormatting sqref="E254">
    <cfRule type="duplicateValues" dxfId="1400" priority="1237"/>
  </conditionalFormatting>
  <conditionalFormatting sqref="E544">
    <cfRule type="duplicateValues" dxfId="1399" priority="1236"/>
  </conditionalFormatting>
  <conditionalFormatting sqref="E849">
    <cfRule type="duplicateValues" dxfId="1398" priority="1232"/>
  </conditionalFormatting>
  <conditionalFormatting sqref="E849">
    <cfRule type="duplicateValues" dxfId="1397" priority="1231"/>
  </conditionalFormatting>
  <conditionalFormatting sqref="E849">
    <cfRule type="duplicateValues" dxfId="1396" priority="1233"/>
    <cfRule type="duplicateValues" dxfId="1395" priority="1234"/>
  </conditionalFormatting>
  <conditionalFormatting sqref="E849">
    <cfRule type="duplicateValues" dxfId="1394" priority="1235"/>
  </conditionalFormatting>
  <conditionalFormatting sqref="E843">
    <cfRule type="duplicateValues" dxfId="1393" priority="1227"/>
  </conditionalFormatting>
  <conditionalFormatting sqref="E843">
    <cfRule type="duplicateValues" dxfId="1392" priority="1226"/>
  </conditionalFormatting>
  <conditionalFormatting sqref="E843">
    <cfRule type="duplicateValues" dxfId="1391" priority="1228"/>
    <cfRule type="duplicateValues" dxfId="1390" priority="1229"/>
  </conditionalFormatting>
  <conditionalFormatting sqref="E843">
    <cfRule type="duplicateValues" dxfId="1389" priority="1230"/>
  </conditionalFormatting>
  <conditionalFormatting sqref="E842">
    <cfRule type="duplicateValues" dxfId="1388" priority="1222"/>
  </conditionalFormatting>
  <conditionalFormatting sqref="E842">
    <cfRule type="duplicateValues" dxfId="1387" priority="1221"/>
  </conditionalFormatting>
  <conditionalFormatting sqref="E842">
    <cfRule type="duplicateValues" dxfId="1386" priority="1223"/>
    <cfRule type="duplicateValues" dxfId="1385" priority="1224"/>
  </conditionalFormatting>
  <conditionalFormatting sqref="E842">
    <cfRule type="duplicateValues" dxfId="1384" priority="1225"/>
  </conditionalFormatting>
  <conditionalFormatting sqref="E738">
    <cfRule type="duplicateValues" dxfId="1383" priority="1216"/>
  </conditionalFormatting>
  <conditionalFormatting sqref="E737:E739">
    <cfRule type="duplicateValues" dxfId="1382" priority="1215"/>
  </conditionalFormatting>
  <conditionalFormatting sqref="E739 E737">
    <cfRule type="duplicateValues" dxfId="1381" priority="1217"/>
  </conditionalFormatting>
  <conditionalFormatting sqref="E737:E739">
    <cfRule type="duplicateValues" dxfId="1380" priority="1218"/>
    <cfRule type="duplicateValues" dxfId="1379" priority="1219"/>
  </conditionalFormatting>
  <conditionalFormatting sqref="E737:E739">
    <cfRule type="duplicateValues" dxfId="1378" priority="1220"/>
  </conditionalFormatting>
  <conditionalFormatting sqref="E753">
    <cfRule type="duplicateValues" dxfId="1377" priority="1210"/>
  </conditionalFormatting>
  <conditionalFormatting sqref="E753:E754">
    <cfRule type="duplicateValues" dxfId="1376" priority="1209"/>
  </conditionalFormatting>
  <conditionalFormatting sqref="E753:E754">
    <cfRule type="duplicateValues" dxfId="1375" priority="1211"/>
  </conditionalFormatting>
  <conditionalFormatting sqref="E753:E754">
    <cfRule type="duplicateValues" dxfId="1374" priority="1212"/>
    <cfRule type="duplicateValues" dxfId="1373" priority="1213"/>
  </conditionalFormatting>
  <conditionalFormatting sqref="E753:E754">
    <cfRule type="duplicateValues" dxfId="1372" priority="1214"/>
  </conditionalFormatting>
  <conditionalFormatting sqref="E755">
    <cfRule type="duplicateValues" dxfId="1371" priority="1204"/>
  </conditionalFormatting>
  <conditionalFormatting sqref="E755">
    <cfRule type="duplicateValues" dxfId="1370" priority="1205"/>
  </conditionalFormatting>
  <conditionalFormatting sqref="E755">
    <cfRule type="duplicateValues" dxfId="1369" priority="1206"/>
    <cfRule type="duplicateValues" dxfId="1368" priority="1207"/>
  </conditionalFormatting>
  <conditionalFormatting sqref="E755">
    <cfRule type="duplicateValues" dxfId="1367" priority="1208"/>
  </conditionalFormatting>
  <conditionalFormatting sqref="E179">
    <cfRule type="duplicateValues" dxfId="1366" priority="1199"/>
  </conditionalFormatting>
  <conditionalFormatting sqref="E179">
    <cfRule type="duplicateValues" dxfId="1365" priority="1200"/>
  </conditionalFormatting>
  <conditionalFormatting sqref="E179">
    <cfRule type="duplicateValues" dxfId="1364" priority="1201"/>
    <cfRule type="duplicateValues" dxfId="1363" priority="1202"/>
  </conditionalFormatting>
  <conditionalFormatting sqref="E179">
    <cfRule type="duplicateValues" dxfId="1362" priority="1203"/>
  </conditionalFormatting>
  <conditionalFormatting sqref="E10">
    <cfRule type="duplicateValues" dxfId="1361" priority="1194"/>
  </conditionalFormatting>
  <conditionalFormatting sqref="E10">
    <cfRule type="duplicateValues" dxfId="1360" priority="1195"/>
  </conditionalFormatting>
  <conditionalFormatting sqref="E10">
    <cfRule type="duplicateValues" dxfId="1359" priority="1196"/>
    <cfRule type="duplicateValues" dxfId="1358" priority="1197"/>
  </conditionalFormatting>
  <conditionalFormatting sqref="E10">
    <cfRule type="duplicateValues" dxfId="1357" priority="1198"/>
  </conditionalFormatting>
  <conditionalFormatting sqref="E450">
    <cfRule type="duplicateValues" dxfId="1356" priority="1193"/>
  </conditionalFormatting>
  <conditionalFormatting sqref="E746">
    <cfRule type="duplicateValues" dxfId="1355" priority="1188"/>
  </conditionalFormatting>
  <conditionalFormatting sqref="E745:E747">
    <cfRule type="duplicateValues" dxfId="1354" priority="1187"/>
  </conditionalFormatting>
  <conditionalFormatting sqref="E747 E745">
    <cfRule type="duplicateValues" dxfId="1353" priority="1189"/>
  </conditionalFormatting>
  <conditionalFormatting sqref="E745:E747">
    <cfRule type="duplicateValues" dxfId="1352" priority="1190"/>
    <cfRule type="duplicateValues" dxfId="1351" priority="1191"/>
  </conditionalFormatting>
  <conditionalFormatting sqref="E746:E747">
    <cfRule type="duplicateValues" dxfId="1350" priority="1192"/>
  </conditionalFormatting>
  <conditionalFormatting sqref="E743">
    <cfRule type="duplicateValues" dxfId="1349" priority="1182"/>
  </conditionalFormatting>
  <conditionalFormatting sqref="E742:E744">
    <cfRule type="duplicateValues" dxfId="1348" priority="1181"/>
  </conditionalFormatting>
  <conditionalFormatting sqref="E744 E742">
    <cfRule type="duplicateValues" dxfId="1347" priority="1183"/>
  </conditionalFormatting>
  <conditionalFormatting sqref="E742:E744">
    <cfRule type="duplicateValues" dxfId="1346" priority="1184"/>
    <cfRule type="duplicateValues" dxfId="1345" priority="1185"/>
  </conditionalFormatting>
  <conditionalFormatting sqref="E742:E744">
    <cfRule type="duplicateValues" dxfId="1344" priority="1186"/>
  </conditionalFormatting>
  <conditionalFormatting sqref="E706">
    <cfRule type="duplicateValues" dxfId="1343" priority="1177"/>
  </conditionalFormatting>
  <conditionalFormatting sqref="E706">
    <cfRule type="duplicateValues" dxfId="1342" priority="1176"/>
  </conditionalFormatting>
  <conditionalFormatting sqref="E706">
    <cfRule type="duplicateValues" dxfId="1341" priority="1178"/>
    <cfRule type="duplicateValues" dxfId="1340" priority="1179"/>
  </conditionalFormatting>
  <conditionalFormatting sqref="E706">
    <cfRule type="duplicateValues" dxfId="1339" priority="1180"/>
  </conditionalFormatting>
  <conditionalFormatting sqref="E348">
    <cfRule type="duplicateValues" dxfId="1338" priority="1175"/>
  </conditionalFormatting>
  <conditionalFormatting sqref="E154">
    <cfRule type="duplicateValues" dxfId="1337" priority="1170"/>
  </conditionalFormatting>
  <conditionalFormatting sqref="E154">
    <cfRule type="duplicateValues" dxfId="1336" priority="1171"/>
  </conditionalFormatting>
  <conditionalFormatting sqref="E154">
    <cfRule type="duplicateValues" dxfId="1335" priority="1172"/>
    <cfRule type="duplicateValues" dxfId="1334" priority="1173"/>
  </conditionalFormatting>
  <conditionalFormatting sqref="E154">
    <cfRule type="duplicateValues" dxfId="1333" priority="1174"/>
  </conditionalFormatting>
  <conditionalFormatting sqref="E155">
    <cfRule type="duplicateValues" dxfId="1332" priority="1165"/>
  </conditionalFormatting>
  <conditionalFormatting sqref="E155">
    <cfRule type="duplicateValues" dxfId="1331" priority="1166"/>
  </conditionalFormatting>
  <conditionalFormatting sqref="E155">
    <cfRule type="duplicateValues" dxfId="1330" priority="1167"/>
    <cfRule type="duplicateValues" dxfId="1329" priority="1168"/>
  </conditionalFormatting>
  <conditionalFormatting sqref="E155">
    <cfRule type="duplicateValues" dxfId="1328" priority="1169"/>
  </conditionalFormatting>
  <conditionalFormatting sqref="E268:E272">
    <cfRule type="duplicateValues" dxfId="1327" priority="1323"/>
  </conditionalFormatting>
  <conditionalFormatting sqref="E42:E44">
    <cfRule type="duplicateValues" dxfId="1326" priority="1324"/>
  </conditionalFormatting>
  <conditionalFormatting sqref="E178">
    <cfRule type="duplicateValues" dxfId="1325" priority="1325"/>
  </conditionalFormatting>
  <conditionalFormatting sqref="E230:E232">
    <cfRule type="duplicateValues" dxfId="1324" priority="1160"/>
  </conditionalFormatting>
  <conditionalFormatting sqref="E230:E232">
    <cfRule type="duplicateValues" dxfId="1323" priority="1161"/>
  </conditionalFormatting>
  <conditionalFormatting sqref="E230:E232">
    <cfRule type="duplicateValues" dxfId="1322" priority="1162"/>
    <cfRule type="duplicateValues" dxfId="1321" priority="1163"/>
  </conditionalFormatting>
  <conditionalFormatting sqref="E230:E232">
    <cfRule type="duplicateValues" dxfId="1320" priority="1164"/>
  </conditionalFormatting>
  <conditionalFormatting sqref="E785">
    <cfRule type="duplicateValues" dxfId="1319" priority="1156"/>
    <cfRule type="duplicateValues" dxfId="1318" priority="1157"/>
  </conditionalFormatting>
  <conditionalFormatting sqref="E785">
    <cfRule type="duplicateValues" dxfId="1317" priority="1158"/>
  </conditionalFormatting>
  <conditionalFormatting sqref="E785">
    <cfRule type="duplicateValues" dxfId="1316" priority="1159"/>
  </conditionalFormatting>
  <conditionalFormatting sqref="E785">
    <cfRule type="duplicateValues" dxfId="1315" priority="1155"/>
  </conditionalFormatting>
  <conditionalFormatting sqref="E654">
    <cfRule type="duplicateValues" dxfId="1314" priority="1326"/>
    <cfRule type="duplicateValues" dxfId="1313" priority="1327"/>
  </conditionalFormatting>
  <conditionalFormatting sqref="E654">
    <cfRule type="duplicateValues" dxfId="1312" priority="1328"/>
  </conditionalFormatting>
  <conditionalFormatting sqref="E770">
    <cfRule type="duplicateValues" dxfId="1311" priority="1151"/>
  </conditionalFormatting>
  <conditionalFormatting sqref="E771">
    <cfRule type="duplicateValues" dxfId="1310" priority="1150"/>
  </conditionalFormatting>
  <conditionalFormatting sqref="E770:E771 E760 E768">
    <cfRule type="duplicateValues" dxfId="1309" priority="1149"/>
  </conditionalFormatting>
  <conditionalFormatting sqref="E770:E771 E760 E768">
    <cfRule type="duplicateValues" dxfId="1308" priority="1152"/>
    <cfRule type="duplicateValues" dxfId="1307" priority="1153"/>
  </conditionalFormatting>
  <conditionalFormatting sqref="E760">
    <cfRule type="duplicateValues" dxfId="1306" priority="1154"/>
  </conditionalFormatting>
  <conditionalFormatting sqref="E599:E602 E537:E538">
    <cfRule type="duplicateValues" dxfId="1305" priority="1329"/>
  </conditionalFormatting>
  <conditionalFormatting sqref="E599:E602 E537:E538">
    <cfRule type="duplicateValues" dxfId="1304" priority="1330"/>
    <cfRule type="duplicateValues" dxfId="1303" priority="1331"/>
  </conditionalFormatting>
  <conditionalFormatting sqref="E599:E602">
    <cfRule type="duplicateValues" dxfId="1302" priority="1332"/>
  </conditionalFormatting>
  <conditionalFormatting sqref="E222:E228">
    <cfRule type="duplicateValues" dxfId="1301" priority="1333"/>
  </conditionalFormatting>
  <conditionalFormatting sqref="E226:E228">
    <cfRule type="duplicateValues" dxfId="1300" priority="1334"/>
  </conditionalFormatting>
  <conditionalFormatting sqref="E222:E228">
    <cfRule type="duplicateValues" dxfId="1299" priority="1335"/>
    <cfRule type="duplicateValues" dxfId="1298" priority="1336"/>
  </conditionalFormatting>
  <conditionalFormatting sqref="E666">
    <cfRule type="duplicateValues" dxfId="1297" priority="1337"/>
  </conditionalFormatting>
  <conditionalFormatting sqref="E460">
    <cfRule type="duplicateValues" dxfId="1296" priority="1144"/>
  </conditionalFormatting>
  <conditionalFormatting sqref="E460">
    <cfRule type="duplicateValues" dxfId="1295" priority="1145"/>
  </conditionalFormatting>
  <conditionalFormatting sqref="E460">
    <cfRule type="duplicateValues" dxfId="1294" priority="1146"/>
    <cfRule type="duplicateValues" dxfId="1293" priority="1147"/>
  </conditionalFormatting>
  <conditionalFormatting sqref="E460">
    <cfRule type="duplicateValues" dxfId="1292" priority="1148"/>
  </conditionalFormatting>
  <conditionalFormatting sqref="E792">
    <cfRule type="duplicateValues" dxfId="1291" priority="1140"/>
  </conditionalFormatting>
  <conditionalFormatting sqref="E792">
    <cfRule type="duplicateValues" dxfId="1290" priority="1141"/>
    <cfRule type="duplicateValues" dxfId="1289" priority="1142"/>
  </conditionalFormatting>
  <conditionalFormatting sqref="E792">
    <cfRule type="duplicateValues" dxfId="1288" priority="1143"/>
  </conditionalFormatting>
  <conditionalFormatting sqref="E792">
    <cfRule type="duplicateValues" dxfId="1287" priority="1139"/>
  </conditionalFormatting>
  <conditionalFormatting sqref="E707">
    <cfRule type="duplicateValues" dxfId="1286" priority="1135"/>
  </conditionalFormatting>
  <conditionalFormatting sqref="E707">
    <cfRule type="duplicateValues" dxfId="1285" priority="1134"/>
  </conditionalFormatting>
  <conditionalFormatting sqref="E707">
    <cfRule type="duplicateValues" dxfId="1284" priority="1136"/>
    <cfRule type="duplicateValues" dxfId="1283" priority="1137"/>
  </conditionalFormatting>
  <conditionalFormatting sqref="E707">
    <cfRule type="duplicateValues" dxfId="1282" priority="1138"/>
  </conditionalFormatting>
  <conditionalFormatting sqref="E788">
    <cfRule type="duplicateValues" dxfId="1281" priority="1129"/>
  </conditionalFormatting>
  <conditionalFormatting sqref="E788">
    <cfRule type="duplicateValues" dxfId="1280" priority="1130"/>
  </conditionalFormatting>
  <conditionalFormatting sqref="E788">
    <cfRule type="duplicateValues" dxfId="1279" priority="1131"/>
    <cfRule type="duplicateValues" dxfId="1278" priority="1132"/>
  </conditionalFormatting>
  <conditionalFormatting sqref="E788">
    <cfRule type="duplicateValues" dxfId="1277" priority="1133"/>
  </conditionalFormatting>
  <conditionalFormatting sqref="E761:E763">
    <cfRule type="duplicateValues" dxfId="1276" priority="1128"/>
  </conditionalFormatting>
  <conditionalFormatting sqref="E764">
    <cfRule type="duplicateValues" dxfId="1275" priority="1127"/>
  </conditionalFormatting>
  <conditionalFormatting sqref="E255">
    <cfRule type="duplicateValues" dxfId="1274" priority="1122"/>
  </conditionalFormatting>
  <conditionalFormatting sqref="E255">
    <cfRule type="duplicateValues" dxfId="1273" priority="1123"/>
  </conditionalFormatting>
  <conditionalFormatting sqref="E255">
    <cfRule type="duplicateValues" dxfId="1272" priority="1124"/>
    <cfRule type="duplicateValues" dxfId="1271" priority="1125"/>
  </conditionalFormatting>
  <conditionalFormatting sqref="E255">
    <cfRule type="duplicateValues" dxfId="1270" priority="1126"/>
  </conditionalFormatting>
  <conditionalFormatting sqref="E351">
    <cfRule type="duplicateValues" dxfId="1269" priority="1121"/>
  </conditionalFormatting>
  <conditionalFormatting sqref="E356 E352">
    <cfRule type="duplicateValues" dxfId="1268" priority="1116"/>
  </conditionalFormatting>
  <conditionalFormatting sqref="E352">
    <cfRule type="duplicateValues" dxfId="1267" priority="1117"/>
  </conditionalFormatting>
  <conditionalFormatting sqref="E356 E352">
    <cfRule type="duplicateValues" dxfId="1266" priority="1118"/>
    <cfRule type="duplicateValues" dxfId="1265" priority="1119"/>
  </conditionalFormatting>
  <conditionalFormatting sqref="E352">
    <cfRule type="duplicateValues" dxfId="1264" priority="1120"/>
  </conditionalFormatting>
  <conditionalFormatting sqref="E358">
    <cfRule type="duplicateValues" dxfId="1263" priority="1114"/>
  </conditionalFormatting>
  <conditionalFormatting sqref="E358">
    <cfRule type="duplicateValues" dxfId="1262" priority="1112"/>
    <cfRule type="duplicateValues" dxfId="1261" priority="1113"/>
  </conditionalFormatting>
  <conditionalFormatting sqref="E358">
    <cfRule type="duplicateValues" dxfId="1260" priority="1115"/>
  </conditionalFormatting>
  <conditionalFormatting sqref="E358">
    <cfRule type="duplicateValues" dxfId="1259" priority="1111"/>
  </conditionalFormatting>
  <conditionalFormatting sqref="E616">
    <cfRule type="duplicateValues" dxfId="1258" priority="1106"/>
  </conditionalFormatting>
  <conditionalFormatting sqref="E617">
    <cfRule type="duplicateValues" dxfId="1257" priority="1105"/>
  </conditionalFormatting>
  <conditionalFormatting sqref="E611:E617">
    <cfRule type="duplicateValues" dxfId="1256" priority="1104"/>
  </conditionalFormatting>
  <conditionalFormatting sqref="E611:E617">
    <cfRule type="duplicateValues" dxfId="1255" priority="1107"/>
    <cfRule type="duplicateValues" dxfId="1254" priority="1108"/>
  </conditionalFormatting>
  <conditionalFormatting sqref="E611:E617">
    <cfRule type="duplicateValues" dxfId="1253" priority="1109"/>
  </conditionalFormatting>
  <conditionalFormatting sqref="E611:E615">
    <cfRule type="duplicateValues" dxfId="1252" priority="1110"/>
  </conditionalFormatting>
  <conditionalFormatting sqref="E661">
    <cfRule type="duplicateValues" dxfId="1251" priority="1096"/>
    <cfRule type="duplicateValues" dxfId="1250" priority="1097"/>
  </conditionalFormatting>
  <conditionalFormatting sqref="E661">
    <cfRule type="duplicateValues" dxfId="1249" priority="1098"/>
  </conditionalFormatting>
  <conditionalFormatting sqref="E662">
    <cfRule type="duplicateValues" dxfId="1248" priority="1099"/>
  </conditionalFormatting>
  <conditionalFormatting sqref="E662">
    <cfRule type="duplicateValues" dxfId="1247" priority="1100"/>
    <cfRule type="duplicateValues" dxfId="1246" priority="1101"/>
  </conditionalFormatting>
  <conditionalFormatting sqref="E662">
    <cfRule type="duplicateValues" dxfId="1245" priority="1102"/>
  </conditionalFormatting>
  <conditionalFormatting sqref="E663">
    <cfRule type="duplicateValues" dxfId="1244" priority="1103"/>
  </conditionalFormatting>
  <conditionalFormatting sqref="E474">
    <cfRule type="duplicateValues" dxfId="1243" priority="1092"/>
  </conditionalFormatting>
  <conditionalFormatting sqref="E474">
    <cfRule type="duplicateValues" dxfId="1242" priority="1091"/>
  </conditionalFormatting>
  <conditionalFormatting sqref="E474">
    <cfRule type="duplicateValues" dxfId="1241" priority="1093"/>
    <cfRule type="duplicateValues" dxfId="1240" priority="1094"/>
  </conditionalFormatting>
  <conditionalFormatting sqref="E474">
    <cfRule type="duplicateValues" dxfId="1239" priority="1095"/>
  </conditionalFormatting>
  <conditionalFormatting sqref="E70:E71">
    <cfRule type="duplicateValues" dxfId="1238" priority="1087"/>
  </conditionalFormatting>
  <conditionalFormatting sqref="E70:E71">
    <cfRule type="duplicateValues" dxfId="1237" priority="1086"/>
  </conditionalFormatting>
  <conditionalFormatting sqref="E70:E71">
    <cfRule type="duplicateValues" dxfId="1236" priority="1088"/>
    <cfRule type="duplicateValues" dxfId="1235" priority="1089"/>
  </conditionalFormatting>
  <conditionalFormatting sqref="E70:E71">
    <cfRule type="duplicateValues" dxfId="1234" priority="1090"/>
  </conditionalFormatting>
  <conditionalFormatting sqref="E428">
    <cfRule type="duplicateValues" dxfId="1233" priority="1081"/>
  </conditionalFormatting>
  <conditionalFormatting sqref="E428">
    <cfRule type="duplicateValues" dxfId="1232" priority="1082"/>
  </conditionalFormatting>
  <conditionalFormatting sqref="E428">
    <cfRule type="duplicateValues" dxfId="1231" priority="1083"/>
    <cfRule type="duplicateValues" dxfId="1230" priority="1084"/>
  </conditionalFormatting>
  <conditionalFormatting sqref="E428">
    <cfRule type="duplicateValues" dxfId="1229" priority="1085"/>
  </conditionalFormatting>
  <conditionalFormatting sqref="E456">
    <cfRule type="duplicateValues" dxfId="1228" priority="1077"/>
  </conditionalFormatting>
  <conditionalFormatting sqref="E456">
    <cfRule type="duplicateValues" dxfId="1227" priority="1076"/>
  </conditionalFormatting>
  <conditionalFormatting sqref="E456">
    <cfRule type="duplicateValues" dxfId="1226" priority="1078"/>
    <cfRule type="duplicateValues" dxfId="1225" priority="1079"/>
  </conditionalFormatting>
  <conditionalFormatting sqref="E456">
    <cfRule type="duplicateValues" dxfId="1224" priority="1080"/>
  </conditionalFormatting>
  <conditionalFormatting sqref="E441">
    <cfRule type="duplicateValues" dxfId="1223" priority="1071"/>
  </conditionalFormatting>
  <conditionalFormatting sqref="E440:E441">
    <cfRule type="duplicateValues" dxfId="1222" priority="1070"/>
  </conditionalFormatting>
  <conditionalFormatting sqref="E440">
    <cfRule type="duplicateValues" dxfId="1221" priority="1072"/>
  </conditionalFormatting>
  <conditionalFormatting sqref="E440:E441">
    <cfRule type="duplicateValues" dxfId="1220" priority="1073"/>
    <cfRule type="duplicateValues" dxfId="1219" priority="1074"/>
  </conditionalFormatting>
  <conditionalFormatting sqref="E440:E441">
    <cfRule type="duplicateValues" dxfId="1218" priority="1075"/>
  </conditionalFormatting>
  <conditionalFormatting sqref="E442">
    <cfRule type="duplicateValues" dxfId="1217" priority="1065"/>
  </conditionalFormatting>
  <conditionalFormatting sqref="E442">
    <cfRule type="duplicateValues" dxfId="1216" priority="1066"/>
  </conditionalFormatting>
  <conditionalFormatting sqref="E442">
    <cfRule type="duplicateValues" dxfId="1215" priority="1067"/>
    <cfRule type="duplicateValues" dxfId="1214" priority="1068"/>
  </conditionalFormatting>
  <conditionalFormatting sqref="E442">
    <cfRule type="duplicateValues" dxfId="1213" priority="1069"/>
  </conditionalFormatting>
  <conditionalFormatting sqref="E793">
    <cfRule type="duplicateValues" dxfId="1212" priority="1061"/>
  </conditionalFormatting>
  <conditionalFormatting sqref="E793">
    <cfRule type="duplicateValues" dxfId="1211" priority="1062"/>
    <cfRule type="duplicateValues" dxfId="1210" priority="1063"/>
  </conditionalFormatting>
  <conditionalFormatting sqref="E793">
    <cfRule type="duplicateValues" dxfId="1209" priority="1064"/>
  </conditionalFormatting>
  <conditionalFormatting sqref="E793">
    <cfRule type="duplicateValues" dxfId="1208" priority="1060"/>
  </conditionalFormatting>
  <conditionalFormatting sqref="E689">
    <cfRule type="duplicateValues" dxfId="1207" priority="1055"/>
  </conditionalFormatting>
  <conditionalFormatting sqref="E689">
    <cfRule type="duplicateValues" dxfId="1206" priority="1056"/>
  </conditionalFormatting>
  <conditionalFormatting sqref="E689">
    <cfRule type="duplicateValues" dxfId="1205" priority="1057"/>
    <cfRule type="duplicateValues" dxfId="1204" priority="1058"/>
  </conditionalFormatting>
  <conditionalFormatting sqref="E689">
    <cfRule type="duplicateValues" dxfId="1203" priority="1059"/>
  </conditionalFormatting>
  <conditionalFormatting sqref="E802">
    <cfRule type="duplicateValues" dxfId="1202" priority="1050"/>
  </conditionalFormatting>
  <conditionalFormatting sqref="E802">
    <cfRule type="duplicateValues" dxfId="1201" priority="1051"/>
  </conditionalFormatting>
  <conditionalFormatting sqref="E802">
    <cfRule type="duplicateValues" dxfId="1200" priority="1052"/>
    <cfRule type="duplicateValues" dxfId="1199" priority="1053"/>
  </conditionalFormatting>
  <conditionalFormatting sqref="E802">
    <cfRule type="duplicateValues" dxfId="1198" priority="1054"/>
  </conditionalFormatting>
  <conditionalFormatting sqref="E809">
    <cfRule type="duplicateValues" dxfId="1197" priority="1045"/>
  </conditionalFormatting>
  <conditionalFormatting sqref="E809">
    <cfRule type="duplicateValues" dxfId="1196" priority="1046"/>
  </conditionalFormatting>
  <conditionalFormatting sqref="E809">
    <cfRule type="duplicateValues" dxfId="1195" priority="1047"/>
    <cfRule type="duplicateValues" dxfId="1194" priority="1048"/>
  </conditionalFormatting>
  <conditionalFormatting sqref="E809">
    <cfRule type="duplicateValues" dxfId="1193" priority="1049"/>
  </conditionalFormatting>
  <conditionalFormatting sqref="E765">
    <cfRule type="duplicateValues" dxfId="1192" priority="1041"/>
  </conditionalFormatting>
  <conditionalFormatting sqref="E765">
    <cfRule type="duplicateValues" dxfId="1191" priority="1040"/>
  </conditionalFormatting>
  <conditionalFormatting sqref="E765">
    <cfRule type="duplicateValues" dxfId="1190" priority="1042"/>
    <cfRule type="duplicateValues" dxfId="1189" priority="1043"/>
  </conditionalFormatting>
  <conditionalFormatting sqref="E765">
    <cfRule type="duplicateValues" dxfId="1188" priority="1044"/>
  </conditionalFormatting>
  <conditionalFormatting sqref="E520">
    <cfRule type="duplicateValues" dxfId="1187" priority="1338"/>
  </conditionalFormatting>
  <conditionalFormatting sqref="E520">
    <cfRule type="duplicateValues" dxfId="1186" priority="1339"/>
    <cfRule type="duplicateValues" dxfId="1185" priority="1340"/>
  </conditionalFormatting>
  <conditionalFormatting sqref="E13">
    <cfRule type="duplicateValues" dxfId="1184" priority="1035"/>
  </conditionalFormatting>
  <conditionalFormatting sqref="E13">
    <cfRule type="duplicateValues" dxfId="1183" priority="1036"/>
  </conditionalFormatting>
  <conditionalFormatting sqref="E13">
    <cfRule type="duplicateValues" dxfId="1182" priority="1037"/>
    <cfRule type="duplicateValues" dxfId="1181" priority="1038"/>
  </conditionalFormatting>
  <conditionalFormatting sqref="E13">
    <cfRule type="duplicateValues" dxfId="1180" priority="1039"/>
  </conditionalFormatting>
  <conditionalFormatting sqref="E796">
    <cfRule type="duplicateValues" dxfId="1179" priority="1032"/>
  </conditionalFormatting>
  <conditionalFormatting sqref="E796">
    <cfRule type="duplicateValues" dxfId="1178" priority="1033"/>
    <cfRule type="duplicateValues" dxfId="1177" priority="1034"/>
  </conditionalFormatting>
  <conditionalFormatting sqref="E766">
    <cfRule type="duplicateValues" dxfId="1176" priority="1028"/>
  </conditionalFormatting>
  <conditionalFormatting sqref="E766">
    <cfRule type="duplicateValues" dxfId="1175" priority="1029"/>
  </conditionalFormatting>
  <conditionalFormatting sqref="E766">
    <cfRule type="duplicateValues" dxfId="1174" priority="1030"/>
    <cfRule type="duplicateValues" dxfId="1173" priority="1031"/>
  </conditionalFormatting>
  <conditionalFormatting sqref="E767">
    <cfRule type="duplicateValues" dxfId="1172" priority="1024"/>
  </conditionalFormatting>
  <conditionalFormatting sqref="E767">
    <cfRule type="duplicateValues" dxfId="1171" priority="1025"/>
  </conditionalFormatting>
  <conditionalFormatting sqref="E767">
    <cfRule type="duplicateValues" dxfId="1170" priority="1026"/>
    <cfRule type="duplicateValues" dxfId="1169" priority="1027"/>
  </conditionalFormatting>
  <conditionalFormatting sqref="E766">
    <cfRule type="duplicateValues" dxfId="1168" priority="1020"/>
  </conditionalFormatting>
  <conditionalFormatting sqref="E766">
    <cfRule type="duplicateValues" dxfId="1167" priority="1021"/>
    <cfRule type="duplicateValues" dxfId="1166" priority="1022"/>
  </conditionalFormatting>
  <conditionalFormatting sqref="E766">
    <cfRule type="duplicateValues" dxfId="1165" priority="1023"/>
  </conditionalFormatting>
  <conditionalFormatting sqref="E766">
    <cfRule type="duplicateValues" dxfId="1164" priority="1019"/>
  </conditionalFormatting>
  <conditionalFormatting sqref="E767">
    <cfRule type="duplicateValues" dxfId="1163" priority="1015"/>
  </conditionalFormatting>
  <conditionalFormatting sqref="E767">
    <cfRule type="duplicateValues" dxfId="1162" priority="1016"/>
  </conditionalFormatting>
  <conditionalFormatting sqref="E767">
    <cfRule type="duplicateValues" dxfId="1161" priority="1017"/>
    <cfRule type="duplicateValues" dxfId="1160" priority="1018"/>
  </conditionalFormatting>
  <conditionalFormatting sqref="E765">
    <cfRule type="duplicateValues" dxfId="1159" priority="1010"/>
  </conditionalFormatting>
  <conditionalFormatting sqref="E765">
    <cfRule type="duplicateValues" dxfId="1158" priority="1011"/>
  </conditionalFormatting>
  <conditionalFormatting sqref="E765">
    <cfRule type="duplicateValues" dxfId="1157" priority="1012"/>
    <cfRule type="duplicateValues" dxfId="1156" priority="1013"/>
  </conditionalFormatting>
  <conditionalFormatting sqref="E765">
    <cfRule type="duplicateValues" dxfId="1155" priority="1014"/>
  </conditionalFormatting>
  <conditionalFormatting sqref="E765">
    <cfRule type="duplicateValues" dxfId="1154" priority="1006"/>
  </conditionalFormatting>
  <conditionalFormatting sqref="E765">
    <cfRule type="duplicateValues" dxfId="1153" priority="1007"/>
    <cfRule type="duplicateValues" dxfId="1152" priority="1008"/>
  </conditionalFormatting>
  <conditionalFormatting sqref="E765">
    <cfRule type="duplicateValues" dxfId="1151" priority="1009"/>
  </conditionalFormatting>
  <conditionalFormatting sqref="E765">
    <cfRule type="duplicateValues" dxfId="1150" priority="1005"/>
  </conditionalFormatting>
  <conditionalFormatting sqref="E765">
    <cfRule type="duplicateValues" dxfId="1149" priority="1001"/>
  </conditionalFormatting>
  <conditionalFormatting sqref="E765">
    <cfRule type="duplicateValues" dxfId="1148" priority="1002"/>
    <cfRule type="duplicateValues" dxfId="1147" priority="1003"/>
  </conditionalFormatting>
  <conditionalFormatting sqref="E765">
    <cfRule type="duplicateValues" dxfId="1146" priority="1004"/>
  </conditionalFormatting>
  <conditionalFormatting sqref="E765">
    <cfRule type="duplicateValues" dxfId="1145" priority="1000"/>
  </conditionalFormatting>
  <conditionalFormatting sqref="E848">
    <cfRule type="duplicateValues" dxfId="1144" priority="996"/>
  </conditionalFormatting>
  <conditionalFormatting sqref="E848">
    <cfRule type="duplicateValues" dxfId="1143" priority="995"/>
  </conditionalFormatting>
  <conditionalFormatting sqref="E848">
    <cfRule type="duplicateValues" dxfId="1142" priority="997"/>
    <cfRule type="duplicateValues" dxfId="1141" priority="998"/>
  </conditionalFormatting>
  <conditionalFormatting sqref="E848">
    <cfRule type="duplicateValues" dxfId="1140" priority="999"/>
  </conditionalFormatting>
  <conditionalFormatting sqref="E848">
    <cfRule type="duplicateValues" dxfId="1139" priority="994"/>
  </conditionalFormatting>
  <conditionalFormatting sqref="E669">
    <cfRule type="duplicateValues" dxfId="1138" priority="988"/>
  </conditionalFormatting>
  <conditionalFormatting sqref="E669">
    <cfRule type="duplicateValues" dxfId="1137" priority="989"/>
  </conditionalFormatting>
  <conditionalFormatting sqref="E669">
    <cfRule type="duplicateValues" dxfId="1136" priority="990"/>
  </conditionalFormatting>
  <conditionalFormatting sqref="E669">
    <cfRule type="duplicateValues" dxfId="1135" priority="991"/>
    <cfRule type="duplicateValues" dxfId="1134" priority="992"/>
  </conditionalFormatting>
  <conditionalFormatting sqref="E669">
    <cfRule type="duplicateValues" dxfId="1133" priority="993"/>
  </conditionalFormatting>
  <conditionalFormatting sqref="D848:D1048576 D827:D843 D203:D206 D2:D6 D153:D154 D15:D50 D70:D71 D10 D217:D237 D253:D255 D250 D338:D352 D356 D770:D771 D599:D608 D469:D544 D661:D686 D391 D689:D691 D788:D793 D76:D97 D258:D272 D358 D13 D277:D280 D294:D305 D362:D384 D99:D145 D753:D768 D158:D187 D796:D823 D282:D288 D646:D654 D425:D460 D693:D715 D73 D717:D718 D610:D617 D620 D633:D644 D720:D747 D783:D785">
    <cfRule type="duplicateValues" dxfId="1132" priority="987"/>
  </conditionalFormatting>
  <conditionalFormatting sqref="E849:E1048576 E2:E6 E670:E686 E203:E206 E827:E843 E153:E154 E15:E50 E70:E71 E10 E217:E237 E253:E255 E250 E338:E352 E356 E770:E771 E599:E608 E469:E544 E661:E668 E391 E689:E691 E788:E793 E76:E97 E258:E272 E358 E13 E277:E280 E294:E305 E362:E384 E99:E145 E753:E768 E158:E187 E796:E823 E282:E288 E646:E654 E425:E460 E693:E715 E73 E717:E718 E610:E617 E620 E633:E644 E720:E747 E783:E785">
    <cfRule type="duplicateValues" dxfId="1131" priority="1341"/>
  </conditionalFormatting>
  <conditionalFormatting sqref="E849:E1048576 E685:E686 E2:E6 E205:E206 E279 E233:E234 E469:E473 E610 E603:E604 E756:E758 E180:E187 E15:E50 E457:E459 E258:E272 E663:E668 E475:E536 E76:E97 E453:E455 E690:E691 E803:E808 E810:E823 E373:E384 E709:E715 E670:E682 E203 E827:E841 E153 E217:E221 E277 E338:E344 E349 E391 E425:E427 E693:E705 E789:E793 E282:E288 E294:E305 E99:E145 E158:E178 E796:E801 E646:E654 E443:E449 E717:E718 E620 E634:E644 E720:E736 E783:E784">
    <cfRule type="duplicateValues" dxfId="1130" priority="1342"/>
  </conditionalFormatting>
  <conditionalFormatting sqref="E849:E1048576 E827:E839 E2:E6 E458:E459 E670:E682 E76:E82 E373:E379 E822:E823 E277 E341:E344 E475:E515 E665 E46:E50 E686 E800:E801 E732:E736 E758 E382:E384 E92:E97 E185:E187 E205:E206 E279 E469:E471 E756 E180:E181 E15:E41 E453:E454 E158 E690:E691 E803:E808 E810:E820 E709:E715 E203 E153 E217:E221 E349 E391 E425:E427 E693:E703 E789:E793 E286:E288 E294:E299 E99:E145 E164:E177 E796:E798 E646:E650 E443:E449 E717:E718 E720:E727 E634:E644 E783:E784">
    <cfRule type="duplicateValues" dxfId="1129" priority="1343"/>
  </conditionalFormatting>
  <conditionalFormatting sqref="E849:E1048576 E665:E666 E522:E536 E668 E685:E686 E2:E6 E205:E206 E279 E233:E234 E610 E469:E471 E603:E604 E756:E758 E180:E187 E15:E50 E457:E459 E258:E272 E475:E516 E76:E97 E453:E455 E690:E691 E803:E808 E810:E823 E373:E384 E709:E715 E670:E682 E203 E827:E841 E153 E217:E221 E277 E338:E344 E349 E391 E425:E427 E693:E705 E789:E793 E282:E288 E294:E305 E99:E145 E158:E178 E796:E801 E646:E653 E443:E449 E717:E718 E620 E634:E644 E720:E736 E783:E784">
    <cfRule type="duplicateValues" dxfId="1128" priority="1344"/>
    <cfRule type="duplicateValues" dxfId="1127" priority="1345"/>
  </conditionalFormatting>
  <conditionalFormatting sqref="E849:E1048576 E665:E666 E522:E536 E668 E685:E686 E2:E6 E205:E206 E279 E233:E234 E610 E469:E471 E603:E604 E756:E758 E180:E187 E15:E50 E457:E459 E258:E272 E475:E516 E76:E97 E453:E455 E690:E691 E803:E808 E810:E823 E373:E384 E709:E715 E670:E682 E203 E827:E841 E153 E217:E221 E277 E338:E344 E349 E391 E425:E427 E693:E705 E789:E793 E282:E288 E294:E305 E99:E145 E158:E178 E796:E801 E646:E653 E443:E449 E717:E718 E620 E634:E644 E720:E736 E783:E784">
    <cfRule type="duplicateValues" dxfId="1126" priority="1346"/>
  </conditionalFormatting>
  <conditionalFormatting sqref="E350:E351">
    <cfRule type="duplicateValues" dxfId="1125" priority="1347"/>
  </conditionalFormatting>
  <conditionalFormatting sqref="E350">
    <cfRule type="duplicateValues" dxfId="1124" priority="1348"/>
  </conditionalFormatting>
  <conditionalFormatting sqref="E350:E351">
    <cfRule type="duplicateValues" dxfId="1123" priority="1349"/>
    <cfRule type="duplicateValues" dxfId="1122" priority="1350"/>
  </conditionalFormatting>
  <conditionalFormatting sqref="E338:E340 E300:E305">
    <cfRule type="duplicateValues" dxfId="1121" priority="1351"/>
  </conditionalFormatting>
  <conditionalFormatting sqref="E278">
    <cfRule type="duplicateValues" dxfId="1120" priority="1352"/>
  </conditionalFormatting>
  <conditionalFormatting sqref="E278">
    <cfRule type="duplicateValues" dxfId="1119" priority="1353"/>
    <cfRule type="duplicateValues" dxfId="1118" priority="1354"/>
  </conditionalFormatting>
  <conditionalFormatting sqref="E233:E234">
    <cfRule type="duplicateValues" dxfId="1117" priority="1355"/>
  </conditionalFormatting>
  <conditionalFormatting sqref="E45">
    <cfRule type="duplicateValues" dxfId="1116" priority="1356"/>
  </conditionalFormatting>
  <conditionalFormatting sqref="E539:E543">
    <cfRule type="duplicateValues" dxfId="1115" priority="1357"/>
  </conditionalFormatting>
  <conditionalFormatting sqref="E652:E653">
    <cfRule type="duplicateValues" dxfId="1114" priority="1358"/>
  </conditionalFormatting>
  <conditionalFormatting sqref="E651">
    <cfRule type="duplicateValues" dxfId="1113" priority="1359"/>
  </conditionalFormatting>
  <conditionalFormatting sqref="E661:E662">
    <cfRule type="duplicateValues" dxfId="1112" priority="1360"/>
  </conditionalFormatting>
  <conditionalFormatting sqref="E196 E188">
    <cfRule type="duplicateValues" dxfId="1111" priority="983"/>
  </conditionalFormatting>
  <conditionalFormatting sqref="E196 E188">
    <cfRule type="duplicateValues" dxfId="1110" priority="984"/>
    <cfRule type="duplicateValues" dxfId="1109" priority="985"/>
  </conditionalFormatting>
  <conditionalFormatting sqref="E200">
    <cfRule type="duplicateValues" dxfId="1108" priority="986"/>
  </conditionalFormatting>
  <conditionalFormatting sqref="E826">
    <cfRule type="duplicateValues" dxfId="1107" priority="976"/>
  </conditionalFormatting>
  <conditionalFormatting sqref="D824:D826">
    <cfRule type="duplicateValues" dxfId="1106" priority="975"/>
  </conditionalFormatting>
  <conditionalFormatting sqref="E824:E826">
    <cfRule type="duplicateValues" dxfId="1105" priority="977"/>
  </conditionalFormatting>
  <conditionalFormatting sqref="E824:E826">
    <cfRule type="duplicateValues" dxfId="1104" priority="978"/>
  </conditionalFormatting>
  <conditionalFormatting sqref="E824:E825">
    <cfRule type="duplicateValues" dxfId="1103" priority="979"/>
  </conditionalFormatting>
  <conditionalFormatting sqref="E824:E826">
    <cfRule type="duplicateValues" dxfId="1102" priority="980"/>
    <cfRule type="duplicateValues" dxfId="1101" priority="981"/>
  </conditionalFormatting>
  <conditionalFormatting sqref="E824:E826">
    <cfRule type="duplicateValues" dxfId="1100" priority="982"/>
  </conditionalFormatting>
  <conditionalFormatting sqref="E201">
    <cfRule type="duplicateValues" dxfId="1099" priority="968"/>
  </conditionalFormatting>
  <conditionalFormatting sqref="E201">
    <cfRule type="duplicateValues" dxfId="1098" priority="969"/>
    <cfRule type="duplicateValues" dxfId="1097" priority="970"/>
  </conditionalFormatting>
  <conditionalFormatting sqref="E201">
    <cfRule type="duplicateValues" dxfId="1096" priority="971"/>
  </conditionalFormatting>
  <conditionalFormatting sqref="E201">
    <cfRule type="duplicateValues" dxfId="1095" priority="972"/>
  </conditionalFormatting>
  <conditionalFormatting sqref="D201">
    <cfRule type="duplicateValues" dxfId="1094" priority="973"/>
  </conditionalFormatting>
  <conditionalFormatting sqref="E201">
    <cfRule type="duplicateValues" dxfId="1093" priority="974"/>
  </conditionalFormatting>
  <conditionalFormatting sqref="E150:E151">
    <cfRule type="duplicateValues" dxfId="1092" priority="961"/>
  </conditionalFormatting>
  <conditionalFormatting sqref="E147">
    <cfRule type="duplicateValues" dxfId="1091" priority="956"/>
  </conditionalFormatting>
  <conditionalFormatting sqref="E147">
    <cfRule type="duplicateValues" dxfId="1090" priority="957"/>
  </conditionalFormatting>
  <conditionalFormatting sqref="E147">
    <cfRule type="duplicateValues" dxfId="1089" priority="958"/>
    <cfRule type="duplicateValues" dxfId="1088" priority="959"/>
  </conditionalFormatting>
  <conditionalFormatting sqref="E147">
    <cfRule type="duplicateValues" dxfId="1087" priority="960"/>
  </conditionalFormatting>
  <conditionalFormatting sqref="E148">
    <cfRule type="duplicateValues" dxfId="1086" priority="951"/>
  </conditionalFormatting>
  <conditionalFormatting sqref="E148">
    <cfRule type="duplicateValues" dxfId="1085" priority="952"/>
  </conditionalFormatting>
  <conditionalFormatting sqref="E148">
    <cfRule type="duplicateValues" dxfId="1084" priority="953"/>
    <cfRule type="duplicateValues" dxfId="1083" priority="954"/>
  </conditionalFormatting>
  <conditionalFormatting sqref="E148">
    <cfRule type="duplicateValues" dxfId="1082" priority="955"/>
  </conditionalFormatting>
  <conditionalFormatting sqref="D146:D151">
    <cfRule type="duplicateValues" dxfId="1081" priority="950"/>
  </conditionalFormatting>
  <conditionalFormatting sqref="E146:E151">
    <cfRule type="duplicateValues" dxfId="1080" priority="962"/>
  </conditionalFormatting>
  <conditionalFormatting sqref="E149:E151 E146">
    <cfRule type="duplicateValues" dxfId="1079" priority="963"/>
  </conditionalFormatting>
  <conditionalFormatting sqref="E149 E146">
    <cfRule type="duplicateValues" dxfId="1078" priority="964"/>
  </conditionalFormatting>
  <conditionalFormatting sqref="E149:E151 E146">
    <cfRule type="duplicateValues" dxfId="1077" priority="965"/>
    <cfRule type="duplicateValues" dxfId="1076" priority="966"/>
  </conditionalFormatting>
  <conditionalFormatting sqref="E149:E151">
    <cfRule type="duplicateValues" dxfId="1075" priority="967"/>
  </conditionalFormatting>
  <conditionalFormatting sqref="E14">
    <cfRule type="duplicateValues" dxfId="1074" priority="949"/>
  </conditionalFormatting>
  <conditionalFormatting sqref="E67:E68">
    <cfRule type="duplicateValues" dxfId="1073" priority="945"/>
  </conditionalFormatting>
  <conditionalFormatting sqref="E67:E68">
    <cfRule type="duplicateValues" dxfId="1072" priority="944"/>
  </conditionalFormatting>
  <conditionalFormatting sqref="E67:E68">
    <cfRule type="duplicateValues" dxfId="1071" priority="946"/>
    <cfRule type="duplicateValues" dxfId="1070" priority="947"/>
  </conditionalFormatting>
  <conditionalFormatting sqref="E67:E68">
    <cfRule type="duplicateValues" dxfId="1069" priority="948"/>
  </conditionalFormatting>
  <conditionalFormatting sqref="E53">
    <cfRule type="duplicateValues" dxfId="1068" priority="940"/>
  </conditionalFormatting>
  <conditionalFormatting sqref="E53">
    <cfRule type="duplicateValues" dxfId="1067" priority="939"/>
  </conditionalFormatting>
  <conditionalFormatting sqref="E53">
    <cfRule type="duplicateValues" dxfId="1066" priority="941"/>
    <cfRule type="duplicateValues" dxfId="1065" priority="942"/>
  </conditionalFormatting>
  <conditionalFormatting sqref="E53">
    <cfRule type="duplicateValues" dxfId="1064" priority="943"/>
  </conditionalFormatting>
  <conditionalFormatting sqref="E51:E52">
    <cfRule type="duplicateValues" dxfId="1063" priority="935"/>
  </conditionalFormatting>
  <conditionalFormatting sqref="E51:E52">
    <cfRule type="duplicateValues" dxfId="1062" priority="934"/>
  </conditionalFormatting>
  <conditionalFormatting sqref="E51:E52">
    <cfRule type="duplicateValues" dxfId="1061" priority="936"/>
    <cfRule type="duplicateValues" dxfId="1060" priority="937"/>
  </conditionalFormatting>
  <conditionalFormatting sqref="E51:E52">
    <cfRule type="duplicateValues" dxfId="1059" priority="938"/>
  </conditionalFormatting>
  <conditionalFormatting sqref="E7">
    <cfRule type="duplicateValues" dxfId="1058" priority="928"/>
  </conditionalFormatting>
  <conditionalFormatting sqref="E7">
    <cfRule type="duplicateValues" dxfId="1057" priority="929"/>
  </conditionalFormatting>
  <conditionalFormatting sqref="E7">
    <cfRule type="duplicateValues" dxfId="1056" priority="930"/>
    <cfRule type="duplicateValues" dxfId="1055" priority="931"/>
  </conditionalFormatting>
  <conditionalFormatting sqref="E7">
    <cfRule type="duplicateValues" dxfId="1054" priority="932"/>
  </conditionalFormatting>
  <conditionalFormatting sqref="E8">
    <cfRule type="duplicateValues" dxfId="1053" priority="923"/>
  </conditionalFormatting>
  <conditionalFormatting sqref="E8">
    <cfRule type="duplicateValues" dxfId="1052" priority="924"/>
  </conditionalFormatting>
  <conditionalFormatting sqref="E8">
    <cfRule type="duplicateValues" dxfId="1051" priority="925"/>
    <cfRule type="duplicateValues" dxfId="1050" priority="926"/>
  </conditionalFormatting>
  <conditionalFormatting sqref="E8">
    <cfRule type="duplicateValues" dxfId="1049" priority="927"/>
  </conditionalFormatting>
  <conditionalFormatting sqref="D7:D8">
    <cfRule type="duplicateValues" dxfId="1048" priority="922"/>
  </conditionalFormatting>
  <conditionalFormatting sqref="E7:E8">
    <cfRule type="duplicateValues" dxfId="1047" priority="933"/>
  </conditionalFormatting>
  <conditionalFormatting sqref="E9">
    <cfRule type="duplicateValues" dxfId="1046" priority="916"/>
  </conditionalFormatting>
  <conditionalFormatting sqref="E9">
    <cfRule type="duplicateValues" dxfId="1045" priority="917"/>
  </conditionalFormatting>
  <conditionalFormatting sqref="E9">
    <cfRule type="duplicateValues" dxfId="1044" priority="918"/>
    <cfRule type="duplicateValues" dxfId="1043" priority="919"/>
  </conditionalFormatting>
  <conditionalFormatting sqref="E9">
    <cfRule type="duplicateValues" dxfId="1042" priority="920"/>
  </conditionalFormatting>
  <conditionalFormatting sqref="D9">
    <cfRule type="duplicateValues" dxfId="1041" priority="915"/>
  </conditionalFormatting>
  <conditionalFormatting sqref="E9">
    <cfRule type="duplicateValues" dxfId="1040" priority="921"/>
  </conditionalFormatting>
  <conditionalFormatting sqref="E59 E65">
    <cfRule type="duplicateValues" dxfId="1039" priority="911"/>
  </conditionalFormatting>
  <conditionalFormatting sqref="E59">
    <cfRule type="duplicateValues" dxfId="1038" priority="910"/>
  </conditionalFormatting>
  <conditionalFormatting sqref="E59 E65">
    <cfRule type="duplicateValues" dxfId="1037" priority="912"/>
    <cfRule type="duplicateValues" dxfId="1036" priority="913"/>
  </conditionalFormatting>
  <conditionalFormatting sqref="E59">
    <cfRule type="duplicateValues" dxfId="1035" priority="914"/>
  </conditionalFormatting>
  <conditionalFormatting sqref="E57:E58">
    <cfRule type="duplicateValues" dxfId="1034" priority="906"/>
  </conditionalFormatting>
  <conditionalFormatting sqref="E57:E58">
    <cfRule type="duplicateValues" dxfId="1033" priority="905"/>
  </conditionalFormatting>
  <conditionalFormatting sqref="E57:E58">
    <cfRule type="duplicateValues" dxfId="1032" priority="907"/>
    <cfRule type="duplicateValues" dxfId="1031" priority="908"/>
  </conditionalFormatting>
  <conditionalFormatting sqref="E57:E58">
    <cfRule type="duplicateValues" dxfId="1030" priority="909"/>
  </conditionalFormatting>
  <conditionalFormatting sqref="E54:E55">
    <cfRule type="duplicateValues" dxfId="1029" priority="901"/>
  </conditionalFormatting>
  <conditionalFormatting sqref="E54:E55">
    <cfRule type="duplicateValues" dxfId="1028" priority="900"/>
  </conditionalFormatting>
  <conditionalFormatting sqref="E54:E55">
    <cfRule type="duplicateValues" dxfId="1027" priority="902"/>
    <cfRule type="duplicateValues" dxfId="1026" priority="903"/>
  </conditionalFormatting>
  <conditionalFormatting sqref="E54:E55">
    <cfRule type="duplicateValues" dxfId="1025" priority="904"/>
  </conditionalFormatting>
  <conditionalFormatting sqref="E191:E192">
    <cfRule type="duplicateValues" dxfId="1024" priority="896"/>
  </conditionalFormatting>
  <conditionalFormatting sqref="E191:E192">
    <cfRule type="duplicateValues" dxfId="1023" priority="895"/>
  </conditionalFormatting>
  <conditionalFormatting sqref="E191:E192">
    <cfRule type="duplicateValues" dxfId="1022" priority="897"/>
    <cfRule type="duplicateValues" dxfId="1021" priority="898"/>
  </conditionalFormatting>
  <conditionalFormatting sqref="E191:E192">
    <cfRule type="duplicateValues" dxfId="1020" priority="899"/>
  </conditionalFormatting>
  <conditionalFormatting sqref="E73">
    <cfRule type="duplicateValues" dxfId="1019" priority="1361"/>
  </conditionalFormatting>
  <conditionalFormatting sqref="E73">
    <cfRule type="duplicateValues" dxfId="1018" priority="1362"/>
    <cfRule type="duplicateValues" dxfId="1017" priority="1363"/>
  </conditionalFormatting>
  <conditionalFormatting sqref="E155">
    <cfRule type="duplicateValues" dxfId="1016" priority="894"/>
  </conditionalFormatting>
  <conditionalFormatting sqref="D216">
    <cfRule type="duplicateValues" dxfId="1015" priority="890"/>
  </conditionalFormatting>
  <conditionalFormatting sqref="E216">
    <cfRule type="duplicateValues" dxfId="1014" priority="891"/>
  </conditionalFormatting>
  <conditionalFormatting sqref="E216">
    <cfRule type="duplicateValues" dxfId="1013" priority="892"/>
    <cfRule type="duplicateValues" dxfId="1012" priority="893"/>
  </conditionalFormatting>
  <conditionalFormatting sqref="D214:D215">
    <cfRule type="duplicateValues" dxfId="1011" priority="883"/>
  </conditionalFormatting>
  <conditionalFormatting sqref="E214:E215">
    <cfRule type="duplicateValues" dxfId="1010" priority="884"/>
  </conditionalFormatting>
  <conditionalFormatting sqref="E214:E215">
    <cfRule type="duplicateValues" dxfId="1009" priority="885"/>
  </conditionalFormatting>
  <conditionalFormatting sqref="E214:E215">
    <cfRule type="duplicateValues" dxfId="1008" priority="886"/>
  </conditionalFormatting>
  <conditionalFormatting sqref="E214:E215">
    <cfRule type="duplicateValues" dxfId="1007" priority="887"/>
    <cfRule type="duplicateValues" dxfId="1006" priority="888"/>
  </conditionalFormatting>
  <conditionalFormatting sqref="E214:E215">
    <cfRule type="duplicateValues" dxfId="1005" priority="889"/>
  </conditionalFormatting>
  <conditionalFormatting sqref="E251">
    <cfRule type="duplicateValues" dxfId="1004" priority="878"/>
  </conditionalFormatting>
  <conditionalFormatting sqref="E251">
    <cfRule type="duplicateValues" dxfId="1003" priority="879"/>
  </conditionalFormatting>
  <conditionalFormatting sqref="E251">
    <cfRule type="duplicateValues" dxfId="1002" priority="880"/>
    <cfRule type="duplicateValues" dxfId="1001" priority="881"/>
  </conditionalFormatting>
  <conditionalFormatting sqref="E251">
    <cfRule type="duplicateValues" dxfId="1000" priority="882"/>
  </conditionalFormatting>
  <conditionalFormatting sqref="E252">
    <cfRule type="duplicateValues" dxfId="999" priority="873"/>
  </conditionalFormatting>
  <conditionalFormatting sqref="E252">
    <cfRule type="duplicateValues" dxfId="998" priority="874"/>
  </conditionalFormatting>
  <conditionalFormatting sqref="E252">
    <cfRule type="duplicateValues" dxfId="997" priority="875"/>
    <cfRule type="duplicateValues" dxfId="996" priority="876"/>
  </conditionalFormatting>
  <conditionalFormatting sqref="E252">
    <cfRule type="duplicateValues" dxfId="995" priority="877"/>
  </conditionalFormatting>
  <conditionalFormatting sqref="E253">
    <cfRule type="duplicateValues" dxfId="994" priority="868"/>
  </conditionalFormatting>
  <conditionalFormatting sqref="E253">
    <cfRule type="duplicateValues" dxfId="993" priority="869"/>
  </conditionalFormatting>
  <conditionalFormatting sqref="E253">
    <cfRule type="duplicateValues" dxfId="992" priority="870"/>
    <cfRule type="duplicateValues" dxfId="991" priority="871"/>
  </conditionalFormatting>
  <conditionalFormatting sqref="E253">
    <cfRule type="duplicateValues" dxfId="990" priority="872"/>
  </conditionalFormatting>
  <conditionalFormatting sqref="E275 E273">
    <cfRule type="duplicateValues" dxfId="989" priority="860"/>
  </conditionalFormatting>
  <conditionalFormatting sqref="E273 E275">
    <cfRule type="duplicateValues" dxfId="988" priority="861"/>
  </conditionalFormatting>
  <conditionalFormatting sqref="E275 E273">
    <cfRule type="duplicateValues" dxfId="987" priority="862"/>
    <cfRule type="duplicateValues" dxfId="986" priority="863"/>
  </conditionalFormatting>
  <conditionalFormatting sqref="E275">
    <cfRule type="duplicateValues" dxfId="985" priority="864"/>
  </conditionalFormatting>
  <conditionalFormatting sqref="E274">
    <cfRule type="duplicateValues" dxfId="984" priority="865"/>
  </conditionalFormatting>
  <conditionalFormatting sqref="E274">
    <cfRule type="duplicateValues" dxfId="983" priority="866"/>
    <cfRule type="duplicateValues" dxfId="982" priority="867"/>
  </conditionalFormatting>
  <conditionalFormatting sqref="E280">
    <cfRule type="duplicateValues" dxfId="981" priority="1364"/>
  </conditionalFormatting>
  <conditionalFormatting sqref="E280">
    <cfRule type="duplicateValues" dxfId="980" priority="1365"/>
    <cfRule type="duplicateValues" dxfId="979" priority="1366"/>
  </conditionalFormatting>
  <conditionalFormatting sqref="E238">
    <cfRule type="duplicateValues" dxfId="978" priority="858"/>
  </conditionalFormatting>
  <conditionalFormatting sqref="E238">
    <cfRule type="duplicateValues" dxfId="977" priority="859"/>
  </conditionalFormatting>
  <conditionalFormatting sqref="E242">
    <cfRule type="duplicateValues" dxfId="976" priority="856"/>
  </conditionalFormatting>
  <conditionalFormatting sqref="E242">
    <cfRule type="duplicateValues" dxfId="975" priority="854"/>
    <cfRule type="duplicateValues" dxfId="974" priority="855"/>
  </conditionalFormatting>
  <conditionalFormatting sqref="E242">
    <cfRule type="duplicateValues" dxfId="973" priority="857"/>
  </conditionalFormatting>
  <conditionalFormatting sqref="E242">
    <cfRule type="duplicateValues" dxfId="972" priority="853"/>
  </conditionalFormatting>
  <conditionalFormatting sqref="E242">
    <cfRule type="duplicateValues" dxfId="971" priority="848"/>
  </conditionalFormatting>
  <conditionalFormatting sqref="E242">
    <cfRule type="duplicateValues" dxfId="970" priority="849"/>
  </conditionalFormatting>
  <conditionalFormatting sqref="E242">
    <cfRule type="duplicateValues" dxfId="969" priority="850"/>
    <cfRule type="duplicateValues" dxfId="968" priority="851"/>
  </conditionalFormatting>
  <conditionalFormatting sqref="E242">
    <cfRule type="duplicateValues" dxfId="967" priority="852"/>
  </conditionalFormatting>
  <conditionalFormatting sqref="E248">
    <cfRule type="duplicateValues" dxfId="966" priority="843"/>
  </conditionalFormatting>
  <conditionalFormatting sqref="E248">
    <cfRule type="duplicateValues" dxfId="965" priority="844"/>
  </conditionalFormatting>
  <conditionalFormatting sqref="E248">
    <cfRule type="duplicateValues" dxfId="964" priority="845"/>
    <cfRule type="duplicateValues" dxfId="963" priority="846"/>
  </conditionalFormatting>
  <conditionalFormatting sqref="E248">
    <cfRule type="duplicateValues" dxfId="962" priority="847"/>
  </conditionalFormatting>
  <conditionalFormatting sqref="E238">
    <cfRule type="duplicateValues" dxfId="961" priority="837"/>
  </conditionalFormatting>
  <conditionalFormatting sqref="E238">
    <cfRule type="duplicateValues" dxfId="960" priority="838"/>
  </conditionalFormatting>
  <conditionalFormatting sqref="E238">
    <cfRule type="duplicateValues" dxfId="959" priority="839"/>
    <cfRule type="duplicateValues" dxfId="958" priority="840"/>
  </conditionalFormatting>
  <conditionalFormatting sqref="E238">
    <cfRule type="duplicateValues" dxfId="957" priority="841"/>
  </conditionalFormatting>
  <conditionalFormatting sqref="E238">
    <cfRule type="duplicateValues" dxfId="956" priority="835"/>
  </conditionalFormatting>
  <conditionalFormatting sqref="E238">
    <cfRule type="duplicateValues" dxfId="955" priority="833"/>
    <cfRule type="duplicateValues" dxfId="954" priority="834"/>
  </conditionalFormatting>
  <conditionalFormatting sqref="E238">
    <cfRule type="duplicateValues" dxfId="953" priority="836"/>
  </conditionalFormatting>
  <conditionalFormatting sqref="E238">
    <cfRule type="duplicateValues" dxfId="952" priority="832"/>
  </conditionalFormatting>
  <conditionalFormatting sqref="E239">
    <cfRule type="duplicateValues" dxfId="951" priority="827"/>
  </conditionalFormatting>
  <conditionalFormatting sqref="E239">
    <cfRule type="duplicateValues" dxfId="950" priority="828"/>
  </conditionalFormatting>
  <conditionalFormatting sqref="E239">
    <cfRule type="duplicateValues" dxfId="949" priority="829"/>
    <cfRule type="duplicateValues" dxfId="948" priority="830"/>
  </conditionalFormatting>
  <conditionalFormatting sqref="E239">
    <cfRule type="duplicateValues" dxfId="947" priority="831"/>
  </conditionalFormatting>
  <conditionalFormatting sqref="E240">
    <cfRule type="duplicateValues" dxfId="946" priority="822"/>
  </conditionalFormatting>
  <conditionalFormatting sqref="E240">
    <cfRule type="duplicateValues" dxfId="945" priority="823"/>
  </conditionalFormatting>
  <conditionalFormatting sqref="E240">
    <cfRule type="duplicateValues" dxfId="944" priority="824"/>
    <cfRule type="duplicateValues" dxfId="943" priority="825"/>
  </conditionalFormatting>
  <conditionalFormatting sqref="E240">
    <cfRule type="duplicateValues" dxfId="942" priority="826"/>
  </conditionalFormatting>
  <conditionalFormatting sqref="D238:D240">
    <cfRule type="duplicateValues" dxfId="941" priority="821"/>
  </conditionalFormatting>
  <conditionalFormatting sqref="E238:E240">
    <cfRule type="duplicateValues" dxfId="940" priority="842"/>
  </conditionalFormatting>
  <conditionalFormatting sqref="E334">
    <cfRule type="duplicateValues" dxfId="939" priority="807"/>
  </conditionalFormatting>
  <conditionalFormatting sqref="E337">
    <cfRule type="duplicateValues" dxfId="938" priority="802"/>
  </conditionalFormatting>
  <conditionalFormatting sqref="E337">
    <cfRule type="duplicateValues" dxfId="937" priority="803"/>
  </conditionalFormatting>
  <conditionalFormatting sqref="E337">
    <cfRule type="duplicateValues" dxfId="936" priority="804"/>
    <cfRule type="duplicateValues" dxfId="935" priority="805"/>
  </conditionalFormatting>
  <conditionalFormatting sqref="E337">
    <cfRule type="duplicateValues" dxfId="934" priority="806"/>
  </conditionalFormatting>
  <conditionalFormatting sqref="E321">
    <cfRule type="duplicateValues" dxfId="933" priority="800"/>
  </conditionalFormatting>
  <conditionalFormatting sqref="E319:E321">
    <cfRule type="duplicateValues" dxfId="932" priority="801"/>
  </conditionalFormatting>
  <conditionalFormatting sqref="E319:E320">
    <cfRule type="duplicateValues" dxfId="931" priority="808"/>
  </conditionalFormatting>
  <conditionalFormatting sqref="E319:E321">
    <cfRule type="duplicateValues" dxfId="930" priority="809"/>
    <cfRule type="duplicateValues" dxfId="929" priority="810"/>
  </conditionalFormatting>
  <conditionalFormatting sqref="E327">
    <cfRule type="duplicateValues" dxfId="928" priority="799"/>
  </conditionalFormatting>
  <conditionalFormatting sqref="E328:E329">
    <cfRule type="duplicateValues" dxfId="927" priority="794"/>
  </conditionalFormatting>
  <conditionalFormatting sqref="E328:E329">
    <cfRule type="duplicateValues" dxfId="926" priority="795"/>
  </conditionalFormatting>
  <conditionalFormatting sqref="E328:E329">
    <cfRule type="duplicateValues" dxfId="925" priority="796"/>
    <cfRule type="duplicateValues" dxfId="924" priority="797"/>
  </conditionalFormatting>
  <conditionalFormatting sqref="E328:E329">
    <cfRule type="duplicateValues" dxfId="923" priority="798"/>
  </conditionalFormatting>
  <conditionalFormatting sqref="E330">
    <cfRule type="duplicateValues" dxfId="922" priority="792"/>
  </conditionalFormatting>
  <conditionalFormatting sqref="E330">
    <cfRule type="duplicateValues" dxfId="921" priority="790"/>
    <cfRule type="duplicateValues" dxfId="920" priority="791"/>
  </conditionalFormatting>
  <conditionalFormatting sqref="E330">
    <cfRule type="duplicateValues" dxfId="919" priority="793"/>
  </conditionalFormatting>
  <conditionalFormatting sqref="E330">
    <cfRule type="duplicateValues" dxfId="918" priority="789"/>
  </conditionalFormatting>
  <conditionalFormatting sqref="E331">
    <cfRule type="duplicateValues" dxfId="917" priority="786"/>
  </conditionalFormatting>
  <conditionalFormatting sqref="E331">
    <cfRule type="duplicateValues" dxfId="916" priority="787"/>
    <cfRule type="duplicateValues" dxfId="915" priority="788"/>
  </conditionalFormatting>
  <conditionalFormatting sqref="E331">
    <cfRule type="duplicateValues" dxfId="914" priority="785"/>
  </conditionalFormatting>
  <conditionalFormatting sqref="E322:E325 E332:E333 E306:E316">
    <cfRule type="duplicateValues" dxfId="913" priority="811"/>
  </conditionalFormatting>
  <conditionalFormatting sqref="E322:E325 E311:E316 E332:E333">
    <cfRule type="duplicateValues" dxfId="912" priority="812"/>
  </conditionalFormatting>
  <conditionalFormatting sqref="E322:E325 E332:E333 E306:E316">
    <cfRule type="duplicateValues" dxfId="911" priority="813"/>
    <cfRule type="duplicateValues" dxfId="910" priority="814"/>
  </conditionalFormatting>
  <conditionalFormatting sqref="E322:E325">
    <cfRule type="duplicateValues" dxfId="909" priority="815"/>
  </conditionalFormatting>
  <conditionalFormatting sqref="E326:E327">
    <cfRule type="duplicateValues" dxfId="908" priority="816"/>
  </conditionalFormatting>
  <conditionalFormatting sqref="E326">
    <cfRule type="duplicateValues" dxfId="907" priority="817"/>
  </conditionalFormatting>
  <conditionalFormatting sqref="E326:E327">
    <cfRule type="duplicateValues" dxfId="906" priority="818"/>
    <cfRule type="duplicateValues" dxfId="905" priority="819"/>
  </conditionalFormatting>
  <conditionalFormatting sqref="E306:E310">
    <cfRule type="duplicateValues" dxfId="904" priority="820"/>
  </conditionalFormatting>
  <conditionalFormatting sqref="E334:E335">
    <cfRule type="duplicateValues" dxfId="903" priority="779"/>
  </conditionalFormatting>
  <conditionalFormatting sqref="E334:E335">
    <cfRule type="duplicateValues" dxfId="902" priority="780"/>
  </conditionalFormatting>
  <conditionalFormatting sqref="E334:E335">
    <cfRule type="duplicateValues" dxfId="901" priority="781"/>
    <cfRule type="duplicateValues" dxfId="900" priority="782"/>
  </conditionalFormatting>
  <conditionalFormatting sqref="E334:E335">
    <cfRule type="duplicateValues" dxfId="899" priority="783"/>
  </conditionalFormatting>
  <conditionalFormatting sqref="E336">
    <cfRule type="duplicateValues" dxfId="898" priority="777"/>
  </conditionalFormatting>
  <conditionalFormatting sqref="E336">
    <cfRule type="duplicateValues" dxfId="897" priority="775"/>
    <cfRule type="duplicateValues" dxfId="896" priority="776"/>
  </conditionalFormatting>
  <conditionalFormatting sqref="E336">
    <cfRule type="duplicateValues" dxfId="895" priority="778"/>
  </conditionalFormatting>
  <conditionalFormatting sqref="E336">
    <cfRule type="duplicateValues" dxfId="894" priority="774"/>
  </conditionalFormatting>
  <conditionalFormatting sqref="D334:D336">
    <cfRule type="duplicateValues" dxfId="893" priority="773"/>
  </conditionalFormatting>
  <conditionalFormatting sqref="E334:E336">
    <cfRule type="duplicateValues" dxfId="892" priority="784"/>
  </conditionalFormatting>
  <conditionalFormatting sqref="E345:E347">
    <cfRule type="duplicateValues" dxfId="891" priority="1367"/>
  </conditionalFormatting>
  <conditionalFormatting sqref="E345:E347">
    <cfRule type="duplicateValues" dxfId="890" priority="1368"/>
    <cfRule type="duplicateValues" dxfId="889" priority="1369"/>
  </conditionalFormatting>
  <conditionalFormatting sqref="D354:D355">
    <cfRule type="duplicateValues" dxfId="888" priority="766"/>
  </conditionalFormatting>
  <conditionalFormatting sqref="E354:E355">
    <cfRule type="duplicateValues" dxfId="887" priority="767"/>
  </conditionalFormatting>
  <conditionalFormatting sqref="E354:E355">
    <cfRule type="duplicateValues" dxfId="886" priority="768"/>
  </conditionalFormatting>
  <conditionalFormatting sqref="E354:E355">
    <cfRule type="duplicateValues" dxfId="885" priority="769"/>
  </conditionalFormatting>
  <conditionalFormatting sqref="E354:E355">
    <cfRule type="duplicateValues" dxfId="884" priority="770"/>
    <cfRule type="duplicateValues" dxfId="883" priority="771"/>
  </conditionalFormatting>
  <conditionalFormatting sqref="E354:E355">
    <cfRule type="duplicateValues" dxfId="882" priority="772"/>
  </conditionalFormatting>
  <conditionalFormatting sqref="E353">
    <cfRule type="duplicateValues" dxfId="881" priority="763"/>
  </conditionalFormatting>
  <conditionalFormatting sqref="E353">
    <cfRule type="duplicateValues" dxfId="880" priority="764"/>
    <cfRule type="duplicateValues" dxfId="879" priority="765"/>
  </conditionalFormatting>
  <conditionalFormatting sqref="D353">
    <cfRule type="duplicateValues" dxfId="878" priority="756"/>
  </conditionalFormatting>
  <conditionalFormatting sqref="E353">
    <cfRule type="duplicateValues" dxfId="877" priority="757"/>
  </conditionalFormatting>
  <conditionalFormatting sqref="E353">
    <cfRule type="duplicateValues" dxfId="876" priority="758"/>
  </conditionalFormatting>
  <conditionalFormatting sqref="E353">
    <cfRule type="duplicateValues" dxfId="875" priority="759"/>
  </conditionalFormatting>
  <conditionalFormatting sqref="E353">
    <cfRule type="duplicateValues" dxfId="874" priority="760"/>
    <cfRule type="duplicateValues" dxfId="873" priority="761"/>
  </conditionalFormatting>
  <conditionalFormatting sqref="E353">
    <cfRule type="duplicateValues" dxfId="872" priority="762"/>
  </conditionalFormatting>
  <conditionalFormatting sqref="E845">
    <cfRule type="duplicateValues" dxfId="871" priority="751"/>
  </conditionalFormatting>
  <conditionalFormatting sqref="E845">
    <cfRule type="duplicateValues" dxfId="870" priority="750"/>
  </conditionalFormatting>
  <conditionalFormatting sqref="E845">
    <cfRule type="duplicateValues" dxfId="869" priority="752"/>
    <cfRule type="duplicateValues" dxfId="868" priority="753"/>
  </conditionalFormatting>
  <conditionalFormatting sqref="E845">
    <cfRule type="duplicateValues" dxfId="867" priority="754"/>
  </conditionalFormatting>
  <conditionalFormatting sqref="E844">
    <cfRule type="duplicateValues" dxfId="866" priority="746"/>
  </conditionalFormatting>
  <conditionalFormatting sqref="E844">
    <cfRule type="duplicateValues" dxfId="865" priority="745"/>
  </conditionalFormatting>
  <conditionalFormatting sqref="E844">
    <cfRule type="duplicateValues" dxfId="864" priority="747"/>
    <cfRule type="duplicateValues" dxfId="863" priority="748"/>
  </conditionalFormatting>
  <conditionalFormatting sqref="E844">
    <cfRule type="duplicateValues" dxfId="862" priority="749"/>
  </conditionalFormatting>
  <conditionalFormatting sqref="E844">
    <cfRule type="duplicateValues" dxfId="861" priority="744"/>
  </conditionalFormatting>
  <conditionalFormatting sqref="D844:D845">
    <cfRule type="duplicateValues" dxfId="860" priority="743"/>
  </conditionalFormatting>
  <conditionalFormatting sqref="E845">
    <cfRule type="duplicateValues" dxfId="859" priority="755"/>
  </conditionalFormatting>
  <conditionalFormatting sqref="E571">
    <cfRule type="duplicateValues" dxfId="858" priority="731"/>
  </conditionalFormatting>
  <conditionalFormatting sqref="E575">
    <cfRule type="duplicateValues" dxfId="857" priority="730"/>
  </conditionalFormatting>
  <conditionalFormatting sqref="E545">
    <cfRule type="duplicateValues" dxfId="856" priority="729"/>
  </conditionalFormatting>
  <conditionalFormatting sqref="E546:E549">
    <cfRule type="duplicateValues" dxfId="855" priority="732"/>
  </conditionalFormatting>
  <conditionalFormatting sqref="E546:E549">
    <cfRule type="duplicateValues" dxfId="854" priority="733"/>
    <cfRule type="duplicateValues" dxfId="853" priority="734"/>
  </conditionalFormatting>
  <conditionalFormatting sqref="E546:E549">
    <cfRule type="duplicateValues" dxfId="852" priority="735"/>
  </conditionalFormatting>
  <conditionalFormatting sqref="E545">
    <cfRule type="duplicateValues" dxfId="851" priority="736"/>
  </conditionalFormatting>
  <conditionalFormatting sqref="E563">
    <cfRule type="duplicateValues" dxfId="850" priority="724"/>
  </conditionalFormatting>
  <conditionalFormatting sqref="E564">
    <cfRule type="duplicateValues" dxfId="849" priority="723"/>
  </conditionalFormatting>
  <conditionalFormatting sqref="E558:E564">
    <cfRule type="duplicateValues" dxfId="848" priority="722"/>
  </conditionalFormatting>
  <conditionalFormatting sqref="E558:E564">
    <cfRule type="duplicateValues" dxfId="847" priority="725"/>
    <cfRule type="duplicateValues" dxfId="846" priority="726"/>
  </conditionalFormatting>
  <conditionalFormatting sqref="E558:E564">
    <cfRule type="duplicateValues" dxfId="845" priority="727"/>
  </conditionalFormatting>
  <conditionalFormatting sqref="E558:E562">
    <cfRule type="duplicateValues" dxfId="844" priority="728"/>
  </conditionalFormatting>
  <conditionalFormatting sqref="E574">
    <cfRule type="duplicateValues" dxfId="843" priority="718"/>
  </conditionalFormatting>
  <conditionalFormatting sqref="E574">
    <cfRule type="duplicateValues" dxfId="842" priority="717"/>
  </conditionalFormatting>
  <conditionalFormatting sqref="E574">
    <cfRule type="duplicateValues" dxfId="841" priority="719"/>
    <cfRule type="duplicateValues" dxfId="840" priority="720"/>
  </conditionalFormatting>
  <conditionalFormatting sqref="E574">
    <cfRule type="duplicateValues" dxfId="839" priority="721"/>
  </conditionalFormatting>
  <conditionalFormatting sqref="E565:E567">
    <cfRule type="duplicateValues" dxfId="838" priority="712"/>
  </conditionalFormatting>
  <conditionalFormatting sqref="E565:E567">
    <cfRule type="duplicateValues" dxfId="837" priority="713"/>
  </conditionalFormatting>
  <conditionalFormatting sqref="E565:E567">
    <cfRule type="duplicateValues" dxfId="836" priority="714"/>
    <cfRule type="duplicateValues" dxfId="835" priority="715"/>
  </conditionalFormatting>
  <conditionalFormatting sqref="E565:E567">
    <cfRule type="duplicateValues" dxfId="834" priority="716"/>
  </conditionalFormatting>
  <conditionalFormatting sqref="E568">
    <cfRule type="duplicateValues" dxfId="833" priority="708"/>
  </conditionalFormatting>
  <conditionalFormatting sqref="E568">
    <cfRule type="duplicateValues" dxfId="832" priority="707"/>
  </conditionalFormatting>
  <conditionalFormatting sqref="E568">
    <cfRule type="duplicateValues" dxfId="831" priority="709"/>
    <cfRule type="duplicateValues" dxfId="830" priority="710"/>
  </conditionalFormatting>
  <conditionalFormatting sqref="E568">
    <cfRule type="duplicateValues" dxfId="829" priority="711"/>
  </conditionalFormatting>
  <conditionalFormatting sqref="E575 E556:E557 E550 E569:E571">
    <cfRule type="duplicateValues" dxfId="828" priority="737"/>
  </conditionalFormatting>
  <conditionalFormatting sqref="E575 E556:E557 E550 E569:E571">
    <cfRule type="duplicateValues" dxfId="827" priority="738"/>
    <cfRule type="duplicateValues" dxfId="826" priority="739"/>
  </conditionalFormatting>
  <conditionalFormatting sqref="E556:E557">
    <cfRule type="duplicateValues" dxfId="825" priority="740"/>
  </conditionalFormatting>
  <conditionalFormatting sqref="E545">
    <cfRule type="duplicateValues" dxfId="824" priority="741"/>
    <cfRule type="duplicateValues" dxfId="823" priority="742"/>
  </conditionalFormatting>
  <conditionalFormatting sqref="E609">
    <cfRule type="duplicateValues" dxfId="822" priority="702"/>
  </conditionalFormatting>
  <conditionalFormatting sqref="D609">
    <cfRule type="duplicateValues" dxfId="821" priority="701"/>
  </conditionalFormatting>
  <conditionalFormatting sqref="E609">
    <cfRule type="duplicateValues" dxfId="820" priority="703"/>
  </conditionalFormatting>
  <conditionalFormatting sqref="E609">
    <cfRule type="duplicateValues" dxfId="819" priority="704"/>
  </conditionalFormatting>
  <conditionalFormatting sqref="E609">
    <cfRule type="duplicateValues" dxfId="818" priority="705"/>
    <cfRule type="duplicateValues" dxfId="817" priority="706"/>
  </conditionalFormatting>
  <conditionalFormatting sqref="D465:D466">
    <cfRule type="duplicateValues" dxfId="816" priority="694"/>
  </conditionalFormatting>
  <conditionalFormatting sqref="E465:E466">
    <cfRule type="duplicateValues" dxfId="815" priority="695"/>
  </conditionalFormatting>
  <conditionalFormatting sqref="E465:E466">
    <cfRule type="duplicateValues" dxfId="814" priority="696"/>
  </conditionalFormatting>
  <conditionalFormatting sqref="E465:E466">
    <cfRule type="duplicateValues" dxfId="813" priority="697"/>
  </conditionalFormatting>
  <conditionalFormatting sqref="E465:E466">
    <cfRule type="duplicateValues" dxfId="812" priority="698"/>
    <cfRule type="duplicateValues" dxfId="811" priority="699"/>
  </conditionalFormatting>
  <conditionalFormatting sqref="E465:E466">
    <cfRule type="duplicateValues" dxfId="810" priority="700"/>
  </conditionalFormatting>
  <conditionalFormatting sqref="E465:E466">
    <cfRule type="duplicateValues" dxfId="809" priority="693"/>
  </conditionalFormatting>
  <conditionalFormatting sqref="E658">
    <cfRule type="duplicateValues" dxfId="808" priority="678"/>
    <cfRule type="duplicateValues" dxfId="807" priority="679"/>
  </conditionalFormatting>
  <conditionalFormatting sqref="E658">
    <cfRule type="duplicateValues" dxfId="806" priority="680"/>
  </conditionalFormatting>
  <conditionalFormatting sqref="E658">
    <cfRule type="duplicateValues" dxfId="805" priority="681"/>
  </conditionalFormatting>
  <conditionalFormatting sqref="E658">
    <cfRule type="duplicateValues" dxfId="804" priority="682"/>
    <cfRule type="duplicateValues" dxfId="803" priority="683"/>
  </conditionalFormatting>
  <conditionalFormatting sqref="E658">
    <cfRule type="duplicateValues" dxfId="802" priority="684"/>
  </conditionalFormatting>
  <conditionalFormatting sqref="E660">
    <cfRule type="duplicateValues" dxfId="801" priority="685"/>
  </conditionalFormatting>
  <conditionalFormatting sqref="E655">
    <cfRule type="duplicateValues" dxfId="800" priority="670"/>
    <cfRule type="duplicateValues" dxfId="799" priority="671"/>
  </conditionalFormatting>
  <conditionalFormatting sqref="E655">
    <cfRule type="duplicateValues" dxfId="798" priority="672"/>
  </conditionalFormatting>
  <conditionalFormatting sqref="E656">
    <cfRule type="duplicateValues" dxfId="797" priority="673"/>
  </conditionalFormatting>
  <conditionalFormatting sqref="E656:E657">
    <cfRule type="duplicateValues" dxfId="796" priority="674"/>
    <cfRule type="duplicateValues" dxfId="795" priority="675"/>
  </conditionalFormatting>
  <conditionalFormatting sqref="E656:E657">
    <cfRule type="duplicateValues" dxfId="794" priority="676"/>
  </conditionalFormatting>
  <conditionalFormatting sqref="E657">
    <cfRule type="duplicateValues" dxfId="793" priority="677"/>
  </conditionalFormatting>
  <conditionalFormatting sqref="D655:D660">
    <cfRule type="duplicateValues" dxfId="792" priority="669"/>
  </conditionalFormatting>
  <conditionalFormatting sqref="E655:E660">
    <cfRule type="duplicateValues" dxfId="791" priority="686"/>
  </conditionalFormatting>
  <conditionalFormatting sqref="E658:E660">
    <cfRule type="duplicateValues" dxfId="790" priority="687"/>
  </conditionalFormatting>
  <conditionalFormatting sqref="E659">
    <cfRule type="duplicateValues" dxfId="789" priority="688"/>
  </conditionalFormatting>
  <conditionalFormatting sqref="E659:E660">
    <cfRule type="duplicateValues" dxfId="788" priority="689"/>
    <cfRule type="duplicateValues" dxfId="787" priority="690"/>
  </conditionalFormatting>
  <conditionalFormatting sqref="E659:E660">
    <cfRule type="duplicateValues" dxfId="786" priority="691"/>
  </conditionalFormatting>
  <conditionalFormatting sqref="E655:E657">
    <cfRule type="duplicateValues" dxfId="785" priority="692"/>
  </conditionalFormatting>
  <conditionalFormatting sqref="E655:E660">
    <cfRule type="duplicateValues" dxfId="784" priority="668"/>
  </conditionalFormatting>
  <conditionalFormatting sqref="E457">
    <cfRule type="duplicateValues" dxfId="783" priority="662"/>
  </conditionalFormatting>
  <conditionalFormatting sqref="D457">
    <cfRule type="duplicateValues" dxfId="782" priority="661"/>
  </conditionalFormatting>
  <conditionalFormatting sqref="E457">
    <cfRule type="duplicateValues" dxfId="781" priority="663"/>
  </conditionalFormatting>
  <conditionalFormatting sqref="E457">
    <cfRule type="duplicateValues" dxfId="780" priority="664"/>
  </conditionalFormatting>
  <conditionalFormatting sqref="E457">
    <cfRule type="duplicateValues" dxfId="779" priority="665"/>
    <cfRule type="duplicateValues" dxfId="778" priority="666"/>
  </conditionalFormatting>
  <conditionalFormatting sqref="E457">
    <cfRule type="duplicateValues" dxfId="777" priority="667"/>
  </conditionalFormatting>
  <conditionalFormatting sqref="E457">
    <cfRule type="duplicateValues" dxfId="776" priority="660"/>
  </conditionalFormatting>
  <conditionalFormatting sqref="E388">
    <cfRule type="duplicateValues" dxfId="775" priority="653"/>
  </conditionalFormatting>
  <conditionalFormatting sqref="E388">
    <cfRule type="duplicateValues" dxfId="774" priority="654"/>
  </conditionalFormatting>
  <conditionalFormatting sqref="E388">
    <cfRule type="duplicateValues" dxfId="773" priority="655"/>
    <cfRule type="duplicateValues" dxfId="772" priority="656"/>
  </conditionalFormatting>
  <conditionalFormatting sqref="E388">
    <cfRule type="duplicateValues" dxfId="771" priority="657"/>
  </conditionalFormatting>
  <conditionalFormatting sqref="E389:E390">
    <cfRule type="duplicateValues" dxfId="770" priority="652"/>
  </conditionalFormatting>
  <conditionalFormatting sqref="E389:E390">
    <cfRule type="duplicateValues" dxfId="769" priority="658"/>
    <cfRule type="duplicateValues" dxfId="768" priority="659"/>
  </conditionalFormatting>
  <conditionalFormatting sqref="E423:E424">
    <cfRule type="duplicateValues" dxfId="767" priority="640"/>
  </conditionalFormatting>
  <conditionalFormatting sqref="E422:E424">
    <cfRule type="duplicateValues" dxfId="766" priority="639"/>
  </conditionalFormatting>
  <conditionalFormatting sqref="E422">
    <cfRule type="duplicateValues" dxfId="765" priority="641"/>
  </conditionalFormatting>
  <conditionalFormatting sqref="E422:E424">
    <cfRule type="duplicateValues" dxfId="764" priority="642"/>
    <cfRule type="duplicateValues" dxfId="763" priority="643"/>
  </conditionalFormatting>
  <conditionalFormatting sqref="E422:E424">
    <cfRule type="duplicateValues" dxfId="762" priority="644"/>
  </conditionalFormatting>
  <conditionalFormatting sqref="E395">
    <cfRule type="duplicateValues" dxfId="761" priority="634"/>
  </conditionalFormatting>
  <conditionalFormatting sqref="E395">
    <cfRule type="duplicateValues" dxfId="760" priority="635"/>
  </conditionalFormatting>
  <conditionalFormatting sqref="E395">
    <cfRule type="duplicateValues" dxfId="759" priority="636"/>
    <cfRule type="duplicateValues" dxfId="758" priority="637"/>
  </conditionalFormatting>
  <conditionalFormatting sqref="E395">
    <cfRule type="duplicateValues" dxfId="757" priority="638"/>
  </conditionalFormatting>
  <conditionalFormatting sqref="E410 E396:E408">
    <cfRule type="duplicateValues" dxfId="756" priority="633"/>
  </conditionalFormatting>
  <conditionalFormatting sqref="E409">
    <cfRule type="duplicateValues" dxfId="755" priority="632"/>
  </conditionalFormatting>
  <conditionalFormatting sqref="E411">
    <cfRule type="duplicateValues" dxfId="754" priority="627"/>
  </conditionalFormatting>
  <conditionalFormatting sqref="E411">
    <cfRule type="duplicateValues" dxfId="753" priority="628"/>
  </conditionalFormatting>
  <conditionalFormatting sqref="E411">
    <cfRule type="duplicateValues" dxfId="752" priority="629"/>
    <cfRule type="duplicateValues" dxfId="751" priority="630"/>
  </conditionalFormatting>
  <conditionalFormatting sqref="E411">
    <cfRule type="duplicateValues" dxfId="750" priority="631"/>
  </conditionalFormatting>
  <conditionalFormatting sqref="E425 E412:E421 E392:E394">
    <cfRule type="duplicateValues" dxfId="749" priority="645"/>
  </conditionalFormatting>
  <conditionalFormatting sqref="E425">
    <cfRule type="duplicateValues" dxfId="748" priority="646"/>
  </conditionalFormatting>
  <conditionalFormatting sqref="E425 E412:E421 E392:E394">
    <cfRule type="duplicateValues" dxfId="747" priority="647"/>
    <cfRule type="duplicateValues" dxfId="746" priority="648"/>
  </conditionalFormatting>
  <conditionalFormatting sqref="E410">
    <cfRule type="duplicateValues" dxfId="745" priority="649"/>
  </conditionalFormatting>
  <conditionalFormatting sqref="E410 E396:E408">
    <cfRule type="duplicateValues" dxfId="744" priority="650"/>
    <cfRule type="duplicateValues" dxfId="743" priority="651"/>
  </conditionalFormatting>
  <conditionalFormatting sqref="E846">
    <cfRule type="duplicateValues" dxfId="742" priority="623"/>
  </conditionalFormatting>
  <conditionalFormatting sqref="E846">
    <cfRule type="duplicateValues" dxfId="741" priority="622"/>
  </conditionalFormatting>
  <conditionalFormatting sqref="E846">
    <cfRule type="duplicateValues" dxfId="740" priority="624"/>
    <cfRule type="duplicateValues" dxfId="739" priority="625"/>
  </conditionalFormatting>
  <conditionalFormatting sqref="E846">
    <cfRule type="duplicateValues" dxfId="738" priority="626"/>
  </conditionalFormatting>
  <conditionalFormatting sqref="E846">
    <cfRule type="duplicateValues" dxfId="737" priority="621"/>
  </conditionalFormatting>
  <conditionalFormatting sqref="D846">
    <cfRule type="duplicateValues" dxfId="736" priority="620"/>
  </conditionalFormatting>
  <conditionalFormatting sqref="E846">
    <cfRule type="duplicateValues" dxfId="735" priority="619"/>
  </conditionalFormatting>
  <conditionalFormatting sqref="E847">
    <cfRule type="duplicateValues" dxfId="734" priority="614"/>
  </conditionalFormatting>
  <conditionalFormatting sqref="E847">
    <cfRule type="duplicateValues" dxfId="733" priority="613"/>
  </conditionalFormatting>
  <conditionalFormatting sqref="E847">
    <cfRule type="duplicateValues" dxfId="732" priority="615"/>
    <cfRule type="duplicateValues" dxfId="731" priority="616"/>
  </conditionalFormatting>
  <conditionalFormatting sqref="E847">
    <cfRule type="duplicateValues" dxfId="730" priority="617"/>
  </conditionalFormatting>
  <conditionalFormatting sqref="E846">
    <cfRule type="duplicateValues" dxfId="729" priority="609"/>
  </conditionalFormatting>
  <conditionalFormatting sqref="E846">
    <cfRule type="duplicateValues" dxfId="728" priority="608"/>
  </conditionalFormatting>
  <conditionalFormatting sqref="E846">
    <cfRule type="duplicateValues" dxfId="727" priority="610"/>
    <cfRule type="duplicateValues" dxfId="726" priority="611"/>
  </conditionalFormatting>
  <conditionalFormatting sqref="E846">
    <cfRule type="duplicateValues" dxfId="725" priority="612"/>
  </conditionalFormatting>
  <conditionalFormatting sqref="E846">
    <cfRule type="duplicateValues" dxfId="724" priority="607"/>
  </conditionalFormatting>
  <conditionalFormatting sqref="D846:D847">
    <cfRule type="duplicateValues" dxfId="723" priority="606"/>
  </conditionalFormatting>
  <conditionalFormatting sqref="E847">
    <cfRule type="duplicateValues" dxfId="722" priority="618"/>
  </conditionalFormatting>
  <conditionalFormatting sqref="E846:E847">
    <cfRule type="duplicateValues" dxfId="721" priority="605"/>
  </conditionalFormatting>
  <conditionalFormatting sqref="E769">
    <cfRule type="duplicateValues" dxfId="720" priority="604"/>
  </conditionalFormatting>
  <conditionalFormatting sqref="E687">
    <cfRule type="duplicateValues" dxfId="719" priority="599"/>
  </conditionalFormatting>
  <conditionalFormatting sqref="E687">
    <cfRule type="duplicateValues" dxfId="718" priority="600"/>
  </conditionalFormatting>
  <conditionalFormatting sqref="E687">
    <cfRule type="duplicateValues" dxfId="717" priority="601"/>
    <cfRule type="duplicateValues" dxfId="716" priority="602"/>
  </conditionalFormatting>
  <conditionalFormatting sqref="E687">
    <cfRule type="duplicateValues" dxfId="715" priority="603"/>
  </conditionalFormatting>
  <conditionalFormatting sqref="D692">
    <cfRule type="duplicateValues" dxfId="714" priority="592"/>
  </conditionalFormatting>
  <conditionalFormatting sqref="E692">
    <cfRule type="duplicateValues" dxfId="713" priority="593"/>
  </conditionalFormatting>
  <conditionalFormatting sqref="E692">
    <cfRule type="duplicateValues" dxfId="712" priority="594"/>
  </conditionalFormatting>
  <conditionalFormatting sqref="E692">
    <cfRule type="duplicateValues" dxfId="711" priority="595"/>
  </conditionalFormatting>
  <conditionalFormatting sqref="E692">
    <cfRule type="duplicateValues" dxfId="710" priority="596"/>
    <cfRule type="duplicateValues" dxfId="709" priority="597"/>
  </conditionalFormatting>
  <conditionalFormatting sqref="E692">
    <cfRule type="duplicateValues" dxfId="708" priority="598"/>
  </conditionalFormatting>
  <conditionalFormatting sqref="E692">
    <cfRule type="duplicateValues" dxfId="707" priority="591"/>
  </conditionalFormatting>
  <conditionalFormatting sqref="D687:D688">
    <cfRule type="duplicateValues" dxfId="706" priority="1370"/>
  </conditionalFormatting>
  <conditionalFormatting sqref="E687:E688">
    <cfRule type="duplicateValues" dxfId="705" priority="1371"/>
  </conditionalFormatting>
  <conditionalFormatting sqref="E688">
    <cfRule type="duplicateValues" dxfId="704" priority="1372"/>
  </conditionalFormatting>
  <conditionalFormatting sqref="E688">
    <cfRule type="duplicateValues" dxfId="703" priority="1373"/>
    <cfRule type="duplicateValues" dxfId="702" priority="1374"/>
  </conditionalFormatting>
  <conditionalFormatting sqref="E786">
    <cfRule type="duplicateValues" dxfId="701" priority="580"/>
  </conditionalFormatting>
  <conditionalFormatting sqref="E786">
    <cfRule type="duplicateValues" dxfId="700" priority="581"/>
  </conditionalFormatting>
  <conditionalFormatting sqref="E786">
    <cfRule type="duplicateValues" dxfId="699" priority="582"/>
    <cfRule type="duplicateValues" dxfId="698" priority="583"/>
  </conditionalFormatting>
  <conditionalFormatting sqref="E786">
    <cfRule type="duplicateValues" dxfId="697" priority="584"/>
  </conditionalFormatting>
  <conditionalFormatting sqref="D786:D787">
    <cfRule type="duplicateValues" dxfId="696" priority="579"/>
  </conditionalFormatting>
  <conditionalFormatting sqref="E786:E787">
    <cfRule type="duplicateValues" dxfId="695" priority="585"/>
  </conditionalFormatting>
  <conditionalFormatting sqref="E787">
    <cfRule type="duplicateValues" dxfId="694" priority="586"/>
  </conditionalFormatting>
  <conditionalFormatting sqref="E787">
    <cfRule type="duplicateValues" dxfId="693" priority="587"/>
  </conditionalFormatting>
  <conditionalFormatting sqref="E787">
    <cfRule type="duplicateValues" dxfId="692" priority="588"/>
    <cfRule type="duplicateValues" dxfId="691" priority="589"/>
  </conditionalFormatting>
  <conditionalFormatting sqref="E787">
    <cfRule type="duplicateValues" dxfId="690" priority="590"/>
  </conditionalFormatting>
  <conditionalFormatting sqref="E786:E787">
    <cfRule type="duplicateValues" dxfId="689" priority="578"/>
  </conditionalFormatting>
  <conditionalFormatting sqref="E792">
    <cfRule type="duplicateValues" dxfId="688" priority="574"/>
  </conditionalFormatting>
  <conditionalFormatting sqref="E792">
    <cfRule type="duplicateValues" dxfId="687" priority="575"/>
    <cfRule type="duplicateValues" dxfId="686" priority="576"/>
  </conditionalFormatting>
  <conditionalFormatting sqref="E792">
    <cfRule type="duplicateValues" dxfId="685" priority="577"/>
  </conditionalFormatting>
  <conditionalFormatting sqref="E792">
    <cfRule type="duplicateValues" dxfId="684" priority="573"/>
  </conditionalFormatting>
  <conditionalFormatting sqref="E791">
    <cfRule type="duplicateValues" dxfId="683" priority="569"/>
  </conditionalFormatting>
  <conditionalFormatting sqref="E791">
    <cfRule type="duplicateValues" dxfId="682" priority="570"/>
    <cfRule type="duplicateValues" dxfId="681" priority="571"/>
  </conditionalFormatting>
  <conditionalFormatting sqref="E791">
    <cfRule type="duplicateValues" dxfId="680" priority="572"/>
  </conditionalFormatting>
  <conditionalFormatting sqref="E791">
    <cfRule type="duplicateValues" dxfId="679" priority="568"/>
  </conditionalFormatting>
  <conditionalFormatting sqref="E792">
    <cfRule type="duplicateValues" dxfId="678" priority="564"/>
  </conditionalFormatting>
  <conditionalFormatting sqref="E792">
    <cfRule type="duplicateValues" dxfId="677" priority="565"/>
    <cfRule type="duplicateValues" dxfId="676" priority="566"/>
  </conditionalFormatting>
  <conditionalFormatting sqref="E792">
    <cfRule type="duplicateValues" dxfId="675" priority="567"/>
  </conditionalFormatting>
  <conditionalFormatting sqref="E792">
    <cfRule type="duplicateValues" dxfId="674" priority="563"/>
  </conditionalFormatting>
  <conditionalFormatting sqref="E793">
    <cfRule type="duplicateValues" dxfId="673" priority="560"/>
  </conditionalFormatting>
  <conditionalFormatting sqref="E793">
    <cfRule type="duplicateValues" dxfId="672" priority="561"/>
    <cfRule type="duplicateValues" dxfId="671" priority="562"/>
  </conditionalFormatting>
  <conditionalFormatting sqref="D337 D306:D333">
    <cfRule type="duplicateValues" dxfId="670" priority="1375"/>
  </conditionalFormatting>
  <conditionalFormatting sqref="E337 E306:E333">
    <cfRule type="duplicateValues" dxfId="669" priority="1376"/>
  </conditionalFormatting>
  <conditionalFormatting sqref="E189">
    <cfRule type="duplicateValues" dxfId="668" priority="557"/>
  </conditionalFormatting>
  <conditionalFormatting sqref="E189">
    <cfRule type="duplicateValues" dxfId="667" priority="558"/>
    <cfRule type="duplicateValues" dxfId="666" priority="559"/>
  </conditionalFormatting>
  <conditionalFormatting sqref="D191:D192 D54:D55">
    <cfRule type="duplicateValues" dxfId="665" priority="1377"/>
  </conditionalFormatting>
  <conditionalFormatting sqref="E191:E192 E54:E55">
    <cfRule type="duplicateValues" dxfId="664" priority="1378"/>
  </conditionalFormatting>
  <conditionalFormatting sqref="E848:E1048576 E469:E571 E661:E686 E391 E770:E771 E689:E691 E788:E793 E2:E10 E76:E97 E242 E153:E155 E358 E574:E575 E581:E597 E214:E240 E250:E255 E258:E280 E362:E384 E13:E59 E99:E151 E753:E768 E158:E206 E294:E356 E796:E845 E282:E288 E646:E654 E425:E460 E693:E715 E73 E717:E718 E599:E617 E620 E65:E71 E633:E644 E248 E720:E747 E783:E785">
    <cfRule type="duplicateValues" dxfId="663" priority="1379"/>
  </conditionalFormatting>
  <conditionalFormatting sqref="E772">
    <cfRule type="duplicateValues" dxfId="662" priority="551"/>
  </conditionalFormatting>
  <conditionalFormatting sqref="E772">
    <cfRule type="duplicateValues" dxfId="661" priority="550"/>
  </conditionalFormatting>
  <conditionalFormatting sqref="E772">
    <cfRule type="duplicateValues" dxfId="660" priority="552"/>
    <cfRule type="duplicateValues" dxfId="659" priority="553"/>
  </conditionalFormatting>
  <conditionalFormatting sqref="E772">
    <cfRule type="duplicateValues" dxfId="658" priority="554"/>
  </conditionalFormatting>
  <conditionalFormatting sqref="D772">
    <cfRule type="duplicateValues" dxfId="657" priority="549"/>
  </conditionalFormatting>
  <conditionalFormatting sqref="E772">
    <cfRule type="duplicateValues" dxfId="656" priority="555"/>
  </conditionalFormatting>
  <conditionalFormatting sqref="E772">
    <cfRule type="duplicateValues" dxfId="655" priority="556"/>
  </conditionalFormatting>
  <conditionalFormatting sqref="E66">
    <cfRule type="duplicateValues" dxfId="654" priority="1380"/>
  </conditionalFormatting>
  <conditionalFormatting sqref="E66">
    <cfRule type="duplicateValues" dxfId="653" priority="1381"/>
    <cfRule type="duplicateValues" dxfId="652" priority="1382"/>
  </conditionalFormatting>
  <conditionalFormatting sqref="E75">
    <cfRule type="duplicateValues" dxfId="651" priority="543"/>
  </conditionalFormatting>
  <conditionalFormatting sqref="E75">
    <cfRule type="duplicateValues" dxfId="650" priority="544"/>
  </conditionalFormatting>
  <conditionalFormatting sqref="E75">
    <cfRule type="duplicateValues" dxfId="649" priority="545"/>
    <cfRule type="duplicateValues" dxfId="648" priority="546"/>
  </conditionalFormatting>
  <conditionalFormatting sqref="D75">
    <cfRule type="duplicateValues" dxfId="647" priority="547"/>
  </conditionalFormatting>
  <conditionalFormatting sqref="E75">
    <cfRule type="duplicateValues" dxfId="646" priority="548"/>
  </conditionalFormatting>
  <conditionalFormatting sqref="E188:E190 E193:E200">
    <cfRule type="duplicateValues" dxfId="645" priority="1383"/>
  </conditionalFormatting>
  <conditionalFormatting sqref="E189:E190 E193:E200">
    <cfRule type="duplicateValues" dxfId="644" priority="1384"/>
  </conditionalFormatting>
  <conditionalFormatting sqref="E188:E190 E193:E200">
    <cfRule type="duplicateValues" dxfId="643" priority="1385"/>
    <cfRule type="duplicateValues" dxfId="642" priority="1386"/>
  </conditionalFormatting>
  <conditionalFormatting sqref="D188:D190 D193:D200">
    <cfRule type="duplicateValues" dxfId="641" priority="1387"/>
  </conditionalFormatting>
  <conditionalFormatting sqref="D251:D252">
    <cfRule type="duplicateValues" dxfId="640" priority="1388"/>
  </conditionalFormatting>
  <conditionalFormatting sqref="E251:E252">
    <cfRule type="duplicateValues" dxfId="639" priority="1389"/>
  </conditionalFormatting>
  <conditionalFormatting sqref="E241">
    <cfRule type="duplicateValues" dxfId="638" priority="539"/>
  </conditionalFormatting>
  <conditionalFormatting sqref="E241">
    <cfRule type="duplicateValues" dxfId="637" priority="537"/>
    <cfRule type="duplicateValues" dxfId="636" priority="538"/>
  </conditionalFormatting>
  <conditionalFormatting sqref="E241">
    <cfRule type="duplicateValues" dxfId="635" priority="540"/>
  </conditionalFormatting>
  <conditionalFormatting sqref="E241">
    <cfRule type="duplicateValues" dxfId="634" priority="536"/>
  </conditionalFormatting>
  <conditionalFormatting sqref="D241">
    <cfRule type="duplicateValues" dxfId="633" priority="535"/>
  </conditionalFormatting>
  <conditionalFormatting sqref="E241">
    <cfRule type="duplicateValues" dxfId="632" priority="541"/>
  </conditionalFormatting>
  <conditionalFormatting sqref="E241">
    <cfRule type="duplicateValues" dxfId="631" priority="542"/>
  </conditionalFormatting>
  <conditionalFormatting sqref="E622">
    <cfRule type="duplicateValues" dxfId="630" priority="530"/>
  </conditionalFormatting>
  <conditionalFormatting sqref="E623">
    <cfRule type="duplicateValues" dxfId="629" priority="529"/>
  </conditionalFormatting>
  <conditionalFormatting sqref="E622:E623">
    <cfRule type="duplicateValues" dxfId="628" priority="528"/>
  </conditionalFormatting>
  <conditionalFormatting sqref="E622:E623">
    <cfRule type="duplicateValues" dxfId="627" priority="531"/>
    <cfRule type="duplicateValues" dxfId="626" priority="532"/>
  </conditionalFormatting>
  <conditionalFormatting sqref="D622:D623">
    <cfRule type="duplicateValues" dxfId="625" priority="527"/>
  </conditionalFormatting>
  <conditionalFormatting sqref="E622:E623">
    <cfRule type="duplicateValues" dxfId="624" priority="533"/>
  </conditionalFormatting>
  <conditionalFormatting sqref="E622:E623">
    <cfRule type="duplicateValues" dxfId="623" priority="534"/>
  </conditionalFormatting>
  <conditionalFormatting sqref="E621">
    <cfRule type="duplicateValues" dxfId="622" priority="520"/>
  </conditionalFormatting>
  <conditionalFormatting sqref="E621">
    <cfRule type="duplicateValues" dxfId="621" priority="521"/>
  </conditionalFormatting>
  <conditionalFormatting sqref="E621">
    <cfRule type="duplicateValues" dxfId="620" priority="522"/>
    <cfRule type="duplicateValues" dxfId="619" priority="523"/>
  </conditionalFormatting>
  <conditionalFormatting sqref="E621">
    <cfRule type="duplicateValues" dxfId="618" priority="524"/>
  </conditionalFormatting>
  <conditionalFormatting sqref="D621">
    <cfRule type="duplicateValues" dxfId="617" priority="519"/>
  </conditionalFormatting>
  <conditionalFormatting sqref="E621">
    <cfRule type="duplicateValues" dxfId="616" priority="525"/>
  </conditionalFormatting>
  <conditionalFormatting sqref="E621">
    <cfRule type="duplicateValues" dxfId="615" priority="526"/>
  </conditionalFormatting>
  <conditionalFormatting sqref="E740:E741">
    <cfRule type="duplicateValues" dxfId="614" priority="1390"/>
  </conditionalFormatting>
  <conditionalFormatting sqref="E740:E741">
    <cfRule type="duplicateValues" dxfId="613" priority="1391"/>
    <cfRule type="duplicateValues" dxfId="612" priority="1392"/>
  </conditionalFormatting>
  <conditionalFormatting sqref="E152">
    <cfRule type="duplicateValues" dxfId="611" priority="512"/>
  </conditionalFormatting>
  <conditionalFormatting sqref="E152">
    <cfRule type="duplicateValues" dxfId="610" priority="513"/>
  </conditionalFormatting>
  <conditionalFormatting sqref="E152">
    <cfRule type="duplicateValues" dxfId="609" priority="514"/>
    <cfRule type="duplicateValues" dxfId="608" priority="515"/>
  </conditionalFormatting>
  <conditionalFormatting sqref="E152">
    <cfRule type="duplicateValues" dxfId="607" priority="516"/>
  </conditionalFormatting>
  <conditionalFormatting sqref="D152">
    <cfRule type="duplicateValues" dxfId="606" priority="511"/>
  </conditionalFormatting>
  <conditionalFormatting sqref="E152">
    <cfRule type="duplicateValues" dxfId="605" priority="517"/>
  </conditionalFormatting>
  <conditionalFormatting sqref="E152">
    <cfRule type="duplicateValues" dxfId="604" priority="518"/>
  </conditionalFormatting>
  <conditionalFormatting sqref="E598">
    <cfRule type="duplicateValues" dxfId="603" priority="505"/>
  </conditionalFormatting>
  <conditionalFormatting sqref="E598">
    <cfRule type="duplicateValues" dxfId="602" priority="504"/>
  </conditionalFormatting>
  <conditionalFormatting sqref="E598">
    <cfRule type="duplicateValues" dxfId="601" priority="506"/>
    <cfRule type="duplicateValues" dxfId="600" priority="507"/>
  </conditionalFormatting>
  <conditionalFormatting sqref="E598">
    <cfRule type="duplicateValues" dxfId="599" priority="508"/>
  </conditionalFormatting>
  <conditionalFormatting sqref="D598">
    <cfRule type="duplicateValues" dxfId="598" priority="503"/>
  </conditionalFormatting>
  <conditionalFormatting sqref="E598">
    <cfRule type="duplicateValues" dxfId="597" priority="509"/>
  </conditionalFormatting>
  <conditionalFormatting sqref="E598">
    <cfRule type="duplicateValues" dxfId="596" priority="510"/>
  </conditionalFormatting>
  <conditionalFormatting sqref="E69">
    <cfRule type="duplicateValues" dxfId="595" priority="1393"/>
  </conditionalFormatting>
  <conditionalFormatting sqref="E69">
    <cfRule type="duplicateValues" dxfId="594" priority="1394"/>
    <cfRule type="duplicateValues" dxfId="593" priority="1395"/>
  </conditionalFormatting>
  <conditionalFormatting sqref="D67:D69 D51:D53">
    <cfRule type="duplicateValues" dxfId="592" priority="1396"/>
  </conditionalFormatting>
  <conditionalFormatting sqref="E67:E69 E51:E53">
    <cfRule type="duplicateValues" dxfId="591" priority="1397"/>
  </conditionalFormatting>
  <conditionalFormatting sqref="E256">
    <cfRule type="duplicateValues" dxfId="590" priority="499"/>
  </conditionalFormatting>
  <conditionalFormatting sqref="E256">
    <cfRule type="duplicateValues" dxfId="589" priority="497"/>
    <cfRule type="duplicateValues" dxfId="588" priority="498"/>
  </conditionalFormatting>
  <conditionalFormatting sqref="E256">
    <cfRule type="duplicateValues" dxfId="587" priority="500"/>
  </conditionalFormatting>
  <conditionalFormatting sqref="E256">
    <cfRule type="duplicateValues" dxfId="586" priority="496"/>
  </conditionalFormatting>
  <conditionalFormatting sqref="E257">
    <cfRule type="duplicateValues" dxfId="585" priority="491"/>
  </conditionalFormatting>
  <conditionalFormatting sqref="E257">
    <cfRule type="duplicateValues" dxfId="584" priority="492"/>
  </conditionalFormatting>
  <conditionalFormatting sqref="E257">
    <cfRule type="duplicateValues" dxfId="583" priority="493"/>
    <cfRule type="duplicateValues" dxfId="582" priority="494"/>
  </conditionalFormatting>
  <conditionalFormatting sqref="E257">
    <cfRule type="duplicateValues" dxfId="581" priority="495"/>
  </conditionalFormatting>
  <conditionalFormatting sqref="D256:D257">
    <cfRule type="duplicateValues" dxfId="580" priority="490"/>
  </conditionalFormatting>
  <conditionalFormatting sqref="E256:E257">
    <cfRule type="duplicateValues" dxfId="579" priority="501"/>
  </conditionalFormatting>
  <conditionalFormatting sqref="E256:E257">
    <cfRule type="duplicateValues" dxfId="578" priority="502"/>
  </conditionalFormatting>
  <conditionalFormatting sqref="E796:E1048576 E574:E575 E358 E2:E10 E75:E97 E214:E242 E250:E280 E465:E571 E13:E59 E99:E155 E753:E772 E158:E206 E294:E356 E282:E288 E362:E460 E646:E715 E73 E717:E718 E581:E617 E620:E623 E65:E71 E633:E644 E248 E720:E747 E779:E793">
    <cfRule type="duplicateValues" dxfId="577" priority="489"/>
  </conditionalFormatting>
  <conditionalFormatting sqref="E357">
    <cfRule type="duplicateValues" dxfId="576" priority="485"/>
  </conditionalFormatting>
  <conditionalFormatting sqref="E357">
    <cfRule type="duplicateValues" dxfId="575" priority="483"/>
    <cfRule type="duplicateValues" dxfId="574" priority="484"/>
  </conditionalFormatting>
  <conditionalFormatting sqref="E357">
    <cfRule type="duplicateValues" dxfId="573" priority="486"/>
  </conditionalFormatting>
  <conditionalFormatting sqref="E357">
    <cfRule type="duplicateValues" dxfId="572" priority="482"/>
  </conditionalFormatting>
  <conditionalFormatting sqref="D357">
    <cfRule type="duplicateValues" dxfId="571" priority="481"/>
  </conditionalFormatting>
  <conditionalFormatting sqref="E357">
    <cfRule type="duplicateValues" dxfId="570" priority="487"/>
  </conditionalFormatting>
  <conditionalFormatting sqref="E357">
    <cfRule type="duplicateValues" dxfId="569" priority="488"/>
  </conditionalFormatting>
  <conditionalFormatting sqref="E357">
    <cfRule type="duplicateValues" dxfId="568" priority="480"/>
  </conditionalFormatting>
  <conditionalFormatting sqref="E573">
    <cfRule type="duplicateValues" dxfId="567" priority="473"/>
  </conditionalFormatting>
  <conditionalFormatting sqref="E572">
    <cfRule type="duplicateValues" dxfId="566" priority="469"/>
  </conditionalFormatting>
  <conditionalFormatting sqref="E572">
    <cfRule type="duplicateValues" dxfId="565" priority="468"/>
  </conditionalFormatting>
  <conditionalFormatting sqref="E572">
    <cfRule type="duplicateValues" dxfId="564" priority="470"/>
    <cfRule type="duplicateValues" dxfId="563" priority="471"/>
  </conditionalFormatting>
  <conditionalFormatting sqref="E572">
    <cfRule type="duplicateValues" dxfId="562" priority="472"/>
  </conditionalFormatting>
  <conditionalFormatting sqref="E573">
    <cfRule type="duplicateValues" dxfId="561" priority="474"/>
  </conditionalFormatting>
  <conditionalFormatting sqref="E573">
    <cfRule type="duplicateValues" dxfId="560" priority="475"/>
    <cfRule type="duplicateValues" dxfId="559" priority="476"/>
  </conditionalFormatting>
  <conditionalFormatting sqref="E572:E573">
    <cfRule type="duplicateValues" dxfId="558" priority="477"/>
  </conditionalFormatting>
  <conditionalFormatting sqref="D572:D573">
    <cfRule type="duplicateValues" dxfId="557" priority="478"/>
  </conditionalFormatting>
  <conditionalFormatting sqref="E572:E573">
    <cfRule type="duplicateValues" dxfId="556" priority="479"/>
  </conditionalFormatting>
  <conditionalFormatting sqref="E572:E573">
    <cfRule type="duplicateValues" dxfId="555" priority="467"/>
  </conditionalFormatting>
  <conditionalFormatting sqref="E576">
    <cfRule type="duplicateValues" dxfId="554" priority="460"/>
  </conditionalFormatting>
  <conditionalFormatting sqref="E576">
    <cfRule type="duplicateValues" dxfId="553" priority="461"/>
  </conditionalFormatting>
  <conditionalFormatting sqref="E576">
    <cfRule type="duplicateValues" dxfId="552" priority="462"/>
    <cfRule type="duplicateValues" dxfId="551" priority="463"/>
  </conditionalFormatting>
  <conditionalFormatting sqref="E576">
    <cfRule type="duplicateValues" dxfId="550" priority="464"/>
  </conditionalFormatting>
  <conditionalFormatting sqref="D576">
    <cfRule type="duplicateValues" dxfId="549" priority="465"/>
  </conditionalFormatting>
  <conditionalFormatting sqref="E576">
    <cfRule type="duplicateValues" dxfId="548" priority="466"/>
  </conditionalFormatting>
  <conditionalFormatting sqref="E576">
    <cfRule type="duplicateValues" dxfId="547" priority="459"/>
  </conditionalFormatting>
  <conditionalFormatting sqref="E238">
    <cfRule type="duplicateValues" dxfId="546" priority="1398"/>
  </conditionalFormatting>
  <conditionalFormatting sqref="E238">
    <cfRule type="duplicateValues" dxfId="545" priority="1399"/>
    <cfRule type="duplicateValues" dxfId="544" priority="1400"/>
  </conditionalFormatting>
  <conditionalFormatting sqref="D242 D238 D248">
    <cfRule type="duplicateValues" dxfId="543" priority="1401"/>
  </conditionalFormatting>
  <conditionalFormatting sqref="E242 E238 E248">
    <cfRule type="duplicateValues" dxfId="542" priority="1402"/>
  </conditionalFormatting>
  <conditionalFormatting sqref="E11">
    <cfRule type="duplicateValues" dxfId="541" priority="452"/>
  </conditionalFormatting>
  <conditionalFormatting sqref="E11">
    <cfRule type="duplicateValues" dxfId="540" priority="453"/>
  </conditionalFormatting>
  <conditionalFormatting sqref="E11">
    <cfRule type="duplicateValues" dxfId="539" priority="454"/>
    <cfRule type="duplicateValues" dxfId="538" priority="455"/>
  </conditionalFormatting>
  <conditionalFormatting sqref="E11">
    <cfRule type="duplicateValues" dxfId="537" priority="456"/>
  </conditionalFormatting>
  <conditionalFormatting sqref="D11">
    <cfRule type="duplicateValues" dxfId="536" priority="451"/>
  </conditionalFormatting>
  <conditionalFormatting sqref="E11">
    <cfRule type="duplicateValues" dxfId="535" priority="457"/>
  </conditionalFormatting>
  <conditionalFormatting sqref="E12">
    <cfRule type="duplicateValues" dxfId="534" priority="450"/>
  </conditionalFormatting>
  <conditionalFormatting sqref="E11:E12">
    <cfRule type="duplicateValues" dxfId="533" priority="458"/>
  </conditionalFormatting>
  <conditionalFormatting sqref="E11:E12">
    <cfRule type="duplicateValues" dxfId="532" priority="449"/>
  </conditionalFormatting>
  <conditionalFormatting sqref="D74">
    <cfRule type="duplicateValues" dxfId="531" priority="443"/>
  </conditionalFormatting>
  <conditionalFormatting sqref="E74">
    <cfRule type="duplicateValues" dxfId="530" priority="444"/>
  </conditionalFormatting>
  <conditionalFormatting sqref="E74">
    <cfRule type="duplicateValues" dxfId="529" priority="445"/>
  </conditionalFormatting>
  <conditionalFormatting sqref="E74">
    <cfRule type="duplicateValues" dxfId="528" priority="446"/>
    <cfRule type="duplicateValues" dxfId="527" priority="447"/>
  </conditionalFormatting>
  <conditionalFormatting sqref="E74">
    <cfRule type="duplicateValues" dxfId="526" priority="448"/>
  </conditionalFormatting>
  <conditionalFormatting sqref="E74">
    <cfRule type="duplicateValues" dxfId="525" priority="442"/>
  </conditionalFormatting>
  <conditionalFormatting sqref="D98">
    <cfRule type="duplicateValues" dxfId="524" priority="434"/>
  </conditionalFormatting>
  <conditionalFormatting sqref="E98">
    <cfRule type="duplicateValues" dxfId="523" priority="435"/>
  </conditionalFormatting>
  <conditionalFormatting sqref="E98">
    <cfRule type="duplicateValues" dxfId="522" priority="436"/>
  </conditionalFormatting>
  <conditionalFormatting sqref="E98">
    <cfRule type="duplicateValues" dxfId="521" priority="437"/>
  </conditionalFormatting>
  <conditionalFormatting sqref="E98">
    <cfRule type="duplicateValues" dxfId="520" priority="438"/>
    <cfRule type="duplicateValues" dxfId="519" priority="439"/>
  </conditionalFormatting>
  <conditionalFormatting sqref="E98">
    <cfRule type="duplicateValues" dxfId="518" priority="440"/>
  </conditionalFormatting>
  <conditionalFormatting sqref="E98">
    <cfRule type="duplicateValues" dxfId="517" priority="441"/>
  </conditionalFormatting>
  <conditionalFormatting sqref="E98">
    <cfRule type="duplicateValues" dxfId="516" priority="433"/>
  </conditionalFormatting>
  <conditionalFormatting sqref="E157">
    <cfRule type="duplicateValues" dxfId="515" priority="425"/>
  </conditionalFormatting>
  <conditionalFormatting sqref="D156:D157">
    <cfRule type="duplicateValues" dxfId="514" priority="424"/>
  </conditionalFormatting>
  <conditionalFormatting sqref="E156:E157">
    <cfRule type="duplicateValues" dxfId="513" priority="426"/>
  </conditionalFormatting>
  <conditionalFormatting sqref="E156:E157">
    <cfRule type="duplicateValues" dxfId="512" priority="427"/>
  </conditionalFormatting>
  <conditionalFormatting sqref="E156">
    <cfRule type="duplicateValues" dxfId="511" priority="428"/>
  </conditionalFormatting>
  <conditionalFormatting sqref="E156:E157">
    <cfRule type="duplicateValues" dxfId="510" priority="429"/>
    <cfRule type="duplicateValues" dxfId="509" priority="430"/>
  </conditionalFormatting>
  <conditionalFormatting sqref="E156:E157">
    <cfRule type="duplicateValues" dxfId="508" priority="431"/>
  </conditionalFormatting>
  <conditionalFormatting sqref="E156:E157">
    <cfRule type="duplicateValues" dxfId="507" priority="432"/>
  </conditionalFormatting>
  <conditionalFormatting sqref="E156:E157">
    <cfRule type="duplicateValues" dxfId="506" priority="423"/>
  </conditionalFormatting>
  <conditionalFormatting sqref="E211">
    <cfRule type="duplicateValues" dxfId="505" priority="413"/>
  </conditionalFormatting>
  <conditionalFormatting sqref="E211">
    <cfRule type="duplicateValues" dxfId="504" priority="414"/>
    <cfRule type="duplicateValues" dxfId="503" priority="415"/>
  </conditionalFormatting>
  <conditionalFormatting sqref="D210:D211">
    <cfRule type="duplicateValues" dxfId="502" priority="412"/>
  </conditionalFormatting>
  <conditionalFormatting sqref="E210:E211">
    <cfRule type="duplicateValues" dxfId="501" priority="416"/>
  </conditionalFormatting>
  <conditionalFormatting sqref="E210:E211">
    <cfRule type="duplicateValues" dxfId="500" priority="417"/>
  </conditionalFormatting>
  <conditionalFormatting sqref="E210:E211">
    <cfRule type="duplicateValues" dxfId="499" priority="418"/>
  </conditionalFormatting>
  <conditionalFormatting sqref="E210:E211">
    <cfRule type="duplicateValues" dxfId="498" priority="419"/>
    <cfRule type="duplicateValues" dxfId="497" priority="420"/>
  </conditionalFormatting>
  <conditionalFormatting sqref="E210:E211">
    <cfRule type="duplicateValues" dxfId="496" priority="421"/>
  </conditionalFormatting>
  <conditionalFormatting sqref="E212">
    <cfRule type="duplicateValues" dxfId="495" priority="403"/>
  </conditionalFormatting>
  <conditionalFormatting sqref="E212">
    <cfRule type="duplicateValues" dxfId="494" priority="404"/>
    <cfRule type="duplicateValues" dxfId="493" priority="405"/>
  </conditionalFormatting>
  <conditionalFormatting sqref="D212">
    <cfRule type="duplicateValues" dxfId="492" priority="402"/>
  </conditionalFormatting>
  <conditionalFormatting sqref="E212">
    <cfRule type="duplicateValues" dxfId="491" priority="406"/>
  </conditionalFormatting>
  <conditionalFormatting sqref="E212">
    <cfRule type="duplicateValues" dxfId="490" priority="407"/>
  </conditionalFormatting>
  <conditionalFormatting sqref="E212">
    <cfRule type="duplicateValues" dxfId="489" priority="408"/>
  </conditionalFormatting>
  <conditionalFormatting sqref="E212">
    <cfRule type="duplicateValues" dxfId="488" priority="409"/>
    <cfRule type="duplicateValues" dxfId="487" priority="410"/>
  </conditionalFormatting>
  <conditionalFormatting sqref="E212">
    <cfRule type="duplicateValues" dxfId="486" priority="411"/>
  </conditionalFormatting>
  <conditionalFormatting sqref="E210:E212">
    <cfRule type="duplicateValues" dxfId="485" priority="422"/>
  </conditionalFormatting>
  <conditionalFormatting sqref="E210:E212">
    <cfRule type="duplicateValues" dxfId="484" priority="401"/>
  </conditionalFormatting>
  <conditionalFormatting sqref="E207">
    <cfRule type="duplicateValues" dxfId="483" priority="400"/>
  </conditionalFormatting>
  <conditionalFormatting sqref="E207">
    <cfRule type="duplicateValues" dxfId="482" priority="399"/>
  </conditionalFormatting>
  <conditionalFormatting sqref="E208">
    <cfRule type="duplicateValues" dxfId="481" priority="398"/>
  </conditionalFormatting>
  <conditionalFormatting sqref="E208">
    <cfRule type="duplicateValues" dxfId="480" priority="397"/>
  </conditionalFormatting>
  <conditionalFormatting sqref="E207:E208">
    <cfRule type="duplicateValues" dxfId="479" priority="396"/>
  </conditionalFormatting>
  <conditionalFormatting sqref="E209">
    <cfRule type="duplicateValues" dxfId="478" priority="395"/>
  </conditionalFormatting>
  <conditionalFormatting sqref="E209">
    <cfRule type="duplicateValues" dxfId="477" priority="394"/>
  </conditionalFormatting>
  <conditionalFormatting sqref="E209">
    <cfRule type="duplicateValues" dxfId="476" priority="393"/>
  </conditionalFormatting>
  <conditionalFormatting sqref="D213">
    <cfRule type="duplicateValues" dxfId="475" priority="385"/>
  </conditionalFormatting>
  <conditionalFormatting sqref="E213">
    <cfRule type="duplicateValues" dxfId="474" priority="386"/>
  </conditionalFormatting>
  <conditionalFormatting sqref="E213">
    <cfRule type="duplicateValues" dxfId="473" priority="387"/>
  </conditionalFormatting>
  <conditionalFormatting sqref="E213">
    <cfRule type="duplicateValues" dxfId="472" priority="388"/>
  </conditionalFormatting>
  <conditionalFormatting sqref="E213">
    <cfRule type="duplicateValues" dxfId="471" priority="389"/>
    <cfRule type="duplicateValues" dxfId="470" priority="390"/>
  </conditionalFormatting>
  <conditionalFormatting sqref="E213">
    <cfRule type="duplicateValues" dxfId="469" priority="391"/>
  </conditionalFormatting>
  <conditionalFormatting sqref="E213">
    <cfRule type="duplicateValues" dxfId="468" priority="392"/>
  </conditionalFormatting>
  <conditionalFormatting sqref="E213">
    <cfRule type="duplicateValues" dxfId="467" priority="384"/>
  </conditionalFormatting>
  <conditionalFormatting sqref="E249">
    <cfRule type="duplicateValues" dxfId="466" priority="378"/>
  </conditionalFormatting>
  <conditionalFormatting sqref="E249">
    <cfRule type="duplicateValues" dxfId="465" priority="379"/>
  </conditionalFormatting>
  <conditionalFormatting sqref="E249">
    <cfRule type="duplicateValues" dxfId="464" priority="380"/>
    <cfRule type="duplicateValues" dxfId="463" priority="381"/>
  </conditionalFormatting>
  <conditionalFormatting sqref="D249">
    <cfRule type="duplicateValues" dxfId="462" priority="377"/>
  </conditionalFormatting>
  <conditionalFormatting sqref="E249">
    <cfRule type="duplicateValues" dxfId="461" priority="382"/>
  </conditionalFormatting>
  <conditionalFormatting sqref="E249">
    <cfRule type="duplicateValues" dxfId="460" priority="383"/>
  </conditionalFormatting>
  <conditionalFormatting sqref="E249">
    <cfRule type="duplicateValues" dxfId="459" priority="376"/>
  </conditionalFormatting>
  <conditionalFormatting sqref="D293">
    <cfRule type="duplicateValues" dxfId="458" priority="368"/>
  </conditionalFormatting>
  <conditionalFormatting sqref="E293">
    <cfRule type="duplicateValues" dxfId="457" priority="369"/>
  </conditionalFormatting>
  <conditionalFormatting sqref="E293">
    <cfRule type="duplicateValues" dxfId="456" priority="370"/>
  </conditionalFormatting>
  <conditionalFormatting sqref="E293">
    <cfRule type="duplicateValues" dxfId="455" priority="371"/>
  </conditionalFormatting>
  <conditionalFormatting sqref="E293">
    <cfRule type="duplicateValues" dxfId="454" priority="372"/>
    <cfRule type="duplicateValues" dxfId="453" priority="373"/>
  </conditionalFormatting>
  <conditionalFormatting sqref="E293">
    <cfRule type="duplicateValues" dxfId="452" priority="374"/>
  </conditionalFormatting>
  <conditionalFormatting sqref="E293">
    <cfRule type="duplicateValues" dxfId="451" priority="375"/>
  </conditionalFormatting>
  <conditionalFormatting sqref="E293">
    <cfRule type="duplicateValues" dxfId="450" priority="367"/>
  </conditionalFormatting>
  <conditionalFormatting sqref="E289">
    <cfRule type="duplicateValues" dxfId="449" priority="365"/>
  </conditionalFormatting>
  <conditionalFormatting sqref="E289">
    <cfRule type="duplicateValues" dxfId="448" priority="366"/>
  </conditionalFormatting>
  <conditionalFormatting sqref="E290">
    <cfRule type="duplicateValues" dxfId="447" priority="363"/>
  </conditionalFormatting>
  <conditionalFormatting sqref="E290">
    <cfRule type="duplicateValues" dxfId="446" priority="364"/>
  </conditionalFormatting>
  <conditionalFormatting sqref="E292 E289:E290">
    <cfRule type="duplicateValues" dxfId="445" priority="362"/>
  </conditionalFormatting>
  <conditionalFormatting sqref="D359:D361">
    <cfRule type="duplicateValues" dxfId="444" priority="359"/>
  </conditionalFormatting>
  <conditionalFormatting sqref="E359:E361">
    <cfRule type="duplicateValues" dxfId="443" priority="360"/>
  </conditionalFormatting>
  <conditionalFormatting sqref="E359:E361">
    <cfRule type="duplicateValues" dxfId="442" priority="361"/>
  </conditionalFormatting>
  <conditionalFormatting sqref="E359:E361">
    <cfRule type="duplicateValues" dxfId="441" priority="358"/>
  </conditionalFormatting>
  <conditionalFormatting sqref="D461:D462">
    <cfRule type="duplicateValues" dxfId="440" priority="351"/>
  </conditionalFormatting>
  <conditionalFormatting sqref="E461:E462">
    <cfRule type="duplicateValues" dxfId="439" priority="352"/>
  </conditionalFormatting>
  <conditionalFormatting sqref="E461:E462">
    <cfRule type="duplicateValues" dxfId="438" priority="353"/>
  </conditionalFormatting>
  <conditionalFormatting sqref="E461:E462">
    <cfRule type="duplicateValues" dxfId="437" priority="354"/>
  </conditionalFormatting>
  <conditionalFormatting sqref="E461:E462">
    <cfRule type="duplicateValues" dxfId="436" priority="355"/>
    <cfRule type="duplicateValues" dxfId="435" priority="356"/>
  </conditionalFormatting>
  <conditionalFormatting sqref="E461:E462">
    <cfRule type="duplicateValues" dxfId="434" priority="357"/>
  </conditionalFormatting>
  <conditionalFormatting sqref="E461:E462">
    <cfRule type="duplicateValues" dxfId="433" priority="350"/>
  </conditionalFormatting>
  <conditionalFormatting sqref="E461:E464">
    <cfRule type="duplicateValues" dxfId="432" priority="349"/>
  </conditionalFormatting>
  <conditionalFormatting sqref="E56">
    <cfRule type="duplicateValues" dxfId="431" priority="1403"/>
  </conditionalFormatting>
  <conditionalFormatting sqref="E56">
    <cfRule type="duplicateValues" dxfId="430" priority="1404"/>
    <cfRule type="duplicateValues" dxfId="429" priority="1405"/>
  </conditionalFormatting>
  <conditionalFormatting sqref="D56:D59 D65:D66">
    <cfRule type="duplicateValues" dxfId="428" priority="1406"/>
  </conditionalFormatting>
  <conditionalFormatting sqref="E56:E59 E65:E66">
    <cfRule type="duplicateValues" dxfId="427" priority="1407"/>
  </conditionalFormatting>
  <conditionalFormatting sqref="D774">
    <cfRule type="duplicateValues" dxfId="426" priority="343"/>
  </conditionalFormatting>
  <conditionalFormatting sqref="E774">
    <cfRule type="duplicateValues" dxfId="425" priority="344"/>
  </conditionalFormatting>
  <conditionalFormatting sqref="E774">
    <cfRule type="duplicateValues" dxfId="424" priority="345"/>
  </conditionalFormatting>
  <conditionalFormatting sqref="E774">
    <cfRule type="duplicateValues" dxfId="423" priority="346"/>
  </conditionalFormatting>
  <conditionalFormatting sqref="E774">
    <cfRule type="duplicateValues" dxfId="422" priority="347"/>
    <cfRule type="duplicateValues" dxfId="421" priority="348"/>
  </conditionalFormatting>
  <conditionalFormatting sqref="E774">
    <cfRule type="duplicateValues" dxfId="420" priority="342"/>
  </conditionalFormatting>
  <conditionalFormatting sqref="E773">
    <cfRule type="duplicateValues" dxfId="419" priority="335"/>
  </conditionalFormatting>
  <conditionalFormatting sqref="E773">
    <cfRule type="duplicateValues" dxfId="418" priority="334"/>
  </conditionalFormatting>
  <conditionalFormatting sqref="E773">
    <cfRule type="duplicateValues" dxfId="417" priority="336"/>
    <cfRule type="duplicateValues" dxfId="416" priority="337"/>
  </conditionalFormatting>
  <conditionalFormatting sqref="E773">
    <cfRule type="duplicateValues" dxfId="415" priority="338"/>
  </conditionalFormatting>
  <conditionalFormatting sqref="E773">
    <cfRule type="duplicateValues" dxfId="414" priority="339"/>
  </conditionalFormatting>
  <conditionalFormatting sqref="D773">
    <cfRule type="duplicateValues" dxfId="413" priority="340"/>
  </conditionalFormatting>
  <conditionalFormatting sqref="E773">
    <cfRule type="duplicateValues" dxfId="412" priority="341"/>
  </conditionalFormatting>
  <conditionalFormatting sqref="E773">
    <cfRule type="duplicateValues" dxfId="411" priority="333"/>
  </conditionalFormatting>
  <conditionalFormatting sqref="E796:E1048576 E753:E774 E2:E59 E282:E290 E646:E715 E73:E242 E717:E718 E581:E617 E620:E623 E65:E71 E633:E644 E248:E280 E292:E576 E720:E747 E779:E793">
    <cfRule type="duplicateValues" dxfId="410" priority="332"/>
  </conditionalFormatting>
  <conditionalFormatting sqref="D577:D579">
    <cfRule type="duplicateValues" dxfId="409" priority="324"/>
  </conditionalFormatting>
  <conditionalFormatting sqref="E577:E579">
    <cfRule type="duplicateValues" dxfId="408" priority="325"/>
  </conditionalFormatting>
  <conditionalFormatting sqref="E577:E579">
    <cfRule type="duplicateValues" dxfId="407" priority="326"/>
  </conditionalFormatting>
  <conditionalFormatting sqref="E577:E579">
    <cfRule type="duplicateValues" dxfId="406" priority="327"/>
  </conditionalFormatting>
  <conditionalFormatting sqref="E577:E579">
    <cfRule type="duplicateValues" dxfId="405" priority="328"/>
    <cfRule type="duplicateValues" dxfId="404" priority="329"/>
  </conditionalFormatting>
  <conditionalFormatting sqref="E577:E579">
    <cfRule type="duplicateValues" dxfId="403" priority="330"/>
  </conditionalFormatting>
  <conditionalFormatting sqref="E577:E579">
    <cfRule type="duplicateValues" dxfId="402" priority="331"/>
  </conditionalFormatting>
  <conditionalFormatting sqref="E577:E579">
    <cfRule type="duplicateValues" dxfId="401" priority="323"/>
  </conditionalFormatting>
  <conditionalFormatting sqref="E577:E579">
    <cfRule type="duplicateValues" dxfId="400" priority="322"/>
  </conditionalFormatting>
  <conditionalFormatting sqref="D580">
    <cfRule type="duplicateValues" dxfId="399" priority="314"/>
  </conditionalFormatting>
  <conditionalFormatting sqref="E580">
    <cfRule type="duplicateValues" dxfId="398" priority="315"/>
  </conditionalFormatting>
  <conditionalFormatting sqref="E580">
    <cfRule type="duplicateValues" dxfId="397" priority="316"/>
  </conditionalFormatting>
  <conditionalFormatting sqref="E580">
    <cfRule type="duplicateValues" dxfId="396" priority="317"/>
  </conditionalFormatting>
  <conditionalFormatting sqref="E580">
    <cfRule type="duplicateValues" dxfId="395" priority="318"/>
    <cfRule type="duplicateValues" dxfId="394" priority="319"/>
  </conditionalFormatting>
  <conditionalFormatting sqref="E580">
    <cfRule type="duplicateValues" dxfId="393" priority="320"/>
  </conditionalFormatting>
  <conditionalFormatting sqref="E580">
    <cfRule type="duplicateValues" dxfId="392" priority="321"/>
  </conditionalFormatting>
  <conditionalFormatting sqref="E580">
    <cfRule type="duplicateValues" dxfId="391" priority="313"/>
  </conditionalFormatting>
  <conditionalFormatting sqref="E580">
    <cfRule type="duplicateValues" dxfId="390" priority="312"/>
  </conditionalFormatting>
  <conditionalFormatting sqref="E748">
    <cfRule type="duplicateValues" dxfId="389" priority="305"/>
  </conditionalFormatting>
  <conditionalFormatting sqref="D748">
    <cfRule type="duplicateValues" dxfId="388" priority="304"/>
  </conditionalFormatting>
  <conditionalFormatting sqref="E748">
    <cfRule type="duplicateValues" dxfId="387" priority="306"/>
  </conditionalFormatting>
  <conditionalFormatting sqref="E748">
    <cfRule type="duplicateValues" dxfId="386" priority="307"/>
  </conditionalFormatting>
  <conditionalFormatting sqref="E748">
    <cfRule type="duplicateValues" dxfId="385" priority="308"/>
    <cfRule type="duplicateValues" dxfId="384" priority="309"/>
  </conditionalFormatting>
  <conditionalFormatting sqref="E748">
    <cfRule type="duplicateValues" dxfId="383" priority="310"/>
  </conditionalFormatting>
  <conditionalFormatting sqref="E748">
    <cfRule type="duplicateValues" dxfId="382" priority="311"/>
  </conditionalFormatting>
  <conditionalFormatting sqref="E748">
    <cfRule type="duplicateValues" dxfId="381" priority="303"/>
  </conditionalFormatting>
  <conditionalFormatting sqref="E748">
    <cfRule type="duplicateValues" dxfId="380" priority="302"/>
  </conditionalFormatting>
  <conditionalFormatting sqref="D155">
    <cfRule type="duplicateValues" dxfId="379" priority="1408"/>
  </conditionalFormatting>
  <conditionalFormatting sqref="D631">
    <cfRule type="duplicateValues" dxfId="378" priority="294"/>
  </conditionalFormatting>
  <conditionalFormatting sqref="E631">
    <cfRule type="duplicateValues" dxfId="377" priority="295"/>
  </conditionalFormatting>
  <conditionalFormatting sqref="E631">
    <cfRule type="duplicateValues" dxfId="376" priority="296"/>
  </conditionalFormatting>
  <conditionalFormatting sqref="E631">
    <cfRule type="duplicateValues" dxfId="375" priority="297"/>
  </conditionalFormatting>
  <conditionalFormatting sqref="E631">
    <cfRule type="duplicateValues" dxfId="374" priority="298"/>
    <cfRule type="duplicateValues" dxfId="373" priority="299"/>
  </conditionalFormatting>
  <conditionalFormatting sqref="E631">
    <cfRule type="duplicateValues" dxfId="372" priority="300"/>
  </conditionalFormatting>
  <conditionalFormatting sqref="E631">
    <cfRule type="duplicateValues" dxfId="371" priority="301"/>
  </conditionalFormatting>
  <conditionalFormatting sqref="E631">
    <cfRule type="duplicateValues" dxfId="370" priority="293"/>
  </conditionalFormatting>
  <conditionalFormatting sqref="E631">
    <cfRule type="duplicateValues" dxfId="369" priority="292"/>
  </conditionalFormatting>
  <conditionalFormatting sqref="D629:D630">
    <cfRule type="duplicateValues" dxfId="368" priority="284"/>
  </conditionalFormatting>
  <conditionalFormatting sqref="E629:E630">
    <cfRule type="duplicateValues" dxfId="367" priority="285"/>
  </conditionalFormatting>
  <conditionalFormatting sqref="E629:E630">
    <cfRule type="duplicateValues" dxfId="366" priority="286"/>
  </conditionalFormatting>
  <conditionalFormatting sqref="E629:E630">
    <cfRule type="duplicateValues" dxfId="365" priority="287"/>
  </conditionalFormatting>
  <conditionalFormatting sqref="E629:E630">
    <cfRule type="duplicateValues" dxfId="364" priority="288"/>
    <cfRule type="duplicateValues" dxfId="363" priority="289"/>
  </conditionalFormatting>
  <conditionalFormatting sqref="E629:E630">
    <cfRule type="duplicateValues" dxfId="362" priority="290"/>
  </conditionalFormatting>
  <conditionalFormatting sqref="E629:E630">
    <cfRule type="duplicateValues" dxfId="361" priority="291"/>
  </conditionalFormatting>
  <conditionalFormatting sqref="E629:E630">
    <cfRule type="duplicateValues" dxfId="360" priority="283"/>
  </conditionalFormatting>
  <conditionalFormatting sqref="E629:E630">
    <cfRule type="duplicateValues" dxfId="359" priority="282"/>
  </conditionalFormatting>
  <conditionalFormatting sqref="D632">
    <cfRule type="duplicateValues" dxfId="358" priority="274"/>
  </conditionalFormatting>
  <conditionalFormatting sqref="E632">
    <cfRule type="duplicateValues" dxfId="357" priority="275"/>
  </conditionalFormatting>
  <conditionalFormatting sqref="E632">
    <cfRule type="duplicateValues" dxfId="356" priority="276"/>
  </conditionalFormatting>
  <conditionalFormatting sqref="E632">
    <cfRule type="duplicateValues" dxfId="355" priority="277"/>
  </conditionalFormatting>
  <conditionalFormatting sqref="E632">
    <cfRule type="duplicateValues" dxfId="354" priority="278"/>
    <cfRule type="duplicateValues" dxfId="353" priority="279"/>
  </conditionalFormatting>
  <conditionalFormatting sqref="E632">
    <cfRule type="duplicateValues" dxfId="352" priority="280"/>
  </conditionalFormatting>
  <conditionalFormatting sqref="E632">
    <cfRule type="duplicateValues" dxfId="351" priority="281"/>
  </conditionalFormatting>
  <conditionalFormatting sqref="E632">
    <cfRule type="duplicateValues" dxfId="350" priority="273"/>
  </conditionalFormatting>
  <conditionalFormatting sqref="E632">
    <cfRule type="duplicateValues" dxfId="349" priority="272"/>
  </conditionalFormatting>
  <conditionalFormatting sqref="E276">
    <cfRule type="duplicateValues" dxfId="348" priority="1409"/>
  </conditionalFormatting>
  <conditionalFormatting sqref="E276">
    <cfRule type="duplicateValues" dxfId="347" priority="1410"/>
    <cfRule type="duplicateValues" dxfId="346" priority="1411"/>
  </conditionalFormatting>
  <conditionalFormatting sqref="D273:D276">
    <cfRule type="duplicateValues" dxfId="345" priority="1412"/>
  </conditionalFormatting>
  <conditionalFormatting sqref="E273:E276">
    <cfRule type="duplicateValues" dxfId="344" priority="1413"/>
  </conditionalFormatting>
  <conditionalFormatting sqref="E795">
    <cfRule type="duplicateValues" dxfId="343" priority="265"/>
  </conditionalFormatting>
  <conditionalFormatting sqref="E795">
    <cfRule type="duplicateValues" dxfId="342" priority="266"/>
  </conditionalFormatting>
  <conditionalFormatting sqref="E795">
    <cfRule type="duplicateValues" dxfId="341" priority="267"/>
    <cfRule type="duplicateValues" dxfId="340" priority="268"/>
  </conditionalFormatting>
  <conditionalFormatting sqref="E795">
    <cfRule type="duplicateValues" dxfId="339" priority="269"/>
  </conditionalFormatting>
  <conditionalFormatting sqref="D795">
    <cfRule type="duplicateValues" dxfId="338" priority="264"/>
  </conditionalFormatting>
  <conditionalFormatting sqref="E795">
    <cfRule type="duplicateValues" dxfId="337" priority="270"/>
  </conditionalFormatting>
  <conditionalFormatting sqref="E795">
    <cfRule type="duplicateValues" dxfId="336" priority="271"/>
  </conditionalFormatting>
  <conditionalFormatting sqref="E795">
    <cfRule type="duplicateValues" dxfId="335" priority="263"/>
  </conditionalFormatting>
  <conditionalFormatting sqref="E795">
    <cfRule type="duplicateValues" dxfId="334" priority="262"/>
  </conditionalFormatting>
  <conditionalFormatting sqref="E794">
    <cfRule type="duplicateValues" dxfId="333" priority="256"/>
  </conditionalFormatting>
  <conditionalFormatting sqref="E794">
    <cfRule type="duplicateValues" dxfId="332" priority="257"/>
    <cfRule type="duplicateValues" dxfId="331" priority="258"/>
  </conditionalFormatting>
  <conditionalFormatting sqref="D794">
    <cfRule type="duplicateValues" dxfId="330" priority="259"/>
  </conditionalFormatting>
  <conditionalFormatting sqref="E794">
    <cfRule type="duplicateValues" dxfId="329" priority="260"/>
  </conditionalFormatting>
  <conditionalFormatting sqref="E794">
    <cfRule type="duplicateValues" dxfId="328" priority="261"/>
  </conditionalFormatting>
  <conditionalFormatting sqref="E794">
    <cfRule type="duplicateValues" dxfId="327" priority="255"/>
  </conditionalFormatting>
  <conditionalFormatting sqref="E794">
    <cfRule type="duplicateValues" dxfId="326" priority="254"/>
  </conditionalFormatting>
  <conditionalFormatting sqref="E317:E318">
    <cfRule type="duplicateValues" dxfId="325" priority="1414"/>
  </conditionalFormatting>
  <conditionalFormatting sqref="E317:E318">
    <cfRule type="duplicateValues" dxfId="324" priority="1415"/>
    <cfRule type="duplicateValues" dxfId="323" priority="1416"/>
  </conditionalFormatting>
  <conditionalFormatting sqref="E281">
    <cfRule type="duplicateValues" dxfId="322" priority="247"/>
  </conditionalFormatting>
  <conditionalFormatting sqref="E281">
    <cfRule type="duplicateValues" dxfId="321" priority="248"/>
  </conditionalFormatting>
  <conditionalFormatting sqref="E281">
    <cfRule type="duplicateValues" dxfId="320" priority="249"/>
    <cfRule type="duplicateValues" dxfId="319" priority="250"/>
  </conditionalFormatting>
  <conditionalFormatting sqref="E281">
    <cfRule type="duplicateValues" dxfId="318" priority="251"/>
  </conditionalFormatting>
  <conditionalFormatting sqref="D281">
    <cfRule type="duplicateValues" dxfId="317" priority="246"/>
  </conditionalFormatting>
  <conditionalFormatting sqref="E281">
    <cfRule type="duplicateValues" dxfId="316" priority="252"/>
  </conditionalFormatting>
  <conditionalFormatting sqref="E281">
    <cfRule type="duplicateValues" dxfId="315" priority="253"/>
  </conditionalFormatting>
  <conditionalFormatting sqref="E281">
    <cfRule type="duplicateValues" dxfId="314" priority="245"/>
  </conditionalFormatting>
  <conditionalFormatting sqref="E281">
    <cfRule type="duplicateValues" dxfId="313" priority="244"/>
  </conditionalFormatting>
  <conditionalFormatting sqref="E645">
    <cfRule type="duplicateValues" dxfId="312" priority="237"/>
  </conditionalFormatting>
  <conditionalFormatting sqref="E645">
    <cfRule type="duplicateValues" dxfId="311" priority="238"/>
  </conditionalFormatting>
  <conditionalFormatting sqref="E645">
    <cfRule type="duplicateValues" dxfId="310" priority="239"/>
    <cfRule type="duplicateValues" dxfId="309" priority="240"/>
  </conditionalFormatting>
  <conditionalFormatting sqref="E645">
    <cfRule type="duplicateValues" dxfId="308" priority="241"/>
  </conditionalFormatting>
  <conditionalFormatting sqref="D645">
    <cfRule type="duplicateValues" dxfId="307" priority="236"/>
  </conditionalFormatting>
  <conditionalFormatting sqref="E645">
    <cfRule type="duplicateValues" dxfId="306" priority="242"/>
  </conditionalFormatting>
  <conditionalFormatting sqref="E645">
    <cfRule type="duplicateValues" dxfId="305" priority="243"/>
  </conditionalFormatting>
  <conditionalFormatting sqref="E645">
    <cfRule type="duplicateValues" dxfId="304" priority="235"/>
  </conditionalFormatting>
  <conditionalFormatting sqref="E645">
    <cfRule type="duplicateValues" dxfId="303" priority="234"/>
  </conditionalFormatting>
  <conditionalFormatting sqref="D776:D777">
    <cfRule type="duplicateValues" dxfId="302" priority="226"/>
  </conditionalFormatting>
  <conditionalFormatting sqref="E776:E777">
    <cfRule type="duplicateValues" dxfId="301" priority="227"/>
  </conditionalFormatting>
  <conditionalFormatting sqref="E776:E777">
    <cfRule type="duplicateValues" dxfId="300" priority="228"/>
  </conditionalFormatting>
  <conditionalFormatting sqref="E776:E777">
    <cfRule type="duplicateValues" dxfId="299" priority="229"/>
  </conditionalFormatting>
  <conditionalFormatting sqref="E776:E777">
    <cfRule type="duplicateValues" dxfId="298" priority="230"/>
    <cfRule type="duplicateValues" dxfId="297" priority="231"/>
  </conditionalFormatting>
  <conditionalFormatting sqref="E776:E777">
    <cfRule type="duplicateValues" dxfId="296" priority="232"/>
  </conditionalFormatting>
  <conditionalFormatting sqref="E776:E777">
    <cfRule type="duplicateValues" dxfId="295" priority="233"/>
  </conditionalFormatting>
  <conditionalFormatting sqref="E776:E777">
    <cfRule type="duplicateValues" dxfId="294" priority="225"/>
  </conditionalFormatting>
  <conditionalFormatting sqref="E776:E777">
    <cfRule type="duplicateValues" dxfId="293" priority="224"/>
  </conditionalFormatting>
  <conditionalFormatting sqref="E775">
    <cfRule type="duplicateValues" dxfId="292" priority="218"/>
  </conditionalFormatting>
  <conditionalFormatting sqref="D775">
    <cfRule type="duplicateValues" dxfId="291" priority="217"/>
  </conditionalFormatting>
  <conditionalFormatting sqref="E775">
    <cfRule type="duplicateValues" dxfId="290" priority="219"/>
  </conditionalFormatting>
  <conditionalFormatting sqref="E775">
    <cfRule type="duplicateValues" dxfId="289" priority="220"/>
  </conditionalFormatting>
  <conditionalFormatting sqref="E775">
    <cfRule type="duplicateValues" dxfId="288" priority="221"/>
    <cfRule type="duplicateValues" dxfId="287" priority="222"/>
  </conditionalFormatting>
  <conditionalFormatting sqref="E775">
    <cfRule type="duplicateValues" dxfId="286" priority="223"/>
  </conditionalFormatting>
  <conditionalFormatting sqref="E775">
    <cfRule type="duplicateValues" dxfId="285" priority="216"/>
  </conditionalFormatting>
  <conditionalFormatting sqref="E775">
    <cfRule type="duplicateValues" dxfId="284" priority="215"/>
  </conditionalFormatting>
  <conditionalFormatting sqref="E778">
    <cfRule type="duplicateValues" dxfId="283" priority="208"/>
  </conditionalFormatting>
  <conditionalFormatting sqref="E778">
    <cfRule type="duplicateValues" dxfId="282" priority="209"/>
  </conditionalFormatting>
  <conditionalFormatting sqref="E778">
    <cfRule type="duplicateValues" dxfId="281" priority="210"/>
    <cfRule type="duplicateValues" dxfId="280" priority="211"/>
  </conditionalFormatting>
  <conditionalFormatting sqref="E778">
    <cfRule type="duplicateValues" dxfId="279" priority="212"/>
  </conditionalFormatting>
  <conditionalFormatting sqref="D778">
    <cfRule type="duplicateValues" dxfId="278" priority="213"/>
  </conditionalFormatting>
  <conditionalFormatting sqref="E778">
    <cfRule type="duplicateValues" dxfId="277" priority="214"/>
  </conditionalFormatting>
  <conditionalFormatting sqref="E778">
    <cfRule type="duplicateValues" dxfId="276" priority="207"/>
  </conditionalFormatting>
  <conditionalFormatting sqref="E778">
    <cfRule type="duplicateValues" dxfId="275" priority="206"/>
  </conditionalFormatting>
  <conditionalFormatting sqref="E752">
    <cfRule type="duplicateValues" dxfId="274" priority="200"/>
  </conditionalFormatting>
  <conditionalFormatting sqref="E752">
    <cfRule type="duplicateValues" dxfId="273" priority="201"/>
  </conditionalFormatting>
  <conditionalFormatting sqref="D752">
    <cfRule type="duplicateValues" dxfId="272" priority="202"/>
  </conditionalFormatting>
  <conditionalFormatting sqref="E752">
    <cfRule type="duplicateValues" dxfId="271" priority="203"/>
  </conditionalFormatting>
  <conditionalFormatting sqref="E752">
    <cfRule type="duplicateValues" dxfId="270" priority="204"/>
    <cfRule type="duplicateValues" dxfId="269" priority="205"/>
  </conditionalFormatting>
  <conditionalFormatting sqref="E752">
    <cfRule type="duplicateValues" dxfId="268" priority="199"/>
  </conditionalFormatting>
  <conditionalFormatting sqref="E752">
    <cfRule type="duplicateValues" dxfId="267" priority="198"/>
  </conditionalFormatting>
  <conditionalFormatting sqref="E72">
    <cfRule type="duplicateValues" dxfId="266" priority="191"/>
  </conditionalFormatting>
  <conditionalFormatting sqref="E72">
    <cfRule type="duplicateValues" dxfId="265" priority="192"/>
  </conditionalFormatting>
  <conditionalFormatting sqref="E72">
    <cfRule type="duplicateValues" dxfId="264" priority="193"/>
    <cfRule type="duplicateValues" dxfId="263" priority="194"/>
  </conditionalFormatting>
  <conditionalFormatting sqref="E72">
    <cfRule type="duplicateValues" dxfId="262" priority="195"/>
  </conditionalFormatting>
  <conditionalFormatting sqref="D72">
    <cfRule type="duplicateValues" dxfId="261" priority="196"/>
  </conditionalFormatting>
  <conditionalFormatting sqref="E72">
    <cfRule type="duplicateValues" dxfId="260" priority="197"/>
  </conditionalFormatting>
  <conditionalFormatting sqref="E72">
    <cfRule type="duplicateValues" dxfId="259" priority="190"/>
  </conditionalFormatting>
  <conditionalFormatting sqref="E72">
    <cfRule type="duplicateValues" dxfId="258" priority="189"/>
  </conditionalFormatting>
  <conditionalFormatting sqref="E556:E557 E550 E569:E570">
    <cfRule type="duplicateValues" dxfId="257" priority="1417"/>
  </conditionalFormatting>
  <conditionalFormatting sqref="D716">
    <cfRule type="duplicateValues" dxfId="256" priority="181"/>
  </conditionalFormatting>
  <conditionalFormatting sqref="E716">
    <cfRule type="duplicateValues" dxfId="255" priority="182"/>
  </conditionalFormatting>
  <conditionalFormatting sqref="E716">
    <cfRule type="duplicateValues" dxfId="254" priority="183"/>
  </conditionalFormatting>
  <conditionalFormatting sqref="E716">
    <cfRule type="duplicateValues" dxfId="253" priority="184"/>
  </conditionalFormatting>
  <conditionalFormatting sqref="E716">
    <cfRule type="duplicateValues" dxfId="252" priority="185"/>
    <cfRule type="duplicateValues" dxfId="251" priority="186"/>
  </conditionalFormatting>
  <conditionalFormatting sqref="E716">
    <cfRule type="duplicateValues" dxfId="250" priority="187"/>
  </conditionalFormatting>
  <conditionalFormatting sqref="E716">
    <cfRule type="duplicateValues" dxfId="249" priority="188"/>
  </conditionalFormatting>
  <conditionalFormatting sqref="E716">
    <cfRule type="duplicateValues" dxfId="248" priority="180"/>
  </conditionalFormatting>
  <conditionalFormatting sqref="E716">
    <cfRule type="duplicateValues" dxfId="247" priority="179"/>
  </conditionalFormatting>
  <conditionalFormatting sqref="D719">
    <cfRule type="duplicateValues" dxfId="246" priority="171"/>
  </conditionalFormatting>
  <conditionalFormatting sqref="E719">
    <cfRule type="duplicateValues" dxfId="245" priority="172"/>
  </conditionalFormatting>
  <conditionalFormatting sqref="E719">
    <cfRule type="duplicateValues" dxfId="244" priority="173"/>
  </conditionalFormatting>
  <conditionalFormatting sqref="E719">
    <cfRule type="duplicateValues" dxfId="243" priority="174"/>
  </conditionalFormatting>
  <conditionalFormatting sqref="E719">
    <cfRule type="duplicateValues" dxfId="242" priority="175"/>
    <cfRule type="duplicateValues" dxfId="241" priority="176"/>
  </conditionalFormatting>
  <conditionalFormatting sqref="E719">
    <cfRule type="duplicateValues" dxfId="240" priority="177"/>
  </conditionalFormatting>
  <conditionalFormatting sqref="E719">
    <cfRule type="duplicateValues" dxfId="239" priority="178"/>
  </conditionalFormatting>
  <conditionalFormatting sqref="E719">
    <cfRule type="duplicateValues" dxfId="238" priority="170"/>
  </conditionalFormatting>
  <conditionalFormatting sqref="E719">
    <cfRule type="duplicateValues" dxfId="237" priority="169"/>
  </conditionalFormatting>
  <conditionalFormatting sqref="E539:E544">
    <cfRule type="duplicateValues" dxfId="236" priority="1418"/>
  </conditionalFormatting>
  <conditionalFormatting sqref="E539:E544">
    <cfRule type="duplicateValues" dxfId="235" priority="1419"/>
    <cfRule type="duplicateValues" dxfId="234" priority="1420"/>
  </conditionalFormatting>
  <conditionalFormatting sqref="E749">
    <cfRule type="duplicateValues" dxfId="233" priority="162"/>
  </conditionalFormatting>
  <conditionalFormatting sqref="E749">
    <cfRule type="duplicateValues" dxfId="232" priority="163"/>
  </conditionalFormatting>
  <conditionalFormatting sqref="E749">
    <cfRule type="duplicateValues" dxfId="231" priority="164"/>
    <cfRule type="duplicateValues" dxfId="230" priority="165"/>
  </conditionalFormatting>
  <conditionalFormatting sqref="E749">
    <cfRule type="duplicateValues" dxfId="229" priority="166"/>
  </conditionalFormatting>
  <conditionalFormatting sqref="D749">
    <cfRule type="duplicateValues" dxfId="228" priority="161"/>
  </conditionalFormatting>
  <conditionalFormatting sqref="E749">
    <cfRule type="duplicateValues" dxfId="227" priority="167"/>
  </conditionalFormatting>
  <conditionalFormatting sqref="E749">
    <cfRule type="duplicateValues" dxfId="226" priority="168"/>
  </conditionalFormatting>
  <conditionalFormatting sqref="E749">
    <cfRule type="duplicateValues" dxfId="225" priority="160"/>
  </conditionalFormatting>
  <conditionalFormatting sqref="E749">
    <cfRule type="duplicateValues" dxfId="224" priority="159"/>
  </conditionalFormatting>
  <conditionalFormatting sqref="E751">
    <cfRule type="duplicateValues" dxfId="223" priority="154"/>
  </conditionalFormatting>
  <conditionalFormatting sqref="E751">
    <cfRule type="duplicateValues" dxfId="222" priority="155"/>
    <cfRule type="duplicateValues" dxfId="221" priority="156"/>
  </conditionalFormatting>
  <conditionalFormatting sqref="D751">
    <cfRule type="duplicateValues" dxfId="220" priority="153"/>
  </conditionalFormatting>
  <conditionalFormatting sqref="E751">
    <cfRule type="duplicateValues" dxfId="219" priority="157"/>
  </conditionalFormatting>
  <conditionalFormatting sqref="E751">
    <cfRule type="duplicateValues" dxfId="218" priority="158"/>
  </conditionalFormatting>
  <conditionalFormatting sqref="E751">
    <cfRule type="duplicateValues" dxfId="217" priority="152"/>
  </conditionalFormatting>
  <conditionalFormatting sqref="E751">
    <cfRule type="duplicateValues" dxfId="216" priority="151"/>
  </conditionalFormatting>
  <conditionalFormatting sqref="E750">
    <cfRule type="duplicateValues" dxfId="215" priority="144"/>
  </conditionalFormatting>
  <conditionalFormatting sqref="D750">
    <cfRule type="duplicateValues" dxfId="214" priority="143"/>
  </conditionalFormatting>
  <conditionalFormatting sqref="E750">
    <cfRule type="duplicateValues" dxfId="213" priority="145"/>
  </conditionalFormatting>
  <conditionalFormatting sqref="E750">
    <cfRule type="duplicateValues" dxfId="212" priority="146"/>
  </conditionalFormatting>
  <conditionalFormatting sqref="E750">
    <cfRule type="duplicateValues" dxfId="211" priority="147"/>
    <cfRule type="duplicateValues" dxfId="210" priority="148"/>
  </conditionalFormatting>
  <conditionalFormatting sqref="E750">
    <cfRule type="duplicateValues" dxfId="209" priority="149"/>
  </conditionalFormatting>
  <conditionalFormatting sqref="E750">
    <cfRule type="duplicateValues" dxfId="208" priority="150"/>
  </conditionalFormatting>
  <conditionalFormatting sqref="E750">
    <cfRule type="duplicateValues" dxfId="207" priority="142"/>
  </conditionalFormatting>
  <conditionalFormatting sqref="E750">
    <cfRule type="duplicateValues" dxfId="206" priority="141"/>
  </conditionalFormatting>
  <conditionalFormatting sqref="E633">
    <cfRule type="duplicateValues" dxfId="205" priority="1421"/>
  </conditionalFormatting>
  <conditionalFormatting sqref="E633">
    <cfRule type="duplicateValues" dxfId="204" priority="1422"/>
    <cfRule type="duplicateValues" dxfId="203" priority="1423"/>
  </conditionalFormatting>
  <conditionalFormatting sqref="E619">
    <cfRule type="duplicateValues" dxfId="202" priority="134"/>
  </conditionalFormatting>
  <conditionalFormatting sqref="D619">
    <cfRule type="duplicateValues" dxfId="201" priority="133"/>
  </conditionalFormatting>
  <conditionalFormatting sqref="E619">
    <cfRule type="duplicateValues" dxfId="200" priority="135"/>
  </conditionalFormatting>
  <conditionalFormatting sqref="E619">
    <cfRule type="duplicateValues" dxfId="199" priority="136"/>
  </conditionalFormatting>
  <conditionalFormatting sqref="E619">
    <cfRule type="duplicateValues" dxfId="198" priority="137"/>
    <cfRule type="duplicateValues" dxfId="197" priority="138"/>
  </conditionalFormatting>
  <conditionalFormatting sqref="E619">
    <cfRule type="duplicateValues" dxfId="196" priority="139"/>
  </conditionalFormatting>
  <conditionalFormatting sqref="E619">
    <cfRule type="duplicateValues" dxfId="195" priority="140"/>
  </conditionalFormatting>
  <conditionalFormatting sqref="E619">
    <cfRule type="duplicateValues" dxfId="194" priority="132"/>
  </conditionalFormatting>
  <conditionalFormatting sqref="E619">
    <cfRule type="duplicateValues" dxfId="193" priority="131"/>
  </conditionalFormatting>
  <conditionalFormatting sqref="D618">
    <cfRule type="duplicateValues" dxfId="192" priority="123"/>
  </conditionalFormatting>
  <conditionalFormatting sqref="E618">
    <cfRule type="duplicateValues" dxfId="191" priority="124"/>
  </conditionalFormatting>
  <conditionalFormatting sqref="E618">
    <cfRule type="duplicateValues" dxfId="190" priority="125"/>
  </conditionalFormatting>
  <conditionalFormatting sqref="E618">
    <cfRule type="duplicateValues" dxfId="189" priority="126"/>
    <cfRule type="duplicateValues" dxfId="188" priority="127"/>
  </conditionalFormatting>
  <conditionalFormatting sqref="E618">
    <cfRule type="duplicateValues" dxfId="187" priority="128"/>
  </conditionalFormatting>
  <conditionalFormatting sqref="E618">
    <cfRule type="duplicateValues" dxfId="186" priority="129"/>
  </conditionalFormatting>
  <conditionalFormatting sqref="E618">
    <cfRule type="duplicateValues" dxfId="185" priority="122"/>
  </conditionalFormatting>
  <conditionalFormatting sqref="E618">
    <cfRule type="duplicateValues" dxfId="184" priority="121"/>
  </conditionalFormatting>
  <conditionalFormatting sqref="E618">
    <cfRule type="duplicateValues" dxfId="183" priority="130"/>
  </conditionalFormatting>
  <conditionalFormatting sqref="E60">
    <cfRule type="duplicateValues" dxfId="182" priority="109"/>
  </conditionalFormatting>
  <conditionalFormatting sqref="E60">
    <cfRule type="duplicateValues" dxfId="181" priority="110"/>
  </conditionalFormatting>
  <conditionalFormatting sqref="E61">
    <cfRule type="duplicateValues" dxfId="180" priority="105"/>
  </conditionalFormatting>
  <conditionalFormatting sqref="E61">
    <cfRule type="duplicateValues" dxfId="179" priority="104"/>
  </conditionalFormatting>
  <conditionalFormatting sqref="E61">
    <cfRule type="duplicateValues" dxfId="178" priority="106"/>
    <cfRule type="duplicateValues" dxfId="177" priority="107"/>
  </conditionalFormatting>
  <conditionalFormatting sqref="E61">
    <cfRule type="duplicateValues" dxfId="176" priority="108"/>
  </conditionalFormatting>
  <conditionalFormatting sqref="D60:D64">
    <cfRule type="duplicateValues" dxfId="175" priority="103"/>
  </conditionalFormatting>
  <conditionalFormatting sqref="E60:E64">
    <cfRule type="duplicateValues" dxfId="174" priority="111"/>
  </conditionalFormatting>
  <conditionalFormatting sqref="E62:E64">
    <cfRule type="duplicateValues" dxfId="173" priority="112"/>
  </conditionalFormatting>
  <conditionalFormatting sqref="E62:E64">
    <cfRule type="duplicateValues" dxfId="172" priority="113"/>
    <cfRule type="duplicateValues" dxfId="171" priority="114"/>
  </conditionalFormatting>
  <conditionalFormatting sqref="E62:E64">
    <cfRule type="duplicateValues" dxfId="170" priority="115"/>
  </conditionalFormatting>
  <conditionalFormatting sqref="E60:E64">
    <cfRule type="duplicateValues" dxfId="169" priority="116"/>
  </conditionalFormatting>
  <conditionalFormatting sqref="E60:E64">
    <cfRule type="duplicateValues" dxfId="168" priority="102"/>
  </conditionalFormatting>
  <conditionalFormatting sqref="E60:E64">
    <cfRule type="duplicateValues" dxfId="167" priority="101"/>
  </conditionalFormatting>
  <conditionalFormatting sqref="E60">
    <cfRule type="duplicateValues" dxfId="166" priority="117"/>
  </conditionalFormatting>
  <conditionalFormatting sqref="E60">
    <cfRule type="duplicateValues" dxfId="165" priority="118"/>
    <cfRule type="duplicateValues" dxfId="164" priority="119"/>
  </conditionalFormatting>
  <conditionalFormatting sqref="E62:E64">
    <cfRule type="duplicateValues" dxfId="163" priority="120"/>
  </conditionalFormatting>
  <conditionalFormatting sqref="E610 E522:E536 E603:E604">
    <cfRule type="duplicateValues" dxfId="162" priority="1424"/>
  </conditionalFormatting>
  <conditionalFormatting sqref="D245:D246">
    <cfRule type="duplicateValues" dxfId="161" priority="93"/>
  </conditionalFormatting>
  <conditionalFormatting sqref="E245:E246">
    <cfRule type="duplicateValues" dxfId="160" priority="94"/>
  </conditionalFormatting>
  <conditionalFormatting sqref="E245:E246">
    <cfRule type="duplicateValues" dxfId="159" priority="95"/>
  </conditionalFormatting>
  <conditionalFormatting sqref="E245:E246">
    <cfRule type="duplicateValues" dxfId="158" priority="96"/>
  </conditionalFormatting>
  <conditionalFormatting sqref="E245:E246">
    <cfRule type="duplicateValues" dxfId="157" priority="97"/>
    <cfRule type="duplicateValues" dxfId="156" priority="98"/>
  </conditionalFormatting>
  <conditionalFormatting sqref="E245:E246">
    <cfRule type="duplicateValues" dxfId="155" priority="99"/>
  </conditionalFormatting>
  <conditionalFormatting sqref="E245:E246">
    <cfRule type="duplicateValues" dxfId="154" priority="100"/>
  </conditionalFormatting>
  <conditionalFormatting sqref="E245:E246">
    <cfRule type="duplicateValues" dxfId="153" priority="92"/>
  </conditionalFormatting>
  <conditionalFormatting sqref="E245:E246">
    <cfRule type="duplicateValues" dxfId="152" priority="91"/>
  </conditionalFormatting>
  <conditionalFormatting sqref="D244">
    <cfRule type="duplicateValues" dxfId="151" priority="83"/>
  </conditionalFormatting>
  <conditionalFormatting sqref="E244">
    <cfRule type="duplicateValues" dxfId="150" priority="84"/>
  </conditionalFormatting>
  <conditionalFormatting sqref="E244">
    <cfRule type="duplicateValues" dxfId="149" priority="85"/>
  </conditionalFormatting>
  <conditionalFormatting sqref="E244">
    <cfRule type="duplicateValues" dxfId="148" priority="86"/>
  </conditionalFormatting>
  <conditionalFormatting sqref="E244">
    <cfRule type="duplicateValues" dxfId="147" priority="87"/>
    <cfRule type="duplicateValues" dxfId="146" priority="88"/>
  </conditionalFormatting>
  <conditionalFormatting sqref="E244">
    <cfRule type="duplicateValues" dxfId="145" priority="89"/>
  </conditionalFormatting>
  <conditionalFormatting sqref="E244">
    <cfRule type="duplicateValues" dxfId="144" priority="90"/>
  </conditionalFormatting>
  <conditionalFormatting sqref="E244">
    <cfRule type="duplicateValues" dxfId="143" priority="82"/>
  </conditionalFormatting>
  <conditionalFormatting sqref="E244">
    <cfRule type="duplicateValues" dxfId="142" priority="81"/>
  </conditionalFormatting>
  <conditionalFormatting sqref="E243">
    <cfRule type="duplicateValues" dxfId="141" priority="74"/>
  </conditionalFormatting>
  <conditionalFormatting sqref="E243">
    <cfRule type="duplicateValues" dxfId="140" priority="75"/>
  </conditionalFormatting>
  <conditionalFormatting sqref="E243">
    <cfRule type="duplicateValues" dxfId="139" priority="76"/>
    <cfRule type="duplicateValues" dxfId="138" priority="77"/>
  </conditionalFormatting>
  <conditionalFormatting sqref="E243">
    <cfRule type="duplicateValues" dxfId="137" priority="78"/>
  </conditionalFormatting>
  <conditionalFormatting sqref="D243">
    <cfRule type="duplicateValues" dxfId="136" priority="73"/>
  </conditionalFormatting>
  <conditionalFormatting sqref="E243">
    <cfRule type="duplicateValues" dxfId="135" priority="79"/>
  </conditionalFormatting>
  <conditionalFormatting sqref="E243">
    <cfRule type="duplicateValues" dxfId="134" priority="80"/>
  </conditionalFormatting>
  <conditionalFormatting sqref="E243">
    <cfRule type="duplicateValues" dxfId="133" priority="72"/>
  </conditionalFormatting>
  <conditionalFormatting sqref="E243">
    <cfRule type="duplicateValues" dxfId="132" priority="71"/>
  </conditionalFormatting>
  <conditionalFormatting sqref="D247">
    <cfRule type="duplicateValues" dxfId="131" priority="63"/>
  </conditionalFormatting>
  <conditionalFormatting sqref="E247">
    <cfRule type="duplicateValues" dxfId="130" priority="64"/>
  </conditionalFormatting>
  <conditionalFormatting sqref="E247">
    <cfRule type="duplicateValues" dxfId="129" priority="65"/>
  </conditionalFormatting>
  <conditionalFormatting sqref="E247">
    <cfRule type="duplicateValues" dxfId="128" priority="66"/>
  </conditionalFormatting>
  <conditionalFormatting sqref="E247">
    <cfRule type="duplicateValues" dxfId="127" priority="67"/>
    <cfRule type="duplicateValues" dxfId="126" priority="68"/>
  </conditionalFormatting>
  <conditionalFormatting sqref="E247">
    <cfRule type="duplicateValues" dxfId="125" priority="69"/>
  </conditionalFormatting>
  <conditionalFormatting sqref="E247">
    <cfRule type="duplicateValues" dxfId="124" priority="70"/>
  </conditionalFormatting>
  <conditionalFormatting sqref="E247">
    <cfRule type="duplicateValues" dxfId="123" priority="62"/>
  </conditionalFormatting>
  <conditionalFormatting sqref="E247">
    <cfRule type="duplicateValues" dxfId="122" priority="61"/>
  </conditionalFormatting>
  <conditionalFormatting sqref="E291">
    <cfRule type="duplicateValues" dxfId="121" priority="55"/>
  </conditionalFormatting>
  <conditionalFormatting sqref="E291">
    <cfRule type="duplicateValues" dxfId="120" priority="54"/>
  </conditionalFormatting>
  <conditionalFormatting sqref="E291">
    <cfRule type="duplicateValues" dxfId="119" priority="56"/>
    <cfRule type="duplicateValues" dxfId="118" priority="57"/>
  </conditionalFormatting>
  <conditionalFormatting sqref="E291">
    <cfRule type="duplicateValues" dxfId="117" priority="58"/>
  </conditionalFormatting>
  <conditionalFormatting sqref="D291">
    <cfRule type="duplicateValues" dxfId="116" priority="53"/>
  </conditionalFormatting>
  <conditionalFormatting sqref="E291">
    <cfRule type="duplicateValues" dxfId="115" priority="59"/>
  </conditionalFormatting>
  <conditionalFormatting sqref="E291">
    <cfRule type="duplicateValues" dxfId="114" priority="60"/>
  </conditionalFormatting>
  <conditionalFormatting sqref="E291">
    <cfRule type="duplicateValues" dxfId="113" priority="52"/>
  </conditionalFormatting>
  <conditionalFormatting sqref="E291">
    <cfRule type="duplicateValues" dxfId="112" priority="51"/>
  </conditionalFormatting>
  <conditionalFormatting sqref="E624">
    <cfRule type="duplicateValues" dxfId="111" priority="44"/>
  </conditionalFormatting>
  <conditionalFormatting sqref="D624">
    <cfRule type="duplicateValues" dxfId="110" priority="43"/>
  </conditionalFormatting>
  <conditionalFormatting sqref="E624">
    <cfRule type="duplicateValues" dxfId="109" priority="45"/>
  </conditionalFormatting>
  <conditionalFormatting sqref="E624">
    <cfRule type="duplicateValues" dxfId="108" priority="46"/>
  </conditionalFormatting>
  <conditionalFormatting sqref="E624">
    <cfRule type="duplicateValues" dxfId="107" priority="47"/>
    <cfRule type="duplicateValues" dxfId="106" priority="48"/>
  </conditionalFormatting>
  <conditionalFormatting sqref="E624">
    <cfRule type="duplicateValues" dxfId="105" priority="49"/>
  </conditionalFormatting>
  <conditionalFormatting sqref="E624">
    <cfRule type="duplicateValues" dxfId="104" priority="50"/>
  </conditionalFormatting>
  <conditionalFormatting sqref="E624">
    <cfRule type="duplicateValues" dxfId="103" priority="42"/>
  </conditionalFormatting>
  <conditionalFormatting sqref="E624">
    <cfRule type="duplicateValues" dxfId="102" priority="41"/>
  </conditionalFormatting>
  <conditionalFormatting sqref="D625">
    <cfRule type="duplicateValues" dxfId="101" priority="33"/>
  </conditionalFormatting>
  <conditionalFormatting sqref="E625">
    <cfRule type="duplicateValues" dxfId="100" priority="34"/>
  </conditionalFormatting>
  <conditionalFormatting sqref="E625">
    <cfRule type="duplicateValues" dxfId="99" priority="35"/>
  </conditionalFormatting>
  <conditionalFormatting sqref="E625">
    <cfRule type="duplicateValues" dxfId="98" priority="36"/>
  </conditionalFormatting>
  <conditionalFormatting sqref="E625">
    <cfRule type="duplicateValues" dxfId="97" priority="37"/>
    <cfRule type="duplicateValues" dxfId="96" priority="38"/>
  </conditionalFormatting>
  <conditionalFormatting sqref="E625">
    <cfRule type="duplicateValues" dxfId="95" priority="39"/>
  </conditionalFormatting>
  <conditionalFormatting sqref="E625">
    <cfRule type="duplicateValues" dxfId="94" priority="40"/>
  </conditionalFormatting>
  <conditionalFormatting sqref="E625">
    <cfRule type="duplicateValues" dxfId="93" priority="32"/>
  </conditionalFormatting>
  <conditionalFormatting sqref="E625">
    <cfRule type="duplicateValues" dxfId="92" priority="31"/>
  </conditionalFormatting>
  <conditionalFormatting sqref="E626">
    <cfRule type="duplicateValues" dxfId="91" priority="24"/>
  </conditionalFormatting>
  <conditionalFormatting sqref="D626">
    <cfRule type="duplicateValues" dxfId="90" priority="23"/>
  </conditionalFormatting>
  <conditionalFormatting sqref="E626">
    <cfRule type="duplicateValues" dxfId="89" priority="25"/>
  </conditionalFormatting>
  <conditionalFormatting sqref="E626">
    <cfRule type="duplicateValues" dxfId="88" priority="26"/>
  </conditionalFormatting>
  <conditionalFormatting sqref="E626">
    <cfRule type="duplicateValues" dxfId="87" priority="27"/>
    <cfRule type="duplicateValues" dxfId="86" priority="28"/>
  </conditionalFormatting>
  <conditionalFormatting sqref="E626">
    <cfRule type="duplicateValues" dxfId="85" priority="29"/>
  </conditionalFormatting>
  <conditionalFormatting sqref="E626">
    <cfRule type="duplicateValues" dxfId="84" priority="30"/>
  </conditionalFormatting>
  <conditionalFormatting sqref="E626">
    <cfRule type="duplicateValues" dxfId="83" priority="22"/>
  </conditionalFormatting>
  <conditionalFormatting sqref="E626">
    <cfRule type="duplicateValues" dxfId="82" priority="21"/>
  </conditionalFormatting>
  <conditionalFormatting sqref="E728:E731">
    <cfRule type="duplicateValues" dxfId="81" priority="1425"/>
  </conditionalFormatting>
  <conditionalFormatting sqref="E761:E764">
    <cfRule type="duplicateValues" dxfId="80" priority="1426"/>
  </conditionalFormatting>
  <conditionalFormatting sqref="E761:E764">
    <cfRule type="duplicateValues" dxfId="79" priority="1427"/>
    <cfRule type="duplicateValues" dxfId="78" priority="1428"/>
  </conditionalFormatting>
  <conditionalFormatting sqref="D628">
    <cfRule type="duplicateValues" dxfId="77" priority="13"/>
  </conditionalFormatting>
  <conditionalFormatting sqref="E628">
    <cfRule type="duplicateValues" dxfId="76" priority="14"/>
  </conditionalFormatting>
  <conditionalFormatting sqref="E628">
    <cfRule type="duplicateValues" dxfId="75" priority="15"/>
  </conditionalFormatting>
  <conditionalFormatting sqref="E628">
    <cfRule type="duplicateValues" dxfId="74" priority="16"/>
  </conditionalFormatting>
  <conditionalFormatting sqref="E628">
    <cfRule type="duplicateValues" dxfId="73" priority="17"/>
    <cfRule type="duplicateValues" dxfId="72" priority="18"/>
  </conditionalFormatting>
  <conditionalFormatting sqref="E628">
    <cfRule type="duplicateValues" dxfId="71" priority="19"/>
  </conditionalFormatting>
  <conditionalFormatting sqref="E628">
    <cfRule type="duplicateValues" dxfId="70" priority="20"/>
  </conditionalFormatting>
  <conditionalFormatting sqref="E628">
    <cfRule type="duplicateValues" dxfId="69" priority="12"/>
  </conditionalFormatting>
  <conditionalFormatting sqref="E628">
    <cfRule type="duplicateValues" dxfId="68" priority="11"/>
  </conditionalFormatting>
  <conditionalFormatting sqref="E627">
    <cfRule type="duplicateValues" dxfId="67" priority="5"/>
  </conditionalFormatting>
  <conditionalFormatting sqref="E627">
    <cfRule type="duplicateValues" dxfId="66" priority="4"/>
  </conditionalFormatting>
  <conditionalFormatting sqref="E627">
    <cfRule type="duplicateValues" dxfId="65" priority="6"/>
    <cfRule type="duplicateValues" dxfId="64" priority="7"/>
  </conditionalFormatting>
  <conditionalFormatting sqref="E627">
    <cfRule type="duplicateValues" dxfId="63" priority="8"/>
  </conditionalFormatting>
  <conditionalFormatting sqref="D627">
    <cfRule type="duplicateValues" dxfId="62" priority="3"/>
  </conditionalFormatting>
  <conditionalFormatting sqref="E627">
    <cfRule type="duplicateValues" dxfId="61" priority="9"/>
  </conditionalFormatting>
  <conditionalFormatting sqref="E627">
    <cfRule type="duplicateValues" dxfId="60" priority="10"/>
  </conditionalFormatting>
  <conditionalFormatting sqref="E627">
    <cfRule type="duplicateValues" dxfId="59" priority="2"/>
  </conditionalFormatting>
  <conditionalFormatting sqref="E627">
    <cfRule type="duplicateValues" dxfId="58" priority="1"/>
  </conditionalFormatting>
  <conditionalFormatting sqref="E769">
    <cfRule type="duplicateValues" dxfId="57" priority="1429"/>
    <cfRule type="duplicateValues" dxfId="56" priority="1430"/>
  </conditionalFormatting>
  <conditionalFormatting sqref="D769">
    <cfRule type="duplicateValues" dxfId="55" priority="1431"/>
  </conditionalFormatting>
  <conditionalFormatting sqref="E768 E760">
    <cfRule type="duplicateValues" dxfId="54" priority="1432"/>
  </conditionalFormatting>
  <conditionalFormatting sqref="E683:E684">
    <cfRule type="duplicateValues" dxfId="53" priority="1433"/>
  </conditionalFormatting>
  <conditionalFormatting sqref="E683:E684">
    <cfRule type="duplicateValues" dxfId="52" priority="1434"/>
    <cfRule type="duplicateValues" dxfId="51" priority="1435"/>
  </conditionalFormatting>
  <conditionalFormatting sqref="E605:E608">
    <cfRule type="duplicateValues" dxfId="50" priority="1436"/>
  </conditionalFormatting>
  <conditionalFormatting sqref="E605:E608">
    <cfRule type="duplicateValues" dxfId="49" priority="1437"/>
    <cfRule type="duplicateValues" dxfId="48" priority="1438"/>
  </conditionalFormatting>
  <conditionalFormatting sqref="D574:D575 D545:D571 D581:D597">
    <cfRule type="duplicateValues" dxfId="47" priority="1439"/>
  </conditionalFormatting>
  <conditionalFormatting sqref="E574:E575 E545:E571 E581:E597">
    <cfRule type="duplicateValues" dxfId="46" priority="1440"/>
  </conditionalFormatting>
  <conditionalFormatting sqref="E551:E555">
    <cfRule type="duplicateValues" dxfId="45" priority="1441"/>
  </conditionalFormatting>
  <conditionalFormatting sqref="E551:E555">
    <cfRule type="duplicateValues" dxfId="44" priority="1442"/>
    <cfRule type="duplicateValues" dxfId="43" priority="1443"/>
  </conditionalFormatting>
  <conditionalFormatting sqref="E455">
    <cfRule type="duplicateValues" dxfId="42" priority="1444"/>
  </conditionalFormatting>
  <conditionalFormatting sqref="E451:E452">
    <cfRule type="duplicateValues" dxfId="41" priority="1445"/>
  </conditionalFormatting>
  <conditionalFormatting sqref="E450:E452">
    <cfRule type="duplicateValues" dxfId="40" priority="1446"/>
  </conditionalFormatting>
  <conditionalFormatting sqref="E450:E452">
    <cfRule type="duplicateValues" dxfId="39" priority="1447"/>
    <cfRule type="duplicateValues" dxfId="38" priority="1448"/>
  </conditionalFormatting>
  <conditionalFormatting sqref="E429:E439">
    <cfRule type="duplicateValues" dxfId="37" priority="1449"/>
  </conditionalFormatting>
  <conditionalFormatting sqref="E429:E439">
    <cfRule type="duplicateValues" dxfId="36" priority="1450"/>
    <cfRule type="duplicateValues" dxfId="35" priority="1451"/>
  </conditionalFormatting>
  <conditionalFormatting sqref="E412:E421">
    <cfRule type="duplicateValues" dxfId="34" priority="1452"/>
  </conditionalFormatting>
  <conditionalFormatting sqref="E409">
    <cfRule type="duplicateValues" dxfId="33" priority="1453"/>
    <cfRule type="duplicateValues" dxfId="32" priority="1454"/>
  </conditionalFormatting>
  <conditionalFormatting sqref="D392:D424">
    <cfRule type="duplicateValues" dxfId="31" priority="1455"/>
  </conditionalFormatting>
  <conditionalFormatting sqref="E392:E424">
    <cfRule type="duplicateValues" dxfId="30" priority="1456"/>
  </conditionalFormatting>
  <conditionalFormatting sqref="D385:D390">
    <cfRule type="duplicateValues" dxfId="29" priority="1457"/>
  </conditionalFormatting>
  <conditionalFormatting sqref="E385:E390">
    <cfRule type="duplicateValues" dxfId="28" priority="1458"/>
  </conditionalFormatting>
  <conditionalFormatting sqref="E385:E387">
    <cfRule type="duplicateValues" dxfId="27" priority="1459"/>
  </conditionalFormatting>
  <conditionalFormatting sqref="E385:E387">
    <cfRule type="duplicateValues" dxfId="26" priority="1460"/>
    <cfRule type="duplicateValues" dxfId="25" priority="1461"/>
  </conditionalFormatting>
  <conditionalFormatting sqref="E348">
    <cfRule type="duplicateValues" dxfId="24" priority="1462"/>
    <cfRule type="duplicateValues" dxfId="23" priority="1463"/>
  </conditionalFormatting>
  <conditionalFormatting sqref="E159:E163">
    <cfRule type="duplicateValues" dxfId="22" priority="1464"/>
  </conditionalFormatting>
  <dataValidations count="1">
    <dataValidation type="list" allowBlank="1" showInputMessage="1" showErrorMessage="1" sqref="C829 C831:C833 C836 C838:C840 C845 C847:C848">
      <formula1>"主管,副主管,主任,副主任,工艺组长,工程师,助工"</formula1>
    </dataValidation>
  </dataValidations>
  <pageMargins left="0.7" right="0.7" top="0.75" bottom="0.75" header="0.3" footer="0.3"/>
  <pageSetup paperSize="9" scale="48" orientation="portrait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7"/>
  <sheetViews>
    <sheetView workbookViewId="0">
      <selection activeCell="B17" sqref="B17"/>
    </sheetView>
  </sheetViews>
  <sheetFormatPr defaultRowHeight="16.5"/>
  <cols>
    <col min="1" max="1" width="12" style="67" customWidth="1"/>
    <col min="2" max="2" width="38.25" style="67" customWidth="1"/>
    <col min="3" max="3" width="14.5" style="67" customWidth="1"/>
    <col min="4" max="4" width="14.75" style="67" customWidth="1"/>
    <col min="5" max="16384" width="9" style="67"/>
  </cols>
  <sheetData>
    <row r="1" spans="1:4">
      <c r="A1" s="67" t="s">
        <v>1047</v>
      </c>
      <c r="B1" s="71" t="s">
        <v>1079</v>
      </c>
      <c r="C1" s="68" t="s">
        <v>1075</v>
      </c>
      <c r="D1" s="68" t="s">
        <v>1076</v>
      </c>
    </row>
    <row r="2" spans="1:4" ht="17.25">
      <c r="B2" s="66" t="s">
        <v>1049</v>
      </c>
      <c r="C2" s="69" t="s">
        <v>1050</v>
      </c>
      <c r="D2" s="294" t="s">
        <v>1069</v>
      </c>
    </row>
    <row r="3" spans="1:4" ht="17.25">
      <c r="B3" s="66" t="s">
        <v>1051</v>
      </c>
      <c r="C3" s="69" t="s">
        <v>1052</v>
      </c>
      <c r="D3" s="294"/>
    </row>
    <row r="4" spans="1:4" ht="17.25">
      <c r="B4" s="66" t="s">
        <v>1053</v>
      </c>
      <c r="C4" s="69" t="s">
        <v>1054</v>
      </c>
      <c r="D4" s="294" t="s">
        <v>1070</v>
      </c>
    </row>
    <row r="5" spans="1:4" ht="17.25">
      <c r="B5" s="66" t="s">
        <v>1055</v>
      </c>
      <c r="C5" s="69" t="s">
        <v>1056</v>
      </c>
      <c r="D5" s="294"/>
    </row>
    <row r="6" spans="1:4" ht="17.25">
      <c r="B6" s="66" t="s">
        <v>1057</v>
      </c>
      <c r="C6" s="69" t="s">
        <v>1058</v>
      </c>
      <c r="D6" s="68" t="s">
        <v>1071</v>
      </c>
    </row>
    <row r="7" spans="1:4" ht="17.25">
      <c r="B7" s="66" t="s">
        <v>1059</v>
      </c>
      <c r="C7" s="69" t="s">
        <v>1060</v>
      </c>
      <c r="D7" s="68" t="s">
        <v>1072</v>
      </c>
    </row>
    <row r="8" spans="1:4" ht="17.25">
      <c r="B8" s="66" t="s">
        <v>1061</v>
      </c>
      <c r="C8" s="69" t="s">
        <v>1067</v>
      </c>
      <c r="D8" s="68" t="s">
        <v>1067</v>
      </c>
    </row>
    <row r="9" spans="1:4" ht="17.25">
      <c r="B9" s="66" t="s">
        <v>1062</v>
      </c>
      <c r="C9" s="69" t="s">
        <v>1063</v>
      </c>
      <c r="D9" s="68"/>
    </row>
    <row r="10" spans="1:4" ht="17.25">
      <c r="B10" s="66" t="s">
        <v>1064</v>
      </c>
      <c r="C10" s="69" t="s">
        <v>1065</v>
      </c>
      <c r="D10" s="68"/>
    </row>
    <row r="11" spans="1:4" ht="17.25">
      <c r="B11" s="66" t="s">
        <v>1066</v>
      </c>
      <c r="C11" s="69" t="s">
        <v>1068</v>
      </c>
      <c r="D11" s="68"/>
    </row>
    <row r="12" spans="1:4" ht="17.25">
      <c r="B12" s="66" t="s">
        <v>1073</v>
      </c>
      <c r="C12" s="69"/>
      <c r="D12" s="68" t="s">
        <v>1074</v>
      </c>
    </row>
    <row r="13" spans="1:4">
      <c r="A13" s="67" t="s">
        <v>1048</v>
      </c>
    </row>
    <row r="14" spans="1:4">
      <c r="A14" s="70">
        <v>1</v>
      </c>
      <c r="B14" s="67" t="s">
        <v>1078</v>
      </c>
    </row>
    <row r="15" spans="1:4">
      <c r="A15" s="70">
        <v>2</v>
      </c>
      <c r="B15" s="67" t="s">
        <v>1077</v>
      </c>
    </row>
    <row r="16" spans="1:4">
      <c r="A16" s="70">
        <v>3</v>
      </c>
      <c r="B16" s="67" t="s">
        <v>1268</v>
      </c>
    </row>
    <row r="17" spans="1:1">
      <c r="A17" s="70"/>
    </row>
    <row r="18" spans="1:1">
      <c r="A18" s="70"/>
    </row>
    <row r="19" spans="1:1">
      <c r="A19" s="70"/>
    </row>
    <row r="20" spans="1:1">
      <c r="A20" s="70"/>
    </row>
    <row r="21" spans="1:1">
      <c r="A21" s="70"/>
    </row>
    <row r="22" spans="1:1">
      <c r="A22" s="70"/>
    </row>
    <row r="23" spans="1:1">
      <c r="A23" s="70"/>
    </row>
    <row r="24" spans="1:1">
      <c r="A24" s="70"/>
    </row>
    <row r="25" spans="1:1">
      <c r="A25" s="70"/>
    </row>
    <row r="26" spans="1:1">
      <c r="A26" s="70"/>
    </row>
    <row r="27" spans="1:1">
      <c r="A27" s="70"/>
    </row>
  </sheetData>
  <mergeCells count="2">
    <mergeCell ref="D2:D3"/>
    <mergeCell ref="D4:D5"/>
  </mergeCells>
  <phoneticPr fontId="9" type="noConversion"/>
  <pageMargins left="0.7" right="0.7" top="0.75" bottom="0.75" header="0.3" footer="0.3"/>
  <pageSetup paperSize="9" orientation="portrait" verticalDpi="0" r:id="rId1"/>
  <customProperties>
    <customPr name="BudgetSheetCodeName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>
      <selection activeCell="F18" sqref="F18"/>
    </sheetView>
  </sheetViews>
  <sheetFormatPr defaultColWidth="9" defaultRowHeight="14.25"/>
  <cols>
    <col min="1" max="1" width="16.625" style="9" customWidth="1"/>
    <col min="2" max="2" width="15.75" style="9" customWidth="1"/>
    <col min="3" max="3" width="9.875" style="9" customWidth="1"/>
    <col min="4" max="4" width="10.75" style="9" customWidth="1"/>
    <col min="5" max="5" width="11" style="9" customWidth="1"/>
    <col min="6" max="6" width="24.875" style="9" customWidth="1"/>
    <col min="7" max="7" width="9" style="9"/>
    <col min="8" max="8" width="10.125" style="9" customWidth="1"/>
    <col min="9" max="9" width="13.5" style="9" bestFit="1" customWidth="1"/>
    <col min="10" max="10" width="9.75" style="9" customWidth="1"/>
    <col min="11" max="11" width="13.125" style="9" bestFit="1" customWidth="1"/>
    <col min="12" max="12" width="9" style="9"/>
    <col min="13" max="13" width="10.125" style="9" customWidth="1"/>
    <col min="14" max="14" width="13.5" style="9" bestFit="1" customWidth="1"/>
    <col min="15" max="16384" width="9" style="9"/>
  </cols>
  <sheetData>
    <row r="1" spans="1:15" ht="31.5" customHeight="1">
      <c r="A1" s="31" t="s">
        <v>52</v>
      </c>
      <c r="B1" s="21"/>
      <c r="C1" s="21"/>
      <c r="D1" s="21"/>
      <c r="E1" s="21"/>
      <c r="F1" s="24"/>
    </row>
    <row r="2" spans="1:15" ht="24.95" customHeight="1">
      <c r="A2" s="22" t="s">
        <v>0</v>
      </c>
      <c r="B2" s="22" t="s">
        <v>2</v>
      </c>
      <c r="C2" s="1" t="s">
        <v>29</v>
      </c>
      <c r="D2" s="1" t="s">
        <v>30</v>
      </c>
      <c r="E2" s="22" t="s">
        <v>31</v>
      </c>
      <c r="F2" s="22" t="s">
        <v>32</v>
      </c>
    </row>
    <row r="3" spans="1:15">
      <c r="A3" s="14"/>
      <c r="B3" s="14"/>
      <c r="C3" s="23"/>
      <c r="D3" s="23"/>
      <c r="E3" s="36">
        <f>C3+D3</f>
        <v>0</v>
      </c>
      <c r="F3" s="13"/>
    </row>
    <row r="4" spans="1:15">
      <c r="A4" s="14"/>
      <c r="B4" s="14"/>
      <c r="C4" s="23"/>
      <c r="D4" s="23"/>
      <c r="E4" s="36">
        <f>C4+D4</f>
        <v>0</v>
      </c>
      <c r="F4" s="13"/>
    </row>
    <row r="5" spans="1:15">
      <c r="A5" s="14"/>
      <c r="B5" s="14"/>
      <c r="C5" s="23"/>
      <c r="D5" s="23"/>
      <c r="E5" s="36">
        <f t="shared" ref="E5:E29" si="0">C5+D5</f>
        <v>0</v>
      </c>
      <c r="F5" s="18"/>
      <c r="H5" s="32"/>
      <c r="I5" s="33"/>
      <c r="J5"/>
    </row>
    <row r="6" spans="1:15">
      <c r="A6" s="14"/>
      <c r="B6" s="14"/>
      <c r="C6" s="23"/>
      <c r="D6" s="23"/>
      <c r="E6" s="36">
        <f t="shared" si="0"/>
        <v>0</v>
      </c>
      <c r="F6" s="18"/>
      <c r="H6" s="38"/>
      <c r="I6" s="33"/>
      <c r="J6"/>
    </row>
    <row r="7" spans="1:15">
      <c r="A7" s="14"/>
      <c r="B7" s="14"/>
      <c r="C7" s="23"/>
      <c r="D7" s="23"/>
      <c r="E7" s="36">
        <f t="shared" si="0"/>
        <v>0</v>
      </c>
      <c r="F7" s="18"/>
      <c r="H7" s="32"/>
      <c r="I7" s="33"/>
      <c r="J7"/>
    </row>
    <row r="8" spans="1:15">
      <c r="A8" s="14"/>
      <c r="B8" s="14"/>
      <c r="C8" s="23"/>
      <c r="D8" s="23"/>
      <c r="E8" s="36">
        <f t="shared" si="0"/>
        <v>0</v>
      </c>
      <c r="F8" s="18"/>
      <c r="H8" s="32"/>
      <c r="I8" s="33"/>
      <c r="J8"/>
    </row>
    <row r="9" spans="1:15">
      <c r="A9" s="14"/>
      <c r="B9" s="14"/>
      <c r="C9" s="23"/>
      <c r="D9" s="23"/>
      <c r="E9" s="36">
        <f t="shared" si="0"/>
        <v>0</v>
      </c>
      <c r="F9" s="18"/>
      <c r="H9" s="32"/>
      <c r="I9" s="33"/>
      <c r="J9"/>
      <c r="M9"/>
      <c r="N9"/>
      <c r="O9"/>
    </row>
    <row r="10" spans="1:15">
      <c r="A10" s="14"/>
      <c r="B10" s="14"/>
      <c r="C10" s="23"/>
      <c r="D10" s="23"/>
      <c r="E10" s="36">
        <f t="shared" si="0"/>
        <v>0</v>
      </c>
      <c r="F10" s="18"/>
      <c r="H10" s="32"/>
      <c r="I10" s="33"/>
      <c r="J10"/>
      <c r="K10" s="33"/>
      <c r="L10"/>
      <c r="M10" s="32"/>
      <c r="N10" s="33"/>
      <c r="O10"/>
    </row>
    <row r="11" spans="1:15">
      <c r="A11" s="14"/>
      <c r="B11" s="14"/>
      <c r="C11" s="23"/>
      <c r="D11" s="23"/>
      <c r="E11" s="36">
        <f t="shared" ref="E11:E19" si="1">C11+D11</f>
        <v>0</v>
      </c>
      <c r="F11" s="18"/>
      <c r="H11" s="32"/>
      <c r="I11" s="33"/>
      <c r="J11"/>
      <c r="K11" s="33"/>
      <c r="L11"/>
      <c r="M11" s="32"/>
      <c r="N11" s="33"/>
      <c r="O11"/>
    </row>
    <row r="12" spans="1:15">
      <c r="A12" s="14"/>
      <c r="B12" s="14"/>
      <c r="C12" s="23"/>
      <c r="D12" s="23"/>
      <c r="E12" s="36">
        <f t="shared" si="1"/>
        <v>0</v>
      </c>
      <c r="F12" s="18"/>
      <c r="H12" s="32"/>
      <c r="I12" s="33"/>
      <c r="J12"/>
      <c r="M12" s="32"/>
      <c r="N12" s="33"/>
      <c r="O12"/>
    </row>
    <row r="13" spans="1:15">
      <c r="A13" s="14"/>
      <c r="B13" s="14"/>
      <c r="C13" s="23"/>
      <c r="D13" s="23"/>
      <c r="E13" s="36">
        <f t="shared" si="1"/>
        <v>0</v>
      </c>
      <c r="F13" s="18"/>
      <c r="H13" s="32"/>
      <c r="I13" s="33"/>
      <c r="J13"/>
      <c r="M13" s="32"/>
      <c r="N13" s="33"/>
      <c r="O13"/>
    </row>
    <row r="14" spans="1:15">
      <c r="A14" s="14"/>
      <c r="B14" s="14"/>
      <c r="C14" s="23"/>
      <c r="D14" s="23"/>
      <c r="E14" s="36">
        <f t="shared" si="1"/>
        <v>0</v>
      </c>
      <c r="F14" s="18"/>
      <c r="H14" s="32"/>
      <c r="I14" s="33"/>
      <c r="J14"/>
      <c r="M14" s="32"/>
      <c r="N14" s="33"/>
      <c r="O14"/>
    </row>
    <row r="15" spans="1:15">
      <c r="A15" s="14"/>
      <c r="B15" s="14"/>
      <c r="C15" s="23"/>
      <c r="D15" s="23"/>
      <c r="E15" s="36">
        <f t="shared" si="1"/>
        <v>0</v>
      </c>
      <c r="F15" s="18"/>
      <c r="H15" s="32"/>
      <c r="I15" s="33"/>
      <c r="J15"/>
      <c r="M15" s="32"/>
      <c r="N15" s="33"/>
      <c r="O15"/>
    </row>
    <row r="16" spans="1:15">
      <c r="A16" s="14"/>
      <c r="B16" s="14"/>
      <c r="C16" s="23"/>
      <c r="D16" s="23"/>
      <c r="E16" s="36">
        <f t="shared" si="1"/>
        <v>0</v>
      </c>
      <c r="F16" s="18"/>
      <c r="H16" s="32"/>
      <c r="I16" s="33"/>
      <c r="J16"/>
      <c r="K16" s="33"/>
      <c r="L16"/>
      <c r="M16" s="32"/>
      <c r="N16" s="33"/>
      <c r="O16"/>
    </row>
    <row r="17" spans="1:15">
      <c r="A17" s="14"/>
      <c r="B17" s="14"/>
      <c r="C17" s="23"/>
      <c r="D17" s="23"/>
      <c r="E17" s="36">
        <f t="shared" si="1"/>
        <v>0</v>
      </c>
      <c r="F17" s="18"/>
      <c r="H17" s="32"/>
      <c r="I17" s="33"/>
      <c r="J17"/>
      <c r="K17" s="33"/>
      <c r="L17"/>
      <c r="M17" s="32"/>
      <c r="N17" s="33"/>
      <c r="O17"/>
    </row>
    <row r="18" spans="1:15">
      <c r="A18" s="14"/>
      <c r="B18" s="14"/>
      <c r="C18" s="23"/>
      <c r="D18" s="23"/>
      <c r="E18" s="36">
        <f t="shared" si="1"/>
        <v>0</v>
      </c>
      <c r="F18" s="18"/>
      <c r="H18" s="32"/>
      <c r="I18" s="33"/>
      <c r="J18"/>
      <c r="K18" s="33"/>
      <c r="L18"/>
      <c r="M18" s="32"/>
      <c r="N18" s="33"/>
      <c r="O18"/>
    </row>
    <row r="19" spans="1:15">
      <c r="A19" s="14"/>
      <c r="B19" s="14"/>
      <c r="C19" s="23"/>
      <c r="D19" s="23"/>
      <c r="E19" s="36">
        <f t="shared" si="1"/>
        <v>0</v>
      </c>
      <c r="F19" s="18"/>
      <c r="H19" s="32"/>
      <c r="I19" s="33"/>
      <c r="J19"/>
      <c r="K19" s="33"/>
      <c r="L19"/>
      <c r="M19" s="32"/>
      <c r="N19" s="33"/>
      <c r="O19"/>
    </row>
    <row r="20" spans="1:15">
      <c r="A20" s="14"/>
      <c r="B20" s="14"/>
      <c r="C20" s="23"/>
      <c r="D20" s="23"/>
      <c r="E20" s="36">
        <f t="shared" si="0"/>
        <v>0</v>
      </c>
      <c r="F20" s="18"/>
      <c r="H20" s="32"/>
      <c r="I20" s="33"/>
      <c r="J20"/>
      <c r="K20" s="33"/>
      <c r="L20"/>
      <c r="M20" s="32"/>
      <c r="N20" s="33"/>
      <c r="O20"/>
    </row>
    <row r="21" spans="1:15">
      <c r="A21" s="14"/>
      <c r="B21" s="14"/>
      <c r="C21" s="23"/>
      <c r="D21" s="23"/>
      <c r="E21" s="36">
        <f t="shared" si="0"/>
        <v>0</v>
      </c>
      <c r="F21" s="18"/>
      <c r="H21" s="32"/>
      <c r="I21" s="33"/>
      <c r="J21"/>
      <c r="M21" s="32"/>
      <c r="N21" s="33"/>
      <c r="O21"/>
    </row>
    <row r="22" spans="1:15">
      <c r="A22" s="14"/>
      <c r="B22" s="14"/>
      <c r="C22" s="23"/>
      <c r="D22" s="23"/>
      <c r="E22" s="36">
        <f t="shared" si="0"/>
        <v>0</v>
      </c>
      <c r="F22" s="18"/>
      <c r="H22" s="32"/>
      <c r="I22" s="33"/>
      <c r="M22" s="32"/>
      <c r="N22" s="33"/>
      <c r="O22"/>
    </row>
    <row r="23" spans="1:15">
      <c r="A23" s="14"/>
      <c r="B23" s="14"/>
      <c r="C23" s="23"/>
      <c r="D23" s="23"/>
      <c r="E23" s="36">
        <f t="shared" si="0"/>
        <v>0</v>
      </c>
      <c r="F23" s="18"/>
      <c r="H23" s="32"/>
      <c r="I23" s="33"/>
      <c r="M23" s="32"/>
      <c r="N23" s="33"/>
      <c r="O23"/>
    </row>
    <row r="24" spans="1:15">
      <c r="A24" s="14"/>
      <c r="B24" s="14"/>
      <c r="C24" s="23"/>
      <c r="D24" s="23"/>
      <c r="E24" s="36">
        <f t="shared" si="0"/>
        <v>0</v>
      </c>
      <c r="F24" s="18"/>
      <c r="H24" s="32"/>
      <c r="I24" s="33"/>
      <c r="M24" s="32"/>
      <c r="N24" s="33"/>
      <c r="O24"/>
    </row>
    <row r="25" spans="1:15">
      <c r="A25" s="14"/>
      <c r="B25" s="14"/>
      <c r="C25" s="23"/>
      <c r="D25" s="23"/>
      <c r="E25" s="36">
        <f t="shared" si="0"/>
        <v>0</v>
      </c>
      <c r="F25" s="18"/>
      <c r="H25" s="32"/>
      <c r="I25" s="33"/>
      <c r="M25" s="32"/>
      <c r="N25" s="33"/>
      <c r="O25"/>
    </row>
    <row r="26" spans="1:15">
      <c r="A26" s="14"/>
      <c r="B26" s="14"/>
      <c r="C26" s="23"/>
      <c r="D26" s="23"/>
      <c r="E26" s="36">
        <f t="shared" si="0"/>
        <v>0</v>
      </c>
      <c r="F26" s="18"/>
      <c r="H26" s="32"/>
      <c r="I26" s="33"/>
      <c r="J26" s="32"/>
      <c r="K26" s="33"/>
      <c r="L26"/>
      <c r="M26" s="32"/>
      <c r="N26" s="33"/>
      <c r="O26"/>
    </row>
    <row r="27" spans="1:15">
      <c r="A27" s="14"/>
      <c r="B27" s="14"/>
      <c r="C27" s="23"/>
      <c r="D27" s="23"/>
      <c r="E27" s="36">
        <f t="shared" si="0"/>
        <v>0</v>
      </c>
      <c r="F27" s="18"/>
      <c r="H27" s="32"/>
      <c r="I27" s="33"/>
      <c r="J27" s="32"/>
      <c r="K27" s="33"/>
      <c r="L27"/>
      <c r="M27" s="32"/>
      <c r="N27" s="33"/>
    </row>
    <row r="28" spans="1:15">
      <c r="A28" s="14"/>
      <c r="B28" s="14"/>
      <c r="C28" s="23"/>
      <c r="D28" s="23"/>
      <c r="E28" s="36">
        <f t="shared" si="0"/>
        <v>0</v>
      </c>
      <c r="F28" s="18"/>
      <c r="H28" s="32"/>
      <c r="I28" s="33"/>
      <c r="J28" s="32"/>
      <c r="K28" s="33"/>
      <c r="L28"/>
      <c r="M28" s="32"/>
      <c r="N28" s="33"/>
    </row>
    <row r="29" spans="1:15">
      <c r="A29" s="14"/>
      <c r="B29" s="14"/>
      <c r="C29" s="23"/>
      <c r="D29" s="23"/>
      <c r="E29" s="36">
        <f t="shared" si="0"/>
        <v>0</v>
      </c>
      <c r="F29" s="18"/>
      <c r="H29" s="32"/>
      <c r="I29" s="33"/>
      <c r="J29" s="32"/>
      <c r="K29" s="33"/>
      <c r="L29"/>
      <c r="M29" s="32"/>
      <c r="N29" s="33"/>
    </row>
    <row r="30" spans="1:15">
      <c r="A30" s="14"/>
      <c r="B30" s="14"/>
      <c r="C30" s="23"/>
      <c r="D30" s="23"/>
      <c r="E30" s="36">
        <f t="shared" ref="E30:E36" si="2">C30+D30</f>
        <v>0</v>
      </c>
      <c r="F30" s="18"/>
      <c r="H30" s="32"/>
      <c r="I30" s="33"/>
      <c r="M30" s="32"/>
      <c r="N30" s="33"/>
    </row>
    <row r="31" spans="1:15">
      <c r="A31" s="14"/>
      <c r="B31" s="14"/>
      <c r="C31" s="23"/>
      <c r="D31" s="23"/>
      <c r="E31" s="36">
        <f t="shared" si="2"/>
        <v>0</v>
      </c>
      <c r="F31" s="18"/>
      <c r="H31" s="32"/>
      <c r="I31" s="33"/>
      <c r="M31" s="32"/>
      <c r="N31" s="33"/>
    </row>
    <row r="32" spans="1:15">
      <c r="A32" s="14"/>
      <c r="B32" s="14"/>
      <c r="C32" s="23"/>
      <c r="D32" s="23"/>
      <c r="E32" s="36">
        <f t="shared" si="2"/>
        <v>0</v>
      </c>
      <c r="F32" s="18"/>
      <c r="H32" s="32"/>
      <c r="I32" s="33"/>
      <c r="M32" s="32"/>
      <c r="N32" s="33"/>
    </row>
    <row r="33" spans="1:14">
      <c r="A33" s="14"/>
      <c r="B33" s="14"/>
      <c r="C33" s="23"/>
      <c r="D33" s="23"/>
      <c r="E33" s="36">
        <f t="shared" si="2"/>
        <v>0</v>
      </c>
      <c r="F33" s="18"/>
      <c r="H33" s="32"/>
      <c r="I33" s="33"/>
      <c r="M33" s="32"/>
      <c r="N33" s="33"/>
    </row>
    <row r="34" spans="1:14">
      <c r="A34" s="14"/>
      <c r="B34" s="14"/>
      <c r="C34" s="23"/>
      <c r="D34" s="23"/>
      <c r="E34" s="36">
        <f t="shared" si="2"/>
        <v>0</v>
      </c>
      <c r="F34" s="18"/>
      <c r="H34" s="32"/>
      <c r="I34" s="33"/>
      <c r="M34"/>
      <c r="N34"/>
    </row>
    <row r="35" spans="1:14">
      <c r="A35" s="14"/>
      <c r="B35" s="14"/>
      <c r="C35" s="23"/>
      <c r="D35" s="23"/>
      <c r="E35" s="36">
        <f t="shared" si="2"/>
        <v>0</v>
      </c>
      <c r="F35" s="18"/>
      <c r="H35" s="32"/>
      <c r="I35" s="33"/>
      <c r="J35" s="32"/>
      <c r="K35" s="33"/>
      <c r="L35"/>
      <c r="M35"/>
      <c r="N35"/>
    </row>
    <row r="36" spans="1:14">
      <c r="A36" s="14"/>
      <c r="B36" s="14"/>
      <c r="C36" s="23"/>
      <c r="D36" s="23"/>
      <c r="E36" s="36">
        <f t="shared" si="2"/>
        <v>0</v>
      </c>
      <c r="F36" s="18"/>
      <c r="H36" s="32"/>
      <c r="I36" s="33"/>
      <c r="J36" s="32"/>
      <c r="K36" s="33"/>
      <c r="L36"/>
      <c r="M36"/>
      <c r="N36"/>
    </row>
    <row r="37" spans="1:14">
      <c r="A37" s="14"/>
      <c r="B37" s="14"/>
      <c r="C37" s="23"/>
      <c r="D37" s="23"/>
      <c r="E37" s="36">
        <f t="shared" ref="E37:E48" si="3">C37+D37</f>
        <v>0</v>
      </c>
      <c r="F37" s="18"/>
      <c r="H37" s="32"/>
      <c r="I37" s="33"/>
      <c r="M37"/>
    </row>
    <row r="38" spans="1:14">
      <c r="A38" s="14"/>
      <c r="B38" s="14"/>
      <c r="C38" s="23"/>
      <c r="D38" s="23"/>
      <c r="E38" s="36">
        <f t="shared" si="3"/>
        <v>0</v>
      </c>
      <c r="F38" s="18"/>
      <c r="H38" s="32"/>
      <c r="I38" s="33"/>
      <c r="M38"/>
    </row>
    <row r="39" spans="1:14">
      <c r="A39" s="14"/>
      <c r="B39" s="14"/>
      <c r="C39" s="23"/>
      <c r="D39" s="23"/>
      <c r="E39" s="36">
        <f t="shared" si="3"/>
        <v>0</v>
      </c>
      <c r="F39" s="18"/>
      <c r="H39" s="32"/>
      <c r="I39" s="33"/>
      <c r="M39"/>
    </row>
    <row r="40" spans="1:14">
      <c r="A40" s="14"/>
      <c r="B40" s="14"/>
      <c r="C40" s="23"/>
      <c r="D40" s="23"/>
      <c r="E40" s="36">
        <f t="shared" si="3"/>
        <v>0</v>
      </c>
      <c r="F40" s="18"/>
      <c r="H40" s="32"/>
      <c r="I40" s="33"/>
      <c r="M40"/>
    </row>
    <row r="41" spans="1:14">
      <c r="A41" s="14"/>
      <c r="B41" s="14"/>
      <c r="C41" s="23"/>
      <c r="D41" s="23"/>
      <c r="E41" s="36">
        <f t="shared" si="3"/>
        <v>0</v>
      </c>
      <c r="F41" s="18"/>
      <c r="H41" s="32"/>
      <c r="I41" s="33"/>
      <c r="M41"/>
      <c r="N41"/>
    </row>
    <row r="42" spans="1:14">
      <c r="A42" s="14"/>
      <c r="B42" s="14"/>
      <c r="C42" s="23"/>
      <c r="D42" s="23"/>
      <c r="E42" s="36">
        <f t="shared" si="3"/>
        <v>0</v>
      </c>
      <c r="F42" s="18"/>
      <c r="H42" s="32"/>
      <c r="I42" s="33"/>
      <c r="J42" s="32"/>
      <c r="K42" s="33"/>
      <c r="L42"/>
      <c r="M42"/>
      <c r="N42"/>
    </row>
    <row r="43" spans="1:14">
      <c r="A43" s="14"/>
      <c r="B43" s="14"/>
      <c r="C43" s="23"/>
      <c r="D43" s="23"/>
      <c r="E43" s="36">
        <f t="shared" si="3"/>
        <v>0</v>
      </c>
      <c r="F43" s="18"/>
      <c r="H43" s="32"/>
      <c r="I43" s="33"/>
      <c r="J43" s="32"/>
      <c r="K43" s="33"/>
      <c r="L43"/>
      <c r="M43"/>
      <c r="N43"/>
    </row>
    <row r="44" spans="1:14">
      <c r="A44" s="14"/>
      <c r="B44" s="14"/>
      <c r="C44" s="23"/>
      <c r="D44" s="23"/>
      <c r="E44" s="36">
        <f t="shared" si="3"/>
        <v>0</v>
      </c>
      <c r="F44" s="18"/>
      <c r="H44" s="32"/>
      <c r="I44" s="33"/>
      <c r="J44" s="32"/>
      <c r="K44" s="33"/>
      <c r="L44"/>
      <c r="M44"/>
      <c r="N44"/>
    </row>
    <row r="45" spans="1:14">
      <c r="A45" s="14"/>
      <c r="B45" s="14"/>
      <c r="C45" s="23"/>
      <c r="D45" s="23"/>
      <c r="E45" s="36">
        <f t="shared" si="3"/>
        <v>0</v>
      </c>
      <c r="F45" s="18"/>
      <c r="H45"/>
      <c r="J45" s="32"/>
      <c r="K45" s="33"/>
      <c r="L45"/>
      <c r="M45"/>
      <c r="N45"/>
    </row>
    <row r="46" spans="1:14">
      <c r="A46" s="14"/>
      <c r="B46" s="14"/>
      <c r="C46" s="23"/>
      <c r="D46" s="23"/>
      <c r="E46" s="36">
        <f t="shared" si="3"/>
        <v>0</v>
      </c>
      <c r="F46" s="18"/>
      <c r="H46"/>
      <c r="J46" s="32"/>
      <c r="K46" s="33"/>
      <c r="L46"/>
      <c r="M46"/>
      <c r="N46"/>
    </row>
    <row r="47" spans="1:14">
      <c r="A47" s="14"/>
      <c r="B47" s="14"/>
      <c r="C47" s="23"/>
      <c r="D47" s="23"/>
      <c r="E47" s="36">
        <f t="shared" si="3"/>
        <v>0</v>
      </c>
      <c r="F47" s="18"/>
      <c r="H47"/>
      <c r="J47" s="32"/>
      <c r="K47" s="33"/>
      <c r="L47"/>
      <c r="M47"/>
      <c r="N47"/>
    </row>
    <row r="48" spans="1:14">
      <c r="A48" s="14"/>
      <c r="B48" s="14"/>
      <c r="C48" s="23"/>
      <c r="D48" s="23"/>
      <c r="E48" s="36">
        <f t="shared" si="3"/>
        <v>0</v>
      </c>
      <c r="F48" s="18"/>
      <c r="H48"/>
      <c r="J48" s="32"/>
      <c r="K48" s="33"/>
      <c r="L48"/>
      <c r="M48"/>
      <c r="N48"/>
    </row>
    <row r="49" spans="3:13">
      <c r="C49" s="9">
        <f>SUM(C3:C48)</f>
        <v>0</v>
      </c>
      <c r="D49" s="9">
        <f>SUM(D3:D48)</f>
        <v>0</v>
      </c>
      <c r="E49" s="14">
        <f>C49+D49</f>
        <v>0</v>
      </c>
      <c r="H49"/>
      <c r="J49"/>
      <c r="M49"/>
    </row>
    <row r="50" spans="3:13">
      <c r="H50"/>
      <c r="J50"/>
      <c r="M50"/>
    </row>
    <row r="51" spans="3:13">
      <c r="H51"/>
      <c r="J51"/>
      <c r="M51"/>
    </row>
    <row r="52" spans="3:13">
      <c r="H52"/>
      <c r="J52"/>
      <c r="M52"/>
    </row>
    <row r="53" spans="3:13">
      <c r="H53"/>
      <c r="J53"/>
      <c r="M53"/>
    </row>
    <row r="54" spans="3:13">
      <c r="H54"/>
      <c r="J54"/>
      <c r="M54"/>
    </row>
    <row r="55" spans="3:13">
      <c r="H55"/>
      <c r="J55"/>
      <c r="M55"/>
    </row>
    <row r="56" spans="3:13">
      <c r="H56"/>
      <c r="J56"/>
      <c r="M56"/>
    </row>
    <row r="57" spans="3:13">
      <c r="H57"/>
      <c r="J57"/>
      <c r="M57"/>
    </row>
    <row r="58" spans="3:13">
      <c r="H58"/>
      <c r="J58"/>
    </row>
    <row r="59" spans="3:13">
      <c r="H59"/>
      <c r="J59"/>
    </row>
    <row r="60" spans="3:13">
      <c r="H60"/>
      <c r="J60"/>
    </row>
    <row r="61" spans="3:13">
      <c r="H61"/>
      <c r="J61"/>
    </row>
    <row r="62" spans="3:13">
      <c r="H62"/>
      <c r="J62"/>
    </row>
    <row r="63" spans="3:13">
      <c r="H63"/>
      <c r="J63"/>
    </row>
    <row r="64" spans="3:13">
      <c r="J64"/>
    </row>
    <row r="65" spans="10:10">
      <c r="J65"/>
    </row>
    <row r="66" spans="10:10">
      <c r="J66"/>
    </row>
    <row r="67" spans="10:10">
      <c r="J67"/>
    </row>
  </sheetData>
  <sheetProtection formatCells="0" insertHyperlinks="0" autoFilter="0"/>
  <autoFilter ref="A2:F49"/>
  <phoneticPr fontId="9" type="noConversion"/>
  <conditionalFormatting sqref="C3:E4 C12:E15">
    <cfRule type="cellIs" dxfId="21" priority="168" operator="greaterThan">
      <formula>0</formula>
    </cfRule>
  </conditionalFormatting>
  <conditionalFormatting sqref="E49">
    <cfRule type="cellIs" dxfId="20" priority="116" operator="greaterThan">
      <formula>0</formula>
    </cfRule>
  </conditionalFormatting>
  <conditionalFormatting sqref="C46:E48 C37:E41">
    <cfRule type="cellIs" dxfId="19" priority="26" operator="greaterThan">
      <formula>0</formula>
    </cfRule>
  </conditionalFormatting>
  <conditionalFormatting sqref="C44:E45">
    <cfRule type="cellIs" dxfId="18" priority="25" operator="greaterThan">
      <formula>0</formula>
    </cfRule>
  </conditionalFormatting>
  <conditionalFormatting sqref="C42:E43">
    <cfRule type="cellIs" dxfId="17" priority="24" operator="greaterThan">
      <formula>0</formula>
    </cfRule>
  </conditionalFormatting>
  <conditionalFormatting sqref="C30:E34">
    <cfRule type="cellIs" dxfId="16" priority="23" operator="greaterThan">
      <formula>0</formula>
    </cfRule>
  </conditionalFormatting>
  <conditionalFormatting sqref="C35:E36">
    <cfRule type="cellIs" dxfId="15" priority="22" operator="greaterThan">
      <formula>0</formula>
    </cfRule>
  </conditionalFormatting>
  <conditionalFormatting sqref="C21:E25">
    <cfRule type="cellIs" dxfId="14" priority="21" operator="greaterThan">
      <formula>0</formula>
    </cfRule>
  </conditionalFormatting>
  <conditionalFormatting sqref="C28:E29">
    <cfRule type="cellIs" dxfId="13" priority="20" operator="greaterThan">
      <formula>0</formula>
    </cfRule>
  </conditionalFormatting>
  <conditionalFormatting sqref="C26:E27">
    <cfRule type="cellIs" dxfId="12" priority="19" operator="greaterThan">
      <formula>0</formula>
    </cfRule>
  </conditionalFormatting>
  <conditionalFormatting sqref="C5:E9">
    <cfRule type="cellIs" dxfId="11" priority="18" operator="greaterThan">
      <formula>0</formula>
    </cfRule>
  </conditionalFormatting>
  <conditionalFormatting sqref="C10:E10 C20:E20">
    <cfRule type="cellIs" dxfId="10" priority="17" operator="greaterThan">
      <formula>0</formula>
    </cfRule>
  </conditionalFormatting>
  <conditionalFormatting sqref="C18:E19">
    <cfRule type="cellIs" dxfId="9" priority="15" operator="greaterThan">
      <formula>0</formula>
    </cfRule>
  </conditionalFormatting>
  <conditionalFormatting sqref="C16:E17">
    <cfRule type="cellIs" dxfId="8" priority="14" operator="greaterThan">
      <formula>0</formula>
    </cfRule>
  </conditionalFormatting>
  <conditionalFormatting sqref="C11:E11">
    <cfRule type="cellIs" dxfId="7" priority="13" operator="greaterThan">
      <formula>0</formula>
    </cfRule>
  </conditionalFormatting>
  <pageMargins left="0.7" right="0.7" top="0.75" bottom="0.75" header="0.3" footer="0.3"/>
  <pageSetup paperSize="9" orientation="portrait"/>
  <customProperties>
    <customPr name="BudgetSheetCodeName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6"/>
  <sheetViews>
    <sheetView workbookViewId="0">
      <selection activeCell="E8" sqref="E8"/>
    </sheetView>
  </sheetViews>
  <sheetFormatPr defaultColWidth="9" defaultRowHeight="27.75" customHeight="1"/>
  <cols>
    <col min="1" max="1" width="18.625" style="25" customWidth="1"/>
    <col min="2" max="3" width="12.75" style="25" customWidth="1"/>
    <col min="4" max="4" width="12.875" style="25" customWidth="1"/>
    <col min="5" max="5" width="95" style="25" customWidth="1"/>
    <col min="6" max="6" width="23" style="26" customWidth="1"/>
    <col min="7" max="7" width="17.125" style="25" hidden="1" customWidth="1"/>
    <col min="8" max="8" width="10.75" style="25" customWidth="1"/>
    <col min="9" max="16384" width="9" style="25"/>
  </cols>
  <sheetData>
    <row r="1" spans="1:8" ht="27.6" customHeight="1">
      <c r="A1" s="34" t="s">
        <v>44</v>
      </c>
      <c r="B1" s="34" t="s">
        <v>45</v>
      </c>
      <c r="C1" s="35" t="s">
        <v>53</v>
      </c>
      <c r="D1" s="34" t="s">
        <v>46</v>
      </c>
      <c r="E1" s="34" t="s">
        <v>47</v>
      </c>
      <c r="F1" s="34" t="s">
        <v>48</v>
      </c>
      <c r="G1" s="29" t="s">
        <v>49</v>
      </c>
    </row>
    <row r="2" spans="1:8" ht="69" customHeight="1">
      <c r="A2" s="37"/>
      <c r="B2" s="39"/>
      <c r="C2" s="37"/>
      <c r="D2" s="39"/>
      <c r="E2" s="40"/>
      <c r="F2" s="37"/>
      <c r="G2" s="30"/>
      <c r="H2" s="28"/>
    </row>
    <row r="3" spans="1:8" ht="69" customHeight="1">
      <c r="A3" s="37"/>
      <c r="B3" s="39"/>
      <c r="C3" s="37"/>
      <c r="D3" s="39"/>
      <c r="E3" s="40"/>
      <c r="F3" s="37"/>
      <c r="G3" s="30"/>
      <c r="H3" s="28"/>
    </row>
    <row r="4" spans="1:8" ht="69" customHeight="1">
      <c r="A4" s="37"/>
      <c r="B4" s="39"/>
      <c r="C4" s="37"/>
      <c r="D4" s="39"/>
      <c r="E4" s="40"/>
      <c r="F4" s="37"/>
      <c r="G4" s="30"/>
      <c r="H4" s="28"/>
    </row>
    <row r="5" spans="1:8" ht="69" customHeight="1">
      <c r="A5" s="37"/>
      <c r="B5" s="39"/>
      <c r="C5" s="37"/>
      <c r="D5" s="39"/>
      <c r="E5" s="40"/>
      <c r="F5" s="37"/>
      <c r="G5" s="30"/>
      <c r="H5" s="28"/>
    </row>
    <row r="6" spans="1:8" ht="69" customHeight="1">
      <c r="A6" s="37"/>
      <c r="B6" s="39"/>
      <c r="C6" s="37"/>
      <c r="D6" s="39"/>
      <c r="E6" s="40"/>
      <c r="F6" s="37"/>
      <c r="G6" s="30"/>
      <c r="H6" s="28"/>
    </row>
  </sheetData>
  <sheetProtection formatCells="0" insertHyperlinks="0" autoFilter="0"/>
  <phoneticPr fontId="9" type="noConversion"/>
  <dataValidations count="1">
    <dataValidation type="list" allowBlank="1" showInputMessage="1" showErrorMessage="1" sqref="A1">
      <formula1>"TJ1,TJ2 4#楼GMP车间,TJ2 5#楼GMP车间,TJ2 5#楼普通车间,TJ2 5#楼溶剂回收车间"</formula1>
    </dataValidation>
  </dataValidations>
  <pageMargins left="0.7" right="0.7" top="0.75" bottom="0.75" header="0.3" footer="0.3"/>
  <pageSetup paperSize="9" orientation="portrait" r:id="rId1"/>
  <customProperties>
    <customPr name="BudgetSheetCodeNam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2"/>
  <sheetViews>
    <sheetView topLeftCell="B1" workbookViewId="0">
      <selection activeCell="H5" sqref="H5"/>
    </sheetView>
  </sheetViews>
  <sheetFormatPr defaultColWidth="9" defaultRowHeight="14.25"/>
  <cols>
    <col min="1" max="1" width="18.125" style="9" hidden="1" customWidth="1"/>
    <col min="2" max="2" width="15.25" style="9" customWidth="1"/>
    <col min="3" max="3" width="18.125" style="10" hidden="1" customWidth="1"/>
    <col min="4" max="4" width="13.5" style="10" customWidth="1"/>
    <col min="5" max="5" width="20.375" style="9" customWidth="1"/>
    <col min="6" max="16384" width="9" style="9"/>
  </cols>
  <sheetData>
    <row r="1" spans="1:5" ht="30.75" customHeight="1">
      <c r="A1" s="11" t="s">
        <v>33</v>
      </c>
      <c r="B1" s="11" t="s">
        <v>34</v>
      </c>
      <c r="C1" s="12" t="s">
        <v>35</v>
      </c>
      <c r="D1" s="12" t="s">
        <v>36</v>
      </c>
      <c r="E1" s="20" t="s">
        <v>37</v>
      </c>
    </row>
    <row r="2" spans="1:5" s="8" customFormat="1" ht="18.75" customHeight="1">
      <c r="A2" s="13"/>
      <c r="B2" s="14"/>
      <c r="C2" s="15"/>
      <c r="D2" s="16"/>
      <c r="E2" s="16"/>
    </row>
    <row r="3" spans="1:5" s="8" customFormat="1" ht="18.75" customHeight="1">
      <c r="A3" s="13"/>
      <c r="B3" s="14"/>
      <c r="C3" s="15"/>
      <c r="D3" s="16"/>
      <c r="E3" s="16"/>
    </row>
    <row r="4" spans="1:5" s="8" customFormat="1" ht="18.75" customHeight="1">
      <c r="A4" s="13"/>
      <c r="B4" s="14"/>
      <c r="C4" s="15"/>
      <c r="D4" s="16"/>
      <c r="E4" s="16"/>
    </row>
    <row r="5" spans="1:5" s="8" customFormat="1" ht="18.75" customHeight="1">
      <c r="A5" s="13"/>
      <c r="B5" s="14"/>
      <c r="C5" s="15"/>
      <c r="D5" s="16"/>
      <c r="E5" s="16"/>
    </row>
    <row r="6" spans="1:5" s="8" customFormat="1" ht="18.75" customHeight="1">
      <c r="A6" s="13"/>
      <c r="B6" s="14"/>
      <c r="C6" s="15"/>
      <c r="D6" s="16"/>
      <c r="E6" s="16"/>
    </row>
    <row r="7" spans="1:5" s="8" customFormat="1" ht="18.75" customHeight="1">
      <c r="A7" s="13"/>
      <c r="B7" s="14"/>
      <c r="C7" s="15"/>
      <c r="D7" s="16"/>
      <c r="E7" s="16"/>
    </row>
    <row r="8" spans="1:5" s="8" customFormat="1" ht="18.75" customHeight="1">
      <c r="A8" s="13"/>
      <c r="B8" s="14"/>
      <c r="C8" s="15"/>
      <c r="D8" s="16"/>
      <c r="E8" s="16"/>
    </row>
    <row r="9" spans="1:5" ht="18.75" customHeight="1">
      <c r="A9" s="13"/>
      <c r="B9" s="14"/>
      <c r="C9" s="15"/>
      <c r="D9" s="16"/>
      <c r="E9" s="16"/>
    </row>
    <row r="10" spans="1:5" s="8" customFormat="1" ht="18.75" customHeight="1">
      <c r="A10" s="13"/>
      <c r="B10" s="14"/>
      <c r="C10" s="15"/>
      <c r="D10" s="16"/>
      <c r="E10" s="16"/>
    </row>
    <row r="11" spans="1:5" s="8" customFormat="1" ht="18.75" customHeight="1">
      <c r="A11" s="13"/>
      <c r="B11" s="14"/>
      <c r="C11" s="15"/>
      <c r="D11" s="16"/>
      <c r="E11" s="16"/>
    </row>
    <row r="12" spans="1:5" s="8" customFormat="1" ht="18.75" customHeight="1">
      <c r="A12" s="13"/>
      <c r="B12" s="14"/>
      <c r="C12" s="15"/>
      <c r="D12" s="16"/>
      <c r="E12" s="16"/>
    </row>
    <row r="13" spans="1:5" ht="18.75" customHeight="1">
      <c r="A13" s="13"/>
      <c r="B13" s="14"/>
      <c r="C13" s="15"/>
      <c r="D13" s="16"/>
      <c r="E13" s="16"/>
    </row>
    <row r="14" spans="1:5" ht="18.75" customHeight="1">
      <c r="A14" s="17"/>
      <c r="B14" s="14"/>
      <c r="C14" s="15"/>
      <c r="D14" s="16"/>
      <c r="E14" s="16"/>
    </row>
    <row r="15" spans="1:5" ht="18.75" customHeight="1">
      <c r="A15" s="17"/>
      <c r="B15" s="14"/>
      <c r="C15" s="15"/>
      <c r="D15" s="16"/>
      <c r="E15" s="16"/>
    </row>
    <row r="16" spans="1:5" ht="18.75" customHeight="1">
      <c r="A16" s="17"/>
      <c r="B16" s="14"/>
      <c r="C16" s="15"/>
      <c r="D16" s="16"/>
      <c r="E16" s="16"/>
    </row>
    <row r="17" spans="1:5">
      <c r="A17" s="18"/>
      <c r="B17" s="14"/>
      <c r="C17" s="19"/>
      <c r="D17" s="16"/>
      <c r="E17" s="16"/>
    </row>
    <row r="18" spans="1:5">
      <c r="A18" s="18"/>
      <c r="B18" s="14"/>
      <c r="C18" s="19"/>
      <c r="D18" s="16"/>
      <c r="E18" s="16"/>
    </row>
    <row r="19" spans="1:5">
      <c r="A19" s="18"/>
      <c r="B19" s="14"/>
      <c r="C19" s="19"/>
      <c r="D19" s="16"/>
      <c r="E19" s="16"/>
    </row>
    <row r="20" spans="1:5">
      <c r="A20" s="18"/>
      <c r="B20" s="14"/>
      <c r="C20" s="19"/>
      <c r="D20" s="16"/>
      <c r="E20" s="16"/>
    </row>
    <row r="21" spans="1:5">
      <c r="A21" s="18"/>
      <c r="B21" s="14"/>
      <c r="C21" s="19"/>
      <c r="D21" s="16"/>
      <c r="E21" s="16"/>
    </row>
    <row r="22" spans="1:5">
      <c r="A22" s="18"/>
      <c r="B22" s="14"/>
      <c r="C22" s="19"/>
      <c r="D22" s="16"/>
      <c r="E22" s="16"/>
    </row>
  </sheetData>
  <sheetProtection formatCells="0" insertHyperlinks="0" autoFilter="0"/>
  <autoFilter ref="A1:E12"/>
  <phoneticPr fontId="9" type="noConversion"/>
  <conditionalFormatting sqref="C13">
    <cfRule type="cellIs" dxfId="6" priority="14" operator="greaterThan">
      <formula>0</formula>
    </cfRule>
  </conditionalFormatting>
  <conditionalFormatting sqref="C2:C12">
    <cfRule type="cellIs" dxfId="5" priority="5" operator="greaterThan">
      <formula>0</formula>
    </cfRule>
  </conditionalFormatting>
  <conditionalFormatting sqref="C14:C16">
    <cfRule type="cellIs" dxfId="4" priority="17" operator="greaterThan">
      <formula>0</formula>
    </cfRule>
  </conditionalFormatting>
  <conditionalFormatting sqref="D2:D16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D17:D22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/>
  <customProperties>
    <customPr name="BudgetSheetCodeName" r:id="rId1"/>
  </customPropertie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2"/>
  <sheetViews>
    <sheetView topLeftCell="A4" workbookViewId="0">
      <selection activeCell="E27" sqref="E27:E29"/>
    </sheetView>
  </sheetViews>
  <sheetFormatPr defaultColWidth="9" defaultRowHeight="13.5"/>
  <sheetData>
    <row r="1" spans="1:3" ht="21.75" customHeight="1">
      <c r="A1" s="2" t="s">
        <v>38</v>
      </c>
      <c r="B1" s="2" t="s">
        <v>39</v>
      </c>
      <c r="C1" s="2" t="s">
        <v>40</v>
      </c>
    </row>
    <row r="2" spans="1:3" ht="24.95" customHeight="1">
      <c r="A2" s="3" t="s">
        <v>12</v>
      </c>
      <c r="B2" s="4">
        <v>35</v>
      </c>
      <c r="C2" s="5">
        <v>0.2</v>
      </c>
    </row>
    <row r="3" spans="1:3" ht="24.95" customHeight="1">
      <c r="A3" s="3" t="s">
        <v>11</v>
      </c>
      <c r="B3" s="4">
        <v>15</v>
      </c>
      <c r="C3" s="5">
        <v>0.6</v>
      </c>
    </row>
    <row r="4" spans="1:3" ht="24.95" customHeight="1">
      <c r="A4" s="3" t="s">
        <v>15</v>
      </c>
      <c r="B4" s="4">
        <v>-5</v>
      </c>
      <c r="C4" s="5">
        <v>0.2</v>
      </c>
    </row>
    <row r="10" spans="1:3" ht="17.25">
      <c r="A10" s="6" t="s">
        <v>41</v>
      </c>
    </row>
    <row r="11" spans="1:3" ht="17.25">
      <c r="A11" s="7" t="s">
        <v>42</v>
      </c>
    </row>
    <row r="12" spans="1:3" ht="17.25">
      <c r="A12" s="6"/>
    </row>
  </sheetData>
  <sheetProtection formatCells="0" insertHyperlinks="0" autoFilter="0"/>
  <phoneticPr fontId="9" type="noConversion"/>
  <pageMargins left="0.7" right="0.7" top="0.75" bottom="0.75" header="0.3" footer="0.3"/>
  <pageSetup paperSize="9" orientation="portrait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DataSources/>
</file>

<file path=customXml/item2.xml><?xml version="1.0" encoding="utf-8"?>
<pixelators xmlns="https://web.wps.cn/et/2018/main" xmlns:s="http://schemas.openxmlformats.org/spreadsheetml/2006/main">
  <pixelatorList sheetStid="6"/>
  <pixelatorList sheetStid="9"/>
  <pixelatorList sheetStid="1"/>
  <pixelatorList sheetStid="4"/>
  <pixelatorList sheetStid="5"/>
  <pixelatorList sheetStid="8"/>
  <pixelatorList sheetStid="7"/>
  <pixelatorList sheetStid="3"/>
  <pixelatorList sheetStid="10"/>
  <pixelatorList sheetStid="2"/>
  <pixelatorList sheetStid="12"/>
  <pixelatorList sheetStid="13"/>
</pixelators>
</file>

<file path=customXml/item3.xml><?xml version="1.0" encoding="utf-8"?>
<comments xmlns="https://web.wps.cn/et/2018/main" xmlns:s="http://schemas.openxmlformats.org/spreadsheetml/2006/main">
  <commentList sheetStid="6">
    <comment s:ref="I3" rgbClr="FF0000">
      <item id="{5907fb2a-99e7-40df-8b1a-fe551ab600fd}" isNormal="1">
        <s:text>
          <s:r>
            <s:t xml:space="preserve">按设备体积产能利用率计算
</s:t>
          </s:r>
        </s:text>
      </item>
    </comment>
  </commentList>
  <commentList sheetStid="9">
    <comment s:ref="F1" rgbClr="FF0000">
      <item id="{4b4f5e4f-b5af-4b1a-aa18-1c2f0423de6d}" isNormal="1">
        <s:text>
          <s:r>
            <s:t xml:space="preserve">班长奖金调整及最佳区域&amp;最差区域评定结果</s:t>
          </s:r>
        </s:text>
      </item>
    </comment>
    <comment s:ref="K1" rgbClr="FF0000">
      <item id="{d1318463-5e45-4b5f-8fb0-baca790a00e8}" isNormal="1">
        <s:text>
          <s:r>
            <s:t xml:space="preserve">出勤率低于60%，取消当月安全质量奖
</s:t>
          </s:r>
        </s:text>
      </item>
    </comment>
    <comment s:ref="F17" rgbClr="FF0000">
      <item id="{c727d5f7-6f1f-4728-a82c-dcd514ca2949}" isNormal="1">
        <s:text>
          <s:r>
            <s:t xml:space="preserve">有奖惩</s:t>
          </s:r>
        </s:text>
      </item>
    </comment>
    <comment s:ref="E72" rgbClr="FF0000">
      <item id="{ff57a56a-417c-4533-a78d-ca15ca5c77a3}" isNormal="1">
        <s:text>
          <s:r>
            <s:t xml:space="preserve">08/02/2020调入</s:t>
          </s:r>
        </s:text>
      </item>
    </comment>
  </commentList>
  <commentList sheetStid="1">
    <comment s:ref="F11" rgbClr="FF0000">
      <item id="{4973f6ab-4b25-4abb-b969-763f24af2f42}" isNormal="1">
        <s:text>
          <s:r>
            <s:t xml:space="preserve">有奖惩</s:t>
          </s:r>
        </s:text>
      </item>
    </comment>
    <comment s:ref="F23" rgbClr="FF0000">
      <item id="{7a7a182e-84cc-4629-a511-60fa4f8f8b48}" isNormal="1">
        <s:text>
          <s:r>
            <s:t xml:space="preserve">有奖惩</s:t>
          </s:r>
        </s:text>
      </item>
    </comment>
    <comment s:ref="F31" rgbClr="FF0000">
      <item id="{8568b6a2-c205-4484-951b-8b0e3ed89199}" isNormal="1">
        <s:text>
          <s:r>
            <s:t xml:space="preserve">有奖惩</s:t>
          </s:r>
        </s:text>
      </item>
    </comment>
    <comment s:ref="F43" rgbClr="FF0000">
      <item id="{f535c919-379a-4571-892e-148c857eac76}" isNormal="1">
        <s:text>
          <s:r>
            <s:t xml:space="preserve">有奖惩</s:t>
          </s:r>
        </s:text>
      </item>
    </comment>
  </commentList>
  <commentList sheetStid="4">
    <comment s:ref="B4" rgbClr="FF0000">
      <item id="{13f2caee-0752-404b-a5f7-7852105ce8c5}" isNormal="1">
        <s:text>
          <s:r>
            <s:t xml:space="preserve">代替东松管理班组
</s:t>
          </s:r>
        </s:text>
      </item>
    </comment>
  </commentList>
  <commentList sheetStid="7">
    <comment s:ref="E1" rgbClr="FF0000">
      <item id="{f5b87a4c-056f-4c7c-83d7-6f750fed746d}" isNormal="1">
        <s:text>
          <s:r>
            <s:t xml:space="preserve">发现一条从安全质量奖中扣除, 前五条每条5元，超过5条部分每条10元. 
</s:t>
          </s:r>
        </s:text>
      </item>
    </comment>
  </commentList>
</comments>
</file>

<file path=customXml/item4.xml><?xml version="1.0" encoding="utf-8"?>
<mergeFile xmlns="https://web.wps.cn/et/2018/main" xmlns:s="http://schemas.openxmlformats.org/spreadsheetml/2006/main">
  <listFile/>
</mergeFile>
</file>

<file path=customXml/item5.xml><?xml version="1.0" encoding="utf-8"?>
<allowEditUser xmlns="https://web.wps.cn/et/2018/main" xmlns:s="http://schemas.openxmlformats.org/spreadsheetml/2006/main" hasInvisiblePropRange="0">
  <rangeList sheetStid="6" master=""/>
  <rangeList sheetStid="9" master=""/>
  <rangeList sheetStid="1" master=""/>
  <rangeList sheetStid="4" master=""/>
  <rangeList sheetStid="5" master=""/>
  <rangeList sheetStid="8" master=""/>
  <rangeList sheetStid="7" master=""/>
  <rangeList sheetStid="3" master=""/>
  <rangeList sheetStid="10" master=""/>
  <rangeList sheetStid="2" master=""/>
  <rangeList sheetStid="12" master=""/>
</allowEditUser>
</file>

<file path=customXml/item6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7.xml><?xml version="1.0" encoding="utf-8"?>
<sheetInterline xmlns="https://web.wps.cn/et/2018/main" xmlns:s="http://schemas.openxmlformats.org/spreadsheetml/2006/main">
  <interlineItem sheetStid="6" interlineOnOff="0" interlineColor="0"/>
  <interlineItem sheetStid="9" interlineOnOff="0" interlineColor="0"/>
  <interlineItem sheetStid="1" interlineOnOff="0" interlineColor="0"/>
  <interlineItem sheetStid="4" interlineOnOff="0" interlineColor="0"/>
  <interlineItem sheetStid="5" interlineOnOff="0" interlineColor="0"/>
  <interlineItem sheetStid="8" interlineOnOff="0" interlineColor="0"/>
  <interlineItem sheetStid="7" interlineOnOff="0" interlineColor="0"/>
  <interlineItem sheetStid="3" interlineOnOff="0" interlineColor="0"/>
  <interlineItem sheetStid="10" interlineOnOff="0" interlineColor="0"/>
  <interlineItem sheetStid="2" interlineOnOff="0" interlineColor="0"/>
  <interlineItem sheetStid="12" interlineOnOff="0" interlineColor="0"/>
  <interlineItem sheetStid="13" interlineOnOff="0" interlineColor="0"/>
</sheetInterline>
</file>

<file path=customXml/itemProps1.xml><?xml version="1.0" encoding="utf-8"?>
<ds:datastoreItem xmlns:ds="http://schemas.openxmlformats.org/officeDocument/2006/customXml" ds:itemID="{AB5BBFD5-EC87-4715-9FA0-869CE6FEF891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7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3</vt:i4>
      </vt:variant>
    </vt:vector>
  </HeadingPairs>
  <TitlesOfParts>
    <vt:vector size="13" baseType="lpstr">
      <vt:lpstr>副主任&amp;工艺组长及其他</vt:lpstr>
      <vt:lpstr>一线人员</vt:lpstr>
      <vt:lpstr>Sheet1</vt:lpstr>
      <vt:lpstr>复核人</vt:lpstr>
      <vt:lpstr>一线人员 (2)</vt:lpstr>
      <vt:lpstr>说明</vt:lpstr>
      <vt:lpstr>积分汇总</vt:lpstr>
      <vt:lpstr>安全质量事故</vt:lpstr>
      <vt:lpstr>记录巡查问题条数汇总</vt:lpstr>
      <vt:lpstr>标准数据</vt:lpstr>
      <vt:lpstr>'副主任&amp;工艺组长及其他'!Print_Area</vt:lpstr>
      <vt:lpstr>一线人员!Print_Area</vt:lpstr>
      <vt:lpstr>'一线人员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 Chen</dc:creator>
  <cp:lastModifiedBy>Lizheng Wang</cp:lastModifiedBy>
  <dcterms:created xsi:type="dcterms:W3CDTF">2006-09-16T08:00:00Z</dcterms:created>
  <dcterms:modified xsi:type="dcterms:W3CDTF">2026-09-29T01:05:48Z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{AB5BBFD5-EC87-4715-9FA0-869CE6FEF891}</vt:lpwstr>
  </property>
  <property fmtid="{D5CDD505-2E9C-101B-9397-08002B2CF9AE}" pid="3" name="KSOProductBuildVer">
    <vt:lpwstr>2052-0.0.0.0</vt:lpwstr>
  </property>
</Properties>
</file>