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omments2.xml" ContentType="application/vnd.openxmlformats-officedocument.spreadsheetml.comments+xml"/>
  <Override PartName="/xl/customProperty8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J1&amp;TJ4S-工作\TJ4奖金\demo\"/>
    </mc:Choice>
  </mc:AlternateContent>
  <bookViews>
    <workbookView xWindow="-110" yWindow="-110" windowWidth="19310" windowHeight="8450" tabRatio="776" activeTab="1"/>
  </bookViews>
  <sheets>
    <sheet name="副主任&amp;工艺组长及其他" sheetId="9" r:id="rId1"/>
    <sheet name="一线人员" sheetId="1" r:id="rId2"/>
    <sheet name="复核人" sheetId="12" r:id="rId3"/>
    <sheet name="说明" sheetId="11" state="hidden" r:id="rId4"/>
    <sheet name="积分汇总" sheetId="8" state="hidden" r:id="rId5"/>
    <sheet name="安全质量事故" sheetId="10" state="hidden" r:id="rId6"/>
    <sheet name="记录巡查问题条数汇总" sheetId="7" state="hidden" r:id="rId7"/>
    <sheet name="标准数据" sheetId="2" state="hidden" r:id="rId8"/>
  </sheets>
  <externalReferences>
    <externalReference r:id="rId9"/>
  </externalReferences>
  <definedNames>
    <definedName name="_xlnm._FilterDatabase" localSheetId="0" hidden="1">'副主任&amp;工艺组长及其他'!$A$1:$R$132</definedName>
    <definedName name="_xlnm._FilterDatabase" localSheetId="4" hidden="1">积分汇总!$A$2:$F$49</definedName>
    <definedName name="_xlnm._FilterDatabase" localSheetId="6" hidden="1">记录巡查问题条数汇总!$A$1:$E$12</definedName>
    <definedName name="_xlnm._FilterDatabase" localSheetId="1" hidden="1">一线人员!$A$1:$AU$676</definedName>
    <definedName name="_xlnm.Print_Area" localSheetId="0">'副主任&amp;工艺组长及其他'!$A$1:$F$129</definedName>
    <definedName name="_xlnm.Print_Area" localSheetId="1">一线人员!$A$1:$F$675</definedName>
  </definedNames>
  <calcPr calcId="162913"/>
</workbook>
</file>

<file path=xl/calcChain.xml><?xml version="1.0" encoding="utf-8"?>
<calcChain xmlns="http://schemas.openxmlformats.org/spreadsheetml/2006/main">
  <c r="R48" i="9" l="1"/>
  <c r="L48" i="9"/>
  <c r="J48" i="9"/>
  <c r="H48" i="9"/>
  <c r="G48" i="9"/>
  <c r="R47" i="9"/>
  <c r="L47" i="9"/>
  <c r="J47" i="9"/>
  <c r="H47" i="9"/>
  <c r="G47" i="9"/>
  <c r="F47" i="9" l="1"/>
  <c r="F48" i="9"/>
  <c r="K521" i="1"/>
  <c r="J521" i="1"/>
  <c r="H521" i="1"/>
  <c r="G521" i="1"/>
  <c r="F521" i="1" l="1"/>
  <c r="K612" i="1"/>
  <c r="J612" i="1"/>
  <c r="H612" i="1"/>
  <c r="G612" i="1"/>
  <c r="K611" i="1"/>
  <c r="J611" i="1"/>
  <c r="H611" i="1"/>
  <c r="G611" i="1"/>
  <c r="K610" i="1"/>
  <c r="J610" i="1"/>
  <c r="H610" i="1"/>
  <c r="G610" i="1"/>
  <c r="G350" i="1"/>
  <c r="H350" i="1"/>
  <c r="J350" i="1"/>
  <c r="K350" i="1"/>
  <c r="G351" i="1"/>
  <c r="H351" i="1"/>
  <c r="J351" i="1"/>
  <c r="K351" i="1"/>
  <c r="G352" i="1"/>
  <c r="H352" i="1"/>
  <c r="J352" i="1"/>
  <c r="K352" i="1"/>
  <c r="AQ352" i="1"/>
  <c r="AR352" i="1"/>
  <c r="AS352" i="1"/>
  <c r="G353" i="1"/>
  <c r="H353" i="1"/>
  <c r="J353" i="1"/>
  <c r="K353" i="1"/>
  <c r="G354" i="1"/>
  <c r="H354" i="1"/>
  <c r="J354" i="1"/>
  <c r="K354" i="1"/>
  <c r="G355" i="1"/>
  <c r="H355" i="1"/>
  <c r="J355" i="1"/>
  <c r="K355" i="1"/>
  <c r="G356" i="1"/>
  <c r="H356" i="1"/>
  <c r="J356" i="1"/>
  <c r="K356" i="1"/>
  <c r="G357" i="1"/>
  <c r="H357" i="1"/>
  <c r="J357" i="1"/>
  <c r="K357" i="1"/>
  <c r="G358" i="1"/>
  <c r="H358" i="1"/>
  <c r="J358" i="1"/>
  <c r="K358" i="1"/>
  <c r="G359" i="1"/>
  <c r="H359" i="1"/>
  <c r="J359" i="1"/>
  <c r="K359" i="1"/>
  <c r="G360" i="1"/>
  <c r="H360" i="1"/>
  <c r="J360" i="1"/>
  <c r="K360" i="1"/>
  <c r="G361" i="1"/>
  <c r="H361" i="1"/>
  <c r="J361" i="1"/>
  <c r="K361" i="1"/>
  <c r="G362" i="1"/>
  <c r="H362" i="1"/>
  <c r="J362" i="1"/>
  <c r="K362" i="1"/>
  <c r="G363" i="1"/>
  <c r="H363" i="1"/>
  <c r="J363" i="1"/>
  <c r="K363" i="1"/>
  <c r="G364" i="1"/>
  <c r="H364" i="1"/>
  <c r="J364" i="1"/>
  <c r="K364" i="1"/>
  <c r="G365" i="1"/>
  <c r="H365" i="1"/>
  <c r="J365" i="1"/>
  <c r="K365" i="1"/>
  <c r="G366" i="1"/>
  <c r="H366" i="1"/>
  <c r="J366" i="1"/>
  <c r="K366" i="1"/>
  <c r="G367" i="1"/>
  <c r="H367" i="1"/>
  <c r="J367" i="1"/>
  <c r="K367" i="1"/>
  <c r="G368" i="1"/>
  <c r="H368" i="1"/>
  <c r="J368" i="1"/>
  <c r="K368" i="1"/>
  <c r="G369" i="1"/>
  <c r="H369" i="1"/>
  <c r="J369" i="1"/>
  <c r="K369" i="1"/>
  <c r="G370" i="1"/>
  <c r="H370" i="1"/>
  <c r="J370" i="1"/>
  <c r="K370" i="1"/>
  <c r="G371" i="1"/>
  <c r="H371" i="1"/>
  <c r="J371" i="1"/>
  <c r="K371" i="1"/>
  <c r="G372" i="1"/>
  <c r="H372" i="1"/>
  <c r="J372" i="1"/>
  <c r="K372" i="1"/>
  <c r="G373" i="1"/>
  <c r="H373" i="1"/>
  <c r="J373" i="1"/>
  <c r="K373" i="1"/>
  <c r="G374" i="1"/>
  <c r="H374" i="1"/>
  <c r="J374" i="1"/>
  <c r="K374" i="1"/>
  <c r="G375" i="1"/>
  <c r="H375" i="1"/>
  <c r="J375" i="1"/>
  <c r="K375" i="1"/>
  <c r="G376" i="1"/>
  <c r="H376" i="1"/>
  <c r="J376" i="1"/>
  <c r="K376" i="1"/>
  <c r="G377" i="1"/>
  <c r="H377" i="1"/>
  <c r="J377" i="1"/>
  <c r="K377" i="1"/>
  <c r="G378" i="1"/>
  <c r="H378" i="1"/>
  <c r="J378" i="1"/>
  <c r="K378" i="1"/>
  <c r="G379" i="1"/>
  <c r="H379" i="1"/>
  <c r="J379" i="1"/>
  <c r="K379" i="1"/>
  <c r="G380" i="1"/>
  <c r="H380" i="1"/>
  <c r="J380" i="1"/>
  <c r="K380" i="1"/>
  <c r="G381" i="1"/>
  <c r="H381" i="1"/>
  <c r="J381" i="1"/>
  <c r="K381" i="1"/>
  <c r="G382" i="1"/>
  <c r="H382" i="1"/>
  <c r="J382" i="1"/>
  <c r="K382" i="1"/>
  <c r="G383" i="1"/>
  <c r="H383" i="1"/>
  <c r="J383" i="1"/>
  <c r="K383" i="1"/>
  <c r="G384" i="1"/>
  <c r="H384" i="1"/>
  <c r="J384" i="1"/>
  <c r="K384" i="1"/>
  <c r="G385" i="1"/>
  <c r="H385" i="1"/>
  <c r="J385" i="1"/>
  <c r="K385" i="1"/>
  <c r="G386" i="1"/>
  <c r="H386" i="1"/>
  <c r="J386" i="1"/>
  <c r="K386" i="1"/>
  <c r="G387" i="1"/>
  <c r="H387" i="1"/>
  <c r="J387" i="1"/>
  <c r="K387" i="1"/>
  <c r="G388" i="1"/>
  <c r="H388" i="1"/>
  <c r="J388" i="1"/>
  <c r="K388" i="1"/>
  <c r="G389" i="1"/>
  <c r="H389" i="1"/>
  <c r="J389" i="1"/>
  <c r="K389" i="1"/>
  <c r="G390" i="1"/>
  <c r="H390" i="1"/>
  <c r="J390" i="1"/>
  <c r="K390" i="1"/>
  <c r="G391" i="1"/>
  <c r="H391" i="1"/>
  <c r="J391" i="1"/>
  <c r="K391" i="1"/>
  <c r="G392" i="1"/>
  <c r="H392" i="1"/>
  <c r="J392" i="1"/>
  <c r="K392" i="1"/>
  <c r="G393" i="1"/>
  <c r="H393" i="1"/>
  <c r="J393" i="1"/>
  <c r="K393" i="1"/>
  <c r="G394" i="1"/>
  <c r="H394" i="1"/>
  <c r="J394" i="1"/>
  <c r="K394" i="1"/>
  <c r="G395" i="1"/>
  <c r="H395" i="1"/>
  <c r="J395" i="1"/>
  <c r="K395" i="1"/>
  <c r="G396" i="1"/>
  <c r="H396" i="1"/>
  <c r="J396" i="1"/>
  <c r="K396" i="1"/>
  <c r="G397" i="1"/>
  <c r="H397" i="1"/>
  <c r="J397" i="1"/>
  <c r="K397" i="1"/>
  <c r="G398" i="1"/>
  <c r="H398" i="1"/>
  <c r="J398" i="1"/>
  <c r="K398" i="1"/>
  <c r="G399" i="1"/>
  <c r="H399" i="1"/>
  <c r="J399" i="1"/>
  <c r="K399" i="1"/>
  <c r="G400" i="1"/>
  <c r="H400" i="1"/>
  <c r="J400" i="1"/>
  <c r="K400" i="1"/>
  <c r="G401" i="1"/>
  <c r="H401" i="1"/>
  <c r="J401" i="1"/>
  <c r="K401" i="1"/>
  <c r="G402" i="1"/>
  <c r="H402" i="1"/>
  <c r="J402" i="1"/>
  <c r="K402" i="1"/>
  <c r="G403" i="1"/>
  <c r="H403" i="1"/>
  <c r="J403" i="1"/>
  <c r="K403" i="1"/>
  <c r="G404" i="1"/>
  <c r="H404" i="1"/>
  <c r="J404" i="1"/>
  <c r="K404" i="1"/>
  <c r="G405" i="1"/>
  <c r="H405" i="1"/>
  <c r="J405" i="1"/>
  <c r="K405" i="1"/>
  <c r="G406" i="1"/>
  <c r="H406" i="1"/>
  <c r="J406" i="1"/>
  <c r="K406" i="1"/>
  <c r="G407" i="1"/>
  <c r="H407" i="1"/>
  <c r="J407" i="1"/>
  <c r="K407" i="1"/>
  <c r="G408" i="1"/>
  <c r="H408" i="1"/>
  <c r="J408" i="1"/>
  <c r="K408" i="1"/>
  <c r="G409" i="1"/>
  <c r="H409" i="1"/>
  <c r="J409" i="1"/>
  <c r="K409" i="1"/>
  <c r="G410" i="1"/>
  <c r="H410" i="1"/>
  <c r="J410" i="1"/>
  <c r="K410" i="1"/>
  <c r="G411" i="1"/>
  <c r="H411" i="1"/>
  <c r="J411" i="1"/>
  <c r="K411" i="1"/>
  <c r="G412" i="1"/>
  <c r="H412" i="1"/>
  <c r="J412" i="1"/>
  <c r="K412" i="1"/>
  <c r="G413" i="1"/>
  <c r="H413" i="1"/>
  <c r="J413" i="1"/>
  <c r="K413" i="1"/>
  <c r="G414" i="1"/>
  <c r="H414" i="1"/>
  <c r="J414" i="1"/>
  <c r="K414" i="1"/>
  <c r="G415" i="1"/>
  <c r="H415" i="1"/>
  <c r="J415" i="1"/>
  <c r="K415" i="1"/>
  <c r="G416" i="1"/>
  <c r="H416" i="1"/>
  <c r="J416" i="1"/>
  <c r="K416" i="1"/>
  <c r="G417" i="1"/>
  <c r="H417" i="1"/>
  <c r="J417" i="1"/>
  <c r="K417" i="1"/>
  <c r="G418" i="1"/>
  <c r="H418" i="1"/>
  <c r="J418" i="1"/>
  <c r="K418" i="1"/>
  <c r="G419" i="1"/>
  <c r="H419" i="1"/>
  <c r="J419" i="1"/>
  <c r="K419" i="1"/>
  <c r="G420" i="1"/>
  <c r="H420" i="1"/>
  <c r="J420" i="1"/>
  <c r="K420" i="1"/>
  <c r="G421" i="1"/>
  <c r="H421" i="1"/>
  <c r="J421" i="1"/>
  <c r="K421" i="1"/>
  <c r="G422" i="1"/>
  <c r="H422" i="1"/>
  <c r="J422" i="1"/>
  <c r="K422" i="1"/>
  <c r="G423" i="1"/>
  <c r="H423" i="1"/>
  <c r="J423" i="1"/>
  <c r="K423" i="1"/>
  <c r="G424" i="1"/>
  <c r="H424" i="1"/>
  <c r="J424" i="1"/>
  <c r="K424" i="1"/>
  <c r="G425" i="1"/>
  <c r="H425" i="1"/>
  <c r="J425" i="1"/>
  <c r="K425" i="1"/>
  <c r="G426" i="1"/>
  <c r="H426" i="1"/>
  <c r="J426" i="1"/>
  <c r="K426" i="1"/>
  <c r="G427" i="1"/>
  <c r="H427" i="1"/>
  <c r="J427" i="1"/>
  <c r="K427" i="1"/>
  <c r="G428" i="1"/>
  <c r="H428" i="1"/>
  <c r="J428" i="1"/>
  <c r="K428" i="1"/>
  <c r="G429" i="1"/>
  <c r="H429" i="1"/>
  <c r="J429" i="1"/>
  <c r="K429" i="1"/>
  <c r="G430" i="1"/>
  <c r="H430" i="1"/>
  <c r="J430" i="1"/>
  <c r="K430" i="1"/>
  <c r="G431" i="1"/>
  <c r="H431" i="1"/>
  <c r="J431" i="1"/>
  <c r="K431" i="1"/>
  <c r="G432" i="1"/>
  <c r="H432" i="1"/>
  <c r="J432" i="1"/>
  <c r="K432" i="1"/>
  <c r="G433" i="1"/>
  <c r="H433" i="1"/>
  <c r="J433" i="1"/>
  <c r="K433" i="1"/>
  <c r="G434" i="1"/>
  <c r="H434" i="1"/>
  <c r="J434" i="1"/>
  <c r="K434" i="1"/>
  <c r="G435" i="1"/>
  <c r="H435" i="1"/>
  <c r="J435" i="1"/>
  <c r="K435" i="1"/>
  <c r="G436" i="1"/>
  <c r="H436" i="1"/>
  <c r="J436" i="1"/>
  <c r="K436" i="1"/>
  <c r="G437" i="1"/>
  <c r="H437" i="1"/>
  <c r="J437" i="1"/>
  <c r="K437" i="1"/>
  <c r="G438" i="1"/>
  <c r="H438" i="1"/>
  <c r="J438" i="1"/>
  <c r="K438" i="1"/>
  <c r="G439" i="1"/>
  <c r="H439" i="1"/>
  <c r="J439" i="1"/>
  <c r="K439" i="1"/>
  <c r="G440" i="1"/>
  <c r="H440" i="1"/>
  <c r="J440" i="1"/>
  <c r="K440" i="1"/>
  <c r="G441" i="1"/>
  <c r="H441" i="1"/>
  <c r="J441" i="1"/>
  <c r="K441" i="1"/>
  <c r="G442" i="1"/>
  <c r="H442" i="1"/>
  <c r="J442" i="1"/>
  <c r="K442" i="1"/>
  <c r="G443" i="1"/>
  <c r="H443" i="1"/>
  <c r="J443" i="1"/>
  <c r="K443" i="1"/>
  <c r="G444" i="1"/>
  <c r="H444" i="1"/>
  <c r="J444" i="1"/>
  <c r="K444" i="1"/>
  <c r="G445" i="1"/>
  <c r="H445" i="1"/>
  <c r="J445" i="1"/>
  <c r="K445" i="1"/>
  <c r="G446" i="1"/>
  <c r="H446" i="1"/>
  <c r="J446" i="1"/>
  <c r="K446" i="1"/>
  <c r="G447" i="1"/>
  <c r="H447" i="1"/>
  <c r="J447" i="1"/>
  <c r="K447" i="1"/>
  <c r="G448" i="1"/>
  <c r="H448" i="1"/>
  <c r="J448" i="1"/>
  <c r="K448" i="1"/>
  <c r="G449" i="1"/>
  <c r="H449" i="1"/>
  <c r="J449" i="1"/>
  <c r="K449" i="1"/>
  <c r="G450" i="1"/>
  <c r="H450" i="1"/>
  <c r="J450" i="1"/>
  <c r="K450" i="1"/>
  <c r="G451" i="1"/>
  <c r="H451" i="1"/>
  <c r="J451" i="1"/>
  <c r="K451" i="1"/>
  <c r="G452" i="1"/>
  <c r="H452" i="1"/>
  <c r="J452" i="1"/>
  <c r="K452" i="1"/>
  <c r="G453" i="1"/>
  <c r="H453" i="1"/>
  <c r="J453" i="1"/>
  <c r="K453" i="1"/>
  <c r="G454" i="1"/>
  <c r="H454" i="1"/>
  <c r="J454" i="1"/>
  <c r="K454" i="1"/>
  <c r="G455" i="1"/>
  <c r="H455" i="1"/>
  <c r="J455" i="1"/>
  <c r="K455" i="1"/>
  <c r="G456" i="1"/>
  <c r="H456" i="1"/>
  <c r="J456" i="1"/>
  <c r="K456" i="1"/>
  <c r="G457" i="1"/>
  <c r="H457" i="1"/>
  <c r="J457" i="1"/>
  <c r="K457" i="1"/>
  <c r="G458" i="1"/>
  <c r="H458" i="1"/>
  <c r="J458" i="1"/>
  <c r="K458" i="1"/>
  <c r="G459" i="1"/>
  <c r="H459" i="1"/>
  <c r="J459" i="1"/>
  <c r="K459" i="1"/>
  <c r="G460" i="1"/>
  <c r="H460" i="1"/>
  <c r="J460" i="1"/>
  <c r="K460" i="1"/>
  <c r="G461" i="1"/>
  <c r="H461" i="1"/>
  <c r="J461" i="1"/>
  <c r="K461" i="1"/>
  <c r="G462" i="1"/>
  <c r="H462" i="1"/>
  <c r="J462" i="1"/>
  <c r="K462" i="1"/>
  <c r="G463" i="1"/>
  <c r="H463" i="1"/>
  <c r="J463" i="1"/>
  <c r="K463" i="1"/>
  <c r="G464" i="1"/>
  <c r="H464" i="1"/>
  <c r="J464" i="1"/>
  <c r="K464" i="1"/>
  <c r="G465" i="1"/>
  <c r="H465" i="1"/>
  <c r="J465" i="1"/>
  <c r="K465" i="1"/>
  <c r="G466" i="1"/>
  <c r="H466" i="1"/>
  <c r="J466" i="1"/>
  <c r="K466" i="1"/>
  <c r="G467" i="1"/>
  <c r="H467" i="1"/>
  <c r="J467" i="1"/>
  <c r="K467" i="1"/>
  <c r="G468" i="1"/>
  <c r="H468" i="1"/>
  <c r="J468" i="1"/>
  <c r="K468" i="1"/>
  <c r="G469" i="1"/>
  <c r="H469" i="1"/>
  <c r="J469" i="1"/>
  <c r="K469" i="1"/>
  <c r="G470" i="1"/>
  <c r="H470" i="1"/>
  <c r="J470" i="1"/>
  <c r="K470" i="1"/>
  <c r="G471" i="1"/>
  <c r="H471" i="1"/>
  <c r="J471" i="1"/>
  <c r="K471" i="1"/>
  <c r="G472" i="1"/>
  <c r="H472" i="1"/>
  <c r="J472" i="1"/>
  <c r="K472" i="1"/>
  <c r="G473" i="1"/>
  <c r="H473" i="1"/>
  <c r="J473" i="1"/>
  <c r="K473" i="1"/>
  <c r="G474" i="1"/>
  <c r="H474" i="1"/>
  <c r="J474" i="1"/>
  <c r="K474" i="1"/>
  <c r="G475" i="1"/>
  <c r="H475" i="1"/>
  <c r="J475" i="1"/>
  <c r="K475" i="1"/>
  <c r="G476" i="1"/>
  <c r="H476" i="1"/>
  <c r="J476" i="1"/>
  <c r="K476" i="1"/>
  <c r="G477" i="1"/>
  <c r="H477" i="1"/>
  <c r="J477" i="1"/>
  <c r="K477" i="1"/>
  <c r="G478" i="1"/>
  <c r="H478" i="1"/>
  <c r="J478" i="1"/>
  <c r="K478" i="1"/>
  <c r="G479" i="1"/>
  <c r="H479" i="1"/>
  <c r="J479" i="1"/>
  <c r="K479" i="1"/>
  <c r="G480" i="1"/>
  <c r="H480" i="1"/>
  <c r="J480" i="1"/>
  <c r="K480" i="1"/>
  <c r="G481" i="1"/>
  <c r="H481" i="1"/>
  <c r="J481" i="1"/>
  <c r="K481" i="1"/>
  <c r="G482" i="1"/>
  <c r="H482" i="1"/>
  <c r="J482" i="1"/>
  <c r="K482" i="1"/>
  <c r="G483" i="1"/>
  <c r="H483" i="1"/>
  <c r="J483" i="1"/>
  <c r="K483" i="1"/>
  <c r="G484" i="1"/>
  <c r="H484" i="1"/>
  <c r="J484" i="1"/>
  <c r="K484" i="1"/>
  <c r="G485" i="1"/>
  <c r="H485" i="1"/>
  <c r="J485" i="1"/>
  <c r="K485" i="1"/>
  <c r="G486" i="1"/>
  <c r="H486" i="1"/>
  <c r="J486" i="1"/>
  <c r="K486" i="1"/>
  <c r="G487" i="1"/>
  <c r="H487" i="1"/>
  <c r="J487" i="1"/>
  <c r="K487" i="1"/>
  <c r="G488" i="1"/>
  <c r="H488" i="1"/>
  <c r="J488" i="1"/>
  <c r="K488" i="1"/>
  <c r="G489" i="1"/>
  <c r="H489" i="1"/>
  <c r="J489" i="1"/>
  <c r="K489" i="1"/>
  <c r="G490" i="1"/>
  <c r="H490" i="1"/>
  <c r="J490" i="1"/>
  <c r="K490" i="1"/>
  <c r="G491" i="1"/>
  <c r="H491" i="1"/>
  <c r="J491" i="1"/>
  <c r="K491" i="1"/>
  <c r="G492" i="1"/>
  <c r="H492" i="1"/>
  <c r="J492" i="1"/>
  <c r="K492" i="1"/>
  <c r="G493" i="1"/>
  <c r="H493" i="1"/>
  <c r="J493" i="1"/>
  <c r="K493" i="1"/>
  <c r="G494" i="1"/>
  <c r="H494" i="1"/>
  <c r="J494" i="1"/>
  <c r="K494" i="1"/>
  <c r="G495" i="1"/>
  <c r="H495" i="1"/>
  <c r="J495" i="1"/>
  <c r="K495" i="1"/>
  <c r="G496" i="1"/>
  <c r="H496" i="1"/>
  <c r="J496" i="1"/>
  <c r="K496" i="1"/>
  <c r="G497" i="1"/>
  <c r="H497" i="1"/>
  <c r="J497" i="1"/>
  <c r="K497" i="1"/>
  <c r="G498" i="1"/>
  <c r="H498" i="1"/>
  <c r="J498" i="1"/>
  <c r="K498" i="1"/>
  <c r="G499" i="1"/>
  <c r="H499" i="1"/>
  <c r="J499" i="1"/>
  <c r="K499" i="1"/>
  <c r="G500" i="1"/>
  <c r="H500" i="1"/>
  <c r="J500" i="1"/>
  <c r="K500" i="1"/>
  <c r="G501" i="1"/>
  <c r="H501" i="1"/>
  <c r="J501" i="1"/>
  <c r="K501" i="1"/>
  <c r="G502" i="1"/>
  <c r="H502" i="1"/>
  <c r="J502" i="1"/>
  <c r="K502" i="1"/>
  <c r="G503" i="1"/>
  <c r="H503" i="1"/>
  <c r="J503" i="1"/>
  <c r="K503" i="1"/>
  <c r="G504" i="1"/>
  <c r="H504" i="1"/>
  <c r="J504" i="1"/>
  <c r="K504" i="1"/>
  <c r="G505" i="1"/>
  <c r="H505" i="1"/>
  <c r="J505" i="1"/>
  <c r="K505" i="1"/>
  <c r="G506" i="1"/>
  <c r="H506" i="1"/>
  <c r="J506" i="1"/>
  <c r="K506" i="1"/>
  <c r="G507" i="1"/>
  <c r="H507" i="1"/>
  <c r="J507" i="1"/>
  <c r="K507" i="1"/>
  <c r="G508" i="1"/>
  <c r="H508" i="1"/>
  <c r="J508" i="1"/>
  <c r="K508" i="1"/>
  <c r="G509" i="1"/>
  <c r="H509" i="1"/>
  <c r="J509" i="1"/>
  <c r="K509" i="1"/>
  <c r="G510" i="1"/>
  <c r="H510" i="1"/>
  <c r="J510" i="1"/>
  <c r="K510" i="1"/>
  <c r="G511" i="1"/>
  <c r="H511" i="1"/>
  <c r="J511" i="1"/>
  <c r="K511" i="1"/>
  <c r="G512" i="1"/>
  <c r="H512" i="1"/>
  <c r="J512" i="1"/>
  <c r="K512" i="1"/>
  <c r="G513" i="1"/>
  <c r="H513" i="1"/>
  <c r="J513" i="1"/>
  <c r="K513" i="1"/>
  <c r="G514" i="1"/>
  <c r="H514" i="1"/>
  <c r="J514" i="1"/>
  <c r="K514" i="1"/>
  <c r="G515" i="1"/>
  <c r="H515" i="1"/>
  <c r="J515" i="1"/>
  <c r="K515" i="1"/>
  <c r="G516" i="1"/>
  <c r="H516" i="1"/>
  <c r="J516" i="1"/>
  <c r="K516" i="1"/>
  <c r="G517" i="1"/>
  <c r="H517" i="1"/>
  <c r="J517" i="1"/>
  <c r="K517" i="1"/>
  <c r="G518" i="1"/>
  <c r="H518" i="1"/>
  <c r="J518" i="1"/>
  <c r="K518" i="1"/>
  <c r="G519" i="1"/>
  <c r="H519" i="1"/>
  <c r="J519" i="1"/>
  <c r="K519" i="1"/>
  <c r="G520" i="1"/>
  <c r="H520" i="1"/>
  <c r="J520" i="1"/>
  <c r="K520" i="1"/>
  <c r="G522" i="1"/>
  <c r="H522" i="1"/>
  <c r="J522" i="1"/>
  <c r="K522" i="1"/>
  <c r="K8" i="1"/>
  <c r="J8" i="1"/>
  <c r="H8" i="1"/>
  <c r="G8" i="1"/>
  <c r="K295" i="1"/>
  <c r="J295" i="1"/>
  <c r="H295" i="1"/>
  <c r="G295" i="1"/>
  <c r="K294" i="1"/>
  <c r="J294" i="1"/>
  <c r="H294" i="1"/>
  <c r="G294" i="1"/>
  <c r="K276" i="1"/>
  <c r="J276" i="1"/>
  <c r="H276" i="1"/>
  <c r="G276" i="1"/>
  <c r="K549" i="1"/>
  <c r="J549" i="1"/>
  <c r="H549" i="1"/>
  <c r="G549" i="1"/>
  <c r="K609" i="1"/>
  <c r="J609" i="1"/>
  <c r="H609" i="1"/>
  <c r="G609" i="1"/>
  <c r="R107" i="9"/>
  <c r="L107" i="9"/>
  <c r="J107" i="9"/>
  <c r="H107" i="9"/>
  <c r="G107" i="9"/>
  <c r="K642" i="1"/>
  <c r="J642" i="1"/>
  <c r="H642" i="1"/>
  <c r="G642" i="1"/>
  <c r="K635" i="1"/>
  <c r="J635" i="1"/>
  <c r="H635" i="1"/>
  <c r="G635" i="1"/>
  <c r="K674" i="1"/>
  <c r="J674" i="1"/>
  <c r="H674" i="1"/>
  <c r="G674" i="1"/>
  <c r="K531" i="1"/>
  <c r="J531" i="1"/>
  <c r="H531" i="1"/>
  <c r="G531" i="1"/>
  <c r="K528" i="1"/>
  <c r="J528" i="1"/>
  <c r="H528" i="1"/>
  <c r="G528" i="1"/>
  <c r="K527" i="1"/>
  <c r="J527" i="1"/>
  <c r="H527" i="1"/>
  <c r="G527" i="1"/>
  <c r="K547" i="1"/>
  <c r="J547" i="1"/>
  <c r="H547" i="1"/>
  <c r="G547" i="1"/>
  <c r="G625" i="1"/>
  <c r="H625" i="1"/>
  <c r="J625" i="1"/>
  <c r="K625" i="1"/>
  <c r="G626" i="1"/>
  <c r="H626" i="1"/>
  <c r="J626" i="1"/>
  <c r="K626" i="1"/>
  <c r="G627" i="1"/>
  <c r="H627" i="1"/>
  <c r="J627" i="1"/>
  <c r="K627" i="1"/>
  <c r="G628" i="1"/>
  <c r="H628" i="1"/>
  <c r="J628" i="1"/>
  <c r="K628" i="1"/>
  <c r="K324" i="1"/>
  <c r="J324" i="1"/>
  <c r="H324" i="1"/>
  <c r="G324" i="1"/>
  <c r="K323" i="1"/>
  <c r="J323" i="1"/>
  <c r="H323" i="1"/>
  <c r="G323" i="1"/>
  <c r="K322" i="1"/>
  <c r="J322" i="1"/>
  <c r="H322" i="1"/>
  <c r="G322" i="1"/>
  <c r="K321" i="1"/>
  <c r="J321" i="1"/>
  <c r="H321" i="1"/>
  <c r="G321" i="1"/>
  <c r="K320" i="1"/>
  <c r="J320" i="1"/>
  <c r="H320" i="1"/>
  <c r="G320" i="1"/>
  <c r="K319" i="1"/>
  <c r="J319" i="1"/>
  <c r="H319" i="1"/>
  <c r="G319" i="1"/>
  <c r="K318" i="1"/>
  <c r="J318" i="1"/>
  <c r="H318" i="1"/>
  <c r="G318" i="1"/>
  <c r="K317" i="1"/>
  <c r="J317" i="1"/>
  <c r="H317" i="1"/>
  <c r="G317" i="1"/>
  <c r="K316" i="1"/>
  <c r="J316" i="1"/>
  <c r="H316" i="1"/>
  <c r="G316" i="1"/>
  <c r="K315" i="1"/>
  <c r="J315" i="1"/>
  <c r="H315" i="1"/>
  <c r="G315" i="1"/>
  <c r="K314" i="1"/>
  <c r="J314" i="1"/>
  <c r="H314" i="1"/>
  <c r="G314" i="1"/>
  <c r="K313" i="1"/>
  <c r="J313" i="1"/>
  <c r="H313" i="1"/>
  <c r="G313" i="1"/>
  <c r="K312" i="1"/>
  <c r="J312" i="1"/>
  <c r="H312" i="1"/>
  <c r="G312" i="1"/>
  <c r="K311" i="1"/>
  <c r="J311" i="1"/>
  <c r="H311" i="1"/>
  <c r="G311" i="1"/>
  <c r="K310" i="1"/>
  <c r="J310" i="1"/>
  <c r="H310" i="1"/>
  <c r="G310" i="1"/>
  <c r="K309" i="1"/>
  <c r="J309" i="1"/>
  <c r="H309" i="1"/>
  <c r="G309" i="1"/>
  <c r="K308" i="1"/>
  <c r="J308" i="1"/>
  <c r="H308" i="1"/>
  <c r="G308" i="1"/>
  <c r="K307" i="1"/>
  <c r="J307" i="1"/>
  <c r="H307" i="1"/>
  <c r="G307" i="1"/>
  <c r="R67" i="9"/>
  <c r="L67" i="9"/>
  <c r="J67" i="9"/>
  <c r="H67" i="9"/>
  <c r="G67" i="9"/>
  <c r="K348" i="1"/>
  <c r="J348" i="1"/>
  <c r="H348" i="1"/>
  <c r="G348" i="1"/>
  <c r="K306" i="1"/>
  <c r="J306" i="1"/>
  <c r="H306" i="1"/>
  <c r="G306" i="1"/>
  <c r="R35" i="9"/>
  <c r="L35" i="9"/>
  <c r="J35" i="9"/>
  <c r="H35" i="9"/>
  <c r="G35" i="9"/>
  <c r="R34" i="9"/>
  <c r="L34" i="9"/>
  <c r="J34" i="9"/>
  <c r="H34" i="9"/>
  <c r="G34" i="9"/>
  <c r="K52" i="1"/>
  <c r="J52" i="1"/>
  <c r="H52" i="1"/>
  <c r="G52" i="1"/>
  <c r="K51" i="1"/>
  <c r="J51" i="1"/>
  <c r="H51" i="1"/>
  <c r="G51" i="1"/>
  <c r="K50" i="1"/>
  <c r="J50" i="1"/>
  <c r="H50" i="1"/>
  <c r="G50" i="1"/>
  <c r="K49" i="1"/>
  <c r="J49" i="1"/>
  <c r="H49" i="1"/>
  <c r="G49" i="1"/>
  <c r="R11" i="9"/>
  <c r="L11" i="9"/>
  <c r="J11" i="9"/>
  <c r="H11" i="9"/>
  <c r="G11" i="9"/>
  <c r="K54" i="1"/>
  <c r="J54" i="1"/>
  <c r="H54" i="1"/>
  <c r="G54" i="1"/>
  <c r="K53" i="1"/>
  <c r="J53" i="1"/>
  <c r="H53" i="1"/>
  <c r="G53" i="1"/>
  <c r="R14" i="9"/>
  <c r="L14" i="9"/>
  <c r="J14" i="9"/>
  <c r="H14" i="9"/>
  <c r="G14" i="9"/>
  <c r="R13" i="9"/>
  <c r="L13" i="9"/>
  <c r="J13" i="9"/>
  <c r="H13" i="9"/>
  <c r="G13" i="9"/>
  <c r="R96" i="9"/>
  <c r="L96" i="9"/>
  <c r="J96" i="9"/>
  <c r="H96" i="9"/>
  <c r="G96" i="9"/>
  <c r="R95" i="9"/>
  <c r="L95" i="9"/>
  <c r="J95" i="9"/>
  <c r="H95" i="9"/>
  <c r="G95" i="9"/>
  <c r="R94" i="9"/>
  <c r="L94" i="9"/>
  <c r="J94" i="9"/>
  <c r="H94" i="9"/>
  <c r="G94" i="9"/>
  <c r="R90" i="9"/>
  <c r="L90" i="9"/>
  <c r="J90" i="9"/>
  <c r="H90" i="9"/>
  <c r="G90" i="9"/>
  <c r="R91" i="9"/>
  <c r="L91" i="9"/>
  <c r="J91" i="9"/>
  <c r="H91" i="9"/>
  <c r="G91" i="9"/>
  <c r="F510" i="1" l="1"/>
  <c r="F499" i="1"/>
  <c r="F455" i="1"/>
  <c r="F91" i="9"/>
  <c r="F522" i="1"/>
  <c r="F611" i="1"/>
  <c r="F412" i="1"/>
  <c r="F391" i="1"/>
  <c r="F369" i="1"/>
  <c r="F610" i="1"/>
  <c r="F517" i="1"/>
  <c r="F425" i="1"/>
  <c r="F414" i="1"/>
  <c r="F405" i="1"/>
  <c r="F394" i="1"/>
  <c r="F383" i="1"/>
  <c r="F372" i="1"/>
  <c r="F357" i="1"/>
  <c r="F612" i="1"/>
  <c r="F504" i="1"/>
  <c r="F493" i="1"/>
  <c r="F482" i="1"/>
  <c r="F471" i="1"/>
  <c r="F449" i="1"/>
  <c r="F407" i="1"/>
  <c r="F363" i="1"/>
  <c r="AS353" i="1"/>
  <c r="F497" i="1"/>
  <c r="F486" i="1"/>
  <c r="F475" i="1"/>
  <c r="F464" i="1"/>
  <c r="F453" i="1"/>
  <c r="F442" i="1"/>
  <c r="F431" i="1"/>
  <c r="F389" i="1"/>
  <c r="F371" i="1"/>
  <c r="F519" i="1"/>
  <c r="F511" i="1"/>
  <c r="F489" i="1"/>
  <c r="F478" i="1"/>
  <c r="F467" i="1"/>
  <c r="F456" i="1"/>
  <c r="F445" i="1"/>
  <c r="F423" i="1"/>
  <c r="F413" i="1"/>
  <c r="F370" i="1"/>
  <c r="F352" i="1"/>
  <c r="F518" i="1"/>
  <c r="F507" i="1"/>
  <c r="F496" i="1"/>
  <c r="F485" i="1"/>
  <c r="F474" i="1"/>
  <c r="F452" i="1"/>
  <c r="F430" i="1"/>
  <c r="F388" i="1"/>
  <c r="F366" i="1"/>
  <c r="F514" i="1"/>
  <c r="F492" i="1"/>
  <c r="F470" i="1"/>
  <c r="F448" i="1"/>
  <c r="F437" i="1"/>
  <c r="F406" i="1"/>
  <c r="F395" i="1"/>
  <c r="F384" i="1"/>
  <c r="F373" i="1"/>
  <c r="F362" i="1"/>
  <c r="F426" i="1"/>
  <c r="F495" i="1"/>
  <c r="F473" i="1"/>
  <c r="F429" i="1"/>
  <c r="F418" i="1"/>
  <c r="F409" i="1"/>
  <c r="F398" i="1"/>
  <c r="F387" i="1"/>
  <c r="F376" i="1"/>
  <c r="F351" i="1"/>
  <c r="F444" i="1"/>
  <c r="F365" i="1"/>
  <c r="F419" i="1"/>
  <c r="F513" i="1"/>
  <c r="F480" i="1"/>
  <c r="F447" i="1"/>
  <c r="F436" i="1"/>
  <c r="F502" i="1"/>
  <c r="F491" i="1"/>
  <c r="F520" i="1"/>
  <c r="F451" i="1"/>
  <c r="F498" i="1"/>
  <c r="F465" i="1"/>
  <c r="F454" i="1"/>
  <c r="F443" i="1"/>
  <c r="F421" i="1"/>
  <c r="F401" i="1"/>
  <c r="F509" i="1"/>
  <c r="F516" i="1"/>
  <c r="F505" i="1"/>
  <c r="F472" i="1"/>
  <c r="F461" i="1"/>
  <c r="F450" i="1"/>
  <c r="F428" i="1"/>
  <c r="F408" i="1"/>
  <c r="F375" i="1"/>
  <c r="F364" i="1"/>
  <c r="F490" i="1"/>
  <c r="F479" i="1"/>
  <c r="F468" i="1"/>
  <c r="F457" i="1"/>
  <c r="F446" i="1"/>
  <c r="F435" i="1"/>
  <c r="F424" i="1"/>
  <c r="F393" i="1"/>
  <c r="F382" i="1"/>
  <c r="F399" i="1"/>
  <c r="F356" i="1"/>
  <c r="F377" i="1"/>
  <c r="F460" i="1"/>
  <c r="F417" i="1"/>
  <c r="F503" i="1"/>
  <c r="F420" i="1"/>
  <c r="F379" i="1"/>
  <c r="F427" i="1"/>
  <c r="F411" i="1"/>
  <c r="F404" i="1"/>
  <c r="F397" i="1"/>
  <c r="F390" i="1"/>
  <c r="F386" i="1"/>
  <c r="F354" i="1"/>
  <c r="F439" i="1"/>
  <c r="F488" i="1"/>
  <c r="F481" i="1"/>
  <c r="F477" i="1"/>
  <c r="F459" i="1"/>
  <c r="F438" i="1"/>
  <c r="F434" i="1"/>
  <c r="F358" i="1"/>
  <c r="F381" i="1"/>
  <c r="AR353" i="1"/>
  <c r="F359" i="1"/>
  <c r="F380" i="1"/>
  <c r="F463" i="1"/>
  <c r="F400" i="1"/>
  <c r="F361" i="1"/>
  <c r="F374" i="1"/>
  <c r="F402" i="1"/>
  <c r="F422" i="1"/>
  <c r="F355" i="1"/>
  <c r="F506" i="1"/>
  <c r="F416" i="1"/>
  <c r="F512" i="1"/>
  <c r="F487" i="1"/>
  <c r="F462" i="1"/>
  <c r="F441" i="1"/>
  <c r="F378" i="1"/>
  <c r="F368" i="1"/>
  <c r="F350" i="1"/>
  <c r="AQ353" i="1"/>
  <c r="F484" i="1"/>
  <c r="F494" i="1"/>
  <c r="F466" i="1"/>
  <c r="F410" i="1"/>
  <c r="F403" i="1"/>
  <c r="F385" i="1"/>
  <c r="F353" i="1"/>
  <c r="F500" i="1"/>
  <c r="F501" i="1"/>
  <c r="F483" i="1"/>
  <c r="F476" i="1"/>
  <c r="F469" i="1"/>
  <c r="F458" i="1"/>
  <c r="F433" i="1"/>
  <c r="F415" i="1"/>
  <c r="F396" i="1"/>
  <c r="F392" i="1"/>
  <c r="F432" i="1"/>
  <c r="F515" i="1"/>
  <c r="F508" i="1"/>
  <c r="F440" i="1"/>
  <c r="F367" i="1"/>
  <c r="F360" i="1"/>
  <c r="F294" i="1"/>
  <c r="F8" i="1"/>
  <c r="F295" i="1"/>
  <c r="F549" i="1"/>
  <c r="F276" i="1"/>
  <c r="F609" i="1"/>
  <c r="F528" i="1"/>
  <c r="F642" i="1"/>
  <c r="F107" i="9"/>
  <c r="F67" i="9"/>
  <c r="F674" i="1"/>
  <c r="F307" i="1"/>
  <c r="F635" i="1"/>
  <c r="F626" i="1"/>
  <c r="F547" i="1"/>
  <c r="F531" i="1"/>
  <c r="F322" i="1"/>
  <c r="F319" i="1"/>
  <c r="F314" i="1"/>
  <c r="F527" i="1"/>
  <c r="F628" i="1"/>
  <c r="F320" i="1"/>
  <c r="F625" i="1"/>
  <c r="F316" i="1"/>
  <c r="F313" i="1"/>
  <c r="F310" i="1"/>
  <c r="F321" i="1"/>
  <c r="F308" i="1"/>
  <c r="F311" i="1"/>
  <c r="F323" i="1"/>
  <c r="F317" i="1"/>
  <c r="F627" i="1"/>
  <c r="F318" i="1"/>
  <c r="F348" i="1"/>
  <c r="F315" i="1"/>
  <c r="F312" i="1"/>
  <c r="F309" i="1"/>
  <c r="F324" i="1"/>
  <c r="F34" i="9"/>
  <c r="F35" i="9"/>
  <c r="F50" i="1"/>
  <c r="F306" i="1"/>
  <c r="F51" i="1"/>
  <c r="F49" i="1"/>
  <c r="F52" i="1"/>
  <c r="F54" i="1"/>
  <c r="F53" i="1"/>
  <c r="F11" i="9"/>
  <c r="F13" i="9"/>
  <c r="F14" i="9"/>
  <c r="F94" i="9"/>
  <c r="F95" i="9"/>
  <c r="F96" i="9"/>
  <c r="F90" i="9"/>
  <c r="R84" i="9"/>
  <c r="L84" i="9"/>
  <c r="J84" i="9"/>
  <c r="H84" i="9"/>
  <c r="G84" i="9"/>
  <c r="K275" i="1"/>
  <c r="J275" i="1"/>
  <c r="H275" i="1"/>
  <c r="G275" i="1"/>
  <c r="K274" i="1"/>
  <c r="J274" i="1"/>
  <c r="H274" i="1"/>
  <c r="G274" i="1"/>
  <c r="K273" i="1"/>
  <c r="J273" i="1"/>
  <c r="H273" i="1"/>
  <c r="G273" i="1"/>
  <c r="K272" i="1"/>
  <c r="J272" i="1"/>
  <c r="H272" i="1"/>
  <c r="G272" i="1"/>
  <c r="K271" i="1"/>
  <c r="J271" i="1"/>
  <c r="H271" i="1"/>
  <c r="G271" i="1"/>
  <c r="K270" i="1"/>
  <c r="J270" i="1"/>
  <c r="H270" i="1"/>
  <c r="G270" i="1"/>
  <c r="K269" i="1"/>
  <c r="J269" i="1"/>
  <c r="H269" i="1"/>
  <c r="G269" i="1"/>
  <c r="R60" i="9"/>
  <c r="L60" i="9"/>
  <c r="J60" i="9"/>
  <c r="H60" i="9"/>
  <c r="G60" i="9"/>
  <c r="R55" i="9"/>
  <c r="L55" i="9"/>
  <c r="J55" i="9"/>
  <c r="H55" i="9"/>
  <c r="G55" i="9"/>
  <c r="K224" i="1"/>
  <c r="J224" i="1"/>
  <c r="H224" i="1"/>
  <c r="G224" i="1"/>
  <c r="K223" i="1"/>
  <c r="J223" i="1"/>
  <c r="H223" i="1"/>
  <c r="G223" i="1"/>
  <c r="K206" i="1"/>
  <c r="J206" i="1"/>
  <c r="H206" i="1"/>
  <c r="G206" i="1"/>
  <c r="K205" i="1"/>
  <c r="J205" i="1"/>
  <c r="H205" i="1"/>
  <c r="G205" i="1"/>
  <c r="R52" i="9"/>
  <c r="L52" i="9"/>
  <c r="J52" i="9"/>
  <c r="H52" i="9"/>
  <c r="G52" i="9"/>
  <c r="R46" i="9"/>
  <c r="L46" i="9"/>
  <c r="J46" i="9"/>
  <c r="H46" i="9"/>
  <c r="G46" i="9"/>
  <c r="K608" i="1"/>
  <c r="J608" i="1"/>
  <c r="H608" i="1"/>
  <c r="G608" i="1"/>
  <c r="K607" i="1"/>
  <c r="J607" i="1"/>
  <c r="H607" i="1"/>
  <c r="G607" i="1"/>
  <c r="K606" i="1"/>
  <c r="J606" i="1"/>
  <c r="H606" i="1"/>
  <c r="G606" i="1"/>
  <c r="K605" i="1"/>
  <c r="J605" i="1"/>
  <c r="H605" i="1"/>
  <c r="G605" i="1"/>
  <c r="K604" i="1"/>
  <c r="J604" i="1"/>
  <c r="H604" i="1"/>
  <c r="G604" i="1"/>
  <c r="K622" i="1"/>
  <c r="J622" i="1"/>
  <c r="H622" i="1"/>
  <c r="G622" i="1"/>
  <c r="K548" i="1"/>
  <c r="J548" i="1"/>
  <c r="H548" i="1"/>
  <c r="G548" i="1"/>
  <c r="R3" i="9"/>
  <c r="R4" i="9"/>
  <c r="R5" i="9"/>
  <c r="R6" i="9"/>
  <c r="R7" i="9"/>
  <c r="R8" i="9"/>
  <c r="R9" i="9"/>
  <c r="R10" i="9"/>
  <c r="R12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32" i="9"/>
  <c r="R33" i="9"/>
  <c r="R36" i="9"/>
  <c r="R37" i="9"/>
  <c r="R38" i="9"/>
  <c r="R39" i="9"/>
  <c r="R40" i="9"/>
  <c r="R41" i="9"/>
  <c r="R42" i="9"/>
  <c r="R43" i="9"/>
  <c r="R44" i="9"/>
  <c r="R45" i="9"/>
  <c r="R49" i="9"/>
  <c r="R50" i="9"/>
  <c r="R51" i="9"/>
  <c r="R53" i="9"/>
  <c r="R54" i="9"/>
  <c r="R56" i="9"/>
  <c r="R57" i="9"/>
  <c r="R58" i="9"/>
  <c r="R59" i="9"/>
  <c r="R61" i="9"/>
  <c r="R62" i="9"/>
  <c r="R63" i="9"/>
  <c r="R64" i="9"/>
  <c r="R65" i="9"/>
  <c r="R66" i="9"/>
  <c r="R68" i="9"/>
  <c r="R69" i="9"/>
  <c r="R70" i="9"/>
  <c r="R71" i="9"/>
  <c r="R72" i="9"/>
  <c r="R73" i="9"/>
  <c r="R74" i="9"/>
  <c r="R75" i="9"/>
  <c r="R76" i="9"/>
  <c r="R77" i="9"/>
  <c r="R78" i="9"/>
  <c r="R79" i="9"/>
  <c r="R80" i="9"/>
  <c r="R81" i="9"/>
  <c r="R82" i="9"/>
  <c r="R83" i="9"/>
  <c r="R85" i="9"/>
  <c r="R87" i="9"/>
  <c r="R88" i="9"/>
  <c r="R89" i="9"/>
  <c r="R92" i="9"/>
  <c r="R93" i="9"/>
  <c r="R97" i="9"/>
  <c r="R98" i="9"/>
  <c r="R99" i="9"/>
  <c r="R100" i="9"/>
  <c r="R101" i="9"/>
  <c r="R86" i="9"/>
  <c r="R102" i="9"/>
  <c r="R103" i="9"/>
  <c r="R104" i="9"/>
  <c r="R105" i="9"/>
  <c r="R106" i="9"/>
  <c r="R108" i="9"/>
  <c r="R109" i="9"/>
  <c r="R110" i="9"/>
  <c r="R111" i="9"/>
  <c r="R112" i="9"/>
  <c r="R113" i="9"/>
  <c r="R114" i="9"/>
  <c r="R115" i="9"/>
  <c r="R116" i="9"/>
  <c r="R117" i="9"/>
  <c r="R118" i="9"/>
  <c r="R119" i="9"/>
  <c r="R120" i="9"/>
  <c r="R121" i="9"/>
  <c r="R122" i="9"/>
  <c r="R123" i="9"/>
  <c r="R124" i="9"/>
  <c r="R125" i="9"/>
  <c r="R126" i="9"/>
  <c r="R127" i="9"/>
  <c r="R128" i="9"/>
  <c r="R129" i="9"/>
  <c r="R2" i="9"/>
  <c r="F46" i="9" l="1"/>
  <c r="F604" i="1"/>
  <c r="F60" i="9"/>
  <c r="F55" i="9"/>
  <c r="F52" i="9"/>
  <c r="F84" i="9"/>
  <c r="F271" i="1"/>
  <c r="F274" i="1"/>
  <c r="F206" i="1"/>
  <c r="F270" i="1"/>
  <c r="F273" i="1"/>
  <c r="F275" i="1"/>
  <c r="F272" i="1"/>
  <c r="F269" i="1"/>
  <c r="F606" i="1"/>
  <c r="F223" i="1"/>
  <c r="F224" i="1"/>
  <c r="F205" i="1"/>
  <c r="F608" i="1"/>
  <c r="F607" i="1"/>
  <c r="F605" i="1"/>
  <c r="F622" i="1"/>
  <c r="F548" i="1"/>
  <c r="G4" i="1" l="1"/>
  <c r="H4" i="1"/>
  <c r="J4" i="1"/>
  <c r="K4" i="1"/>
  <c r="G5" i="1"/>
  <c r="H5" i="1"/>
  <c r="J5" i="1"/>
  <c r="K5" i="1"/>
  <c r="G6" i="1"/>
  <c r="H6" i="1"/>
  <c r="J6" i="1"/>
  <c r="K6" i="1"/>
  <c r="G7" i="1"/>
  <c r="H7" i="1"/>
  <c r="J7" i="1"/>
  <c r="K7" i="1"/>
  <c r="F7" i="1" s="1"/>
  <c r="G9" i="1"/>
  <c r="H9" i="1"/>
  <c r="J9" i="1"/>
  <c r="K9" i="1"/>
  <c r="G10" i="1"/>
  <c r="H10" i="1"/>
  <c r="J10" i="1"/>
  <c r="K10" i="1"/>
  <c r="G11" i="1"/>
  <c r="H11" i="1"/>
  <c r="J11" i="1"/>
  <c r="K11" i="1"/>
  <c r="G12" i="1"/>
  <c r="H12" i="1"/>
  <c r="J12" i="1"/>
  <c r="K12" i="1"/>
  <c r="G13" i="1"/>
  <c r="H13" i="1"/>
  <c r="J13" i="1"/>
  <c r="K13" i="1"/>
  <c r="G14" i="1"/>
  <c r="H14" i="1"/>
  <c r="J14" i="1"/>
  <c r="K14" i="1"/>
  <c r="F14" i="1" s="1"/>
  <c r="G15" i="1"/>
  <c r="H15" i="1"/>
  <c r="J15" i="1"/>
  <c r="K15" i="1"/>
  <c r="G16" i="1"/>
  <c r="H16" i="1"/>
  <c r="J16" i="1"/>
  <c r="K16" i="1"/>
  <c r="G17" i="1"/>
  <c r="H17" i="1"/>
  <c r="J17" i="1"/>
  <c r="K17" i="1"/>
  <c r="G18" i="1"/>
  <c r="H18" i="1"/>
  <c r="J18" i="1"/>
  <c r="K18" i="1"/>
  <c r="G19" i="1"/>
  <c r="H19" i="1"/>
  <c r="J19" i="1"/>
  <c r="K19" i="1"/>
  <c r="F19" i="1" s="1"/>
  <c r="G20" i="1"/>
  <c r="H20" i="1"/>
  <c r="J20" i="1"/>
  <c r="K20" i="1"/>
  <c r="G21" i="1"/>
  <c r="H21" i="1"/>
  <c r="J21" i="1"/>
  <c r="K21" i="1"/>
  <c r="G22" i="1"/>
  <c r="H22" i="1"/>
  <c r="J22" i="1"/>
  <c r="K22" i="1"/>
  <c r="G23" i="1"/>
  <c r="H23" i="1"/>
  <c r="J23" i="1"/>
  <c r="K23" i="1"/>
  <c r="G24" i="1"/>
  <c r="H24" i="1"/>
  <c r="J24" i="1"/>
  <c r="K24" i="1"/>
  <c r="G25" i="1"/>
  <c r="H25" i="1"/>
  <c r="J25" i="1"/>
  <c r="K25" i="1"/>
  <c r="F25" i="1" s="1"/>
  <c r="G26" i="1"/>
  <c r="H26" i="1"/>
  <c r="J26" i="1"/>
  <c r="K26" i="1"/>
  <c r="G27" i="1"/>
  <c r="H27" i="1"/>
  <c r="J27" i="1"/>
  <c r="K27" i="1"/>
  <c r="G28" i="1"/>
  <c r="H28" i="1"/>
  <c r="J28" i="1"/>
  <c r="K28" i="1"/>
  <c r="G29" i="1"/>
  <c r="H29" i="1"/>
  <c r="J29" i="1"/>
  <c r="K29" i="1"/>
  <c r="G30" i="1"/>
  <c r="H30" i="1"/>
  <c r="J30" i="1"/>
  <c r="K30" i="1"/>
  <c r="F30" i="1" s="1"/>
  <c r="G31" i="1"/>
  <c r="H31" i="1"/>
  <c r="J31" i="1"/>
  <c r="K31" i="1"/>
  <c r="G32" i="1"/>
  <c r="H32" i="1"/>
  <c r="J32" i="1"/>
  <c r="K32" i="1"/>
  <c r="G33" i="1"/>
  <c r="H33" i="1"/>
  <c r="J33" i="1"/>
  <c r="K33" i="1"/>
  <c r="G34" i="1"/>
  <c r="H34" i="1"/>
  <c r="J34" i="1"/>
  <c r="K34" i="1"/>
  <c r="G35" i="1"/>
  <c r="H35" i="1"/>
  <c r="J35" i="1"/>
  <c r="K35" i="1"/>
  <c r="G36" i="1"/>
  <c r="H36" i="1"/>
  <c r="J36" i="1"/>
  <c r="K36" i="1"/>
  <c r="G37" i="1"/>
  <c r="H37" i="1"/>
  <c r="J37" i="1"/>
  <c r="K37" i="1"/>
  <c r="G38" i="1"/>
  <c r="H38" i="1"/>
  <c r="J38" i="1"/>
  <c r="K38" i="1"/>
  <c r="G39" i="1"/>
  <c r="H39" i="1"/>
  <c r="J39" i="1"/>
  <c r="K39" i="1"/>
  <c r="G40" i="1"/>
  <c r="H40" i="1"/>
  <c r="J40" i="1"/>
  <c r="K40" i="1"/>
  <c r="G41" i="1"/>
  <c r="H41" i="1"/>
  <c r="J41" i="1"/>
  <c r="K41" i="1"/>
  <c r="F41" i="1" s="1"/>
  <c r="G42" i="1"/>
  <c r="H42" i="1"/>
  <c r="J42" i="1"/>
  <c r="K42" i="1"/>
  <c r="G43" i="1"/>
  <c r="H43" i="1"/>
  <c r="J43" i="1"/>
  <c r="K43" i="1"/>
  <c r="G44" i="1"/>
  <c r="H44" i="1"/>
  <c r="J44" i="1"/>
  <c r="K44" i="1"/>
  <c r="G45" i="1"/>
  <c r="H45" i="1"/>
  <c r="J45" i="1"/>
  <c r="K45" i="1"/>
  <c r="G46" i="1"/>
  <c r="H46" i="1"/>
  <c r="J46" i="1"/>
  <c r="K46" i="1"/>
  <c r="G47" i="1"/>
  <c r="H47" i="1"/>
  <c r="J47" i="1"/>
  <c r="K47" i="1"/>
  <c r="F47" i="1" s="1"/>
  <c r="G48" i="1"/>
  <c r="H48" i="1"/>
  <c r="J48" i="1"/>
  <c r="K48" i="1"/>
  <c r="G55" i="1"/>
  <c r="H55" i="1"/>
  <c r="J55" i="1"/>
  <c r="K55" i="1"/>
  <c r="G56" i="1"/>
  <c r="H56" i="1"/>
  <c r="J56" i="1"/>
  <c r="K56" i="1"/>
  <c r="G57" i="1"/>
  <c r="H57" i="1"/>
  <c r="J57" i="1"/>
  <c r="K57" i="1"/>
  <c r="G58" i="1"/>
  <c r="H58" i="1"/>
  <c r="J58" i="1"/>
  <c r="K58" i="1"/>
  <c r="F58" i="1" s="1"/>
  <c r="G59" i="1"/>
  <c r="H59" i="1"/>
  <c r="J59" i="1"/>
  <c r="K59" i="1"/>
  <c r="G60" i="1"/>
  <c r="H60" i="1"/>
  <c r="J60" i="1"/>
  <c r="K60" i="1"/>
  <c r="G61" i="1"/>
  <c r="H61" i="1"/>
  <c r="J61" i="1"/>
  <c r="K61" i="1"/>
  <c r="G62" i="1"/>
  <c r="H62" i="1"/>
  <c r="J62" i="1"/>
  <c r="K62" i="1"/>
  <c r="G63" i="1"/>
  <c r="H63" i="1"/>
  <c r="J63" i="1"/>
  <c r="K63" i="1"/>
  <c r="G64" i="1"/>
  <c r="H64" i="1"/>
  <c r="J64" i="1"/>
  <c r="K64" i="1"/>
  <c r="F64" i="1" s="1"/>
  <c r="G65" i="1"/>
  <c r="H65" i="1"/>
  <c r="J65" i="1"/>
  <c r="K65" i="1"/>
  <c r="G66" i="1"/>
  <c r="H66" i="1"/>
  <c r="J66" i="1"/>
  <c r="K66" i="1"/>
  <c r="G67" i="1"/>
  <c r="H67" i="1"/>
  <c r="J67" i="1"/>
  <c r="K67" i="1"/>
  <c r="G68" i="1"/>
  <c r="H68" i="1"/>
  <c r="J68" i="1"/>
  <c r="K68" i="1"/>
  <c r="G69" i="1"/>
  <c r="H69" i="1"/>
  <c r="J69" i="1"/>
  <c r="K69" i="1"/>
  <c r="F69" i="1" s="1"/>
  <c r="G70" i="1"/>
  <c r="H70" i="1"/>
  <c r="J70" i="1"/>
  <c r="K70" i="1"/>
  <c r="G71" i="1"/>
  <c r="H71" i="1"/>
  <c r="J71" i="1"/>
  <c r="K71" i="1"/>
  <c r="G72" i="1"/>
  <c r="H72" i="1"/>
  <c r="J72" i="1"/>
  <c r="K72" i="1"/>
  <c r="G73" i="1"/>
  <c r="H73" i="1"/>
  <c r="J73" i="1"/>
  <c r="K73" i="1"/>
  <c r="G74" i="1"/>
  <c r="H74" i="1"/>
  <c r="J74" i="1"/>
  <c r="K74" i="1"/>
  <c r="G75" i="1"/>
  <c r="H75" i="1"/>
  <c r="J75" i="1"/>
  <c r="K75" i="1"/>
  <c r="G76" i="1"/>
  <c r="H76" i="1"/>
  <c r="J76" i="1"/>
  <c r="K76" i="1"/>
  <c r="G77" i="1"/>
  <c r="H77" i="1"/>
  <c r="J77" i="1"/>
  <c r="K77" i="1"/>
  <c r="G78" i="1"/>
  <c r="H78" i="1"/>
  <c r="J78" i="1"/>
  <c r="K78" i="1"/>
  <c r="G79" i="1"/>
  <c r="H79" i="1"/>
  <c r="J79" i="1"/>
  <c r="K79" i="1"/>
  <c r="G80" i="1"/>
  <c r="H80" i="1"/>
  <c r="J80" i="1"/>
  <c r="K80" i="1"/>
  <c r="F80" i="1" s="1"/>
  <c r="G81" i="1"/>
  <c r="H81" i="1"/>
  <c r="J81" i="1"/>
  <c r="K81" i="1"/>
  <c r="G82" i="1"/>
  <c r="H82" i="1"/>
  <c r="J82" i="1"/>
  <c r="K82" i="1"/>
  <c r="G83" i="1"/>
  <c r="H83" i="1"/>
  <c r="J83" i="1"/>
  <c r="K83" i="1"/>
  <c r="G84" i="1"/>
  <c r="H84" i="1"/>
  <c r="J84" i="1"/>
  <c r="K84" i="1"/>
  <c r="G85" i="1"/>
  <c r="H85" i="1"/>
  <c r="J85" i="1"/>
  <c r="K85" i="1"/>
  <c r="G86" i="1"/>
  <c r="H86" i="1"/>
  <c r="J86" i="1"/>
  <c r="K86" i="1"/>
  <c r="F86" i="1" s="1"/>
  <c r="G87" i="1"/>
  <c r="H87" i="1"/>
  <c r="J87" i="1"/>
  <c r="K87" i="1"/>
  <c r="G88" i="1"/>
  <c r="H88" i="1"/>
  <c r="J88" i="1"/>
  <c r="K88" i="1"/>
  <c r="G89" i="1"/>
  <c r="H89" i="1"/>
  <c r="J89" i="1"/>
  <c r="K89" i="1"/>
  <c r="G90" i="1"/>
  <c r="H90" i="1"/>
  <c r="J90" i="1"/>
  <c r="K90" i="1"/>
  <c r="G91" i="1"/>
  <c r="H91" i="1"/>
  <c r="J91" i="1"/>
  <c r="K91" i="1"/>
  <c r="F91" i="1" s="1"/>
  <c r="G92" i="1"/>
  <c r="H92" i="1"/>
  <c r="J92" i="1"/>
  <c r="K92" i="1"/>
  <c r="G93" i="1"/>
  <c r="H93" i="1"/>
  <c r="J93" i="1"/>
  <c r="K93" i="1"/>
  <c r="G94" i="1"/>
  <c r="H94" i="1"/>
  <c r="J94" i="1"/>
  <c r="K94" i="1"/>
  <c r="G95" i="1"/>
  <c r="H95" i="1"/>
  <c r="J95" i="1"/>
  <c r="K95" i="1"/>
  <c r="G96" i="1"/>
  <c r="H96" i="1"/>
  <c r="J96" i="1"/>
  <c r="K96" i="1"/>
  <c r="G97" i="1"/>
  <c r="H97" i="1"/>
  <c r="J97" i="1"/>
  <c r="K97" i="1"/>
  <c r="F97" i="1" s="1"/>
  <c r="G98" i="1"/>
  <c r="H98" i="1"/>
  <c r="J98" i="1"/>
  <c r="K98" i="1"/>
  <c r="G99" i="1"/>
  <c r="H99" i="1"/>
  <c r="J99" i="1"/>
  <c r="K99" i="1"/>
  <c r="G100" i="1"/>
  <c r="H100" i="1"/>
  <c r="J100" i="1"/>
  <c r="K100" i="1"/>
  <c r="G101" i="1"/>
  <c r="H101" i="1"/>
  <c r="J101" i="1"/>
  <c r="K101" i="1"/>
  <c r="G102" i="1"/>
  <c r="H102" i="1"/>
  <c r="J102" i="1"/>
  <c r="K102" i="1"/>
  <c r="F102" i="1" s="1"/>
  <c r="G103" i="1"/>
  <c r="H103" i="1"/>
  <c r="J103" i="1"/>
  <c r="K103" i="1"/>
  <c r="G104" i="1"/>
  <c r="H104" i="1"/>
  <c r="J104" i="1"/>
  <c r="K104" i="1"/>
  <c r="G105" i="1"/>
  <c r="H105" i="1"/>
  <c r="J105" i="1"/>
  <c r="K105" i="1"/>
  <c r="G106" i="1"/>
  <c r="H106" i="1"/>
  <c r="J106" i="1"/>
  <c r="K106" i="1"/>
  <c r="G107" i="1"/>
  <c r="H107" i="1"/>
  <c r="J107" i="1"/>
  <c r="K107" i="1"/>
  <c r="G108" i="1"/>
  <c r="H108" i="1"/>
  <c r="J108" i="1"/>
  <c r="K108" i="1"/>
  <c r="G109" i="1"/>
  <c r="H109" i="1"/>
  <c r="J109" i="1"/>
  <c r="K109" i="1"/>
  <c r="G110" i="1"/>
  <c r="H110" i="1"/>
  <c r="J110" i="1"/>
  <c r="K110" i="1"/>
  <c r="G111" i="1"/>
  <c r="H111" i="1"/>
  <c r="J111" i="1"/>
  <c r="K111" i="1"/>
  <c r="G112" i="1"/>
  <c r="H112" i="1"/>
  <c r="J112" i="1"/>
  <c r="K112" i="1"/>
  <c r="G113" i="1"/>
  <c r="H113" i="1"/>
  <c r="J113" i="1"/>
  <c r="K113" i="1"/>
  <c r="G114" i="1"/>
  <c r="H114" i="1"/>
  <c r="J114" i="1"/>
  <c r="K114" i="1"/>
  <c r="G115" i="1"/>
  <c r="H115" i="1"/>
  <c r="J115" i="1"/>
  <c r="K115" i="1"/>
  <c r="G116" i="1"/>
  <c r="H116" i="1"/>
  <c r="J116" i="1"/>
  <c r="K116" i="1"/>
  <c r="G117" i="1"/>
  <c r="H117" i="1"/>
  <c r="J117" i="1"/>
  <c r="K117" i="1"/>
  <c r="G118" i="1"/>
  <c r="H118" i="1"/>
  <c r="J118" i="1"/>
  <c r="K118" i="1"/>
  <c r="G119" i="1"/>
  <c r="H119" i="1"/>
  <c r="J119" i="1"/>
  <c r="K119" i="1"/>
  <c r="G120" i="1"/>
  <c r="H120" i="1"/>
  <c r="J120" i="1"/>
  <c r="K120" i="1"/>
  <c r="G121" i="1"/>
  <c r="H121" i="1"/>
  <c r="J121" i="1"/>
  <c r="K121" i="1"/>
  <c r="G122" i="1"/>
  <c r="H122" i="1"/>
  <c r="J122" i="1"/>
  <c r="K122" i="1"/>
  <c r="G123" i="1"/>
  <c r="H123" i="1"/>
  <c r="J123" i="1"/>
  <c r="K123" i="1"/>
  <c r="G124" i="1"/>
  <c r="H124" i="1"/>
  <c r="J124" i="1"/>
  <c r="K124" i="1"/>
  <c r="G125" i="1"/>
  <c r="H125" i="1"/>
  <c r="J125" i="1"/>
  <c r="K125" i="1"/>
  <c r="G126" i="1"/>
  <c r="H126" i="1"/>
  <c r="J126" i="1"/>
  <c r="K126" i="1"/>
  <c r="G127" i="1"/>
  <c r="H127" i="1"/>
  <c r="J127" i="1"/>
  <c r="K127" i="1"/>
  <c r="G128" i="1"/>
  <c r="H128" i="1"/>
  <c r="J128" i="1"/>
  <c r="K128" i="1"/>
  <c r="G129" i="1"/>
  <c r="H129" i="1"/>
  <c r="J129" i="1"/>
  <c r="K129" i="1"/>
  <c r="G130" i="1"/>
  <c r="H130" i="1"/>
  <c r="J130" i="1"/>
  <c r="K130" i="1"/>
  <c r="G131" i="1"/>
  <c r="H131" i="1"/>
  <c r="J131" i="1"/>
  <c r="K131" i="1"/>
  <c r="G132" i="1"/>
  <c r="H132" i="1"/>
  <c r="J132" i="1"/>
  <c r="K132" i="1"/>
  <c r="G133" i="1"/>
  <c r="H133" i="1"/>
  <c r="J133" i="1"/>
  <c r="K133" i="1"/>
  <c r="G134" i="1"/>
  <c r="H134" i="1"/>
  <c r="J134" i="1"/>
  <c r="K134" i="1"/>
  <c r="G135" i="1"/>
  <c r="H135" i="1"/>
  <c r="J135" i="1"/>
  <c r="K135" i="1"/>
  <c r="G136" i="1"/>
  <c r="H136" i="1"/>
  <c r="J136" i="1"/>
  <c r="K136" i="1"/>
  <c r="G137" i="1"/>
  <c r="H137" i="1"/>
  <c r="J137" i="1"/>
  <c r="K137" i="1"/>
  <c r="G138" i="1"/>
  <c r="H138" i="1"/>
  <c r="J138" i="1"/>
  <c r="K138" i="1"/>
  <c r="G139" i="1"/>
  <c r="H139" i="1"/>
  <c r="J139" i="1"/>
  <c r="K139" i="1"/>
  <c r="G140" i="1"/>
  <c r="H140" i="1"/>
  <c r="J140" i="1"/>
  <c r="K140" i="1"/>
  <c r="G141" i="1"/>
  <c r="H141" i="1"/>
  <c r="J141" i="1"/>
  <c r="K141" i="1"/>
  <c r="G142" i="1"/>
  <c r="H142" i="1"/>
  <c r="J142" i="1"/>
  <c r="K142" i="1"/>
  <c r="G143" i="1"/>
  <c r="H143" i="1"/>
  <c r="J143" i="1"/>
  <c r="K143" i="1"/>
  <c r="G144" i="1"/>
  <c r="H144" i="1"/>
  <c r="J144" i="1"/>
  <c r="K144" i="1"/>
  <c r="G145" i="1"/>
  <c r="H145" i="1"/>
  <c r="J145" i="1"/>
  <c r="K145" i="1"/>
  <c r="G146" i="1"/>
  <c r="H146" i="1"/>
  <c r="J146" i="1"/>
  <c r="K146" i="1"/>
  <c r="G147" i="1"/>
  <c r="H147" i="1"/>
  <c r="J147" i="1"/>
  <c r="K147" i="1"/>
  <c r="G148" i="1"/>
  <c r="H148" i="1"/>
  <c r="J148" i="1"/>
  <c r="K148" i="1"/>
  <c r="G149" i="1"/>
  <c r="H149" i="1"/>
  <c r="J149" i="1"/>
  <c r="K149" i="1"/>
  <c r="G150" i="1"/>
  <c r="H150" i="1"/>
  <c r="J150" i="1"/>
  <c r="K150" i="1"/>
  <c r="G151" i="1"/>
  <c r="H151" i="1"/>
  <c r="J151" i="1"/>
  <c r="K151" i="1"/>
  <c r="G152" i="1"/>
  <c r="H152" i="1"/>
  <c r="J152" i="1"/>
  <c r="K152" i="1"/>
  <c r="G153" i="1"/>
  <c r="H153" i="1"/>
  <c r="J153" i="1"/>
  <c r="K153" i="1"/>
  <c r="G154" i="1"/>
  <c r="H154" i="1"/>
  <c r="J154" i="1"/>
  <c r="K154" i="1"/>
  <c r="G155" i="1"/>
  <c r="H155" i="1"/>
  <c r="J155" i="1"/>
  <c r="K155" i="1"/>
  <c r="G156" i="1"/>
  <c r="H156" i="1"/>
  <c r="J156" i="1"/>
  <c r="K156" i="1"/>
  <c r="G157" i="1"/>
  <c r="H157" i="1"/>
  <c r="J157" i="1"/>
  <c r="K157" i="1"/>
  <c r="G158" i="1"/>
  <c r="H158" i="1"/>
  <c r="J158" i="1"/>
  <c r="K158" i="1"/>
  <c r="G159" i="1"/>
  <c r="H159" i="1"/>
  <c r="J159" i="1"/>
  <c r="K159" i="1"/>
  <c r="G160" i="1"/>
  <c r="H160" i="1"/>
  <c r="J160" i="1"/>
  <c r="K160" i="1"/>
  <c r="G161" i="1"/>
  <c r="H161" i="1"/>
  <c r="J161" i="1"/>
  <c r="K161" i="1"/>
  <c r="G162" i="1"/>
  <c r="H162" i="1"/>
  <c r="J162" i="1"/>
  <c r="K162" i="1"/>
  <c r="G163" i="1"/>
  <c r="H163" i="1"/>
  <c r="J163" i="1"/>
  <c r="K163" i="1"/>
  <c r="F163" i="1" s="1"/>
  <c r="G164" i="1"/>
  <c r="H164" i="1"/>
  <c r="J164" i="1"/>
  <c r="K164" i="1"/>
  <c r="G165" i="1"/>
  <c r="H165" i="1"/>
  <c r="J165" i="1"/>
  <c r="K165" i="1"/>
  <c r="G166" i="1"/>
  <c r="H166" i="1"/>
  <c r="J166" i="1"/>
  <c r="K166" i="1"/>
  <c r="G167" i="1"/>
  <c r="H167" i="1"/>
  <c r="J167" i="1"/>
  <c r="K167" i="1"/>
  <c r="G168" i="1"/>
  <c r="H168" i="1"/>
  <c r="J168" i="1"/>
  <c r="K168" i="1"/>
  <c r="G169" i="1"/>
  <c r="H169" i="1"/>
  <c r="J169" i="1"/>
  <c r="K169" i="1"/>
  <c r="G170" i="1"/>
  <c r="H170" i="1"/>
  <c r="J170" i="1"/>
  <c r="K170" i="1"/>
  <c r="G171" i="1"/>
  <c r="H171" i="1"/>
  <c r="J171" i="1"/>
  <c r="K171" i="1"/>
  <c r="G172" i="1"/>
  <c r="H172" i="1"/>
  <c r="J172" i="1"/>
  <c r="K172" i="1"/>
  <c r="G173" i="1"/>
  <c r="H173" i="1"/>
  <c r="J173" i="1"/>
  <c r="K173" i="1"/>
  <c r="G174" i="1"/>
  <c r="H174" i="1"/>
  <c r="J174" i="1"/>
  <c r="K174" i="1"/>
  <c r="F174" i="1" s="1"/>
  <c r="G175" i="1"/>
  <c r="H175" i="1"/>
  <c r="J175" i="1"/>
  <c r="K175" i="1"/>
  <c r="G176" i="1"/>
  <c r="H176" i="1"/>
  <c r="J176" i="1"/>
  <c r="K176" i="1"/>
  <c r="G177" i="1"/>
  <c r="H177" i="1"/>
  <c r="J177" i="1"/>
  <c r="K177" i="1"/>
  <c r="G178" i="1"/>
  <c r="H178" i="1"/>
  <c r="J178" i="1"/>
  <c r="K178" i="1"/>
  <c r="G179" i="1"/>
  <c r="H179" i="1"/>
  <c r="J179" i="1"/>
  <c r="K179" i="1"/>
  <c r="G180" i="1"/>
  <c r="H180" i="1"/>
  <c r="J180" i="1"/>
  <c r="K180" i="1"/>
  <c r="G181" i="1"/>
  <c r="H181" i="1"/>
  <c r="J181" i="1"/>
  <c r="K181" i="1"/>
  <c r="G182" i="1"/>
  <c r="H182" i="1"/>
  <c r="J182" i="1"/>
  <c r="K182" i="1"/>
  <c r="G183" i="1"/>
  <c r="H183" i="1"/>
  <c r="J183" i="1"/>
  <c r="K183" i="1"/>
  <c r="G184" i="1"/>
  <c r="H184" i="1"/>
  <c r="J184" i="1"/>
  <c r="K184" i="1"/>
  <c r="G185" i="1"/>
  <c r="H185" i="1"/>
  <c r="J185" i="1"/>
  <c r="K185" i="1"/>
  <c r="G186" i="1"/>
  <c r="H186" i="1"/>
  <c r="J186" i="1"/>
  <c r="K186" i="1"/>
  <c r="G187" i="1"/>
  <c r="H187" i="1"/>
  <c r="J187" i="1"/>
  <c r="K187" i="1"/>
  <c r="G188" i="1"/>
  <c r="H188" i="1"/>
  <c r="J188" i="1"/>
  <c r="K188" i="1"/>
  <c r="G189" i="1"/>
  <c r="H189" i="1"/>
  <c r="J189" i="1"/>
  <c r="K189" i="1"/>
  <c r="G190" i="1"/>
  <c r="H190" i="1"/>
  <c r="J190" i="1"/>
  <c r="K190" i="1"/>
  <c r="G191" i="1"/>
  <c r="H191" i="1"/>
  <c r="J191" i="1"/>
  <c r="K191" i="1"/>
  <c r="G192" i="1"/>
  <c r="H192" i="1"/>
  <c r="J192" i="1"/>
  <c r="K192" i="1"/>
  <c r="G193" i="1"/>
  <c r="H193" i="1"/>
  <c r="J193" i="1"/>
  <c r="K193" i="1"/>
  <c r="G194" i="1"/>
  <c r="H194" i="1"/>
  <c r="J194" i="1"/>
  <c r="K194" i="1"/>
  <c r="G195" i="1"/>
  <c r="H195" i="1"/>
  <c r="J195" i="1"/>
  <c r="K195" i="1"/>
  <c r="G196" i="1"/>
  <c r="H196" i="1"/>
  <c r="J196" i="1"/>
  <c r="K196" i="1"/>
  <c r="G197" i="1"/>
  <c r="H197" i="1"/>
  <c r="J197" i="1"/>
  <c r="K197" i="1"/>
  <c r="G198" i="1"/>
  <c r="H198" i="1"/>
  <c r="J198" i="1"/>
  <c r="K198" i="1"/>
  <c r="G199" i="1"/>
  <c r="H199" i="1"/>
  <c r="J199" i="1"/>
  <c r="K199" i="1"/>
  <c r="G200" i="1"/>
  <c r="H200" i="1"/>
  <c r="J200" i="1"/>
  <c r="K200" i="1"/>
  <c r="G201" i="1"/>
  <c r="H201" i="1"/>
  <c r="J201" i="1"/>
  <c r="K201" i="1"/>
  <c r="G202" i="1"/>
  <c r="H202" i="1"/>
  <c r="J202" i="1"/>
  <c r="K202" i="1"/>
  <c r="G203" i="1"/>
  <c r="H203" i="1"/>
  <c r="J203" i="1"/>
  <c r="K203" i="1"/>
  <c r="G204" i="1"/>
  <c r="H204" i="1"/>
  <c r="J204" i="1"/>
  <c r="K204" i="1"/>
  <c r="G207" i="1"/>
  <c r="H207" i="1"/>
  <c r="J207" i="1"/>
  <c r="K207" i="1"/>
  <c r="G208" i="1"/>
  <c r="H208" i="1"/>
  <c r="J208" i="1"/>
  <c r="K208" i="1"/>
  <c r="G209" i="1"/>
  <c r="H209" i="1"/>
  <c r="J209" i="1"/>
  <c r="K209" i="1"/>
  <c r="G210" i="1"/>
  <c r="H210" i="1"/>
  <c r="J210" i="1"/>
  <c r="K210" i="1"/>
  <c r="G211" i="1"/>
  <c r="H211" i="1"/>
  <c r="J211" i="1"/>
  <c r="K211" i="1"/>
  <c r="G212" i="1"/>
  <c r="H212" i="1"/>
  <c r="J212" i="1"/>
  <c r="K212" i="1"/>
  <c r="G213" i="1"/>
  <c r="H213" i="1"/>
  <c r="J213" i="1"/>
  <c r="K213" i="1"/>
  <c r="G214" i="1"/>
  <c r="H214" i="1"/>
  <c r="J214" i="1"/>
  <c r="K214" i="1"/>
  <c r="G215" i="1"/>
  <c r="H215" i="1"/>
  <c r="J215" i="1"/>
  <c r="K215" i="1"/>
  <c r="G216" i="1"/>
  <c r="H216" i="1"/>
  <c r="J216" i="1"/>
  <c r="K216" i="1"/>
  <c r="G217" i="1"/>
  <c r="H217" i="1"/>
  <c r="J217" i="1"/>
  <c r="K217" i="1"/>
  <c r="G218" i="1"/>
  <c r="H218" i="1"/>
  <c r="J218" i="1"/>
  <c r="K218" i="1"/>
  <c r="G219" i="1"/>
  <c r="H219" i="1"/>
  <c r="J219" i="1"/>
  <c r="K219" i="1"/>
  <c r="G220" i="1"/>
  <c r="H220" i="1"/>
  <c r="J220" i="1"/>
  <c r="K220" i="1"/>
  <c r="G221" i="1"/>
  <c r="H221" i="1"/>
  <c r="J221" i="1"/>
  <c r="K221" i="1"/>
  <c r="G222" i="1"/>
  <c r="H222" i="1"/>
  <c r="J222" i="1"/>
  <c r="K222" i="1"/>
  <c r="G225" i="1"/>
  <c r="H225" i="1"/>
  <c r="J225" i="1"/>
  <c r="K225" i="1"/>
  <c r="G226" i="1"/>
  <c r="H226" i="1"/>
  <c r="J226" i="1"/>
  <c r="K226" i="1"/>
  <c r="G227" i="1"/>
  <c r="H227" i="1"/>
  <c r="J227" i="1"/>
  <c r="K227" i="1"/>
  <c r="G228" i="1"/>
  <c r="H228" i="1"/>
  <c r="J228" i="1"/>
  <c r="K228" i="1"/>
  <c r="G229" i="1"/>
  <c r="H229" i="1"/>
  <c r="J229" i="1"/>
  <c r="K229" i="1"/>
  <c r="G230" i="1"/>
  <c r="H230" i="1"/>
  <c r="J230" i="1"/>
  <c r="K230" i="1"/>
  <c r="G231" i="1"/>
  <c r="H231" i="1"/>
  <c r="J231" i="1"/>
  <c r="K231" i="1"/>
  <c r="G232" i="1"/>
  <c r="H232" i="1"/>
  <c r="J232" i="1"/>
  <c r="K232" i="1"/>
  <c r="G233" i="1"/>
  <c r="H233" i="1"/>
  <c r="J233" i="1"/>
  <c r="K233" i="1"/>
  <c r="G234" i="1"/>
  <c r="H234" i="1"/>
  <c r="J234" i="1"/>
  <c r="K234" i="1"/>
  <c r="G235" i="1"/>
  <c r="H235" i="1"/>
  <c r="J235" i="1"/>
  <c r="K235" i="1"/>
  <c r="G236" i="1"/>
  <c r="H236" i="1"/>
  <c r="J236" i="1"/>
  <c r="K236" i="1"/>
  <c r="G237" i="1"/>
  <c r="H237" i="1"/>
  <c r="J237" i="1"/>
  <c r="K237" i="1"/>
  <c r="G238" i="1"/>
  <c r="H238" i="1"/>
  <c r="J238" i="1"/>
  <c r="K238" i="1"/>
  <c r="G239" i="1"/>
  <c r="H239" i="1"/>
  <c r="J239" i="1"/>
  <c r="K239" i="1"/>
  <c r="G240" i="1"/>
  <c r="H240" i="1"/>
  <c r="J240" i="1"/>
  <c r="K240" i="1"/>
  <c r="G241" i="1"/>
  <c r="H241" i="1"/>
  <c r="J241" i="1"/>
  <c r="K241" i="1"/>
  <c r="G242" i="1"/>
  <c r="H242" i="1"/>
  <c r="J242" i="1"/>
  <c r="K242" i="1"/>
  <c r="G243" i="1"/>
  <c r="H243" i="1"/>
  <c r="J243" i="1"/>
  <c r="K243" i="1"/>
  <c r="G244" i="1"/>
  <c r="H244" i="1"/>
  <c r="J244" i="1"/>
  <c r="K244" i="1"/>
  <c r="F244" i="1" s="1"/>
  <c r="G245" i="1"/>
  <c r="H245" i="1"/>
  <c r="J245" i="1"/>
  <c r="K245" i="1"/>
  <c r="G246" i="1"/>
  <c r="H246" i="1"/>
  <c r="J246" i="1"/>
  <c r="K246" i="1"/>
  <c r="G247" i="1"/>
  <c r="H247" i="1"/>
  <c r="J247" i="1"/>
  <c r="K247" i="1"/>
  <c r="G248" i="1"/>
  <c r="H248" i="1"/>
  <c r="J248" i="1"/>
  <c r="K248" i="1"/>
  <c r="G249" i="1"/>
  <c r="H249" i="1"/>
  <c r="J249" i="1"/>
  <c r="K249" i="1"/>
  <c r="G250" i="1"/>
  <c r="H250" i="1"/>
  <c r="J250" i="1"/>
  <c r="K250" i="1"/>
  <c r="G251" i="1"/>
  <c r="H251" i="1"/>
  <c r="J251" i="1"/>
  <c r="K251" i="1"/>
  <c r="G252" i="1"/>
  <c r="H252" i="1"/>
  <c r="J252" i="1"/>
  <c r="K252" i="1"/>
  <c r="G253" i="1"/>
  <c r="H253" i="1"/>
  <c r="J253" i="1"/>
  <c r="K253" i="1"/>
  <c r="G254" i="1"/>
  <c r="H254" i="1"/>
  <c r="J254" i="1"/>
  <c r="K254" i="1"/>
  <c r="G255" i="1"/>
  <c r="H255" i="1"/>
  <c r="J255" i="1"/>
  <c r="K255" i="1"/>
  <c r="G256" i="1"/>
  <c r="H256" i="1"/>
  <c r="J256" i="1"/>
  <c r="K256" i="1"/>
  <c r="G257" i="1"/>
  <c r="H257" i="1"/>
  <c r="J257" i="1"/>
  <c r="K257" i="1"/>
  <c r="G258" i="1"/>
  <c r="H258" i="1"/>
  <c r="J258" i="1"/>
  <c r="K258" i="1"/>
  <c r="G259" i="1"/>
  <c r="H259" i="1"/>
  <c r="J259" i="1"/>
  <c r="K259" i="1"/>
  <c r="G260" i="1"/>
  <c r="H260" i="1"/>
  <c r="J260" i="1"/>
  <c r="K260" i="1"/>
  <c r="G261" i="1"/>
  <c r="H261" i="1"/>
  <c r="J261" i="1"/>
  <c r="K261" i="1"/>
  <c r="G262" i="1"/>
  <c r="H262" i="1"/>
  <c r="J262" i="1"/>
  <c r="K262" i="1"/>
  <c r="G263" i="1"/>
  <c r="H263" i="1"/>
  <c r="J263" i="1"/>
  <c r="K263" i="1"/>
  <c r="G264" i="1"/>
  <c r="H264" i="1"/>
  <c r="J264" i="1"/>
  <c r="K264" i="1"/>
  <c r="G265" i="1"/>
  <c r="H265" i="1"/>
  <c r="J265" i="1"/>
  <c r="K265" i="1"/>
  <c r="G266" i="1"/>
  <c r="H266" i="1"/>
  <c r="J266" i="1"/>
  <c r="K266" i="1"/>
  <c r="G267" i="1"/>
  <c r="H267" i="1"/>
  <c r="J267" i="1"/>
  <c r="K267" i="1"/>
  <c r="G268" i="1"/>
  <c r="H268" i="1"/>
  <c r="J268" i="1"/>
  <c r="K268" i="1"/>
  <c r="G277" i="1"/>
  <c r="H277" i="1"/>
  <c r="J277" i="1"/>
  <c r="K277" i="1"/>
  <c r="G278" i="1"/>
  <c r="H278" i="1"/>
  <c r="J278" i="1"/>
  <c r="K278" i="1"/>
  <c r="G279" i="1"/>
  <c r="H279" i="1"/>
  <c r="J279" i="1"/>
  <c r="K279" i="1"/>
  <c r="F279" i="1" s="1"/>
  <c r="G280" i="1"/>
  <c r="H280" i="1"/>
  <c r="J280" i="1"/>
  <c r="K280" i="1"/>
  <c r="G281" i="1"/>
  <c r="H281" i="1"/>
  <c r="J281" i="1"/>
  <c r="K281" i="1"/>
  <c r="G282" i="1"/>
  <c r="H282" i="1"/>
  <c r="J282" i="1"/>
  <c r="K282" i="1"/>
  <c r="G283" i="1"/>
  <c r="H283" i="1"/>
  <c r="J283" i="1"/>
  <c r="K283" i="1"/>
  <c r="G284" i="1"/>
  <c r="H284" i="1"/>
  <c r="J284" i="1"/>
  <c r="K284" i="1"/>
  <c r="G285" i="1"/>
  <c r="H285" i="1"/>
  <c r="J285" i="1"/>
  <c r="K285" i="1"/>
  <c r="G286" i="1"/>
  <c r="H286" i="1"/>
  <c r="J286" i="1"/>
  <c r="K286" i="1"/>
  <c r="G287" i="1"/>
  <c r="H287" i="1"/>
  <c r="J287" i="1"/>
  <c r="K287" i="1"/>
  <c r="G288" i="1"/>
  <c r="H288" i="1"/>
  <c r="J288" i="1"/>
  <c r="K288" i="1"/>
  <c r="G289" i="1"/>
  <c r="H289" i="1"/>
  <c r="J289" i="1"/>
  <c r="K289" i="1"/>
  <c r="G290" i="1"/>
  <c r="H290" i="1"/>
  <c r="J290" i="1"/>
  <c r="K290" i="1"/>
  <c r="F290" i="1" s="1"/>
  <c r="G291" i="1"/>
  <c r="H291" i="1"/>
  <c r="J291" i="1"/>
  <c r="K291" i="1"/>
  <c r="G292" i="1"/>
  <c r="H292" i="1"/>
  <c r="J292" i="1"/>
  <c r="K292" i="1"/>
  <c r="G293" i="1"/>
  <c r="H293" i="1"/>
  <c r="J293" i="1"/>
  <c r="K293" i="1"/>
  <c r="G296" i="1"/>
  <c r="H296" i="1"/>
  <c r="J296" i="1"/>
  <c r="K296" i="1"/>
  <c r="G297" i="1"/>
  <c r="H297" i="1"/>
  <c r="J297" i="1"/>
  <c r="K297" i="1"/>
  <c r="G298" i="1"/>
  <c r="H298" i="1"/>
  <c r="J298" i="1"/>
  <c r="K298" i="1"/>
  <c r="G299" i="1"/>
  <c r="H299" i="1"/>
  <c r="J299" i="1"/>
  <c r="K299" i="1"/>
  <c r="G300" i="1"/>
  <c r="H300" i="1"/>
  <c r="J300" i="1"/>
  <c r="K300" i="1"/>
  <c r="G301" i="1"/>
  <c r="H301" i="1"/>
  <c r="J301" i="1"/>
  <c r="K301" i="1"/>
  <c r="G302" i="1"/>
  <c r="H302" i="1"/>
  <c r="J302" i="1"/>
  <c r="K302" i="1"/>
  <c r="G303" i="1"/>
  <c r="H303" i="1"/>
  <c r="J303" i="1"/>
  <c r="K303" i="1"/>
  <c r="G304" i="1"/>
  <c r="H304" i="1"/>
  <c r="J304" i="1"/>
  <c r="K304" i="1"/>
  <c r="G305" i="1"/>
  <c r="H305" i="1"/>
  <c r="J305" i="1"/>
  <c r="K305" i="1"/>
  <c r="G325" i="1"/>
  <c r="H325" i="1"/>
  <c r="J325" i="1"/>
  <c r="K325" i="1"/>
  <c r="G326" i="1"/>
  <c r="H326" i="1"/>
  <c r="J326" i="1"/>
  <c r="K326" i="1"/>
  <c r="G327" i="1"/>
  <c r="H327" i="1"/>
  <c r="J327" i="1"/>
  <c r="K327" i="1"/>
  <c r="G328" i="1"/>
  <c r="H328" i="1"/>
  <c r="J328" i="1"/>
  <c r="K328" i="1"/>
  <c r="G329" i="1"/>
  <c r="H329" i="1"/>
  <c r="J329" i="1"/>
  <c r="K329" i="1"/>
  <c r="G330" i="1"/>
  <c r="H330" i="1"/>
  <c r="J330" i="1"/>
  <c r="K330" i="1"/>
  <c r="G331" i="1"/>
  <c r="H331" i="1"/>
  <c r="J331" i="1"/>
  <c r="K331" i="1"/>
  <c r="G332" i="1"/>
  <c r="H332" i="1"/>
  <c r="J332" i="1"/>
  <c r="K332" i="1"/>
  <c r="G333" i="1"/>
  <c r="H333" i="1"/>
  <c r="J333" i="1"/>
  <c r="K333" i="1"/>
  <c r="G334" i="1"/>
  <c r="H334" i="1"/>
  <c r="J334" i="1"/>
  <c r="K334" i="1"/>
  <c r="G335" i="1"/>
  <c r="H335" i="1"/>
  <c r="J335" i="1"/>
  <c r="K335" i="1"/>
  <c r="G336" i="1"/>
  <c r="H336" i="1"/>
  <c r="J336" i="1"/>
  <c r="K336" i="1"/>
  <c r="G337" i="1"/>
  <c r="H337" i="1"/>
  <c r="J337" i="1"/>
  <c r="K337" i="1"/>
  <c r="G338" i="1"/>
  <c r="H338" i="1"/>
  <c r="J338" i="1"/>
  <c r="K338" i="1"/>
  <c r="G339" i="1"/>
  <c r="H339" i="1"/>
  <c r="J339" i="1"/>
  <c r="K339" i="1"/>
  <c r="G340" i="1"/>
  <c r="H340" i="1"/>
  <c r="J340" i="1"/>
  <c r="K340" i="1"/>
  <c r="G341" i="1"/>
  <c r="H341" i="1"/>
  <c r="J341" i="1"/>
  <c r="K341" i="1"/>
  <c r="G342" i="1"/>
  <c r="H342" i="1"/>
  <c r="J342" i="1"/>
  <c r="K342" i="1"/>
  <c r="G343" i="1"/>
  <c r="H343" i="1"/>
  <c r="J343" i="1"/>
  <c r="K343" i="1"/>
  <c r="G344" i="1"/>
  <c r="H344" i="1"/>
  <c r="J344" i="1"/>
  <c r="K344" i="1"/>
  <c r="G345" i="1"/>
  <c r="H345" i="1"/>
  <c r="J345" i="1"/>
  <c r="K345" i="1"/>
  <c r="G346" i="1"/>
  <c r="H346" i="1"/>
  <c r="J346" i="1"/>
  <c r="K346" i="1"/>
  <c r="G347" i="1"/>
  <c r="H347" i="1"/>
  <c r="J347" i="1"/>
  <c r="K347" i="1"/>
  <c r="G349" i="1"/>
  <c r="H349" i="1"/>
  <c r="J349" i="1"/>
  <c r="K349" i="1"/>
  <c r="G523" i="1"/>
  <c r="H523" i="1"/>
  <c r="J523" i="1"/>
  <c r="K523" i="1"/>
  <c r="G524" i="1"/>
  <c r="H524" i="1"/>
  <c r="J524" i="1"/>
  <c r="K524" i="1"/>
  <c r="G525" i="1"/>
  <c r="H525" i="1"/>
  <c r="J525" i="1"/>
  <c r="K525" i="1"/>
  <c r="G526" i="1"/>
  <c r="H526" i="1"/>
  <c r="J526" i="1"/>
  <c r="K526" i="1"/>
  <c r="G529" i="1"/>
  <c r="H529" i="1"/>
  <c r="J529" i="1"/>
  <c r="K529" i="1"/>
  <c r="G530" i="1"/>
  <c r="H530" i="1"/>
  <c r="J530" i="1"/>
  <c r="K530" i="1"/>
  <c r="G532" i="1"/>
  <c r="H532" i="1"/>
  <c r="J532" i="1"/>
  <c r="K532" i="1"/>
  <c r="G533" i="1"/>
  <c r="H533" i="1"/>
  <c r="J533" i="1"/>
  <c r="K533" i="1"/>
  <c r="G534" i="1"/>
  <c r="H534" i="1"/>
  <c r="J534" i="1"/>
  <c r="K534" i="1"/>
  <c r="G535" i="1"/>
  <c r="H535" i="1"/>
  <c r="J535" i="1"/>
  <c r="K535" i="1"/>
  <c r="G536" i="1"/>
  <c r="H536" i="1"/>
  <c r="J536" i="1"/>
  <c r="K536" i="1"/>
  <c r="G537" i="1"/>
  <c r="H537" i="1"/>
  <c r="J537" i="1"/>
  <c r="K537" i="1"/>
  <c r="G538" i="1"/>
  <c r="H538" i="1"/>
  <c r="J538" i="1"/>
  <c r="K538" i="1"/>
  <c r="G539" i="1"/>
  <c r="H539" i="1"/>
  <c r="J539" i="1"/>
  <c r="K539" i="1"/>
  <c r="G540" i="1"/>
  <c r="H540" i="1"/>
  <c r="J540" i="1"/>
  <c r="K540" i="1"/>
  <c r="G541" i="1"/>
  <c r="H541" i="1"/>
  <c r="J541" i="1"/>
  <c r="K541" i="1"/>
  <c r="G542" i="1"/>
  <c r="H542" i="1"/>
  <c r="J542" i="1"/>
  <c r="K542" i="1"/>
  <c r="G543" i="1"/>
  <c r="H543" i="1"/>
  <c r="J543" i="1"/>
  <c r="K543" i="1"/>
  <c r="G544" i="1"/>
  <c r="H544" i="1"/>
  <c r="J544" i="1"/>
  <c r="K544" i="1"/>
  <c r="G545" i="1"/>
  <c r="H545" i="1"/>
  <c r="J545" i="1"/>
  <c r="K545" i="1"/>
  <c r="G546" i="1"/>
  <c r="H546" i="1"/>
  <c r="J546" i="1"/>
  <c r="K546" i="1"/>
  <c r="G550" i="1"/>
  <c r="H550" i="1"/>
  <c r="J550" i="1"/>
  <c r="K550" i="1"/>
  <c r="G551" i="1"/>
  <c r="H551" i="1"/>
  <c r="J551" i="1"/>
  <c r="K551" i="1"/>
  <c r="G552" i="1"/>
  <c r="H552" i="1"/>
  <c r="J552" i="1"/>
  <c r="K552" i="1"/>
  <c r="G553" i="1"/>
  <c r="H553" i="1"/>
  <c r="J553" i="1"/>
  <c r="K553" i="1"/>
  <c r="G554" i="1"/>
  <c r="H554" i="1"/>
  <c r="J554" i="1"/>
  <c r="K554" i="1"/>
  <c r="G555" i="1"/>
  <c r="H555" i="1"/>
  <c r="J555" i="1"/>
  <c r="K555" i="1"/>
  <c r="G556" i="1"/>
  <c r="H556" i="1"/>
  <c r="J556" i="1"/>
  <c r="K556" i="1"/>
  <c r="G557" i="1"/>
  <c r="H557" i="1"/>
  <c r="J557" i="1"/>
  <c r="K557" i="1"/>
  <c r="G558" i="1"/>
  <c r="H558" i="1"/>
  <c r="J558" i="1"/>
  <c r="K558" i="1"/>
  <c r="G559" i="1"/>
  <c r="H559" i="1"/>
  <c r="J559" i="1"/>
  <c r="K559" i="1"/>
  <c r="G560" i="1"/>
  <c r="H560" i="1"/>
  <c r="J560" i="1"/>
  <c r="K560" i="1"/>
  <c r="G561" i="1"/>
  <c r="H561" i="1"/>
  <c r="J561" i="1"/>
  <c r="K561" i="1"/>
  <c r="G562" i="1"/>
  <c r="H562" i="1"/>
  <c r="J562" i="1"/>
  <c r="K562" i="1"/>
  <c r="G563" i="1"/>
  <c r="H563" i="1"/>
  <c r="J563" i="1"/>
  <c r="K563" i="1"/>
  <c r="G564" i="1"/>
  <c r="H564" i="1"/>
  <c r="J564" i="1"/>
  <c r="K564" i="1"/>
  <c r="G565" i="1"/>
  <c r="H565" i="1"/>
  <c r="J565" i="1"/>
  <c r="K565" i="1"/>
  <c r="G566" i="1"/>
  <c r="H566" i="1"/>
  <c r="J566" i="1"/>
  <c r="K566" i="1"/>
  <c r="G567" i="1"/>
  <c r="H567" i="1"/>
  <c r="J567" i="1"/>
  <c r="K567" i="1"/>
  <c r="G568" i="1"/>
  <c r="H568" i="1"/>
  <c r="J568" i="1"/>
  <c r="K568" i="1"/>
  <c r="G569" i="1"/>
  <c r="H569" i="1"/>
  <c r="J569" i="1"/>
  <c r="K569" i="1"/>
  <c r="G570" i="1"/>
  <c r="H570" i="1"/>
  <c r="J570" i="1"/>
  <c r="K570" i="1"/>
  <c r="G571" i="1"/>
  <c r="H571" i="1"/>
  <c r="J571" i="1"/>
  <c r="K571" i="1"/>
  <c r="G572" i="1"/>
  <c r="H572" i="1"/>
  <c r="J572" i="1"/>
  <c r="K572" i="1"/>
  <c r="G573" i="1"/>
  <c r="H573" i="1"/>
  <c r="J573" i="1"/>
  <c r="K573" i="1"/>
  <c r="G574" i="1"/>
  <c r="H574" i="1"/>
  <c r="J574" i="1"/>
  <c r="K574" i="1"/>
  <c r="G575" i="1"/>
  <c r="H575" i="1"/>
  <c r="J575" i="1"/>
  <c r="K575" i="1"/>
  <c r="G576" i="1"/>
  <c r="H576" i="1"/>
  <c r="J576" i="1"/>
  <c r="K576" i="1"/>
  <c r="G577" i="1"/>
  <c r="H577" i="1"/>
  <c r="J577" i="1"/>
  <c r="K577" i="1"/>
  <c r="G578" i="1"/>
  <c r="H578" i="1"/>
  <c r="J578" i="1"/>
  <c r="K578" i="1"/>
  <c r="G579" i="1"/>
  <c r="H579" i="1"/>
  <c r="J579" i="1"/>
  <c r="K579" i="1"/>
  <c r="G580" i="1"/>
  <c r="H580" i="1"/>
  <c r="J580" i="1"/>
  <c r="K580" i="1"/>
  <c r="G581" i="1"/>
  <c r="H581" i="1"/>
  <c r="J581" i="1"/>
  <c r="K581" i="1"/>
  <c r="G582" i="1"/>
  <c r="H582" i="1"/>
  <c r="J582" i="1"/>
  <c r="K582" i="1"/>
  <c r="G583" i="1"/>
  <c r="H583" i="1"/>
  <c r="J583" i="1"/>
  <c r="K583" i="1"/>
  <c r="G584" i="1"/>
  <c r="H584" i="1"/>
  <c r="J584" i="1"/>
  <c r="K584" i="1"/>
  <c r="G585" i="1"/>
  <c r="H585" i="1"/>
  <c r="J585" i="1"/>
  <c r="K585" i="1"/>
  <c r="G586" i="1"/>
  <c r="H586" i="1"/>
  <c r="J586" i="1"/>
  <c r="K586" i="1"/>
  <c r="G587" i="1"/>
  <c r="H587" i="1"/>
  <c r="J587" i="1"/>
  <c r="K587" i="1"/>
  <c r="G588" i="1"/>
  <c r="H588" i="1"/>
  <c r="J588" i="1"/>
  <c r="K588" i="1"/>
  <c r="G589" i="1"/>
  <c r="H589" i="1"/>
  <c r="J589" i="1"/>
  <c r="K589" i="1"/>
  <c r="G590" i="1"/>
  <c r="H590" i="1"/>
  <c r="J590" i="1"/>
  <c r="K590" i="1"/>
  <c r="G591" i="1"/>
  <c r="H591" i="1"/>
  <c r="J591" i="1"/>
  <c r="K591" i="1"/>
  <c r="G592" i="1"/>
  <c r="H592" i="1"/>
  <c r="J592" i="1"/>
  <c r="K592" i="1"/>
  <c r="G593" i="1"/>
  <c r="H593" i="1"/>
  <c r="J593" i="1"/>
  <c r="K593" i="1"/>
  <c r="G594" i="1"/>
  <c r="H594" i="1"/>
  <c r="J594" i="1"/>
  <c r="K594" i="1"/>
  <c r="G595" i="1"/>
  <c r="H595" i="1"/>
  <c r="J595" i="1"/>
  <c r="K595" i="1"/>
  <c r="G596" i="1"/>
  <c r="H596" i="1"/>
  <c r="J596" i="1"/>
  <c r="K596" i="1"/>
  <c r="G597" i="1"/>
  <c r="H597" i="1"/>
  <c r="J597" i="1"/>
  <c r="K597" i="1"/>
  <c r="G598" i="1"/>
  <c r="H598" i="1"/>
  <c r="J598" i="1"/>
  <c r="K598" i="1"/>
  <c r="G599" i="1"/>
  <c r="H599" i="1"/>
  <c r="J599" i="1"/>
  <c r="K599" i="1"/>
  <c r="G600" i="1"/>
  <c r="H600" i="1"/>
  <c r="J600" i="1"/>
  <c r="K600" i="1"/>
  <c r="G601" i="1"/>
  <c r="H601" i="1"/>
  <c r="J601" i="1"/>
  <c r="K601" i="1"/>
  <c r="G602" i="1"/>
  <c r="H602" i="1"/>
  <c r="J602" i="1"/>
  <c r="K602" i="1"/>
  <c r="G603" i="1"/>
  <c r="H603" i="1"/>
  <c r="J603" i="1"/>
  <c r="K603" i="1"/>
  <c r="G613" i="1"/>
  <c r="H613" i="1"/>
  <c r="J613" i="1"/>
  <c r="K613" i="1"/>
  <c r="G614" i="1"/>
  <c r="H614" i="1"/>
  <c r="J614" i="1"/>
  <c r="K614" i="1"/>
  <c r="G615" i="1"/>
  <c r="H615" i="1"/>
  <c r="J615" i="1"/>
  <c r="K615" i="1"/>
  <c r="G616" i="1"/>
  <c r="H616" i="1"/>
  <c r="J616" i="1"/>
  <c r="K616" i="1"/>
  <c r="G617" i="1"/>
  <c r="H617" i="1"/>
  <c r="J617" i="1"/>
  <c r="K617" i="1"/>
  <c r="G618" i="1"/>
  <c r="H618" i="1"/>
  <c r="J618" i="1"/>
  <c r="K618" i="1"/>
  <c r="G619" i="1"/>
  <c r="H619" i="1"/>
  <c r="J619" i="1"/>
  <c r="K619" i="1"/>
  <c r="G620" i="1"/>
  <c r="H620" i="1"/>
  <c r="J620" i="1"/>
  <c r="K620" i="1"/>
  <c r="G621" i="1"/>
  <c r="H621" i="1"/>
  <c r="J621" i="1"/>
  <c r="K621" i="1"/>
  <c r="G623" i="1"/>
  <c r="H623" i="1"/>
  <c r="J623" i="1"/>
  <c r="K623" i="1"/>
  <c r="G624" i="1"/>
  <c r="H624" i="1"/>
  <c r="J624" i="1"/>
  <c r="K624" i="1"/>
  <c r="G629" i="1"/>
  <c r="H629" i="1"/>
  <c r="J629" i="1"/>
  <c r="K629" i="1"/>
  <c r="G630" i="1"/>
  <c r="H630" i="1"/>
  <c r="J630" i="1"/>
  <c r="K630" i="1"/>
  <c r="G631" i="1"/>
  <c r="H631" i="1"/>
  <c r="J631" i="1"/>
  <c r="K631" i="1"/>
  <c r="G632" i="1"/>
  <c r="H632" i="1"/>
  <c r="J632" i="1"/>
  <c r="K632" i="1"/>
  <c r="G633" i="1"/>
  <c r="H633" i="1"/>
  <c r="J633" i="1"/>
  <c r="K633" i="1"/>
  <c r="G634" i="1"/>
  <c r="H634" i="1"/>
  <c r="J634" i="1"/>
  <c r="K634" i="1"/>
  <c r="G636" i="1"/>
  <c r="H636" i="1"/>
  <c r="J636" i="1"/>
  <c r="K636" i="1"/>
  <c r="G637" i="1"/>
  <c r="H637" i="1"/>
  <c r="J637" i="1"/>
  <c r="K637" i="1"/>
  <c r="G638" i="1"/>
  <c r="H638" i="1"/>
  <c r="J638" i="1"/>
  <c r="K638" i="1"/>
  <c r="G639" i="1"/>
  <c r="H639" i="1"/>
  <c r="J639" i="1"/>
  <c r="K639" i="1"/>
  <c r="G640" i="1"/>
  <c r="H640" i="1"/>
  <c r="J640" i="1"/>
  <c r="K640" i="1"/>
  <c r="G641" i="1"/>
  <c r="H641" i="1"/>
  <c r="J641" i="1"/>
  <c r="K641" i="1"/>
  <c r="G643" i="1"/>
  <c r="H643" i="1"/>
  <c r="J643" i="1"/>
  <c r="K643" i="1"/>
  <c r="G644" i="1"/>
  <c r="H644" i="1"/>
  <c r="J644" i="1"/>
  <c r="K644" i="1"/>
  <c r="G645" i="1"/>
  <c r="H645" i="1"/>
  <c r="J645" i="1"/>
  <c r="K645" i="1"/>
  <c r="G646" i="1"/>
  <c r="H646" i="1"/>
  <c r="J646" i="1"/>
  <c r="K646" i="1"/>
  <c r="G647" i="1"/>
  <c r="H647" i="1"/>
  <c r="J647" i="1"/>
  <c r="K647" i="1"/>
  <c r="G648" i="1"/>
  <c r="H648" i="1"/>
  <c r="J648" i="1"/>
  <c r="K648" i="1"/>
  <c r="G649" i="1"/>
  <c r="H649" i="1"/>
  <c r="J649" i="1"/>
  <c r="K649" i="1"/>
  <c r="G650" i="1"/>
  <c r="H650" i="1"/>
  <c r="J650" i="1"/>
  <c r="K650" i="1"/>
  <c r="G651" i="1"/>
  <c r="H651" i="1"/>
  <c r="J651" i="1"/>
  <c r="K651" i="1"/>
  <c r="G652" i="1"/>
  <c r="H652" i="1"/>
  <c r="J652" i="1"/>
  <c r="K652" i="1"/>
  <c r="G653" i="1"/>
  <c r="H653" i="1"/>
  <c r="J653" i="1"/>
  <c r="K653" i="1"/>
  <c r="G654" i="1"/>
  <c r="H654" i="1"/>
  <c r="J654" i="1"/>
  <c r="K654" i="1"/>
  <c r="G655" i="1"/>
  <c r="H655" i="1"/>
  <c r="J655" i="1"/>
  <c r="K655" i="1"/>
  <c r="G656" i="1"/>
  <c r="H656" i="1"/>
  <c r="J656" i="1"/>
  <c r="K656" i="1"/>
  <c r="G657" i="1"/>
  <c r="H657" i="1"/>
  <c r="J657" i="1"/>
  <c r="K657" i="1"/>
  <c r="G658" i="1"/>
  <c r="H658" i="1"/>
  <c r="J658" i="1"/>
  <c r="K658" i="1"/>
  <c r="G659" i="1"/>
  <c r="H659" i="1"/>
  <c r="J659" i="1"/>
  <c r="K659" i="1"/>
  <c r="G660" i="1"/>
  <c r="H660" i="1"/>
  <c r="J660" i="1"/>
  <c r="K660" i="1"/>
  <c r="G661" i="1"/>
  <c r="H661" i="1"/>
  <c r="J661" i="1"/>
  <c r="K661" i="1"/>
  <c r="G662" i="1"/>
  <c r="H662" i="1"/>
  <c r="J662" i="1"/>
  <c r="K662" i="1"/>
  <c r="G663" i="1"/>
  <c r="H663" i="1"/>
  <c r="J663" i="1"/>
  <c r="K663" i="1"/>
  <c r="G664" i="1"/>
  <c r="H664" i="1"/>
  <c r="J664" i="1"/>
  <c r="K664" i="1"/>
  <c r="G665" i="1"/>
  <c r="H665" i="1"/>
  <c r="J665" i="1"/>
  <c r="K665" i="1"/>
  <c r="G666" i="1"/>
  <c r="H666" i="1"/>
  <c r="J666" i="1"/>
  <c r="K666" i="1"/>
  <c r="G667" i="1"/>
  <c r="H667" i="1"/>
  <c r="J667" i="1"/>
  <c r="K667" i="1"/>
  <c r="G668" i="1"/>
  <c r="H668" i="1"/>
  <c r="J668" i="1"/>
  <c r="K668" i="1"/>
  <c r="G669" i="1"/>
  <c r="H669" i="1"/>
  <c r="J669" i="1"/>
  <c r="K669" i="1"/>
  <c r="G670" i="1"/>
  <c r="H670" i="1"/>
  <c r="J670" i="1"/>
  <c r="K670" i="1"/>
  <c r="G671" i="1"/>
  <c r="H671" i="1"/>
  <c r="J671" i="1"/>
  <c r="K671" i="1"/>
  <c r="G672" i="1"/>
  <c r="H672" i="1"/>
  <c r="J672" i="1"/>
  <c r="K672" i="1"/>
  <c r="G673" i="1"/>
  <c r="H673" i="1"/>
  <c r="J673" i="1"/>
  <c r="K673" i="1"/>
  <c r="G675" i="1"/>
  <c r="H675" i="1"/>
  <c r="J675" i="1"/>
  <c r="K675" i="1"/>
  <c r="G3" i="1"/>
  <c r="H3" i="1"/>
  <c r="J3" i="1"/>
  <c r="K3" i="1"/>
  <c r="F234" i="1" l="1"/>
  <c r="F221" i="1"/>
  <c r="F153" i="1"/>
  <c r="F208" i="1"/>
  <c r="F184" i="1"/>
  <c r="F75" i="1"/>
  <c r="F180" i="1"/>
  <c r="F169" i="1"/>
  <c r="F103" i="1"/>
  <c r="F92" i="1"/>
  <c r="F81" i="1"/>
  <c r="F70" i="1"/>
  <c r="F59" i="1"/>
  <c r="F42" i="1"/>
  <c r="F31" i="1"/>
  <c r="F20" i="1"/>
  <c r="F9" i="1"/>
  <c r="F630" i="1"/>
  <c r="F653" i="1"/>
  <c r="F664" i="1"/>
  <c r="F623" i="1"/>
  <c r="F643" i="1"/>
  <c r="F595" i="1"/>
  <c r="F585" i="1"/>
  <c r="F575" i="1"/>
  <c r="F631" i="1"/>
  <c r="F615" i="1"/>
  <c r="F557" i="1"/>
  <c r="F544" i="1"/>
  <c r="F332" i="1"/>
  <c r="F302" i="1"/>
  <c r="F289" i="1"/>
  <c r="F253" i="1"/>
  <c r="F584" i="1"/>
  <c r="F574" i="1"/>
  <c r="F556" i="1"/>
  <c r="F543" i="1"/>
  <c r="F331" i="1"/>
  <c r="F301" i="1"/>
  <c r="F133" i="1"/>
  <c r="F122" i="1"/>
  <c r="F111" i="1"/>
  <c r="F346" i="1"/>
  <c r="F325" i="1"/>
  <c r="F658" i="1"/>
  <c r="F524" i="1"/>
  <c r="F641" i="1"/>
  <c r="F629" i="1"/>
  <c r="F198" i="1"/>
  <c r="F187" i="1"/>
  <c r="F262" i="1"/>
  <c r="F213" i="1"/>
  <c r="F123" i="1"/>
  <c r="F112" i="1"/>
  <c r="F218" i="1"/>
  <c r="F128" i="1"/>
  <c r="F117" i="1"/>
  <c r="F665" i="1"/>
  <c r="F654" i="1"/>
  <c r="F624" i="1"/>
  <c r="F659" i="1"/>
  <c r="F637" i="1"/>
  <c r="F600" i="1"/>
  <c r="F538" i="1"/>
  <c r="F525" i="1"/>
  <c r="F257" i="1"/>
  <c r="F248" i="1"/>
  <c r="F239" i="1"/>
  <c r="F229" i="1"/>
  <c r="F192" i="1"/>
  <c r="F670" i="1"/>
  <c r="F648" i="1"/>
  <c r="F619" i="1"/>
  <c r="F138" i="1"/>
  <c r="F143" i="1"/>
  <c r="F148" i="1"/>
  <c r="F264" i="1"/>
  <c r="F249" i="1"/>
  <c r="F230" i="1"/>
  <c r="F209" i="1"/>
  <c r="F188" i="1"/>
  <c r="F170" i="1"/>
  <c r="F15" i="1"/>
  <c r="F657" i="1"/>
  <c r="F618" i="1"/>
  <c r="F523" i="1"/>
  <c r="F345" i="1"/>
  <c r="F334" i="1"/>
  <c r="F305" i="1"/>
  <c r="F293" i="1"/>
  <c r="F646" i="1"/>
  <c r="F536" i="1"/>
  <c r="F256" i="1"/>
  <c r="F238" i="1"/>
  <c r="F197" i="1"/>
  <c r="F179" i="1"/>
  <c r="F158" i="1"/>
  <c r="F116" i="1"/>
  <c r="F96" i="1"/>
  <c r="F74" i="1"/>
  <c r="F46" i="1"/>
  <c r="F24" i="1"/>
  <c r="F621" i="1"/>
  <c r="F613" i="1"/>
  <c r="F583" i="1"/>
  <c r="F573" i="1"/>
  <c r="F566" i="1"/>
  <c r="F340" i="1"/>
  <c r="F330" i="1"/>
  <c r="F300" i="1"/>
  <c r="F288" i="1"/>
  <c r="F278" i="1"/>
  <c r="F261" i="1"/>
  <c r="F252" i="1"/>
  <c r="F243" i="1"/>
  <c r="F233" i="1"/>
  <c r="F220" i="1"/>
  <c r="F212" i="1"/>
  <c r="F202" i="1"/>
  <c r="F191" i="1"/>
  <c r="F173" i="1"/>
  <c r="F162" i="1"/>
  <c r="F152" i="1"/>
  <c r="F142" i="1"/>
  <c r="F132" i="1"/>
  <c r="F121" i="1"/>
  <c r="F110" i="1"/>
  <c r="F101" i="1"/>
  <c r="F90" i="1"/>
  <c r="F79" i="1"/>
  <c r="F68" i="1"/>
  <c r="F57" i="1"/>
  <c r="F40" i="1"/>
  <c r="F29" i="1"/>
  <c r="F18" i="1"/>
  <c r="F6" i="1"/>
  <c r="F287" i="1"/>
  <c r="F277" i="1"/>
  <c r="F260" i="1"/>
  <c r="F251" i="1"/>
  <c r="F242" i="1"/>
  <c r="F232" i="1"/>
  <c r="F219" i="1"/>
  <c r="F211" i="1"/>
  <c r="F201" i="1"/>
  <c r="F190" i="1"/>
  <c r="F183" i="1"/>
  <c r="F172" i="1"/>
  <c r="F161" i="1"/>
  <c r="F151" i="1"/>
  <c r="F141" i="1"/>
  <c r="F28" i="1"/>
  <c r="F17" i="1"/>
  <c r="F5" i="1"/>
  <c r="F577" i="1"/>
  <c r="F597" i="1"/>
  <c r="F4" i="1"/>
  <c r="F655" i="1"/>
  <c r="F632" i="1"/>
  <c r="F616" i="1"/>
  <c r="F586" i="1"/>
  <c r="F666" i="1"/>
  <c r="F644" i="1"/>
  <c r="F596" i="1"/>
  <c r="F576" i="1"/>
  <c r="F263" i="1"/>
  <c r="F640" i="1"/>
  <c r="F582" i="1"/>
  <c r="F572" i="1"/>
  <c r="F542" i="1"/>
  <c r="F283" i="1"/>
  <c r="F265" i="1"/>
  <c r="F237" i="1"/>
  <c r="F227" i="1"/>
  <c r="F217" i="1"/>
  <c r="F204" i="1"/>
  <c r="F196" i="1"/>
  <c r="F178" i="1"/>
  <c r="F167" i="1"/>
  <c r="F157" i="1"/>
  <c r="F146" i="1"/>
  <c r="F137" i="1"/>
  <c r="F126" i="1"/>
  <c r="F115" i="1"/>
  <c r="F105" i="1"/>
  <c r="F95" i="1"/>
  <c r="F84" i="1"/>
  <c r="F73" i="1"/>
  <c r="F62" i="1"/>
  <c r="F45" i="1"/>
  <c r="F34" i="1"/>
  <c r="F23" i="1"/>
  <c r="F12" i="1"/>
  <c r="F565" i="1"/>
  <c r="F554" i="1"/>
  <c r="F541" i="1"/>
  <c r="F529" i="1"/>
  <c r="F339" i="1"/>
  <c r="F329" i="1"/>
  <c r="F299" i="1"/>
  <c r="F559" i="1"/>
  <c r="F535" i="1"/>
  <c r="F292" i="1"/>
  <c r="F668" i="1"/>
  <c r="F639" i="1"/>
  <c r="F602" i="1"/>
  <c r="F656" i="1"/>
  <c r="F564" i="1"/>
  <c r="F553" i="1"/>
  <c r="F540" i="1"/>
  <c r="F338" i="1"/>
  <c r="F150" i="1"/>
  <c r="F140" i="1"/>
  <c r="F27" i="1"/>
  <c r="F16" i="1"/>
  <c r="F558" i="1"/>
  <c r="F545" i="1"/>
  <c r="F534" i="1"/>
  <c r="F303" i="1"/>
  <c r="F195" i="1"/>
  <c r="F660" i="1"/>
  <c r="F649" i="1"/>
  <c r="F638" i="1"/>
  <c r="F620" i="1"/>
  <c r="F601" i="1"/>
  <c r="F591" i="1"/>
  <c r="F581" i="1"/>
  <c r="F571" i="1"/>
  <c r="F281" i="1"/>
  <c r="F124" i="1"/>
  <c r="F113" i="1"/>
  <c r="F93" i="1"/>
  <c r="F82" i="1"/>
  <c r="F71" i="1"/>
  <c r="F60" i="1"/>
  <c r="F139" i="1"/>
  <c r="F671" i="1"/>
  <c r="F563" i="1"/>
  <c r="F552" i="1"/>
  <c r="F539" i="1"/>
  <c r="F526" i="1"/>
  <c r="F337" i="1"/>
  <c r="F26" i="1"/>
  <c r="F207" i="1"/>
  <c r="F614" i="1"/>
  <c r="F590" i="1"/>
  <c r="F580" i="1"/>
  <c r="F328" i="1"/>
  <c r="F298" i="1"/>
  <c r="F246" i="1"/>
  <c r="F226" i="1"/>
  <c r="F166" i="1"/>
  <c r="F131" i="1"/>
  <c r="F120" i="1"/>
  <c r="F109" i="1"/>
  <c r="F100" i="1"/>
  <c r="F89" i="1"/>
  <c r="F78" i="1"/>
  <c r="F67" i="1"/>
  <c r="F570" i="1"/>
  <c r="F533" i="1"/>
  <c r="F675" i="1"/>
  <c r="F663" i="1"/>
  <c r="F652" i="1"/>
  <c r="F636" i="1"/>
  <c r="F594" i="1"/>
  <c r="F562" i="1"/>
  <c r="F551" i="1"/>
  <c r="F343" i="1"/>
  <c r="F333" i="1"/>
  <c r="F286" i="1"/>
  <c r="F268" i="1"/>
  <c r="F145" i="1"/>
  <c r="F56" i="1"/>
  <c r="F39" i="1"/>
  <c r="F147" i="1"/>
  <c r="F291" i="1"/>
  <c r="F259" i="1"/>
  <c r="F250" i="1"/>
  <c r="F241" i="1"/>
  <c r="F231" i="1"/>
  <c r="F210" i="1"/>
  <c r="F200" i="1"/>
  <c r="F189" i="1"/>
  <c r="F182" i="1"/>
  <c r="F171" i="1"/>
  <c r="F160" i="1"/>
  <c r="F125" i="1"/>
  <c r="F104" i="1"/>
  <c r="F83" i="1"/>
  <c r="F61" i="1"/>
  <c r="F106" i="1"/>
  <c r="F33" i="1"/>
  <c r="F587" i="1"/>
  <c r="F589" i="1"/>
  <c r="F569" i="1"/>
  <c r="F532" i="1"/>
  <c r="F297" i="1"/>
  <c r="F254" i="1"/>
  <c r="F225" i="1"/>
  <c r="F215" i="1"/>
  <c r="F194" i="1"/>
  <c r="F176" i="1"/>
  <c r="F165" i="1"/>
  <c r="F155" i="1"/>
  <c r="F130" i="1"/>
  <c r="F119" i="1"/>
  <c r="F108" i="1"/>
  <c r="F99" i="1"/>
  <c r="F88" i="1"/>
  <c r="F77" i="1"/>
  <c r="F66" i="1"/>
  <c r="F11" i="1"/>
  <c r="F673" i="1"/>
  <c r="F662" i="1"/>
  <c r="F651" i="1"/>
  <c r="F634" i="1"/>
  <c r="F593" i="1"/>
  <c r="F550" i="1"/>
  <c r="F342" i="1"/>
  <c r="F267" i="1"/>
  <c r="F144" i="1"/>
  <c r="F135" i="1"/>
  <c r="F72" i="1"/>
  <c r="F55" i="1"/>
  <c r="F38" i="1"/>
  <c r="F667" i="1"/>
  <c r="F645" i="1"/>
  <c r="F598" i="1"/>
  <c r="F555" i="1"/>
  <c r="F347" i="1"/>
  <c r="F336" i="1"/>
  <c r="F280" i="1"/>
  <c r="F149" i="1"/>
  <c r="F43" i="1"/>
  <c r="F32" i="1"/>
  <c r="F588" i="1"/>
  <c r="F578" i="1"/>
  <c r="F568" i="1"/>
  <c r="F530" i="1"/>
  <c r="F326" i="1"/>
  <c r="F245" i="1"/>
  <c r="F235" i="1"/>
  <c r="F222" i="1"/>
  <c r="F214" i="1"/>
  <c r="F203" i="1"/>
  <c r="F193" i="1"/>
  <c r="F185" i="1"/>
  <c r="F175" i="1"/>
  <c r="F164" i="1"/>
  <c r="F154" i="1"/>
  <c r="F129" i="1"/>
  <c r="F107" i="1"/>
  <c r="F87" i="1"/>
  <c r="F65" i="1"/>
  <c r="F21" i="1"/>
  <c r="F10" i="1"/>
  <c r="F168" i="1"/>
  <c r="F127" i="1"/>
  <c r="F672" i="1"/>
  <c r="F661" i="1"/>
  <c r="F650" i="1"/>
  <c r="F603" i="1"/>
  <c r="F592" i="1"/>
  <c r="F560" i="1"/>
  <c r="F537" i="1"/>
  <c r="F341" i="1"/>
  <c r="F284" i="1"/>
  <c r="F258" i="1"/>
  <c r="F134" i="1"/>
  <c r="F37" i="1"/>
  <c r="F335" i="1"/>
  <c r="F199" i="1"/>
  <c r="F247" i="1"/>
  <c r="F13" i="1"/>
  <c r="F344" i="1"/>
  <c r="F159" i="1"/>
  <c r="F94" i="1"/>
  <c r="F177" i="1"/>
  <c r="F85" i="1"/>
  <c r="F647" i="1"/>
  <c r="F136" i="1"/>
  <c r="F181" i="1"/>
  <c r="F228" i="1"/>
  <c r="F3" i="1"/>
  <c r="F282" i="1"/>
  <c r="F118" i="1"/>
  <c r="F44" i="1"/>
  <c r="F669" i="1"/>
  <c r="F546" i="1"/>
  <c r="F304" i="1"/>
  <c r="F579" i="1"/>
  <c r="F186" i="1"/>
  <c r="F156" i="1"/>
  <c r="F296" i="1"/>
  <c r="F266" i="1"/>
  <c r="F633" i="1"/>
  <c r="F349" i="1"/>
  <c r="F255" i="1"/>
  <c r="F98" i="1"/>
  <c r="F22" i="1"/>
  <c r="F63" i="1"/>
  <c r="F114" i="1"/>
  <c r="F561" i="1"/>
  <c r="F327" i="1"/>
  <c r="F236" i="1"/>
  <c r="F76" i="1"/>
  <c r="F240" i="1"/>
  <c r="F567" i="1"/>
  <c r="F36" i="1"/>
  <c r="F35" i="1"/>
  <c r="F599" i="1"/>
  <c r="F617" i="1"/>
  <c r="F285" i="1"/>
  <c r="F216" i="1"/>
  <c r="F48" i="1"/>
  <c r="AQ301" i="1" l="1"/>
  <c r="L12" i="9" l="1"/>
  <c r="J12" i="9"/>
  <c r="H12" i="9"/>
  <c r="G12" i="9"/>
  <c r="L19" i="9"/>
  <c r="J19" i="9"/>
  <c r="H19" i="9"/>
  <c r="G19" i="9"/>
  <c r="L20" i="9"/>
  <c r="J20" i="9"/>
  <c r="H20" i="9"/>
  <c r="G20" i="9"/>
  <c r="F12" i="9" l="1"/>
  <c r="F19" i="9"/>
  <c r="F20" i="9"/>
  <c r="L85" i="9"/>
  <c r="J85" i="9"/>
  <c r="H85" i="9"/>
  <c r="G85" i="9"/>
  <c r="L59" i="9"/>
  <c r="J59" i="9"/>
  <c r="H59" i="9"/>
  <c r="G59" i="9"/>
  <c r="L58" i="9"/>
  <c r="J58" i="9"/>
  <c r="H58" i="9"/>
  <c r="G58" i="9"/>
  <c r="L57" i="9"/>
  <c r="J57" i="9"/>
  <c r="H57" i="9"/>
  <c r="G57" i="9"/>
  <c r="L56" i="9"/>
  <c r="J56" i="9"/>
  <c r="H56" i="9"/>
  <c r="G56" i="9"/>
  <c r="L54" i="9"/>
  <c r="J54" i="9"/>
  <c r="H54" i="9"/>
  <c r="G54" i="9"/>
  <c r="L43" i="9"/>
  <c r="J43" i="9"/>
  <c r="H43" i="9"/>
  <c r="G43" i="9"/>
  <c r="L42" i="9"/>
  <c r="J42" i="9"/>
  <c r="H42" i="9"/>
  <c r="G42" i="9"/>
  <c r="L41" i="9"/>
  <c r="J41" i="9"/>
  <c r="H41" i="9"/>
  <c r="G41" i="9"/>
  <c r="L40" i="9"/>
  <c r="J40" i="9"/>
  <c r="H40" i="9"/>
  <c r="G40" i="9"/>
  <c r="L39" i="9"/>
  <c r="J39" i="9"/>
  <c r="H39" i="9"/>
  <c r="G39" i="9"/>
  <c r="L38" i="9"/>
  <c r="J38" i="9"/>
  <c r="H38" i="9"/>
  <c r="G38" i="9"/>
  <c r="L37" i="9"/>
  <c r="J37" i="9"/>
  <c r="H37" i="9"/>
  <c r="G37" i="9"/>
  <c r="L36" i="9"/>
  <c r="J36" i="9"/>
  <c r="H36" i="9"/>
  <c r="G36" i="9"/>
  <c r="L18" i="9"/>
  <c r="J18" i="9"/>
  <c r="H18" i="9"/>
  <c r="G18" i="9"/>
  <c r="L17" i="9"/>
  <c r="J17" i="9"/>
  <c r="H17" i="9"/>
  <c r="G17" i="9"/>
  <c r="L16" i="9"/>
  <c r="J16" i="9"/>
  <c r="H16" i="9"/>
  <c r="G16" i="9"/>
  <c r="L15" i="9"/>
  <c r="J15" i="9"/>
  <c r="H15" i="9"/>
  <c r="G15" i="9"/>
  <c r="F16" i="9" l="1"/>
  <c r="F41" i="9"/>
  <c r="F36" i="9"/>
  <c r="F15" i="9"/>
  <c r="F57" i="9"/>
  <c r="F58" i="9"/>
  <c r="F85" i="9"/>
  <c r="F43" i="9"/>
  <c r="F39" i="9"/>
  <c r="F56" i="9"/>
  <c r="F54" i="9"/>
  <c r="F42" i="9"/>
  <c r="F18" i="9"/>
  <c r="F59" i="9"/>
  <c r="F37" i="9"/>
  <c r="F38" i="9"/>
  <c r="F17" i="9"/>
  <c r="F40" i="9"/>
  <c r="L86" i="9"/>
  <c r="J86" i="9"/>
  <c r="H86" i="9"/>
  <c r="G86" i="9"/>
  <c r="L101" i="9"/>
  <c r="J101" i="9"/>
  <c r="H101" i="9"/>
  <c r="G101" i="9"/>
  <c r="L102" i="9"/>
  <c r="J102" i="9"/>
  <c r="H102" i="9"/>
  <c r="G102" i="9"/>
  <c r="L98" i="9"/>
  <c r="J98" i="9"/>
  <c r="H98" i="9"/>
  <c r="G98" i="9"/>
  <c r="L97" i="9"/>
  <c r="J97" i="9"/>
  <c r="H97" i="9"/>
  <c r="G97" i="9"/>
  <c r="L93" i="9"/>
  <c r="J93" i="9"/>
  <c r="H93" i="9"/>
  <c r="G93" i="9"/>
  <c r="L92" i="9"/>
  <c r="J92" i="9"/>
  <c r="H92" i="9"/>
  <c r="G92" i="9"/>
  <c r="L99" i="9"/>
  <c r="J99" i="9"/>
  <c r="H99" i="9"/>
  <c r="G99" i="9"/>
  <c r="F97" i="9" l="1"/>
  <c r="F101" i="9"/>
  <c r="F86" i="9"/>
  <c r="F98" i="9"/>
  <c r="F99" i="9"/>
  <c r="F102" i="9"/>
  <c r="F92" i="9"/>
  <c r="F93" i="9"/>
  <c r="L103" i="9"/>
  <c r="J103" i="9"/>
  <c r="H103" i="9"/>
  <c r="G103" i="9"/>
  <c r="L100" i="9"/>
  <c r="J100" i="9"/>
  <c r="H100" i="9"/>
  <c r="G100" i="9"/>
  <c r="L89" i="9"/>
  <c r="J89" i="9"/>
  <c r="H89" i="9"/>
  <c r="G89" i="9"/>
  <c r="L88" i="9"/>
  <c r="J88" i="9"/>
  <c r="H88" i="9"/>
  <c r="G88" i="9"/>
  <c r="L51" i="9"/>
  <c r="J51" i="9"/>
  <c r="H51" i="9"/>
  <c r="G51" i="9"/>
  <c r="F88" i="9" l="1"/>
  <c r="F103" i="9"/>
  <c r="F89" i="9"/>
  <c r="F100" i="9"/>
  <c r="F51" i="9"/>
  <c r="L76" i="9"/>
  <c r="J76" i="9"/>
  <c r="H76" i="9"/>
  <c r="G76" i="9"/>
  <c r="F76" i="9" l="1"/>
  <c r="L118" i="9"/>
  <c r="J118" i="9"/>
  <c r="H118" i="9"/>
  <c r="G118" i="9"/>
  <c r="F118" i="9" l="1"/>
  <c r="L50" i="9"/>
  <c r="J50" i="9"/>
  <c r="H50" i="9"/>
  <c r="G50" i="9"/>
  <c r="L63" i="9"/>
  <c r="J63" i="9"/>
  <c r="H63" i="9"/>
  <c r="G63" i="9"/>
  <c r="L49" i="9"/>
  <c r="J49" i="9"/>
  <c r="H49" i="9"/>
  <c r="G49" i="9"/>
  <c r="L10" i="9"/>
  <c r="J10" i="9"/>
  <c r="H10" i="9"/>
  <c r="G10" i="9"/>
  <c r="L23" i="9"/>
  <c r="J23" i="9"/>
  <c r="H23" i="9"/>
  <c r="G23" i="9"/>
  <c r="L22" i="9"/>
  <c r="J22" i="9"/>
  <c r="H22" i="9"/>
  <c r="G22" i="9"/>
  <c r="L21" i="9"/>
  <c r="J21" i="9"/>
  <c r="H21" i="9"/>
  <c r="G21" i="9"/>
  <c r="L9" i="9"/>
  <c r="J9" i="9"/>
  <c r="H9" i="9"/>
  <c r="G9" i="9"/>
  <c r="L33" i="9"/>
  <c r="J33" i="9"/>
  <c r="H33" i="9"/>
  <c r="G33" i="9"/>
  <c r="L117" i="9"/>
  <c r="J117" i="9"/>
  <c r="H117" i="9"/>
  <c r="G117" i="9"/>
  <c r="L116" i="9"/>
  <c r="J116" i="9"/>
  <c r="H116" i="9"/>
  <c r="G116" i="9"/>
  <c r="L115" i="9"/>
  <c r="J115" i="9"/>
  <c r="H115" i="9"/>
  <c r="G115" i="9"/>
  <c r="L114" i="9"/>
  <c r="J114" i="9"/>
  <c r="H114" i="9"/>
  <c r="G114" i="9"/>
  <c r="L113" i="9"/>
  <c r="J113" i="9"/>
  <c r="H113" i="9"/>
  <c r="G113" i="9"/>
  <c r="L112" i="9"/>
  <c r="J112" i="9"/>
  <c r="H112" i="9"/>
  <c r="G112" i="9"/>
  <c r="L111" i="9"/>
  <c r="J111" i="9"/>
  <c r="H111" i="9"/>
  <c r="G111" i="9"/>
  <c r="L110" i="9"/>
  <c r="J110" i="9"/>
  <c r="H110" i="9"/>
  <c r="G110" i="9"/>
  <c r="L109" i="9"/>
  <c r="J109" i="9"/>
  <c r="H109" i="9"/>
  <c r="G109" i="9"/>
  <c r="L108" i="9"/>
  <c r="J108" i="9"/>
  <c r="H108" i="9"/>
  <c r="G108" i="9"/>
  <c r="L106" i="9"/>
  <c r="J106" i="9"/>
  <c r="H106" i="9"/>
  <c r="G106" i="9"/>
  <c r="L105" i="9"/>
  <c r="J105" i="9"/>
  <c r="H105" i="9"/>
  <c r="G105" i="9"/>
  <c r="L104" i="9"/>
  <c r="J104" i="9"/>
  <c r="H104" i="9"/>
  <c r="G104" i="9"/>
  <c r="F112" i="9" l="1"/>
  <c r="F109" i="9"/>
  <c r="F23" i="9"/>
  <c r="F111" i="9"/>
  <c r="F9" i="9"/>
  <c r="F105" i="9"/>
  <c r="F33" i="9"/>
  <c r="F113" i="9"/>
  <c r="F10" i="9"/>
  <c r="F104" i="9"/>
  <c r="F108" i="9"/>
  <c r="F114" i="9"/>
  <c r="F21" i="9"/>
  <c r="F50" i="9"/>
  <c r="F49" i="9"/>
  <c r="F115" i="9"/>
  <c r="F116" i="9"/>
  <c r="F106" i="9"/>
  <c r="F117" i="9"/>
  <c r="F63" i="9"/>
  <c r="F110" i="9"/>
  <c r="F22" i="9"/>
  <c r="AS301" i="1"/>
  <c r="AQ525" i="1"/>
  <c r="AS626" i="1" l="1"/>
  <c r="AR626" i="1"/>
  <c r="AQ626" i="1"/>
  <c r="L128" i="9"/>
  <c r="J128" i="9"/>
  <c r="H128" i="9"/>
  <c r="G128" i="9"/>
  <c r="L127" i="9"/>
  <c r="J127" i="9"/>
  <c r="H127" i="9"/>
  <c r="G127" i="9"/>
  <c r="F128" i="9" l="1"/>
  <c r="F127" i="9"/>
  <c r="P130" i="9"/>
  <c r="L87" i="9" l="1"/>
  <c r="J87" i="9"/>
  <c r="H87" i="9"/>
  <c r="G87" i="9"/>
  <c r="L8" i="9"/>
  <c r="J8" i="9"/>
  <c r="H8" i="9"/>
  <c r="G8" i="9"/>
  <c r="F87" i="9" l="1"/>
  <c r="F8" i="9"/>
  <c r="L75" i="9"/>
  <c r="J75" i="9"/>
  <c r="H75" i="9"/>
  <c r="G75" i="9"/>
  <c r="L83" i="9"/>
  <c r="J83" i="9"/>
  <c r="H83" i="9"/>
  <c r="G83" i="9"/>
  <c r="L123" i="9"/>
  <c r="J123" i="9"/>
  <c r="H123" i="9"/>
  <c r="G123" i="9"/>
  <c r="F75" i="9" l="1"/>
  <c r="F123" i="9"/>
  <c r="F83" i="9"/>
  <c r="L122" i="9"/>
  <c r="J122" i="9"/>
  <c r="H122" i="9"/>
  <c r="G122" i="9"/>
  <c r="L121" i="9"/>
  <c r="J121" i="9"/>
  <c r="H121" i="9"/>
  <c r="G121" i="9"/>
  <c r="L81" i="9"/>
  <c r="J81" i="9"/>
  <c r="H81" i="9"/>
  <c r="G81" i="9"/>
  <c r="L45" i="9"/>
  <c r="J45" i="9"/>
  <c r="H45" i="9"/>
  <c r="G45" i="9"/>
  <c r="L3" i="9"/>
  <c r="J3" i="9"/>
  <c r="H3" i="9"/>
  <c r="G3" i="9"/>
  <c r="L79" i="9"/>
  <c r="J79" i="9"/>
  <c r="H79" i="9"/>
  <c r="G79" i="9"/>
  <c r="L78" i="9"/>
  <c r="J78" i="9"/>
  <c r="H78" i="9"/>
  <c r="G78" i="9"/>
  <c r="F78" i="9" l="1"/>
  <c r="F45" i="9"/>
  <c r="F81" i="9"/>
  <c r="F121" i="9"/>
  <c r="F122" i="9"/>
  <c r="F79" i="9"/>
  <c r="F3" i="9"/>
  <c r="L126" i="9" l="1"/>
  <c r="J126" i="9"/>
  <c r="H126" i="9"/>
  <c r="G126" i="9"/>
  <c r="F126" i="9" l="1"/>
  <c r="G71" i="9"/>
  <c r="H71" i="9"/>
  <c r="J71" i="9"/>
  <c r="L71" i="9"/>
  <c r="F71" i="9" l="1"/>
  <c r="L82" i="9"/>
  <c r="J82" i="9"/>
  <c r="H82" i="9"/>
  <c r="G82" i="9"/>
  <c r="F82" i="9" l="1"/>
  <c r="AQ229" i="1"/>
  <c r="AR229" i="1"/>
  <c r="AS229" i="1"/>
  <c r="L61" i="9"/>
  <c r="J61" i="9"/>
  <c r="H61" i="9"/>
  <c r="G61" i="9"/>
  <c r="F61" i="9" l="1"/>
  <c r="L80" i="9"/>
  <c r="J80" i="9"/>
  <c r="H80" i="9"/>
  <c r="G80" i="9"/>
  <c r="L74" i="9"/>
  <c r="J74" i="9"/>
  <c r="H74" i="9"/>
  <c r="G74" i="9"/>
  <c r="L53" i="9"/>
  <c r="J53" i="9"/>
  <c r="H53" i="9"/>
  <c r="G53" i="9"/>
  <c r="L65" i="9"/>
  <c r="J65" i="9"/>
  <c r="H65" i="9"/>
  <c r="G65" i="9"/>
  <c r="F80" i="9" l="1"/>
  <c r="F65" i="9"/>
  <c r="F74" i="9"/>
  <c r="F53" i="9"/>
  <c r="G2" i="9"/>
  <c r="H2" i="9"/>
  <c r="J2" i="9"/>
  <c r="L2" i="9"/>
  <c r="G4" i="9"/>
  <c r="H4" i="9"/>
  <c r="J4" i="9"/>
  <c r="L4" i="9"/>
  <c r="G5" i="9"/>
  <c r="H5" i="9"/>
  <c r="J5" i="9"/>
  <c r="L5" i="9"/>
  <c r="G6" i="9"/>
  <c r="H6" i="9"/>
  <c r="J6" i="9"/>
  <c r="L6" i="9"/>
  <c r="G7" i="9"/>
  <c r="H7" i="9"/>
  <c r="J7" i="9"/>
  <c r="L7" i="9"/>
  <c r="G24" i="9"/>
  <c r="H24" i="9"/>
  <c r="J24" i="9"/>
  <c r="L24" i="9"/>
  <c r="G25" i="9"/>
  <c r="H25" i="9"/>
  <c r="J25" i="9"/>
  <c r="L25" i="9"/>
  <c r="G26" i="9"/>
  <c r="H26" i="9"/>
  <c r="J26" i="9"/>
  <c r="L26" i="9"/>
  <c r="G27" i="9"/>
  <c r="H27" i="9"/>
  <c r="J27" i="9"/>
  <c r="L27" i="9"/>
  <c r="G28" i="9"/>
  <c r="H28" i="9"/>
  <c r="J28" i="9"/>
  <c r="L28" i="9"/>
  <c r="G29" i="9"/>
  <c r="H29" i="9"/>
  <c r="J29" i="9"/>
  <c r="L29" i="9"/>
  <c r="G30" i="9"/>
  <c r="H30" i="9"/>
  <c r="J30" i="9"/>
  <c r="L30" i="9"/>
  <c r="G31" i="9"/>
  <c r="H31" i="9"/>
  <c r="J31" i="9"/>
  <c r="L31" i="9"/>
  <c r="G32" i="9"/>
  <c r="H32" i="9"/>
  <c r="J32" i="9"/>
  <c r="L32" i="9"/>
  <c r="F26" i="9" l="1"/>
  <c r="F25" i="9"/>
  <c r="F27" i="9"/>
  <c r="F4" i="9"/>
  <c r="F7" i="9"/>
  <c r="F28" i="9"/>
  <c r="F32" i="9"/>
  <c r="F29" i="9"/>
  <c r="F31" i="9"/>
  <c r="F30" i="9"/>
  <c r="F6" i="9"/>
  <c r="F5" i="9"/>
  <c r="F24" i="9"/>
  <c r="F2" i="9"/>
  <c r="AS167" i="1" l="1"/>
  <c r="AR167" i="1"/>
  <c r="AQ167" i="1"/>
  <c r="L120" i="9"/>
  <c r="J120" i="9"/>
  <c r="H120" i="9"/>
  <c r="G120" i="9"/>
  <c r="L72" i="9"/>
  <c r="J72" i="9"/>
  <c r="H72" i="9"/>
  <c r="G72" i="9"/>
  <c r="L73" i="9"/>
  <c r="J73" i="9"/>
  <c r="H73" i="9"/>
  <c r="G73" i="9"/>
  <c r="G44" i="9"/>
  <c r="H44" i="9"/>
  <c r="J44" i="9"/>
  <c r="L44" i="9"/>
  <c r="F120" i="9" l="1"/>
  <c r="F44" i="9"/>
  <c r="F73" i="9"/>
  <c r="F72" i="9"/>
  <c r="AS525" i="1" l="1"/>
  <c r="AR525" i="1"/>
  <c r="L119" i="9"/>
  <c r="J119" i="9"/>
  <c r="H119" i="9"/>
  <c r="G119" i="9"/>
  <c r="L69" i="9"/>
  <c r="J69" i="9"/>
  <c r="H69" i="9"/>
  <c r="G69" i="9"/>
  <c r="F119" i="9" l="1"/>
  <c r="F69" i="9"/>
  <c r="AS659" i="1"/>
  <c r="AR659" i="1"/>
  <c r="AQ659" i="1"/>
  <c r="AS646" i="1"/>
  <c r="AR646" i="1"/>
  <c r="AR633" i="1"/>
  <c r="AQ646" i="1"/>
  <c r="AS633" i="1"/>
  <c r="AQ633" i="1"/>
  <c r="AS610" i="1" l="1"/>
  <c r="AR610" i="1"/>
  <c r="AQ610" i="1"/>
  <c r="AQ627" i="1"/>
  <c r="AR627" i="1"/>
  <c r="AS627" i="1"/>
  <c r="AQ647" i="1"/>
  <c r="AS634" i="1"/>
  <c r="AQ660" i="1"/>
  <c r="AS660" i="1"/>
  <c r="AR647" i="1"/>
  <c r="AS647" i="1"/>
  <c r="AR660" i="1"/>
  <c r="AQ634" i="1"/>
  <c r="AR634" i="1"/>
  <c r="L68" i="9" l="1"/>
  <c r="J68" i="9"/>
  <c r="H68" i="9"/>
  <c r="G68" i="9"/>
  <c r="F68" i="9" l="1"/>
  <c r="AQ3" i="1"/>
  <c r="L124" i="9"/>
  <c r="J124" i="9"/>
  <c r="H124" i="9"/>
  <c r="G124" i="9"/>
  <c r="L70" i="9"/>
  <c r="J70" i="9"/>
  <c r="H70" i="9"/>
  <c r="G70" i="9"/>
  <c r="F124" i="9" l="1"/>
  <c r="F70" i="9"/>
  <c r="AR301" i="1"/>
  <c r="AQ302" i="1" s="1"/>
  <c r="AS76" i="1"/>
  <c r="AR76" i="1"/>
  <c r="AQ76" i="1"/>
  <c r="AS3" i="1"/>
  <c r="AR3" i="1"/>
  <c r="AR302" i="1" l="1"/>
  <c r="AS302" i="1"/>
  <c r="L66" i="9"/>
  <c r="J66" i="9"/>
  <c r="H66" i="9"/>
  <c r="G66" i="9"/>
  <c r="F66" i="9" l="1"/>
  <c r="L77" i="9"/>
  <c r="J77" i="9"/>
  <c r="H77" i="9"/>
  <c r="G77" i="9"/>
  <c r="F77" i="9" l="1"/>
  <c r="F676" i="1"/>
  <c r="L64" i="9"/>
  <c r="J64" i="9"/>
  <c r="H64" i="9"/>
  <c r="G64" i="9"/>
  <c r="F64" i="9" l="1"/>
  <c r="L62" i="9"/>
  <c r="J62" i="9"/>
  <c r="H62" i="9"/>
  <c r="G62" i="9"/>
  <c r="F62" i="9" l="1"/>
  <c r="AS168" i="1"/>
  <c r="AQ168" i="1"/>
  <c r="AR168" i="1"/>
  <c r="AR4" i="1" l="1"/>
  <c r="AQ4" i="1"/>
  <c r="AS4" i="1"/>
  <c r="AR77" i="1" l="1"/>
  <c r="AQ77" i="1"/>
  <c r="AS77" i="1"/>
  <c r="L129" i="9" l="1"/>
  <c r="J129" i="9"/>
  <c r="H129" i="9"/>
  <c r="G129" i="9"/>
  <c r="F129" i="9" l="1"/>
  <c r="L125" i="9"/>
  <c r="J125" i="9"/>
  <c r="H125" i="9"/>
  <c r="G125" i="9"/>
  <c r="F125" i="9" l="1"/>
  <c r="AQ526" i="1"/>
  <c r="AR526" i="1"/>
  <c r="AS526" i="1"/>
  <c r="O130" i="9" l="1"/>
  <c r="E19" i="8" l="1"/>
  <c r="E18" i="8"/>
  <c r="E17" i="8"/>
  <c r="E16" i="8"/>
  <c r="E15" i="8"/>
  <c r="E14" i="8"/>
  <c r="E13" i="8"/>
  <c r="E12" i="8"/>
  <c r="E11" i="8"/>
  <c r="C49" i="8"/>
  <c r="E29" i="8"/>
  <c r="E28" i="8"/>
  <c r="E27" i="8"/>
  <c r="E26" i="8"/>
  <c r="E25" i="8"/>
  <c r="E24" i="8"/>
  <c r="E23" i="8"/>
  <c r="E22" i="8"/>
  <c r="E21" i="8"/>
  <c r="E20" i="8"/>
  <c r="E10" i="8"/>
  <c r="E9" i="8"/>
  <c r="E8" i="8"/>
  <c r="E7" i="8"/>
  <c r="E6" i="8"/>
  <c r="E5" i="8"/>
  <c r="E36" i="8"/>
  <c r="E35" i="8"/>
  <c r="E34" i="8"/>
  <c r="E33" i="8"/>
  <c r="E32" i="8"/>
  <c r="E31" i="8"/>
  <c r="E30" i="8"/>
  <c r="E48" i="8"/>
  <c r="E47" i="8"/>
  <c r="E46" i="8"/>
  <c r="E45" i="8"/>
  <c r="E44" i="8"/>
  <c r="E43" i="8"/>
  <c r="E42" i="8"/>
  <c r="E41" i="8"/>
  <c r="E40" i="8"/>
  <c r="E39" i="8"/>
  <c r="E38" i="8"/>
  <c r="E37" i="8"/>
  <c r="E4" i="8" l="1"/>
  <c r="E3" i="8"/>
  <c r="D49" i="8" l="1"/>
  <c r="E49" i="8" s="1"/>
  <c r="G676" i="1" l="1"/>
  <c r="G131" i="9" l="1"/>
  <c r="F131" i="9"/>
  <c r="F130" i="9"/>
  <c r="F132" i="9" l="1"/>
  <c r="AQ230" i="1"/>
  <c r="AR230" i="1"/>
  <c r="AS230" i="1"/>
</calcChain>
</file>

<file path=xl/comments1.xml><?xml version="1.0" encoding="utf-8"?>
<comments xmlns="http://schemas.openxmlformats.org/spreadsheetml/2006/main">
  <authors>
    <author>作者</author>
  </authors>
  <commentList>
    <comment ref="F1" authorId="0" shapeId="0">
      <text>
        <r>
          <rPr>
            <b/>
            <sz val="9"/>
            <rFont val="宋体"/>
            <family val="3"/>
            <charset val="134"/>
          </rPr>
          <t>班长奖金调整及最佳区域&amp;最差区域评定结果</t>
        </r>
      </text>
    </comment>
    <comment ref="K1" authorId="0" shapeId="0">
      <text>
        <r>
          <rPr>
            <b/>
            <sz val="9"/>
            <rFont val="宋体"/>
            <family val="3"/>
            <charset val="134"/>
          </rPr>
          <t>出勤率低于60%，取消当月安全质量奖</t>
        </r>
        <r>
          <rPr>
            <sz val="9"/>
            <rFont val="宋体"/>
            <family val="3"/>
            <charset val="134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E1" authorId="0" shapeId="0">
      <text>
        <r>
          <rPr>
            <b/>
            <sz val="9"/>
            <rFont val="宋体"/>
            <family val="3"/>
            <charset val="134"/>
          </rPr>
          <t xml:space="preserve">发现一条从安全质量奖中扣除, 前五条每条5元，超过5条部分每条10元. </t>
        </r>
        <r>
          <rPr>
            <sz val="9"/>
            <rFont val="宋体"/>
            <family val="3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<sst xmlns="http://schemas.openxmlformats.org/spreadsheetml/2006/main" count="4280" uniqueCount="1865">
  <si>
    <r>
      <rPr>
        <b/>
        <sz val="11"/>
        <color theme="1"/>
        <rFont val="仿宋_GB2312"/>
        <family val="3"/>
        <charset val="134"/>
      </rPr>
      <t>车间</t>
    </r>
  </si>
  <si>
    <t>职务</t>
  </si>
  <si>
    <r>
      <rPr>
        <b/>
        <sz val="11"/>
        <color theme="1"/>
        <rFont val="仿宋_GB2312"/>
        <family val="3"/>
        <charset val="134"/>
      </rPr>
      <t>姓名</t>
    </r>
  </si>
  <si>
    <t>员工编号</t>
  </si>
  <si>
    <r>
      <rPr>
        <b/>
        <sz val="11"/>
        <color theme="1"/>
        <rFont val="仿宋_GB2312"/>
        <family val="3"/>
        <charset val="134"/>
      </rPr>
      <t>实际奖金合计</t>
    </r>
  </si>
  <si>
    <r>
      <rPr>
        <b/>
        <sz val="11"/>
        <color theme="1"/>
        <rFont val="仿宋_GB2312"/>
        <family val="3"/>
        <charset val="134"/>
      </rPr>
      <t>日常巡查扣款</t>
    </r>
  </si>
  <si>
    <t>记录巡查扣款</t>
  </si>
  <si>
    <r>
      <rPr>
        <b/>
        <sz val="11"/>
        <color theme="1"/>
        <rFont val="仿宋_GB2312"/>
        <family val="3"/>
        <charset val="134"/>
      </rPr>
      <t>定点摄影最佳区域和最差区域评比</t>
    </r>
  </si>
  <si>
    <t>奖惩</t>
  </si>
  <si>
    <t>出勤率</t>
  </si>
  <si>
    <t>调整后奖金</t>
  </si>
  <si>
    <t>调整后档位</t>
  </si>
  <si>
    <t>基础挡位</t>
  </si>
  <si>
    <t>设备体积利用率</t>
  </si>
  <si>
    <t>B</t>
  </si>
  <si>
    <t>A</t>
  </si>
  <si>
    <t>工程师</t>
  </si>
  <si>
    <t>助工</t>
  </si>
  <si>
    <t>C</t>
  </si>
  <si>
    <t>D</t>
  </si>
  <si>
    <r>
      <rPr>
        <sz val="9"/>
        <color theme="1"/>
        <rFont val="宋体"/>
        <family val="3"/>
        <charset val="134"/>
      </rPr>
      <t>产能利用率</t>
    </r>
  </si>
  <si>
    <t>基础档位</t>
  </si>
  <si>
    <r>
      <rPr>
        <sz val="9"/>
        <color theme="1"/>
        <rFont val="宋体"/>
        <family val="3"/>
        <charset val="134"/>
      </rPr>
      <t>安全质量奖基础档位</t>
    </r>
  </si>
  <si>
    <r>
      <rPr>
        <sz val="11"/>
        <color theme="1"/>
        <rFont val="宋体"/>
        <family val="3"/>
        <charset val="134"/>
      </rPr>
      <t>车间设备使用率低于</t>
    </r>
    <r>
      <rPr>
        <sz val="11"/>
        <color theme="1"/>
        <rFont val="Times New Roman"/>
        <family val="1"/>
      </rPr>
      <t>30%</t>
    </r>
    <r>
      <rPr>
        <sz val="11"/>
        <color theme="1"/>
        <rFont val="宋体"/>
        <family val="3"/>
        <charset val="134"/>
      </rPr>
      <t>，取消安全质量奖。</t>
    </r>
  </si>
  <si>
    <t>ACT844</t>
  </si>
  <si>
    <t>ALS6536</t>
  </si>
  <si>
    <t>ALS1988</t>
  </si>
  <si>
    <t>ACT2196</t>
  </si>
  <si>
    <t>ALS6830</t>
  </si>
  <si>
    <t>ACT2027</t>
  </si>
  <si>
    <t>ALS3661</t>
  </si>
  <si>
    <t>ACT2128</t>
  </si>
  <si>
    <t>ALS6046</t>
  </si>
  <si>
    <t>ALS6553</t>
  </si>
  <si>
    <t>安林波</t>
  </si>
  <si>
    <t>违规</t>
  </si>
  <si>
    <t>奖励</t>
  </si>
  <si>
    <r>
      <rPr>
        <b/>
        <sz val="11"/>
        <color theme="1"/>
        <rFont val="仿宋_GB2312"/>
        <family val="3"/>
        <charset val="134"/>
      </rPr>
      <t>积分合计</t>
    </r>
  </si>
  <si>
    <r>
      <rPr>
        <b/>
        <sz val="11"/>
        <color theme="1"/>
        <rFont val="仿宋_GB2312"/>
        <family val="3"/>
        <charset val="134"/>
      </rPr>
      <t>备注</t>
    </r>
  </si>
  <si>
    <r>
      <rPr>
        <b/>
        <sz val="14"/>
        <rFont val="仿宋_GB2312"/>
        <family val="3"/>
        <charset val="134"/>
      </rPr>
      <t>车间</t>
    </r>
  </si>
  <si>
    <r>
      <rPr>
        <b/>
        <sz val="14"/>
        <rFont val="仿宋_GB2312"/>
        <family val="3"/>
        <charset val="134"/>
      </rPr>
      <t>姓名</t>
    </r>
  </si>
  <si>
    <r>
      <rPr>
        <b/>
        <sz val="14"/>
        <rFont val="仿宋_GB2312"/>
        <family val="3"/>
        <charset val="134"/>
      </rPr>
      <t>巡查条数汇总</t>
    </r>
  </si>
  <si>
    <r>
      <rPr>
        <b/>
        <sz val="14"/>
        <rFont val="仿宋_GB2312"/>
        <family val="3"/>
        <charset val="134"/>
      </rPr>
      <t>积分</t>
    </r>
  </si>
  <si>
    <r>
      <rPr>
        <b/>
        <sz val="14"/>
        <color rgb="FFFF0000"/>
        <rFont val="仿宋_GB2312"/>
        <family val="3"/>
        <charset val="134"/>
      </rPr>
      <t>安全质量奖扣款</t>
    </r>
  </si>
  <si>
    <t>档位</t>
  </si>
  <si>
    <t>标准奖金</t>
  </si>
  <si>
    <t>人员占比</t>
  </si>
  <si>
    <t xml:space="preserve">有API项目生产时，进入API工作的人员安全质量奖额外增加200元. </t>
  </si>
  <si>
    <t>&gt;&gt; 仅限一线人员(助工).</t>
  </si>
  <si>
    <t>ALS5807</t>
  </si>
  <si>
    <r>
      <rPr>
        <b/>
        <sz val="10"/>
        <rFont val="宋体"/>
        <family val="3"/>
        <charset val="134"/>
      </rPr>
      <t>车间</t>
    </r>
  </si>
  <si>
    <r>
      <rPr>
        <b/>
        <sz val="10"/>
        <rFont val="宋体"/>
        <family val="3"/>
        <charset val="134"/>
      </rPr>
      <t>责任人</t>
    </r>
  </si>
  <si>
    <r>
      <rPr>
        <b/>
        <sz val="10"/>
        <rFont val="宋体"/>
        <family val="3"/>
        <charset val="134"/>
      </rPr>
      <t>编号</t>
    </r>
  </si>
  <si>
    <r>
      <rPr>
        <b/>
        <sz val="10"/>
        <rFont val="宋体"/>
        <family val="3"/>
        <charset val="134"/>
      </rPr>
      <t>事故描述</t>
    </r>
  </si>
  <si>
    <r>
      <rPr>
        <b/>
        <sz val="10"/>
        <rFont val="宋体"/>
        <family val="3"/>
        <charset val="134"/>
      </rPr>
      <t>奖惩结果</t>
    </r>
  </si>
  <si>
    <r>
      <rPr>
        <sz val="10"/>
        <rFont val="宋体"/>
        <family val="3"/>
        <charset val="134"/>
      </rPr>
      <t>奖金扣除</t>
    </r>
  </si>
  <si>
    <t>计件批次
（参考）</t>
    <phoneticPr fontId="12" type="noConversion"/>
  </si>
  <si>
    <t>ALS7213</t>
  </si>
  <si>
    <t>积分汇总</t>
    <phoneticPr fontId="12" type="noConversion"/>
  </si>
  <si>
    <t>来源类别</t>
    <phoneticPr fontId="12" type="noConversion"/>
  </si>
  <si>
    <t>ALS8245</t>
  </si>
  <si>
    <t>ALS8328</t>
  </si>
  <si>
    <t>副主任</t>
    <phoneticPr fontId="12" type="noConversion"/>
  </si>
  <si>
    <t>ALS7875</t>
  </si>
  <si>
    <t>于磊</t>
  </si>
  <si>
    <t>ALS8427</t>
  </si>
  <si>
    <t>ALS8494</t>
  </si>
  <si>
    <t>ALS10317</t>
  </si>
  <si>
    <t>ALS10321</t>
  </si>
  <si>
    <t>ALS10327</t>
  </si>
  <si>
    <t>ALS10328</t>
  </si>
  <si>
    <t>ALS10332</t>
  </si>
  <si>
    <t>ALS10334</t>
  </si>
  <si>
    <t>ALS10335</t>
  </si>
  <si>
    <t>ALS10155</t>
  </si>
  <si>
    <t>ALS10153</t>
  </si>
  <si>
    <t>ALS10164</t>
  </si>
  <si>
    <t>ALS10165</t>
  </si>
  <si>
    <t>ALS10146</t>
  </si>
  <si>
    <t>ALS10148</t>
  </si>
  <si>
    <t>ALS10177</t>
  </si>
  <si>
    <t>ALS11204</t>
  </si>
  <si>
    <t>ALS11215</t>
  </si>
  <si>
    <t>ALS11230</t>
  </si>
  <si>
    <t>ALS11232</t>
  </si>
  <si>
    <t>ALS11236</t>
  </si>
  <si>
    <t>ALS11237</t>
  </si>
  <si>
    <t>工艺组长</t>
  </si>
  <si>
    <t>ALS11222</t>
  </si>
  <si>
    <t>工程师</t>
    <phoneticPr fontId="12" type="noConversion"/>
  </si>
  <si>
    <t>翟书金</t>
    <phoneticPr fontId="12" type="noConversion"/>
  </si>
  <si>
    <t>ACT2667</t>
  </si>
  <si>
    <t>BDH0640</t>
  </si>
  <si>
    <t>BDH0641</t>
  </si>
  <si>
    <t>FX2679</t>
  </si>
  <si>
    <t>助工</t>
    <phoneticPr fontId="12" type="noConversion"/>
  </si>
  <si>
    <t>DCS</t>
    <phoneticPr fontId="12" type="noConversion"/>
  </si>
  <si>
    <t>ALS10150</t>
  </si>
  <si>
    <t>ALS11344</t>
  </si>
  <si>
    <t>ALS11346</t>
  </si>
  <si>
    <t>ALS11347</t>
  </si>
  <si>
    <t>ALS11786</t>
  </si>
  <si>
    <t>ALS11789</t>
  </si>
  <si>
    <t>ALS4845</t>
  </si>
  <si>
    <t>LFX859</t>
  </si>
  <si>
    <t>ALS11791</t>
  </si>
  <si>
    <t>李晓博</t>
  </si>
  <si>
    <t>ALS11846</t>
  </si>
  <si>
    <t>ALS11847</t>
  </si>
  <si>
    <t>ALS11936</t>
  </si>
  <si>
    <t>ALS11919</t>
  </si>
  <si>
    <t>ADH5506</t>
  </si>
  <si>
    <t>ALS11984</t>
  </si>
  <si>
    <t>ALS11985</t>
  </si>
  <si>
    <t>赵凯</t>
  </si>
  <si>
    <t>张鹏飞</t>
    <phoneticPr fontId="12" type="noConversion"/>
  </si>
  <si>
    <t>王东</t>
    <phoneticPr fontId="12" type="noConversion"/>
  </si>
  <si>
    <t>赵磊</t>
    <phoneticPr fontId="12" type="noConversion"/>
  </si>
  <si>
    <t>焦海涛</t>
    <phoneticPr fontId="12" type="noConversion"/>
  </si>
  <si>
    <t>朱永祺</t>
    <phoneticPr fontId="12" type="noConversion"/>
  </si>
  <si>
    <t>ALS12311</t>
  </si>
  <si>
    <t>范锺铭</t>
  </si>
  <si>
    <t>ALS12598</t>
  </si>
  <si>
    <t>ALS12616</t>
  </si>
  <si>
    <t>田汉朋</t>
  </si>
  <si>
    <t>张睿尧</t>
  </si>
  <si>
    <t>袁文涛</t>
  </si>
  <si>
    <t>姜良衢</t>
  </si>
  <si>
    <t>刘波</t>
  </si>
  <si>
    <t>王城</t>
  </si>
  <si>
    <t>ALS12763</t>
  </si>
  <si>
    <t>ALS12745</t>
  </si>
  <si>
    <t>ALS12754</t>
  </si>
  <si>
    <t>冯东升</t>
  </si>
  <si>
    <t>ALS12806</t>
  </si>
  <si>
    <t>ALS12772</t>
  </si>
  <si>
    <t>张浩腾</t>
  </si>
  <si>
    <t>ALS12765</t>
  </si>
  <si>
    <t>操作工</t>
    <phoneticPr fontId="12" type="noConversion"/>
  </si>
  <si>
    <t>刘旺</t>
  </si>
  <si>
    <t>班长</t>
  </si>
  <si>
    <t>王家伟</t>
  </si>
  <si>
    <t>李国强</t>
  </si>
  <si>
    <t>李董明</t>
  </si>
  <si>
    <t>杨欢（ALS8494）</t>
  </si>
  <si>
    <t>晏和聪</t>
  </si>
  <si>
    <t>李天宇</t>
  </si>
  <si>
    <t>王永乐</t>
  </si>
  <si>
    <t>王嘉伟</t>
  </si>
  <si>
    <t>韩德玉</t>
  </si>
  <si>
    <t>刘俊杰</t>
  </si>
  <si>
    <t>杨贺龙</t>
  </si>
  <si>
    <t>陈博文</t>
  </si>
  <si>
    <t>谢文忠</t>
  </si>
  <si>
    <t>杨欢（ALS7213）</t>
  </si>
  <si>
    <t>肖王宇</t>
  </si>
  <si>
    <t>ALS12825</t>
  </si>
  <si>
    <t>任洪发</t>
  </si>
  <si>
    <t>操作工</t>
  </si>
  <si>
    <t>ALS9146</t>
  </si>
  <si>
    <t>李孝辉</t>
  </si>
  <si>
    <t>胡强</t>
  </si>
  <si>
    <t>董磊</t>
  </si>
  <si>
    <t>高旭</t>
  </si>
  <si>
    <t>李玉岩</t>
  </si>
  <si>
    <t>窦贤巩</t>
    <phoneticPr fontId="12" type="noConversion"/>
  </si>
  <si>
    <t>班长</t>
    <phoneticPr fontId="12" type="noConversion"/>
  </si>
  <si>
    <t>刘震</t>
  </si>
  <si>
    <t>刘栋</t>
  </si>
  <si>
    <t>周玉凯</t>
  </si>
  <si>
    <t>王积云</t>
    <phoneticPr fontId="12" type="noConversion"/>
  </si>
  <si>
    <t>苏谊</t>
  </si>
  <si>
    <t>陈雍</t>
  </si>
  <si>
    <t>王腾蛟</t>
  </si>
  <si>
    <t>赵威</t>
  </si>
  <si>
    <t>张雪嵩</t>
  </si>
  <si>
    <t>褚洋洋</t>
  </si>
  <si>
    <t>李光辉</t>
  </si>
  <si>
    <t>王乙驰</t>
  </si>
  <si>
    <t>刘力琦</t>
  </si>
  <si>
    <t>周允刚</t>
  </si>
  <si>
    <t>马群</t>
  </si>
  <si>
    <t>周观军</t>
    <phoneticPr fontId="12" type="noConversion"/>
  </si>
  <si>
    <t>ALS4400</t>
  </si>
  <si>
    <t>ALS11880</t>
  </si>
  <si>
    <t>高福庆</t>
  </si>
  <si>
    <t>郭延超</t>
  </si>
  <si>
    <t>张博（ALS0034）</t>
    <phoneticPr fontId="12" type="noConversion"/>
  </si>
  <si>
    <t>ALS0034</t>
    <phoneticPr fontId="12" type="noConversion"/>
  </si>
  <si>
    <t>ALS12804</t>
    <phoneticPr fontId="12" type="noConversion"/>
  </si>
  <si>
    <t>ALS12615</t>
    <phoneticPr fontId="12" type="noConversion"/>
  </si>
  <si>
    <t>张博（ALS12825）</t>
    <phoneticPr fontId="12" type="noConversion"/>
  </si>
  <si>
    <t>郑昊</t>
    <phoneticPr fontId="12" type="noConversion"/>
  </si>
  <si>
    <t>ALS11785</t>
  </si>
  <si>
    <t>LFX616</t>
  </si>
  <si>
    <t>冯海超</t>
  </si>
  <si>
    <t>ALS10142</t>
  </si>
  <si>
    <t>ALS11226</t>
  </si>
  <si>
    <t>ALS11225</t>
  </si>
  <si>
    <t>工艺组长</t>
    <phoneticPr fontId="12" type="noConversion"/>
  </si>
  <si>
    <t>曹佳乐</t>
  </si>
  <si>
    <t>卫森豪</t>
  </si>
  <si>
    <t>王禹</t>
  </si>
  <si>
    <t>曹瀚文</t>
    <phoneticPr fontId="12" type="noConversion"/>
  </si>
  <si>
    <t>高兴宇</t>
    <phoneticPr fontId="12" type="noConversion"/>
  </si>
  <si>
    <t>金士新</t>
    <phoneticPr fontId="12" type="noConversion"/>
  </si>
  <si>
    <t>董浩波</t>
    <phoneticPr fontId="12" type="noConversion"/>
  </si>
  <si>
    <t>侯文超</t>
    <phoneticPr fontId="12" type="noConversion"/>
  </si>
  <si>
    <t>王涵</t>
    <phoneticPr fontId="12" type="noConversion"/>
  </si>
  <si>
    <t>贾仲豪</t>
    <phoneticPr fontId="12" type="noConversion"/>
  </si>
  <si>
    <t>朱晔</t>
  </si>
  <si>
    <t>ALS3598</t>
  </si>
  <si>
    <t>ALS12954</t>
  </si>
  <si>
    <t>陈勇</t>
  </si>
  <si>
    <t>ACT2599</t>
  </si>
  <si>
    <t>王佳琪</t>
  </si>
  <si>
    <t>ALS11694</t>
  </si>
  <si>
    <t>FX2691</t>
  </si>
  <si>
    <t>陈玉慧</t>
  </si>
  <si>
    <t>于清凡</t>
  </si>
  <si>
    <t>ALS5619</t>
  </si>
  <si>
    <t>肖鹏</t>
  </si>
  <si>
    <t>ALS13022</t>
  </si>
  <si>
    <t>王伯昆</t>
  </si>
  <si>
    <t>ALS12614</t>
  </si>
  <si>
    <t>赵鹏帅</t>
  </si>
  <si>
    <t>ALS10175</t>
  </si>
  <si>
    <t>查超山</t>
  </si>
  <si>
    <t>ALS11201</t>
  </si>
  <si>
    <t>解宝存</t>
  </si>
  <si>
    <t>ALS12994</t>
  </si>
  <si>
    <t>张泽</t>
  </si>
  <si>
    <t>ALS13027</t>
  </si>
  <si>
    <t>边凤鹏</t>
  </si>
  <si>
    <t>ALS13028</t>
  </si>
  <si>
    <t>赵柯达</t>
  </si>
  <si>
    <t>ALS13177</t>
  </si>
  <si>
    <t>LFX672</t>
  </si>
  <si>
    <t>LFX855</t>
  </si>
  <si>
    <t>LFX853</t>
  </si>
  <si>
    <t>LFX864</t>
  </si>
  <si>
    <t>李明达</t>
  </si>
  <si>
    <t>ALS13120</t>
  </si>
  <si>
    <t>李玉刚</t>
  </si>
  <si>
    <t>ALS13121</t>
  </si>
  <si>
    <t>窦惠鹏</t>
  </si>
  <si>
    <t>ALS13117</t>
  </si>
  <si>
    <t>LFX888</t>
  </si>
  <si>
    <t>ADH5432</t>
  </si>
  <si>
    <t>熊培增</t>
  </si>
  <si>
    <t>ALS13065</t>
  </si>
  <si>
    <t>施如富</t>
  </si>
  <si>
    <t>ALS13069</t>
  </si>
  <si>
    <t>王灿</t>
  </si>
  <si>
    <t>ALS13025</t>
  </si>
  <si>
    <t>杨俊</t>
  </si>
  <si>
    <t>ALS13071</t>
  </si>
  <si>
    <t>刘晓雨</t>
  </si>
  <si>
    <t>ALS13176</t>
  </si>
  <si>
    <t>LFX167</t>
  </si>
  <si>
    <t>穆双超</t>
    <phoneticPr fontId="12" type="noConversion"/>
  </si>
  <si>
    <t>祝华权</t>
    <phoneticPr fontId="12" type="noConversion"/>
  </si>
  <si>
    <t>王杨</t>
    <phoneticPr fontId="12" type="noConversion"/>
  </si>
  <si>
    <t>于洋</t>
    <phoneticPr fontId="12" type="noConversion"/>
  </si>
  <si>
    <t>迟国庆</t>
    <phoneticPr fontId="12" type="noConversion"/>
  </si>
  <si>
    <t>梁德峥</t>
    <phoneticPr fontId="12" type="noConversion"/>
  </si>
  <si>
    <t>金浩</t>
    <phoneticPr fontId="12" type="noConversion"/>
  </si>
  <si>
    <t>冯宪</t>
    <phoneticPr fontId="12" type="noConversion"/>
  </si>
  <si>
    <t>刘明明</t>
    <phoneticPr fontId="12" type="noConversion"/>
  </si>
  <si>
    <t>ALS10340</t>
    <phoneticPr fontId="12" type="noConversion"/>
  </si>
  <si>
    <t>ALS12990</t>
    <phoneticPr fontId="12" type="noConversion"/>
  </si>
  <si>
    <t>LFX779</t>
    <phoneticPr fontId="12" type="noConversion"/>
  </si>
  <si>
    <t>环保设备设施</t>
    <phoneticPr fontId="12" type="noConversion"/>
  </si>
  <si>
    <t>LFX127</t>
    <phoneticPr fontId="12" type="noConversion"/>
  </si>
  <si>
    <t>梁佳明</t>
    <phoneticPr fontId="12" type="noConversion"/>
  </si>
  <si>
    <t>FX2675</t>
  </si>
  <si>
    <t>ADH3353</t>
  </si>
  <si>
    <t>ALS13220</t>
  </si>
  <si>
    <t>ALS13342</t>
  </si>
  <si>
    <t>陈建军</t>
  </si>
  <si>
    <t>陈添</t>
  </si>
  <si>
    <t>林宇航</t>
  </si>
  <si>
    <t>操作工</t>
    <phoneticPr fontId="12" type="noConversion"/>
  </si>
  <si>
    <t>曹仲良</t>
  </si>
  <si>
    <t>时斌</t>
  </si>
  <si>
    <t>ALS11983</t>
  </si>
  <si>
    <t>ALS13396</t>
  </si>
  <si>
    <t>FX2885</t>
  </si>
  <si>
    <t>ALS13371</t>
  </si>
  <si>
    <t>ALS13438</t>
  </si>
  <si>
    <t>ALS13442</t>
  </si>
  <si>
    <t>ALS13367</t>
  </si>
  <si>
    <t>LFX577</t>
  </si>
  <si>
    <t>ALS13365</t>
  </si>
  <si>
    <t>ALS13372</t>
  </si>
  <si>
    <t>田宏宇</t>
  </si>
  <si>
    <t>呼华一</t>
  </si>
  <si>
    <t>尉勇</t>
  </si>
  <si>
    <t>操作工</t>
    <phoneticPr fontId="12" type="noConversion"/>
  </si>
  <si>
    <t>许泓浩</t>
  </si>
  <si>
    <t>刘鹏</t>
  </si>
  <si>
    <t>张杰</t>
  </si>
  <si>
    <t>毛子昱</t>
  </si>
  <si>
    <t>王青松</t>
  </si>
  <si>
    <t>马建康</t>
  </si>
  <si>
    <t>班长</t>
    <phoneticPr fontId="12" type="noConversion"/>
  </si>
  <si>
    <t>白春江</t>
  </si>
  <si>
    <t>郭纹建</t>
  </si>
  <si>
    <t>经理</t>
    <phoneticPr fontId="12" type="noConversion"/>
  </si>
  <si>
    <t>ALS13513</t>
  </si>
  <si>
    <t>ALS13510</t>
  </si>
  <si>
    <t>ALS13544</t>
  </si>
  <si>
    <t>ALS13499</t>
  </si>
  <si>
    <t>ALS13514</t>
  </si>
  <si>
    <t>ALS13550</t>
  </si>
  <si>
    <t>ALS13489</t>
  </si>
  <si>
    <t>11号楼车间CNC区域</t>
    <phoneticPr fontId="12" type="noConversion"/>
  </si>
  <si>
    <t>11号楼车间D级区域</t>
    <phoneticPr fontId="12" type="noConversion"/>
  </si>
  <si>
    <t>4号楼1&amp;2车间</t>
  </si>
  <si>
    <t>4号楼3&amp;4车间</t>
  </si>
  <si>
    <t>环保设备设施</t>
  </si>
  <si>
    <t>安全组</t>
  </si>
  <si>
    <t>王宏宇</t>
  </si>
  <si>
    <t>田晨阳</t>
  </si>
  <si>
    <t>潘爱新</t>
  </si>
  <si>
    <t>孙翾朗</t>
  </si>
  <si>
    <t>刘鑫宇</t>
  </si>
  <si>
    <t>庞通</t>
  </si>
  <si>
    <t>宋武</t>
  </si>
  <si>
    <t>ALS11094</t>
  </si>
  <si>
    <t>ALS13564</t>
  </si>
  <si>
    <t>ALS13588</t>
  </si>
  <si>
    <t>ALS13607</t>
  </si>
  <si>
    <t>ALS13570</t>
  </si>
  <si>
    <t>ALS13587</t>
  </si>
  <si>
    <t>ALS13618</t>
  </si>
  <si>
    <t>ALS13605</t>
  </si>
  <si>
    <t>ALS13604</t>
  </si>
  <si>
    <t>ALS13665</t>
  </si>
  <si>
    <t>ALS13646</t>
  </si>
  <si>
    <t>ALS13611</t>
  </si>
  <si>
    <t>ALS13610</t>
  </si>
  <si>
    <t>ALS13603</t>
  </si>
  <si>
    <t>ALS13556</t>
  </si>
  <si>
    <t>ALS13677</t>
  </si>
  <si>
    <t>何歆宇</t>
  </si>
  <si>
    <t>付闯闯</t>
  </si>
  <si>
    <t>赵路路</t>
  </si>
  <si>
    <t>田雨</t>
  </si>
  <si>
    <t>吴秉泽</t>
  </si>
  <si>
    <t>刘健</t>
  </si>
  <si>
    <t>宁海龙</t>
  </si>
  <si>
    <t>刘占占</t>
  </si>
  <si>
    <t>吴振瑞</t>
  </si>
  <si>
    <t>李增福</t>
  </si>
  <si>
    <t>张珲桓</t>
  </si>
  <si>
    <t>窦庆霖</t>
  </si>
  <si>
    <t>胥鑫</t>
  </si>
  <si>
    <t>张清楊</t>
  </si>
  <si>
    <t>温紫龙</t>
  </si>
  <si>
    <t>崔志奇</t>
  </si>
  <si>
    <t>计算机化设备保障组</t>
  </si>
  <si>
    <t>王聪</t>
  </si>
  <si>
    <t>计算机化设备保障&amp;验证组</t>
    <phoneticPr fontId="12" type="noConversion"/>
  </si>
  <si>
    <t>张灿</t>
  </si>
  <si>
    <t>ALS13694</t>
  </si>
  <si>
    <t>ALS13679</t>
  </si>
  <si>
    <t>ALS13686</t>
  </si>
  <si>
    <t>ALS13687</t>
  </si>
  <si>
    <t>ALS7380</t>
  </si>
  <si>
    <t>ALS13669</t>
  </si>
  <si>
    <t>ALS13720</t>
  </si>
  <si>
    <t>ACT2467</t>
  </si>
  <si>
    <t>ALS13708</t>
  </si>
  <si>
    <t>郭子灵</t>
  </si>
  <si>
    <t>赵晨昊</t>
  </si>
  <si>
    <t>5号楼</t>
    <phoneticPr fontId="12" type="noConversion"/>
  </si>
  <si>
    <t>杨一利</t>
  </si>
  <si>
    <t>党玉杰</t>
  </si>
  <si>
    <t>李欣欣</t>
  </si>
  <si>
    <t>李嘉兴</t>
  </si>
  <si>
    <t>王彬</t>
  </si>
  <si>
    <t>杨加奇</t>
  </si>
  <si>
    <t>穆轩</t>
    <phoneticPr fontId="12" type="noConversion"/>
  </si>
  <si>
    <t>ALS13727</t>
  </si>
  <si>
    <t>ALS13745</t>
  </si>
  <si>
    <t>ALS13772</t>
  </si>
  <si>
    <t>胡国恒</t>
  </si>
  <si>
    <t>姜天齐</t>
  </si>
  <si>
    <t>王中信</t>
  </si>
  <si>
    <t>4#楼1&amp;2车间“a、b、c”分布情况</t>
  </si>
  <si>
    <t>4#楼3&amp;4车间“a、b、c”分布情况</t>
  </si>
  <si>
    <t>FX3085</t>
  </si>
  <si>
    <t>ALS13782</t>
  </si>
  <si>
    <t>ALS13789</t>
  </si>
  <si>
    <t>ALS13794</t>
  </si>
  <si>
    <t>ALS13784</t>
  </si>
  <si>
    <t>ALS13785</t>
  </si>
  <si>
    <t>ALS13786</t>
  </si>
  <si>
    <t>ALS13787</t>
  </si>
  <si>
    <t>ALS13806</t>
  </si>
  <si>
    <t>荣宪超</t>
  </si>
  <si>
    <t>赵富阳</t>
  </si>
  <si>
    <t>张少东</t>
  </si>
  <si>
    <t>杨瑞翔</t>
  </si>
  <si>
    <t>张昊成</t>
  </si>
  <si>
    <t>王思衡</t>
  </si>
  <si>
    <t>张秣骐</t>
  </si>
  <si>
    <t>胡昊阳</t>
  </si>
  <si>
    <t>ALS13851</t>
  </si>
  <si>
    <t>ALS13861</t>
  </si>
  <si>
    <t>ALS13853</t>
  </si>
  <si>
    <t>刘旭阳</t>
  </si>
  <si>
    <t>杜祎辉</t>
  </si>
  <si>
    <t>李祥辉</t>
  </si>
  <si>
    <t>罗林</t>
  </si>
  <si>
    <t>ADH5191</t>
  </si>
  <si>
    <t>LFX569</t>
  </si>
  <si>
    <t>ALS13931</t>
  </si>
  <si>
    <t>ALS13895</t>
  </si>
  <si>
    <t>ALS13897</t>
  </si>
  <si>
    <t>ACT833</t>
  </si>
  <si>
    <t>ACT2491</t>
  </si>
  <si>
    <t>ALS1758</t>
  </si>
  <si>
    <t>ALS13930</t>
  </si>
  <si>
    <t>ALS13892</t>
  </si>
  <si>
    <t>支庆</t>
  </si>
  <si>
    <t>梁冬清</t>
  </si>
  <si>
    <t>石俊宇</t>
  </si>
  <si>
    <t>邓超信</t>
  </si>
  <si>
    <t>谢敬磊</t>
  </si>
  <si>
    <t>宋春宏</t>
  </si>
  <si>
    <t>齐飞</t>
  </si>
  <si>
    <t>张艺博</t>
  </si>
  <si>
    <t>韩智慧</t>
  </si>
  <si>
    <t>ALS14026</t>
  </si>
  <si>
    <t>ALS12958</t>
  </si>
  <si>
    <t>ALS14021</t>
  </si>
  <si>
    <t>ALS8031</t>
  </si>
  <si>
    <t>张兴海</t>
  </si>
  <si>
    <t>吕云亮</t>
  </si>
  <si>
    <t>荣浩</t>
  </si>
  <si>
    <t>刘鸿瑞</t>
  </si>
  <si>
    <t>ALS14025</t>
  </si>
  <si>
    <t>ALS14056</t>
  </si>
  <si>
    <t>ALS14057</t>
  </si>
  <si>
    <t>ALS14058</t>
  </si>
  <si>
    <t>王伟</t>
  </si>
  <si>
    <t>巩天龙</t>
  </si>
  <si>
    <t>培训&amp;合规组</t>
    <phoneticPr fontId="12" type="noConversion"/>
  </si>
  <si>
    <t>代成旺</t>
  </si>
  <si>
    <t>丁启明</t>
  </si>
  <si>
    <t>ALS14129</t>
  </si>
  <si>
    <t>ALS14154</t>
  </si>
  <si>
    <t>ALS14130</t>
  </si>
  <si>
    <t>AMM0574</t>
  </si>
  <si>
    <t>ALS11773</t>
  </si>
  <si>
    <t>ALS14098</t>
  </si>
  <si>
    <t>ALS14155</t>
  </si>
  <si>
    <t>韩喜平</t>
  </si>
  <si>
    <t>魏子一</t>
  </si>
  <si>
    <t>鲁斌</t>
  </si>
  <si>
    <t>郭淼</t>
  </si>
  <si>
    <t>陈冰田</t>
  </si>
  <si>
    <t>裘子龙</t>
  </si>
  <si>
    <t>ALS14236</t>
  </si>
  <si>
    <t>ALS14237</t>
  </si>
  <si>
    <t>ALS14240</t>
  </si>
  <si>
    <t>ALS14422</t>
  </si>
  <si>
    <t>ALS14468</t>
  </si>
  <si>
    <t>ALS14244</t>
  </si>
  <si>
    <t>ALS14328</t>
  </si>
  <si>
    <t>ALS14424</t>
  </si>
  <si>
    <t>ALS14100</t>
  </si>
  <si>
    <t>ALS14326</t>
  </si>
  <si>
    <t>ALS14235</t>
  </si>
  <si>
    <t>ALS14195</t>
  </si>
  <si>
    <t>ALS14193</t>
  </si>
  <si>
    <t>ALS12304</t>
  </si>
  <si>
    <t>ADH3945</t>
  </si>
  <si>
    <t>ALS14317</t>
  </si>
  <si>
    <t>ADH6471</t>
  </si>
  <si>
    <t>ADH6415</t>
  </si>
  <si>
    <t>ALS14416</t>
  </si>
  <si>
    <t>ALS14319</t>
  </si>
  <si>
    <t>ALS14415</t>
  </si>
  <si>
    <t>ADH3360</t>
  </si>
  <si>
    <t>ALS14156</t>
  </si>
  <si>
    <t>ALS14246</t>
  </si>
  <si>
    <t>ALS14323</t>
  </si>
  <si>
    <t>ALS14310</t>
  </si>
  <si>
    <t>ALS14314</t>
  </si>
  <si>
    <t>ALS14322</t>
  </si>
  <si>
    <t>ALS14214</t>
  </si>
  <si>
    <t>ALS14311</t>
  </si>
  <si>
    <t>ALS14335</t>
  </si>
  <si>
    <t>ALS14414</t>
  </si>
  <si>
    <t>ALS14334</t>
  </si>
  <si>
    <t>ALS14336</t>
  </si>
  <si>
    <t>ALS14194</t>
  </si>
  <si>
    <t>ALS13145</t>
  </si>
  <si>
    <t>ALS12471</t>
  </si>
  <si>
    <t>ALS12724</t>
  </si>
  <si>
    <t>ALS11916</t>
  </si>
  <si>
    <t>王宇亭</t>
  </si>
  <si>
    <t>刘冬旭</t>
  </si>
  <si>
    <t>赵申澳</t>
  </si>
  <si>
    <t>俞燕溪</t>
  </si>
  <si>
    <t>贾同才</t>
  </si>
  <si>
    <t>吕怡杭</t>
  </si>
  <si>
    <t>张航</t>
  </si>
  <si>
    <t>叶攀龙</t>
  </si>
  <si>
    <t>黄斌</t>
  </si>
  <si>
    <t>杨爱平</t>
  </si>
  <si>
    <t>车佳文</t>
  </si>
  <si>
    <t>孙健</t>
  </si>
  <si>
    <t>李文笑</t>
  </si>
  <si>
    <t>徐开发</t>
  </si>
  <si>
    <t>包靖宇</t>
  </si>
  <si>
    <t>谢曜骏</t>
  </si>
  <si>
    <t>张紫硕</t>
  </si>
  <si>
    <t>邵晓春</t>
  </si>
  <si>
    <t>孙琦</t>
  </si>
  <si>
    <t>孙宇航</t>
  </si>
  <si>
    <t>杨泰昊</t>
  </si>
  <si>
    <t>汤建华</t>
  </si>
  <si>
    <t>王继鹏</t>
  </si>
  <si>
    <t>路永祥</t>
  </si>
  <si>
    <t>屈峥</t>
  </si>
  <si>
    <t>工程师</t>
    <phoneticPr fontId="12" type="noConversion"/>
  </si>
  <si>
    <t>韩廷</t>
  </si>
  <si>
    <t>张树立</t>
  </si>
  <si>
    <t>刘占峰</t>
  </si>
  <si>
    <t>吴宗璇</t>
  </si>
  <si>
    <t>程文翔</t>
  </si>
  <si>
    <t>杜怀伟</t>
  </si>
  <si>
    <t>魏宁</t>
  </si>
  <si>
    <t>郭嘉兴</t>
  </si>
  <si>
    <t>赵智豪</t>
  </si>
  <si>
    <t>李占玉</t>
  </si>
  <si>
    <t>李忠</t>
  </si>
  <si>
    <t>郑煜霖</t>
  </si>
  <si>
    <t>12号楼</t>
    <phoneticPr fontId="12" type="noConversion"/>
  </si>
  <si>
    <t>王国志</t>
  </si>
  <si>
    <t>鲁双波</t>
    <phoneticPr fontId="12" type="noConversion"/>
  </si>
  <si>
    <t>ALS14684</t>
  </si>
  <si>
    <t>ALS14632</t>
  </si>
  <si>
    <t>ALS14576</t>
  </si>
  <si>
    <t>ALS14573</t>
  </si>
  <si>
    <t>ALS14574</t>
  </si>
  <si>
    <t>ALS14577</t>
  </si>
  <si>
    <t>ALS14470</t>
  </si>
  <si>
    <t>ALS14504</t>
  </si>
  <si>
    <t>ALS14683</t>
  </si>
  <si>
    <t>ALS14686</t>
  </si>
  <si>
    <t>ALS14629</t>
  </si>
  <si>
    <t>ALS14676</t>
  </si>
  <si>
    <t>ALS14673</t>
  </si>
  <si>
    <t>ADH6279</t>
  </si>
  <si>
    <t>ALS14677</t>
  </si>
  <si>
    <t>ALS14672</t>
  </si>
  <si>
    <t>ALS14569</t>
  </si>
  <si>
    <t>AMM3426</t>
  </si>
  <si>
    <t>LFX918</t>
  </si>
  <si>
    <t>LFX452</t>
  </si>
  <si>
    <t>ALS14568</t>
  </si>
  <si>
    <t>ALS14566</t>
  </si>
  <si>
    <t>ADH5609</t>
  </si>
  <si>
    <t>ALS14564</t>
  </si>
  <si>
    <t>ALS14671</t>
  </si>
  <si>
    <t>LFX079</t>
  </si>
  <si>
    <t>BDH0465</t>
  </si>
  <si>
    <t>BDH0550</t>
  </si>
  <si>
    <t>ALS14503</t>
  </si>
  <si>
    <t>ALS14565</t>
  </si>
  <si>
    <t>ALS14635</t>
  </si>
  <si>
    <t>ALS14636</t>
  </si>
  <si>
    <t>ALS14637</t>
  </si>
  <si>
    <t>ALS14502</t>
  </si>
  <si>
    <t>ALS14506</t>
  </si>
  <si>
    <t>ALS14501</t>
  </si>
  <si>
    <t>孟祥鑫</t>
  </si>
  <si>
    <t>史慧轩</t>
  </si>
  <si>
    <t>黄天宇</t>
  </si>
  <si>
    <t>刘运峰</t>
  </si>
  <si>
    <t>熊俊伟</t>
  </si>
  <si>
    <t>田芸龙</t>
  </si>
  <si>
    <t>李塨榮</t>
  </si>
  <si>
    <t>刘晓宁</t>
  </si>
  <si>
    <t>魏子轩</t>
  </si>
  <si>
    <t>赵梓淇</t>
  </si>
  <si>
    <t>孙炳臻</t>
  </si>
  <si>
    <t>付张顺</t>
  </si>
  <si>
    <t>王春鑫</t>
  </si>
  <si>
    <t>秦健凯</t>
  </si>
  <si>
    <t>王智文</t>
  </si>
  <si>
    <t>宋春源</t>
  </si>
  <si>
    <t>王建宇</t>
  </si>
  <si>
    <t>马午熙</t>
  </si>
  <si>
    <t>张艾驰</t>
  </si>
  <si>
    <t>王相东</t>
  </si>
  <si>
    <t>辛丰波</t>
  </si>
  <si>
    <t>张中原</t>
  </si>
  <si>
    <t>杨梓铎</t>
  </si>
  <si>
    <t>周行</t>
  </si>
  <si>
    <t>史鸿华</t>
  </si>
  <si>
    <t>刘克坪</t>
  </si>
  <si>
    <t>胡泽宝</t>
  </si>
  <si>
    <t>陈宁</t>
  </si>
  <si>
    <t>黄宣童</t>
  </si>
  <si>
    <t>班长</t>
    <phoneticPr fontId="12" type="noConversion"/>
  </si>
  <si>
    <t>姚宏昌</t>
  </si>
  <si>
    <t>姬翔</t>
  </si>
  <si>
    <t>刘鸿伟</t>
  </si>
  <si>
    <t>马勇</t>
  </si>
  <si>
    <t>常保</t>
  </si>
  <si>
    <t>尹博</t>
  </si>
  <si>
    <t>窦桂旺</t>
  </si>
  <si>
    <t>雷晓琦</t>
    <phoneticPr fontId="12" type="noConversion"/>
  </si>
  <si>
    <t>ALS14747</t>
  </si>
  <si>
    <t>ALS14685</t>
  </si>
  <si>
    <t>ALS14876</t>
  </si>
  <si>
    <t>ALS14854</t>
  </si>
  <si>
    <t>ALS14792</t>
  </si>
  <si>
    <t>LFX568</t>
  </si>
  <si>
    <t>ALS14790</t>
  </si>
  <si>
    <t>ALS14835</t>
  </si>
  <si>
    <t>ALS14744</t>
  </si>
  <si>
    <t>ALS14729</t>
  </si>
  <si>
    <t>ALS14735</t>
  </si>
  <si>
    <t>ALS14730</t>
  </si>
  <si>
    <t>AMM4392</t>
  </si>
  <si>
    <t>ALS14825</t>
  </si>
  <si>
    <t>ALS14828</t>
  </si>
  <si>
    <t>ALS14731</t>
  </si>
  <si>
    <t>ALS14787</t>
  </si>
  <si>
    <t>ALS14766</t>
  </si>
  <si>
    <t>ALS14774</t>
  </si>
  <si>
    <t>AMM4333</t>
  </si>
  <si>
    <t>AMM2310</t>
  </si>
  <si>
    <t>AMM2965</t>
  </si>
  <si>
    <t>ALS14763</t>
  </si>
  <si>
    <t>ALS14826</t>
  </si>
  <si>
    <t>AMM4428</t>
  </si>
  <si>
    <t>AMM2550</t>
  </si>
  <si>
    <t>AMM4084</t>
  </si>
  <si>
    <t>ALS14738</t>
  </si>
  <si>
    <t>ALS14745</t>
  </si>
  <si>
    <t>ALS14767</t>
  </si>
  <si>
    <t>ALS14830</t>
  </si>
  <si>
    <t>ALS14832</t>
  </si>
  <si>
    <t>ALS14723</t>
  </si>
  <si>
    <t>ALS14824</t>
  </si>
  <si>
    <t>AMM4231</t>
  </si>
  <si>
    <t>ALS14786</t>
  </si>
  <si>
    <t>ALS14791</t>
  </si>
  <si>
    <t>ALS14820</t>
  </si>
  <si>
    <t>ALS14822</t>
  </si>
  <si>
    <t>ALS14823</t>
  </si>
  <si>
    <t>ALS14872</t>
  </si>
  <si>
    <t>ALS14724</t>
  </si>
  <si>
    <t>徐海波</t>
  </si>
  <si>
    <t>宋鹏</t>
  </si>
  <si>
    <t>张建涛</t>
  </si>
  <si>
    <t>李士硕</t>
  </si>
  <si>
    <t>朱昊</t>
  </si>
  <si>
    <t>井雷</t>
  </si>
  <si>
    <t>李静</t>
  </si>
  <si>
    <t>杨佳华</t>
  </si>
  <si>
    <t>赵宇航</t>
  </si>
  <si>
    <t>尹春焘</t>
  </si>
  <si>
    <t>张磊</t>
  </si>
  <si>
    <t>吴德俊</t>
  </si>
  <si>
    <t>文泽勇</t>
  </si>
  <si>
    <t>马子腾</t>
  </si>
  <si>
    <t>刘孟鑫</t>
  </si>
  <si>
    <t>杨文军</t>
  </si>
  <si>
    <t>倪道鑫</t>
  </si>
  <si>
    <t>余智生</t>
  </si>
  <si>
    <t>赵忠波</t>
  </si>
  <si>
    <t>马华圆</t>
  </si>
  <si>
    <t>丁方辉</t>
  </si>
  <si>
    <t>马孟春</t>
  </si>
  <si>
    <t>方子浩</t>
  </si>
  <si>
    <t>郑又川</t>
  </si>
  <si>
    <t>白德恒</t>
  </si>
  <si>
    <t>李梦骁</t>
  </si>
  <si>
    <t>杨新桐</t>
  </si>
  <si>
    <t>刘宏强</t>
  </si>
  <si>
    <t>王伟浩</t>
  </si>
  <si>
    <t>赵志远</t>
  </si>
  <si>
    <t>张子逸</t>
  </si>
  <si>
    <t>张维森</t>
  </si>
  <si>
    <t>薛文强</t>
  </si>
  <si>
    <t>赵忠泽</t>
  </si>
  <si>
    <t>陆一博</t>
  </si>
  <si>
    <t>乔承良</t>
  </si>
  <si>
    <t>甘仁伟</t>
  </si>
  <si>
    <t>李泉</t>
  </si>
  <si>
    <t>李浩鑫</t>
  </si>
  <si>
    <t>张彦彬</t>
  </si>
  <si>
    <t>刘森</t>
  </si>
  <si>
    <r>
      <rPr>
        <b/>
        <sz val="11"/>
        <rFont val="仿宋_GB2312"/>
        <family val="3"/>
        <charset val="134"/>
      </rPr>
      <t>入职日期</t>
    </r>
  </si>
  <si>
    <t>刘阳（ALS13787）</t>
  </si>
  <si>
    <t>刘阳（ALS14763）</t>
  </si>
  <si>
    <t>邵天祥</t>
  </si>
  <si>
    <t>ALS14930</t>
  </si>
  <si>
    <t>ALS14885</t>
  </si>
  <si>
    <t>ALS15022</t>
  </si>
  <si>
    <t>ALS14987</t>
  </si>
  <si>
    <t>ALS15021</t>
  </si>
  <si>
    <t>ALS15044</t>
  </si>
  <si>
    <t>ALS14984</t>
  </si>
  <si>
    <t>ALS14337</t>
  </si>
  <si>
    <t>ALS14338</t>
  </si>
  <si>
    <t>ALS14985</t>
  </si>
  <si>
    <t>杜新飞</t>
  </si>
  <si>
    <t>庞同庆</t>
  </si>
  <si>
    <t>王新龙</t>
  </si>
  <si>
    <t>杜新充</t>
  </si>
  <si>
    <t>李飒</t>
  </si>
  <si>
    <t>张颢曦</t>
  </si>
  <si>
    <t>杨泉斌</t>
  </si>
  <si>
    <t>李文鑫</t>
  </si>
  <si>
    <t>王小乾</t>
  </si>
  <si>
    <t>姜威</t>
  </si>
  <si>
    <t>职务</t>
    <phoneticPr fontId="12" type="noConversion"/>
  </si>
  <si>
    <t>田硕</t>
  </si>
  <si>
    <t>ALS14330</t>
  </si>
  <si>
    <r>
      <t>0901</t>
    </r>
    <r>
      <rPr>
        <sz val="9"/>
        <rFont val="宋体"/>
        <family val="3"/>
        <charset val="134"/>
      </rPr>
      <t>调任</t>
    </r>
    <phoneticPr fontId="12" type="noConversion"/>
  </si>
  <si>
    <t>ALS14242</t>
  </si>
  <si>
    <t>ALS14333</t>
  </si>
  <si>
    <t>ALS14426</t>
  </si>
  <si>
    <t>ALS14331</t>
  </si>
  <si>
    <t>ALS15334</t>
  </si>
  <si>
    <t>ALS15138</t>
  </si>
  <si>
    <t>ALS15254</t>
  </si>
  <si>
    <t>ALS15299</t>
  </si>
  <si>
    <t>ALS15298</t>
  </si>
  <si>
    <t>ALS15392</t>
  </si>
  <si>
    <t>ALS14571</t>
  </si>
  <si>
    <t>ALS15250</t>
  </si>
  <si>
    <t>ALS14679</t>
  </si>
  <si>
    <t>ALS15390</t>
  </si>
  <si>
    <t>ALS15391</t>
  </si>
  <si>
    <t>ALS14420</t>
  </si>
  <si>
    <t>ALS15386</t>
  </si>
  <si>
    <t>ALS15385</t>
  </si>
  <si>
    <t>ALS15290</t>
  </si>
  <si>
    <t>ALS15296</t>
  </si>
  <si>
    <t>ALS14248</t>
  </si>
  <si>
    <t>ALS15293</t>
  </si>
  <si>
    <t>ALS14325</t>
  </si>
  <si>
    <t>ADH6302</t>
  </si>
  <si>
    <t>ADH6203</t>
  </si>
  <si>
    <t>ALS15221</t>
  </si>
  <si>
    <t>ALS15222</t>
  </si>
  <si>
    <t>ALS15223</t>
  </si>
  <si>
    <t>ALS15224</t>
  </si>
  <si>
    <t>ALS15249</t>
  </si>
  <si>
    <t>ALS15415</t>
  </si>
  <si>
    <t>ADH6967</t>
  </si>
  <si>
    <t>ADH6965</t>
  </si>
  <si>
    <t>ALS15227</t>
  </si>
  <si>
    <t>ALS15226</t>
  </si>
  <si>
    <t>ALS14312</t>
  </si>
  <si>
    <t>ALS14313</t>
  </si>
  <si>
    <t>ALS15127</t>
  </si>
  <si>
    <t>ALS15128</t>
  </si>
  <si>
    <t>ALS15096</t>
  </si>
  <si>
    <t>BDH0403</t>
  </si>
  <si>
    <t>ALS15095</t>
  </si>
  <si>
    <t>ALS15335</t>
  </si>
  <si>
    <t>ALS15286</t>
  </si>
  <si>
    <t>ALS15378</t>
  </si>
  <si>
    <t>ALS14507</t>
  </si>
  <si>
    <t>ALS15336</t>
  </si>
  <si>
    <t>ALS15152</t>
  </si>
  <si>
    <t>ALS15218</t>
  </si>
  <si>
    <t>ALS15129</t>
  </si>
  <si>
    <t>ALS15220</t>
  </si>
  <si>
    <t>ALS15248</t>
  </si>
  <si>
    <t>陈万义</t>
  </si>
  <si>
    <t>柯圣涛</t>
  </si>
  <si>
    <t>薛运达</t>
  </si>
  <si>
    <t>李强</t>
  </si>
  <si>
    <t>刘子旭</t>
  </si>
  <si>
    <t>陈延明</t>
  </si>
  <si>
    <t>袁伟健</t>
  </si>
  <si>
    <t>齐彦杰</t>
  </si>
  <si>
    <t>付文浩</t>
  </si>
  <si>
    <t>王科达</t>
  </si>
  <si>
    <t>马亮</t>
  </si>
  <si>
    <t>柳浩然</t>
  </si>
  <si>
    <t>艾心</t>
  </si>
  <si>
    <t>刘佳忠</t>
  </si>
  <si>
    <t>王运涛</t>
  </si>
  <si>
    <t>田浩楠</t>
  </si>
  <si>
    <t>郭围城</t>
  </si>
  <si>
    <t>张文华</t>
  </si>
  <si>
    <t>杨文超</t>
  </si>
  <si>
    <t>张稳超</t>
  </si>
  <si>
    <t>周智升</t>
  </si>
  <si>
    <t>王勃</t>
  </si>
  <si>
    <t>张哲源</t>
  </si>
  <si>
    <t>孙冬瑞</t>
  </si>
  <si>
    <t>王展</t>
  </si>
  <si>
    <t>张俸瑞</t>
  </si>
  <si>
    <t>田帅</t>
  </si>
  <si>
    <t>张兴杰</t>
  </si>
  <si>
    <t>罗祥祥</t>
  </si>
  <si>
    <t>陆明</t>
  </si>
  <si>
    <t>陈亚新</t>
  </si>
  <si>
    <t>孙晨阳</t>
  </si>
  <si>
    <t>张政</t>
  </si>
  <si>
    <t>刘天宇</t>
  </si>
  <si>
    <t>梁庭绪</t>
  </si>
  <si>
    <t>韩学永</t>
  </si>
  <si>
    <t>刘世杰</t>
  </si>
  <si>
    <t>常昊</t>
  </si>
  <si>
    <t>张仕新</t>
  </si>
  <si>
    <t>张乃嵩</t>
  </si>
  <si>
    <t>赵鸿运</t>
  </si>
  <si>
    <t>樊骁</t>
  </si>
  <si>
    <t>工程师</t>
    <phoneticPr fontId="12" type="noConversion"/>
  </si>
  <si>
    <t>贾立磊</t>
  </si>
  <si>
    <t>曹静旺</t>
  </si>
  <si>
    <t>刘兆杰</t>
  </si>
  <si>
    <t>邵明杰</t>
  </si>
  <si>
    <t>张玉铭</t>
  </si>
  <si>
    <t>张文杰</t>
  </si>
  <si>
    <t>窦占淼</t>
  </si>
  <si>
    <t>王学斌</t>
  </si>
  <si>
    <t>刘宇博</t>
  </si>
  <si>
    <t>AMT0020</t>
  </si>
  <si>
    <t>刘岩（ALS15296）</t>
  </si>
  <si>
    <t>刘岩（ALS1758）</t>
  </si>
  <si>
    <t>AMM4102</t>
  </si>
  <si>
    <t>AMM4573</t>
  </si>
  <si>
    <t>ALS14610</t>
  </si>
  <si>
    <t>AMM1080</t>
  </si>
  <si>
    <t>AMM4694</t>
  </si>
  <si>
    <t>ALS14708</t>
  </si>
  <si>
    <t>ALS15479</t>
  </si>
  <si>
    <t>ALS15702</t>
  </si>
  <si>
    <t>ALS15703</t>
  </si>
  <si>
    <t>AMM2053</t>
  </si>
  <si>
    <t>AMM1607</t>
  </si>
  <si>
    <t>ALS15602</t>
  </si>
  <si>
    <t>ALS15494</t>
  </si>
  <si>
    <t>ALS13928</t>
  </si>
  <si>
    <t>ALS4568</t>
  </si>
  <si>
    <t>AMM0587</t>
  </si>
  <si>
    <t>AMM3995</t>
  </si>
  <si>
    <t>ALS15438</t>
  </si>
  <si>
    <t>ALS15555</t>
  </si>
  <si>
    <t>ALS14704</t>
  </si>
  <si>
    <t>ALS14706</t>
  </si>
  <si>
    <t>ALS15554</t>
  </si>
  <si>
    <t>ALS15559</t>
  </si>
  <si>
    <t>ALS15563</t>
  </si>
  <si>
    <t>ALS15643</t>
  </si>
  <si>
    <t>ALS15644</t>
  </si>
  <si>
    <t>ALS15647</t>
  </si>
  <si>
    <t>ALS15696</t>
  </si>
  <si>
    <t>ALS14612</t>
  </si>
  <si>
    <t>ALS15646</t>
  </si>
  <si>
    <t>ALS15471</t>
  </si>
  <si>
    <t>AMM3993</t>
  </si>
  <si>
    <t>ALS15475</t>
  </si>
  <si>
    <t>ALS14606</t>
  </si>
  <si>
    <t>ALS6119</t>
  </si>
  <si>
    <t>AMM0513</t>
  </si>
  <si>
    <t>AMM3115</t>
  </si>
  <si>
    <t>AMM2395</t>
  </si>
  <si>
    <t>ALS14700</t>
  </si>
  <si>
    <t>ALS15473</t>
  </si>
  <si>
    <t>AMM4275</t>
  </si>
  <si>
    <t>AMM4287</t>
  </si>
  <si>
    <t>ALS14609</t>
  </si>
  <si>
    <t>ALS15437</t>
  </si>
  <si>
    <t>ALS15556</t>
  </si>
  <si>
    <t>AMM3422</t>
  </si>
  <si>
    <t>ALS15551</t>
  </si>
  <si>
    <t>ALS15552</t>
  </si>
  <si>
    <t>ALS15491</t>
  </si>
  <si>
    <t>ALS15694</t>
  </si>
  <si>
    <t>ALS15470</t>
  </si>
  <si>
    <t>ALS15474</t>
  </si>
  <si>
    <t>ALS15492</t>
  </si>
  <si>
    <t>ALS15601</t>
  </si>
  <si>
    <t>AMM1476</t>
  </si>
  <si>
    <t>AMM1208</t>
  </si>
  <si>
    <t>ALS15553</t>
  </si>
  <si>
    <t>林志广</t>
  </si>
  <si>
    <t>丁智</t>
  </si>
  <si>
    <t>位赛东</t>
  </si>
  <si>
    <t>寇政阳</t>
  </si>
  <si>
    <t>马耀辉</t>
  </si>
  <si>
    <t>杨耀辉</t>
  </si>
  <si>
    <t>刘贵祥</t>
  </si>
  <si>
    <t>翟润凯</t>
  </si>
  <si>
    <t>王朝阳</t>
  </si>
  <si>
    <t>洪伟成</t>
  </si>
  <si>
    <t>康楷睿</t>
  </si>
  <si>
    <t>张文豪</t>
  </si>
  <si>
    <t>李落羽</t>
  </si>
  <si>
    <t>吴起腾</t>
  </si>
  <si>
    <t>曹子豪</t>
  </si>
  <si>
    <t>王子睿</t>
  </si>
  <si>
    <t>徐俊杰</t>
  </si>
  <si>
    <t>李宇琛</t>
  </si>
  <si>
    <t>王超</t>
  </si>
  <si>
    <t>权靖喆</t>
  </si>
  <si>
    <t>王英男</t>
  </si>
  <si>
    <t>李恒</t>
  </si>
  <si>
    <t>霍雨寒</t>
  </si>
  <si>
    <t>向贵鑫</t>
  </si>
  <si>
    <t>张京宇</t>
  </si>
  <si>
    <t>郭亚超</t>
  </si>
  <si>
    <t>吕硕</t>
  </si>
  <si>
    <t>苏志强</t>
  </si>
  <si>
    <t>但会志</t>
  </si>
  <si>
    <t>国新宇</t>
  </si>
  <si>
    <t>胡一博</t>
  </si>
  <si>
    <t>杜少游</t>
  </si>
  <si>
    <t>陶子明</t>
  </si>
  <si>
    <t>唐广存</t>
  </si>
  <si>
    <t>赵天作</t>
  </si>
  <si>
    <t>胡玉龙</t>
  </si>
  <si>
    <t>胡泽朕</t>
  </si>
  <si>
    <t>王爱港</t>
  </si>
  <si>
    <t>王俊淋</t>
  </si>
  <si>
    <t>祁宁</t>
  </si>
  <si>
    <t>王超越</t>
  </si>
  <si>
    <t>高启帅</t>
  </si>
  <si>
    <t>韩炳辉</t>
  </si>
  <si>
    <t>常宝轩</t>
  </si>
  <si>
    <t>魏岱昌</t>
  </si>
  <si>
    <t>梁纬东</t>
  </si>
  <si>
    <t>曹金龙</t>
  </si>
  <si>
    <t>周瀚韬</t>
  </si>
  <si>
    <t>刘生宏</t>
  </si>
  <si>
    <t>蔡赫</t>
  </si>
  <si>
    <t>王顺盛</t>
  </si>
  <si>
    <t>黄荣</t>
  </si>
  <si>
    <t>郭亚彬</t>
  </si>
  <si>
    <t>代辉</t>
  </si>
  <si>
    <t>宋雨健</t>
  </si>
  <si>
    <t>ALS15586</t>
    <phoneticPr fontId="12" type="noConversion"/>
  </si>
  <si>
    <t>王涛（ALS15586）</t>
  </si>
  <si>
    <t>张昊（AMM1607）</t>
  </si>
  <si>
    <t>张昊（ALS11789）</t>
  </si>
  <si>
    <t>王鑫（ALS8215）</t>
  </si>
  <si>
    <t>王鑫（ALS14706）</t>
  </si>
  <si>
    <t>ALS16005</t>
  </si>
  <si>
    <t>ALS15915</t>
  </si>
  <si>
    <t>ALS15911</t>
  </si>
  <si>
    <t>ALS15913</t>
  </si>
  <si>
    <t>ALS15910</t>
  </si>
  <si>
    <t>ALS15889</t>
  </si>
  <si>
    <t>ALS15912</t>
  </si>
  <si>
    <t>ALS16007</t>
  </si>
  <si>
    <t>ALS15823</t>
  </si>
  <si>
    <t>ALS8215</t>
  </si>
  <si>
    <t>ALS15966</t>
  </si>
  <si>
    <t>ALS15923</t>
  </si>
  <si>
    <t>ALS14775</t>
  </si>
  <si>
    <t>ALS15761</t>
  </si>
  <si>
    <t>ALS15762</t>
  </si>
  <si>
    <t>ALS15824</t>
  </si>
  <si>
    <t>LFX126</t>
  </si>
  <si>
    <t>ALS15764</t>
  </si>
  <si>
    <t>ALS15866</t>
  </si>
  <si>
    <t>ALS14860</t>
  </si>
  <si>
    <t>ALS14764</t>
  </si>
  <si>
    <t>ALS14728</t>
  </si>
  <si>
    <t>ALS14613</t>
  </si>
  <si>
    <t>ALS14898</t>
  </si>
  <si>
    <t>ABT0062</t>
  </si>
  <si>
    <t>ALS15765</t>
  </si>
  <si>
    <t>ALS14601</t>
  </si>
  <si>
    <t>ALS14604</t>
  </si>
  <si>
    <t>ALS14608</t>
  </si>
  <si>
    <t>ALS14605</t>
  </si>
  <si>
    <t>ALS14709</t>
  </si>
  <si>
    <t>ALS15724</t>
  </si>
  <si>
    <t>ALS15768</t>
  </si>
  <si>
    <t>ALS15769</t>
  </si>
  <si>
    <t>ALS16004</t>
  </si>
  <si>
    <t>ALS15906</t>
  </si>
  <si>
    <t>ALS15908</t>
  </si>
  <si>
    <t>ALS15972</t>
  </si>
  <si>
    <t>ALS13034</t>
  </si>
  <si>
    <t>ALS14324</t>
  </si>
  <si>
    <t>ALS15247</t>
  </si>
  <si>
    <t>ALS15469</t>
  </si>
  <si>
    <t>王来文</t>
  </si>
  <si>
    <t>范长欢</t>
  </si>
  <si>
    <t>刘向博</t>
  </si>
  <si>
    <t>高爱鹏</t>
  </si>
  <si>
    <t>周玉阳</t>
  </si>
  <si>
    <t>潘俊橙</t>
  </si>
  <si>
    <t>李金泽</t>
  </si>
  <si>
    <t>贾锦国</t>
  </si>
  <si>
    <t>杨城</t>
  </si>
  <si>
    <t>毕然</t>
  </si>
  <si>
    <t>王瑞沣</t>
  </si>
  <si>
    <t>侯明恺</t>
  </si>
  <si>
    <t>柳至阳</t>
  </si>
  <si>
    <t>唐凯</t>
  </si>
  <si>
    <t>罗江邻</t>
  </si>
  <si>
    <t>周永乔</t>
  </si>
  <si>
    <t>杨博皓</t>
  </si>
  <si>
    <t>吴凯</t>
  </si>
  <si>
    <t>王强</t>
  </si>
  <si>
    <t>王志坤</t>
  </si>
  <si>
    <t>安红亮</t>
  </si>
  <si>
    <t>郭佳祥</t>
  </si>
  <si>
    <t>李忠昊</t>
  </si>
  <si>
    <t>刘骏</t>
  </si>
  <si>
    <t>张旺旺</t>
  </si>
  <si>
    <t>马垠</t>
  </si>
  <si>
    <t>宋景耀</t>
  </si>
  <si>
    <t>董邱</t>
  </si>
  <si>
    <t>柴鹏飞</t>
  </si>
  <si>
    <t>李旭东</t>
  </si>
  <si>
    <t>王银龙</t>
  </si>
  <si>
    <t>李林鑫</t>
  </si>
  <si>
    <t>安伟</t>
  </si>
  <si>
    <t>尹宇恒</t>
  </si>
  <si>
    <t>胡向冲</t>
  </si>
  <si>
    <t>张家园</t>
  </si>
  <si>
    <t>陈世强</t>
  </si>
  <si>
    <t>张宁轩</t>
  </si>
  <si>
    <t>王硕</t>
  </si>
  <si>
    <t>ALS14875</t>
    <phoneticPr fontId="12" type="noConversion"/>
  </si>
  <si>
    <t>张博（ALS14875）</t>
    <phoneticPr fontId="12" type="noConversion"/>
  </si>
  <si>
    <t>崔宇</t>
  </si>
  <si>
    <t>张向丰</t>
  </si>
  <si>
    <t>张志强(ALS15906)</t>
  </si>
  <si>
    <t>ALS16022</t>
  </si>
  <si>
    <t>ALS16047</t>
  </si>
  <si>
    <t>ALS15954</t>
  </si>
  <si>
    <t>ABT0617</t>
  </si>
  <si>
    <t>ABT0244</t>
  </si>
  <si>
    <t>ALS16048</t>
  </si>
  <si>
    <t>ALS12838</t>
  </si>
  <si>
    <t>ALS15894</t>
  </si>
  <si>
    <t>ALS15674</t>
  </si>
  <si>
    <t>ALS15896</t>
  </si>
  <si>
    <t>ALS15895</t>
  </si>
  <si>
    <t>ALS15897</t>
  </si>
  <si>
    <t>ALS15055</t>
  </si>
  <si>
    <t>ALS15205</t>
  </si>
  <si>
    <t>ALS15353</t>
  </si>
  <si>
    <t>ALS14998</t>
  </si>
  <si>
    <t>ALS15439</t>
  </si>
  <si>
    <t>ALS15268</t>
  </si>
  <si>
    <t>ALS15270</t>
  </si>
  <si>
    <t>ALS15337</t>
  </si>
  <si>
    <t>ALS15343</t>
  </si>
  <si>
    <t>ALS15344</t>
  </si>
  <si>
    <t>ALS15346</t>
  </si>
  <si>
    <t>ALS15348</t>
  </si>
  <si>
    <t>ALS15349</t>
  </si>
  <si>
    <t>ALS15341</t>
  </si>
  <si>
    <t>ALS15345</t>
  </si>
  <si>
    <t>孙福林</t>
  </si>
  <si>
    <t>谢红彬</t>
  </si>
  <si>
    <t>杨晨</t>
  </si>
  <si>
    <t>王富星</t>
  </si>
  <si>
    <t>谭善文</t>
  </si>
  <si>
    <t>王嘉俊</t>
  </si>
  <si>
    <t>杨博硕</t>
  </si>
  <si>
    <t>白子洋</t>
  </si>
  <si>
    <t>李贺</t>
  </si>
  <si>
    <t>邢天宇</t>
  </si>
  <si>
    <t>李玉修</t>
  </si>
  <si>
    <t>戴显达</t>
  </si>
  <si>
    <t>綦寿延</t>
  </si>
  <si>
    <t>孙亚南</t>
  </si>
  <si>
    <t>刘博文</t>
  </si>
  <si>
    <t>贺强</t>
  </si>
  <si>
    <t>沙文博</t>
  </si>
  <si>
    <t>周建平</t>
  </si>
  <si>
    <t>赵修华</t>
  </si>
  <si>
    <t>焦瑞松</t>
  </si>
  <si>
    <t>倪瑞康</t>
  </si>
  <si>
    <t>高世康</t>
  </si>
  <si>
    <t>尹亮</t>
  </si>
  <si>
    <t>韩文帅</t>
  </si>
  <si>
    <t>宋宝城</t>
  </si>
  <si>
    <t>孟祥云</t>
  </si>
  <si>
    <t>幸金会</t>
  </si>
  <si>
    <t>ALS13623</t>
    <phoneticPr fontId="12" type="noConversion"/>
  </si>
  <si>
    <t>王宁（ALS13623）</t>
    <phoneticPr fontId="12" type="noConversion"/>
  </si>
  <si>
    <t>ALS16049</t>
    <phoneticPr fontId="12" type="noConversion"/>
  </si>
  <si>
    <t>王宁（ALS16049）</t>
    <phoneticPr fontId="12" type="noConversion"/>
  </si>
  <si>
    <t>王鹏宇</t>
  </si>
  <si>
    <t>ALS15396</t>
  </si>
  <si>
    <t>张怡鹏</t>
  </si>
  <si>
    <t>ALS16105</t>
  </si>
  <si>
    <t>袁浩</t>
  </si>
  <si>
    <t>ALS16144</t>
  </si>
  <si>
    <t>常文轩</t>
  </si>
  <si>
    <t>ALS15398</t>
  </si>
  <si>
    <t>ALS15419</t>
  </si>
  <si>
    <t>刘梦达</t>
  </si>
  <si>
    <t>ALS16101</t>
  </si>
  <si>
    <t>马英杰</t>
  </si>
  <si>
    <t>ALS16107</t>
  </si>
  <si>
    <t>王御天</t>
  </si>
  <si>
    <t>ALS16106</t>
  </si>
  <si>
    <t>魏松林</t>
  </si>
  <si>
    <t>ALS15389</t>
  </si>
  <si>
    <t>张钊</t>
  </si>
  <si>
    <t>ALS16192</t>
  </si>
  <si>
    <t>刘玉鑫</t>
  </si>
  <si>
    <t>ACT438</t>
  </si>
  <si>
    <t>杨辉</t>
  </si>
  <si>
    <t>ALS16090</t>
  </si>
  <si>
    <t>李思法</t>
  </si>
  <si>
    <t>ALS16123</t>
  </si>
  <si>
    <t>助工</t>
    <phoneticPr fontId="12" type="noConversion"/>
  </si>
  <si>
    <t>车间</t>
  </si>
  <si>
    <t>姓名</t>
  </si>
  <si>
    <t>入职日期</t>
  </si>
  <si>
    <t>实际奖金合计</t>
  </si>
  <si>
    <t>日常巡查扣款</t>
  </si>
  <si>
    <t>定点摄影最佳区域和最差区域评比</t>
  </si>
  <si>
    <t>安全事故扣款</t>
  </si>
  <si>
    <t>5S日检奖金合计</t>
  </si>
  <si>
    <t>“a”占比</t>
  </si>
  <si>
    <t>“b”占比</t>
  </si>
  <si>
    <t>“c”占比</t>
  </si>
  <si>
    <t>4号楼1&amp;2车间</t>
    <phoneticPr fontId="12" type="noConversion"/>
  </si>
  <si>
    <t>4号楼3&amp;4车间</t>
    <phoneticPr fontId="12" type="noConversion"/>
  </si>
  <si>
    <t>“a”占比</t>
    <phoneticPr fontId="12" type="noConversion"/>
  </si>
  <si>
    <t>11号楼CNC车间</t>
    <phoneticPr fontId="12" type="noConversion"/>
  </si>
  <si>
    <t>11号楼CNC车间“a、b、c”分布情况</t>
    <phoneticPr fontId="12" type="noConversion"/>
  </si>
  <si>
    <t>11号楼D级车间</t>
    <phoneticPr fontId="12" type="noConversion"/>
  </si>
  <si>
    <t>11号楼D级车间“a、b、c”分布情况</t>
    <phoneticPr fontId="12" type="noConversion"/>
  </si>
  <si>
    <t>5号楼“a、b、c”分布情况</t>
    <phoneticPr fontId="12" type="noConversion"/>
  </si>
  <si>
    <t>“c”占比</t>
    <phoneticPr fontId="12" type="noConversion"/>
  </si>
  <si>
    <t>12号楼“a、b、c”分布情况</t>
    <phoneticPr fontId="12" type="noConversion"/>
  </si>
  <si>
    <t>0901调任</t>
    <phoneticPr fontId="12" type="noConversion"/>
  </si>
  <si>
    <t>电子设备及培训“a、b、c”分布情况</t>
    <phoneticPr fontId="12" type="noConversion"/>
  </si>
  <si>
    <t>培训&amp;合规组“a、b、c”分布情况</t>
    <phoneticPr fontId="12" type="noConversion"/>
  </si>
  <si>
    <t>“b”占比</t>
    <phoneticPr fontId="12" type="noConversion"/>
  </si>
  <si>
    <t>外围/罐区/泵房</t>
    <phoneticPr fontId="12" type="noConversion"/>
  </si>
  <si>
    <t>外围/罐区/泵房“a、b、c”分布情况</t>
    <phoneticPr fontId="12" type="noConversion"/>
  </si>
  <si>
    <t>环保设备设施“a、b、c”分布情况</t>
    <phoneticPr fontId="12" type="noConversion"/>
  </si>
  <si>
    <t>清洗组</t>
  </si>
  <si>
    <t>设备清洗准备“a、b、c”分布情况</t>
    <phoneticPr fontId="12" type="noConversion"/>
  </si>
  <si>
    <t>数据提供人</t>
    <phoneticPr fontId="12" type="noConversion"/>
  </si>
  <si>
    <t>汇总说明</t>
    <phoneticPr fontId="12" type="noConversion"/>
  </si>
  <si>
    <t>4#楼1&amp;2车间：</t>
    <phoneticPr fontId="12" type="noConversion"/>
  </si>
  <si>
    <t>田志勇 </t>
    <phoneticPr fontId="12" type="noConversion"/>
  </si>
  <si>
    <t xml:space="preserve">4#楼3&amp;4车间： </t>
    <phoneticPr fontId="12" type="noConversion"/>
  </si>
  <si>
    <t>刘磊</t>
    <phoneticPr fontId="12" type="noConversion"/>
  </si>
  <si>
    <t>11#楼CNC车间：</t>
    <phoneticPr fontId="12" type="noConversion"/>
  </si>
  <si>
    <t>门学友</t>
    <phoneticPr fontId="12" type="noConversion"/>
  </si>
  <si>
    <t>11#楼D级区：</t>
    <phoneticPr fontId="12" type="noConversion"/>
  </si>
  <si>
    <t>梁光强</t>
    <phoneticPr fontId="12" type="noConversion"/>
  </si>
  <si>
    <t>5号楼：</t>
    <phoneticPr fontId="12" type="noConversion"/>
  </si>
  <si>
    <t>冯恩利</t>
    <phoneticPr fontId="12" type="noConversion"/>
  </si>
  <si>
    <t>12号楼：</t>
    <phoneticPr fontId="12" type="noConversion"/>
  </si>
  <si>
    <t>代海鑫</t>
    <phoneticPr fontId="12" type="noConversion"/>
  </si>
  <si>
    <t>验证组 / DCS / 电子设备维护 / 合规&amp;培训 ：</t>
    <phoneticPr fontId="12" type="noConversion"/>
  </si>
  <si>
    <t>环保设备设施 ：</t>
    <phoneticPr fontId="12" type="noConversion"/>
  </si>
  <si>
    <t xml:space="preserve">刘文龙 </t>
    <phoneticPr fontId="12" type="noConversion"/>
  </si>
  <si>
    <t>外围/罐区/泵房：</t>
    <phoneticPr fontId="12" type="noConversion"/>
  </si>
  <si>
    <t>赵艳春</t>
    <phoneticPr fontId="12" type="noConversion"/>
  </si>
  <si>
    <t>清洗组：</t>
    <phoneticPr fontId="12" type="noConversion"/>
  </si>
  <si>
    <t>刘亚南</t>
    <phoneticPr fontId="12" type="noConversion"/>
  </si>
  <si>
    <t>陈正兴</t>
    <phoneticPr fontId="12" type="noConversion"/>
  </si>
  <si>
    <t>刘其琛</t>
    <phoneticPr fontId="12" type="noConversion"/>
  </si>
  <si>
    <t>杜永宝</t>
    <phoneticPr fontId="12" type="noConversion"/>
  </si>
  <si>
    <t>魏鹏</t>
    <phoneticPr fontId="12" type="noConversion"/>
  </si>
  <si>
    <t>姜彬</t>
    <phoneticPr fontId="12" type="noConversion"/>
  </si>
  <si>
    <t>安全组</t>
    <phoneticPr fontId="12" type="noConversion"/>
  </si>
  <si>
    <t>李国清</t>
    <phoneticPr fontId="12" type="noConversion"/>
  </si>
  <si>
    <t>一线人员sheet</t>
    <phoneticPr fontId="12" type="noConversion"/>
  </si>
  <si>
    <t>副主任sheet</t>
    <phoneticPr fontId="12" type="noConversion"/>
  </si>
  <si>
    <t>副主任级别sheet，添加好后面的设备使用率及对应挡位，钉钉发给对应该管理人员，问挡位是否有调整</t>
    <phoneticPr fontId="12" type="noConversion"/>
  </si>
  <si>
    <t>月末或者月初整理安全质量奖，一线人员sheet和副主任sheet人员用员工编号与月底的人员明细表核对，删除离职的，补充新入职的人员；将日期修改后，内容清空，发给对应提报人，提供评价</t>
    <phoneticPr fontId="12" type="noConversion"/>
  </si>
  <si>
    <t>安全质量奖</t>
    <phoneticPr fontId="12" type="noConversion"/>
  </si>
  <si>
    <t>ALS16118</t>
  </si>
  <si>
    <t>董峰</t>
  </si>
  <si>
    <t>ALS11096</t>
  </si>
  <si>
    <t>牟江维</t>
  </si>
  <si>
    <t>周大伟</t>
  </si>
  <si>
    <t>ALS2305</t>
  </si>
  <si>
    <t>侯世蒙</t>
  </si>
  <si>
    <t>ALS12955</t>
  </si>
  <si>
    <t>卜乾鼎</t>
  </si>
  <si>
    <t>ALS16339</t>
  </si>
  <si>
    <t>韩博宇</t>
  </si>
  <si>
    <t>ALS16461</t>
  </si>
  <si>
    <t>助理工程师</t>
  </si>
  <si>
    <t>生产技术转移组（辅料&amp;毒素连接体）</t>
  </si>
  <si>
    <t>生产技术转移组（多肽）</t>
  </si>
  <si>
    <t>王凯</t>
  </si>
  <si>
    <t>LFX573</t>
  </si>
  <si>
    <r>
      <t>2026/04/10</t>
    </r>
    <r>
      <rPr>
        <sz val="9"/>
        <color theme="1"/>
        <rFont val="微软雅黑"/>
        <family val="2"/>
        <charset val="134"/>
      </rPr>
      <t>借调</t>
    </r>
    <r>
      <rPr>
        <sz val="9"/>
        <color theme="1"/>
        <rFont val="Times New Roman"/>
        <family val="1"/>
      </rPr>
      <t>TJ4</t>
    </r>
    <phoneticPr fontId="64" type="noConversion"/>
  </si>
  <si>
    <t>刘太安</t>
  </si>
  <si>
    <t>FX2743</t>
  </si>
  <si>
    <r>
      <t>2026/04/14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TJ4</t>
    </r>
    <phoneticPr fontId="64" type="noConversion"/>
  </si>
  <si>
    <t>张文胜</t>
  </si>
  <si>
    <t>ALS16211</t>
  </si>
  <si>
    <t>袁辰宇</t>
  </si>
  <si>
    <t>ALS16194</t>
  </si>
  <si>
    <t>王泽</t>
  </si>
  <si>
    <t>FX2809</t>
  </si>
  <si>
    <t>石教炀</t>
  </si>
  <si>
    <t>ALS15575</t>
  </si>
  <si>
    <t>李成著</t>
  </si>
  <si>
    <t>ALS16412</t>
  </si>
  <si>
    <t>姜国彪</t>
  </si>
  <si>
    <t>ALS16458</t>
  </si>
  <si>
    <t>史震</t>
  </si>
  <si>
    <t>ALS16321</t>
  </si>
  <si>
    <t>姜晓超</t>
  </si>
  <si>
    <t>ALS16463</t>
  </si>
  <si>
    <t>刘阳</t>
  </si>
  <si>
    <t>ALS16296</t>
  </si>
  <si>
    <t>刘涛</t>
  </si>
  <si>
    <t>ALS16299</t>
  </si>
  <si>
    <t>樊宇康</t>
  </si>
  <si>
    <t>ALS16300</t>
  </si>
  <si>
    <t>杜子赫</t>
  </si>
  <si>
    <t>ALS15922</t>
  </si>
  <si>
    <t>李思辰</t>
  </si>
  <si>
    <t>ALS15920</t>
  </si>
  <si>
    <t>夏宇鑫</t>
  </si>
  <si>
    <t>ALS15921</t>
  </si>
  <si>
    <t>苏登鑫</t>
  </si>
  <si>
    <t>ALS16298</t>
  </si>
  <si>
    <t>张启新</t>
  </si>
  <si>
    <t>ALS16297</t>
  </si>
  <si>
    <t>邢文涛</t>
  </si>
  <si>
    <t>ALS16293</t>
  </si>
  <si>
    <t>褚臻旺</t>
  </si>
  <si>
    <t>ALS16274</t>
  </si>
  <si>
    <t>于德喆</t>
  </si>
  <si>
    <t>ALS16271</t>
  </si>
  <si>
    <t>浦晓杰</t>
  </si>
  <si>
    <t>ALS16266</t>
  </si>
  <si>
    <t>朱润旭</t>
  </si>
  <si>
    <t>ALS16268</t>
  </si>
  <si>
    <t>张骏宝</t>
  </si>
  <si>
    <t>ALS16250</t>
  </si>
  <si>
    <t>赵佳明</t>
  </si>
  <si>
    <t>ALS16249</t>
  </si>
  <si>
    <t>易泽海</t>
  </si>
  <si>
    <t>ALS16454</t>
  </si>
  <si>
    <t>张斌</t>
  </si>
  <si>
    <t>ALS16455</t>
  </si>
  <si>
    <t>何华彬</t>
  </si>
  <si>
    <t>ALS16452</t>
  </si>
  <si>
    <t>吕天奇</t>
  </si>
  <si>
    <t>ALS16399</t>
  </si>
  <si>
    <t>秦绘其</t>
  </si>
  <si>
    <t>ALS16422</t>
  </si>
  <si>
    <t>陈睿泽</t>
  </si>
  <si>
    <t>ALS16396</t>
  </si>
  <si>
    <t>贲泽涛</t>
  </si>
  <si>
    <t>ALS16435</t>
  </si>
  <si>
    <t>秦晶</t>
  </si>
  <si>
    <t>ALS16419</t>
  </si>
  <si>
    <t>鲍逢瑞</t>
  </si>
  <si>
    <t>ALS16270</t>
  </si>
  <si>
    <t>胡建勋</t>
  </si>
  <si>
    <t>ALS16324</t>
  </si>
  <si>
    <t>王鑫</t>
  </si>
  <si>
    <t>ALS15608</t>
  </si>
  <si>
    <t>张屹</t>
  </si>
  <si>
    <t>ALS15726</t>
  </si>
  <si>
    <t>宋飞</t>
  </si>
  <si>
    <t>ALS15730</t>
  </si>
  <si>
    <t>张景超</t>
  </si>
  <si>
    <t>ALS15789</t>
  </si>
  <si>
    <t>牛泽林</t>
  </si>
  <si>
    <t>ALS15858</t>
  </si>
  <si>
    <t>洪宇</t>
  </si>
  <si>
    <t>ALS15861</t>
  </si>
  <si>
    <t>来义凡</t>
  </si>
  <si>
    <t>ALS15864</t>
  </si>
  <si>
    <t>王呈相</t>
  </si>
  <si>
    <t>ALS16260</t>
  </si>
  <si>
    <t>王子乾</t>
  </si>
  <si>
    <t>ALS16257</t>
  </si>
  <si>
    <t>潘恩阳</t>
  </si>
  <si>
    <t>ALS16258</t>
  </si>
  <si>
    <t>王增辉</t>
  </si>
  <si>
    <t>ALS16278</t>
  </si>
  <si>
    <t>蔡宗超</t>
  </si>
  <si>
    <t>ALS16254</t>
  </si>
  <si>
    <t>史晋玮</t>
  </si>
  <si>
    <t>ALS16294</t>
  </si>
  <si>
    <t>赵鹏</t>
  </si>
  <si>
    <t>ALS16462</t>
  </si>
  <si>
    <t>吕嘉鑫</t>
  </si>
  <si>
    <t>ALS16460</t>
  </si>
  <si>
    <t>唐啸天</t>
  </si>
  <si>
    <t>ALS16417</t>
  </si>
  <si>
    <t>李昊楠</t>
  </si>
  <si>
    <t>ALS16418</t>
  </si>
  <si>
    <t>骞国良</t>
  </si>
  <si>
    <t>ALS16424</t>
  </si>
  <si>
    <t>陈博</t>
  </si>
  <si>
    <t>ALS16403</t>
  </si>
  <si>
    <t>姚远</t>
  </si>
  <si>
    <t>ALS16425</t>
  </si>
  <si>
    <t>孙德鑫</t>
  </si>
  <si>
    <t>ALS16426</t>
  </si>
  <si>
    <t>马铭健</t>
  </si>
  <si>
    <t>ALS16440</t>
  </si>
  <si>
    <t>戚永春</t>
  </si>
  <si>
    <t>ALS16402</t>
  </si>
  <si>
    <t>郝保伦</t>
  </si>
  <si>
    <t>ALS16430</t>
  </si>
  <si>
    <t>张家旺</t>
  </si>
  <si>
    <t>ALS16302</t>
  </si>
  <si>
    <t>李华鹏</t>
  </si>
  <si>
    <t>ALS16303</t>
  </si>
  <si>
    <r>
      <t>2026/04/01</t>
    </r>
    <r>
      <rPr>
        <sz val="9"/>
        <color theme="1"/>
        <rFont val="微软雅黑"/>
        <family val="2"/>
        <charset val="134"/>
      </rPr>
      <t>借调</t>
    </r>
    <r>
      <rPr>
        <sz val="9"/>
        <color theme="1"/>
        <rFont val="Times New Roman"/>
        <family val="1"/>
      </rPr>
      <t>TJ4</t>
    </r>
    <phoneticPr fontId="64" type="noConversion"/>
  </si>
  <si>
    <r>
      <t>2026/4/8</t>
    </r>
    <r>
      <rPr>
        <sz val="9"/>
        <color theme="1"/>
        <rFont val="微软雅黑"/>
        <family val="2"/>
        <charset val="134"/>
      </rPr>
      <t>返回</t>
    </r>
    <r>
      <rPr>
        <sz val="9"/>
        <color theme="1"/>
        <rFont val="Times New Roman"/>
        <family val="1"/>
      </rPr>
      <t>TJ4</t>
    </r>
    <phoneticPr fontId="64" type="noConversion"/>
  </si>
  <si>
    <r>
      <t>2026/4/10</t>
    </r>
    <r>
      <rPr>
        <sz val="9"/>
        <color theme="1"/>
        <rFont val="微软雅黑"/>
        <family val="2"/>
        <charset val="134"/>
      </rPr>
      <t>返回</t>
    </r>
    <r>
      <rPr>
        <sz val="9"/>
        <color theme="1"/>
        <rFont val="Times New Roman"/>
        <family val="1"/>
      </rPr>
      <t>TJ4</t>
    </r>
    <phoneticPr fontId="64" type="noConversion"/>
  </si>
  <si>
    <t>郭帅鹏</t>
  </si>
  <si>
    <t>ALS16305</t>
  </si>
  <si>
    <t>金鹏</t>
  </si>
  <si>
    <t>ALS16445</t>
  </si>
  <si>
    <t>魏希哲</t>
  </si>
  <si>
    <t>ALS15698</t>
  </si>
  <si>
    <t>张瑞</t>
  </si>
  <si>
    <t>ALS15566</t>
  </si>
  <si>
    <t>刘仁杰</t>
  </si>
  <si>
    <t>ALS16309</t>
  </si>
  <si>
    <t>王冰</t>
  </si>
  <si>
    <t>ALS16318</t>
  </si>
  <si>
    <t>罗泽泉</t>
  </si>
  <si>
    <t>ALS16320</t>
  </si>
  <si>
    <t>苏家和</t>
  </si>
  <si>
    <t>ALS16316</t>
  </si>
  <si>
    <t>李东红</t>
  </si>
  <si>
    <t>ALS16386</t>
  </si>
  <si>
    <t>吴敬艺</t>
  </si>
  <si>
    <t>ALS16383</t>
  </si>
  <si>
    <t>赵翌凯</t>
  </si>
  <si>
    <t>ALS16382</t>
  </si>
  <si>
    <t>滑北</t>
  </si>
  <si>
    <t>ALS16405</t>
  </si>
  <si>
    <t>仉中旭</t>
  </si>
  <si>
    <t>ALS16404</t>
  </si>
  <si>
    <t>白鹏宇</t>
  </si>
  <si>
    <t>ALS16434</t>
  </si>
  <si>
    <t>张佳佳</t>
  </si>
  <si>
    <t>ALS15926</t>
  </si>
  <si>
    <t>战程明</t>
  </si>
  <si>
    <t>ALS16380</t>
  </si>
  <si>
    <t>申康凡</t>
  </si>
  <si>
    <t>ALS16336</t>
  </si>
  <si>
    <t>曾思源</t>
  </si>
  <si>
    <t>ALS16394</t>
  </si>
  <si>
    <t>梁世杨</t>
  </si>
  <si>
    <t>ALS16413</t>
  </si>
  <si>
    <t>李天亮</t>
  </si>
  <si>
    <t>ALS16323</t>
  </si>
  <si>
    <t>王铮</t>
  </si>
  <si>
    <t>ALS16267</t>
  </si>
  <si>
    <t>刘瑞峰</t>
  </si>
  <si>
    <t>ALS16325</t>
  </si>
  <si>
    <t>吴海啸</t>
  </si>
  <si>
    <t>ALS16279</t>
  </si>
  <si>
    <t>李梦洋</t>
  </si>
  <si>
    <t>ALS16277</t>
  </si>
  <si>
    <t>郗申腾</t>
  </si>
  <si>
    <t>ALS16427</t>
  </si>
  <si>
    <t>邢一丁</t>
  </si>
  <si>
    <t>ALS16429</t>
  </si>
  <si>
    <t>田校瑜</t>
  </si>
  <si>
    <t>ALS16251</t>
  </si>
  <si>
    <t>杨佳瑄</t>
  </si>
  <si>
    <t>ALS16310</t>
  </si>
  <si>
    <t>倪以鹏</t>
  </si>
  <si>
    <t>ALS16441</t>
  </si>
  <si>
    <t>李名浩</t>
  </si>
  <si>
    <t>ALS16450</t>
  </si>
  <si>
    <t>林煌</t>
  </si>
  <si>
    <t>ALS16428</t>
  </si>
  <si>
    <t>李文学</t>
  </si>
  <si>
    <t>ALS16348</t>
  </si>
  <si>
    <t>张智楠</t>
  </si>
  <si>
    <t>AMT0122</t>
  </si>
  <si>
    <t>师傅 陈玉慧；调实验室学习制备</t>
  </si>
  <si>
    <t>师傅 皮轶杰；调实验室学习制备</t>
  </si>
  <si>
    <t>师傅 王城；调实验室学习制备</t>
  </si>
  <si>
    <t>师傅 宁海龙；调实验室学习制备</t>
  </si>
  <si>
    <t>师傅 张鹏飞；调实验室学习制备</t>
  </si>
  <si>
    <t>调生产设备部的不用管，调实验室的备注，调TJ1的加到TJ1核算表中</t>
    <phoneticPr fontId="12" type="noConversion"/>
  </si>
  <si>
    <r>
      <t>2026/03/31</t>
    </r>
    <r>
      <rPr>
        <sz val="9"/>
        <color theme="1"/>
        <rFont val="微软雅黑"/>
        <family val="2"/>
        <charset val="134"/>
      </rPr>
      <t>借调工程投资部</t>
    </r>
    <phoneticPr fontId="64" type="noConversion"/>
  </si>
  <si>
    <t>核对2</t>
    <phoneticPr fontId="12" type="noConversion"/>
  </si>
  <si>
    <t>核对1</t>
    <phoneticPr fontId="12" type="noConversion"/>
  </si>
  <si>
    <t>4#楼1&amp;2车间：田志勇 </t>
  </si>
  <si>
    <t>4#楼3&amp;4车间： 刘磊</t>
  </si>
  <si>
    <t>11#楼CNC车间：门学友</t>
  </si>
  <si>
    <t>5号楼：冯恩利</t>
  </si>
  <si>
    <t>12号楼：代海鑫</t>
  </si>
  <si>
    <t>验证组 / DCS / 电子设备维护 / 合规&amp;培训 ： 刘亚南</t>
  </si>
  <si>
    <t xml:space="preserve">环保设备设施 ：刘文龙 </t>
  </si>
  <si>
    <t>清洗组： 陈正兴</t>
  </si>
  <si>
    <r>
      <t>11#楼D级区：梁光强</t>
    </r>
    <r>
      <rPr>
        <sz val="11"/>
        <color theme="1"/>
        <rFont val="宋体"/>
        <family val="3"/>
        <charset val="134"/>
        <scheme val="minor"/>
      </rPr>
      <t>/</t>
    </r>
    <r>
      <rPr>
        <sz val="11"/>
        <color rgb="FFFF0000"/>
        <rFont val="宋体"/>
        <family val="3"/>
        <charset val="134"/>
        <scheme val="minor"/>
      </rPr>
      <t>李晓刚</t>
    </r>
    <phoneticPr fontId="65" type="noConversion"/>
  </si>
  <si>
    <t>王荣齐</t>
    <phoneticPr fontId="12" type="noConversion"/>
  </si>
  <si>
    <t>刘其琛</t>
    <phoneticPr fontId="65" type="noConversion"/>
  </si>
  <si>
    <t>杜永宝</t>
    <phoneticPr fontId="65" type="noConversion"/>
  </si>
  <si>
    <t>魏鹏</t>
    <phoneticPr fontId="65" type="noConversion"/>
  </si>
  <si>
    <t>姜彬</t>
    <phoneticPr fontId="65" type="noConversion"/>
  </si>
  <si>
    <t>刘亚南</t>
    <phoneticPr fontId="65" type="noConversion"/>
  </si>
  <si>
    <t>安全组</t>
    <phoneticPr fontId="65" type="noConversion"/>
  </si>
  <si>
    <t>李国清</t>
    <phoneticPr fontId="65" type="noConversion"/>
  </si>
  <si>
    <t>刘文龙</t>
    <phoneticPr fontId="65" type="noConversion"/>
  </si>
  <si>
    <t>蔡森</t>
    <phoneticPr fontId="65" type="noConversion"/>
  </si>
  <si>
    <t>李岩泽</t>
  </si>
  <si>
    <t>ALS16551</t>
  </si>
  <si>
    <t>顾庆洋</t>
  </si>
  <si>
    <t>ALS16550</t>
  </si>
  <si>
    <t>王旭鹏</t>
  </si>
  <si>
    <t>ALS16502</t>
  </si>
  <si>
    <t>陶猷鸿</t>
  </si>
  <si>
    <t>ALS16507</t>
  </si>
  <si>
    <t>ALS16503</t>
  </si>
  <si>
    <t>林永盛</t>
  </si>
  <si>
    <t>ALS16532</t>
  </si>
  <si>
    <t>杨乾圣</t>
  </si>
  <si>
    <t>ALS16555</t>
  </si>
  <si>
    <t>黄潮源</t>
  </si>
  <si>
    <t>ALS16559</t>
  </si>
  <si>
    <t>王广达</t>
  </si>
  <si>
    <t>ALS16553</t>
  </si>
  <si>
    <t>夏佳辉</t>
  </si>
  <si>
    <t>ALS16544</t>
  </si>
  <si>
    <t>武庆</t>
  </si>
  <si>
    <t>ALS16506</t>
  </si>
  <si>
    <t>高宏远</t>
  </si>
  <si>
    <t>ALS16530</t>
  </si>
  <si>
    <t>余奇兵</t>
  </si>
  <si>
    <t>ALS16558</t>
  </si>
  <si>
    <t>陶成成</t>
  </si>
  <si>
    <t>ALS16598</t>
  </si>
  <si>
    <t>王明双</t>
  </si>
  <si>
    <t>ALS16548</t>
  </si>
  <si>
    <t>杨方鑫</t>
  </si>
  <si>
    <t>ALS16504</t>
  </si>
  <si>
    <t>李俊杰</t>
  </si>
  <si>
    <t>ALS16538</t>
  </si>
  <si>
    <t>马春磊</t>
  </si>
  <si>
    <t>ALS16535</t>
  </si>
  <si>
    <t>王学政</t>
  </si>
  <si>
    <t>ALS16505</t>
  </si>
  <si>
    <t>杜余洋</t>
  </si>
  <si>
    <t>ALS16546</t>
  </si>
  <si>
    <t>王晨雨</t>
  </si>
  <si>
    <t>ALS16536</t>
  </si>
  <si>
    <t>韩宇航</t>
  </si>
  <si>
    <t>ALS16515</t>
  </si>
  <si>
    <t>张富荣</t>
  </si>
  <si>
    <t>ALS16510</t>
  </si>
  <si>
    <t>张陈重</t>
  </si>
  <si>
    <t>ALS16508</t>
  </si>
  <si>
    <t>谢龙凯</t>
  </si>
  <si>
    <t>ALS16480</t>
  </si>
  <si>
    <t>张攀</t>
  </si>
  <si>
    <t>ALS16501</t>
  </si>
  <si>
    <t>王林峰</t>
  </si>
  <si>
    <t>ALS16509</t>
  </si>
  <si>
    <t>董梓铭</t>
  </si>
  <si>
    <t>ALS16511</t>
  </si>
  <si>
    <t>李坤</t>
  </si>
  <si>
    <t>ALS16497</t>
  </si>
  <si>
    <t>杨文浩</t>
  </si>
  <si>
    <t>ALS16513</t>
  </si>
  <si>
    <t>王卓睿</t>
  </si>
  <si>
    <t>ALS16514</t>
  </si>
  <si>
    <t>郭权龙</t>
  </si>
  <si>
    <t>ALS16690</t>
  </si>
  <si>
    <t>王烨</t>
  </si>
  <si>
    <t>ALS16844</t>
  </si>
  <si>
    <t>王树超</t>
  </si>
  <si>
    <t>ALS16843</t>
  </si>
  <si>
    <t>张子豪</t>
  </si>
  <si>
    <t>ALS16631</t>
  </si>
  <si>
    <t>刘伟东</t>
  </si>
  <si>
    <t>ALS16611</t>
  </si>
  <si>
    <t>徐文凯</t>
  </si>
  <si>
    <t>ALS16612</t>
  </si>
  <si>
    <t>倪敬松</t>
  </si>
  <si>
    <t>ALS16842</t>
  </si>
  <si>
    <t>林康硕</t>
  </si>
  <si>
    <t>ALS16516</t>
  </si>
  <si>
    <t>吴有坤</t>
  </si>
  <si>
    <t>ALS16560</t>
  </si>
  <si>
    <t>杨阳</t>
  </si>
  <si>
    <t>ALS16565</t>
  </si>
  <si>
    <t>宋晶宁</t>
  </si>
  <si>
    <t>ALS16596</t>
  </si>
  <si>
    <t>孙嘉明</t>
  </si>
  <si>
    <t>ALS16597</t>
  </si>
  <si>
    <t>戴子舜</t>
  </si>
  <si>
    <t>ALS16564</t>
  </si>
  <si>
    <t>宿紫博</t>
  </si>
  <si>
    <t>ALS16622</t>
  </si>
  <si>
    <t>马云翔</t>
  </si>
  <si>
    <t>ALS16619</t>
  </si>
  <si>
    <t>蔡冀辉</t>
  </si>
  <si>
    <t>ALS16621</t>
  </si>
  <si>
    <t>曹锐</t>
  </si>
  <si>
    <t>ALS16620</t>
  </si>
  <si>
    <t>陈一波</t>
  </si>
  <si>
    <t>ALS16781</t>
  </si>
  <si>
    <t>孙炜迦</t>
  </si>
  <si>
    <t>ALS16768</t>
  </si>
  <si>
    <t>冯业</t>
  </si>
  <si>
    <t>ALS16819</t>
  </si>
  <si>
    <t>桑世杰</t>
  </si>
  <si>
    <t>ALS16853</t>
  </si>
  <si>
    <t>何源超</t>
  </si>
  <si>
    <t>ALS16858</t>
  </si>
  <si>
    <t>谢开元</t>
  </si>
  <si>
    <t>ALS16849</t>
  </si>
  <si>
    <t>薛蕴伟</t>
  </si>
  <si>
    <t>ALS16836</t>
  </si>
  <si>
    <t>李瑞轩</t>
  </si>
  <si>
    <t>ALS16854</t>
  </si>
  <si>
    <t>张存</t>
  </si>
  <si>
    <t>ALS16845</t>
  </si>
  <si>
    <t>张安</t>
  </si>
  <si>
    <t>ALS16848</t>
  </si>
  <si>
    <t>陈懿</t>
  </si>
  <si>
    <t>ALS16528</t>
  </si>
  <si>
    <t>金腾飞</t>
  </si>
  <si>
    <t>ALS16653</t>
  </si>
  <si>
    <t>车间副主任</t>
  </si>
  <si>
    <t>13号楼</t>
    <phoneticPr fontId="12" type="noConversion"/>
  </si>
  <si>
    <t>黄立</t>
  </si>
  <si>
    <t>ALS16729</t>
  </si>
  <si>
    <t>王富东</t>
  </si>
  <si>
    <t>ALS16738</t>
  </si>
  <si>
    <t>庞宇浩</t>
  </si>
  <si>
    <t>ALS16838</t>
  </si>
  <si>
    <t>李承东</t>
  </si>
  <si>
    <t>ALS16818</t>
  </si>
  <si>
    <t>ALS16855</t>
  </si>
  <si>
    <t>张一</t>
  </si>
  <si>
    <t>ALS16824</t>
  </si>
  <si>
    <t>备注</t>
    <phoneticPr fontId="12" type="noConversion"/>
  </si>
  <si>
    <t>ALS16563</t>
    <phoneticPr fontId="64" type="noConversion"/>
  </si>
  <si>
    <t>ALS16557</t>
    <phoneticPr fontId="64" type="noConversion"/>
  </si>
  <si>
    <t>ALS16567</t>
    <phoneticPr fontId="64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</si>
  <si>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代海鑫；</t>
    </r>
    <r>
      <rPr>
        <sz val="9"/>
        <color theme="1"/>
        <rFont val="Times New Roman"/>
        <family val="1"/>
      </rPr>
      <t>2026/05/06</t>
    </r>
    <r>
      <rPr>
        <sz val="9"/>
        <color theme="1"/>
        <rFont val="微软雅黑"/>
        <family val="2"/>
        <charset val="134"/>
      </rPr>
      <t>调实验室学习制备</t>
    </r>
    <phoneticPr fontId="64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</si>
  <si>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胡建勋；</t>
    </r>
    <r>
      <rPr>
        <sz val="9"/>
        <color theme="1"/>
        <rFont val="Times New Roman"/>
        <family val="1"/>
      </rPr>
      <t>2026/05/06</t>
    </r>
    <r>
      <rPr>
        <sz val="9"/>
        <color theme="1"/>
        <rFont val="微软雅黑"/>
        <family val="2"/>
        <charset val="134"/>
      </rPr>
      <t>调实验室学习制备</t>
    </r>
    <phoneticPr fontId="64" type="noConversion"/>
  </si>
  <si>
    <t>王奕轩</t>
  </si>
  <si>
    <t>ALS16590</t>
  </si>
  <si>
    <t>韩年</t>
  </si>
  <si>
    <t>ALS16592</t>
  </si>
  <si>
    <t>兰应斌</t>
  </si>
  <si>
    <t>ALS16823</t>
  </si>
  <si>
    <t>刘子骏</t>
  </si>
  <si>
    <t>ALS16602</t>
  </si>
  <si>
    <t>王圣德</t>
  </si>
  <si>
    <t>ALS16623</t>
  </si>
  <si>
    <t>梁证</t>
  </si>
  <si>
    <t>ALS16628</t>
  </si>
  <si>
    <t>安新豪</t>
  </si>
  <si>
    <t>ALS16604</t>
  </si>
  <si>
    <t>牛浩</t>
  </si>
  <si>
    <t>ALS16606</t>
  </si>
  <si>
    <t>郭军豪</t>
  </si>
  <si>
    <t>ALS16609</t>
  </si>
  <si>
    <t>ALS16601</t>
  </si>
  <si>
    <t>朱正阳</t>
  </si>
  <si>
    <t>ALS16617</t>
  </si>
  <si>
    <t>邵英强</t>
  </si>
  <si>
    <t>ALS16808</t>
  </si>
  <si>
    <t>李虎跃</t>
  </si>
  <si>
    <t>ALS14027</t>
  </si>
  <si>
    <t>ALS16846</t>
  </si>
  <si>
    <t>薛紫阳</t>
  </si>
  <si>
    <t>ALS16777</t>
  </si>
  <si>
    <t>宋艾崇</t>
  </si>
  <si>
    <t>ALS16813</t>
  </si>
  <si>
    <t>陈泽鹏</t>
  </si>
  <si>
    <t>ALS16468</t>
  </si>
  <si>
    <t>谢云凡</t>
  </si>
  <si>
    <t>ALS16740</t>
  </si>
  <si>
    <t>高英博</t>
  </si>
  <si>
    <t>ALS16769</t>
  </si>
  <si>
    <t>周文彬</t>
  </si>
  <si>
    <t>ALS16850</t>
  </si>
  <si>
    <t>朱治洋</t>
  </si>
  <si>
    <t>ALS16625</t>
  </si>
  <si>
    <t>ALS16491</t>
  </si>
  <si>
    <t>ALS16547</t>
    <phoneticPr fontId="64" type="noConversion"/>
  </si>
  <si>
    <t>ALS16552</t>
    <phoneticPr fontId="64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</si>
  <si>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杨欢；</t>
    </r>
    <r>
      <rPr>
        <sz val="9"/>
        <color theme="1"/>
        <rFont val="Times New Roman"/>
        <family val="1"/>
      </rPr>
      <t>2026/05/06</t>
    </r>
    <r>
      <rPr>
        <sz val="9"/>
        <color theme="1"/>
        <rFont val="微软雅黑"/>
        <family val="2"/>
        <charset val="134"/>
      </rPr>
      <t>调实验室学习制备</t>
    </r>
    <phoneticPr fontId="64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</si>
  <si>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吴秉泽；</t>
    </r>
    <r>
      <rPr>
        <sz val="9"/>
        <color theme="1"/>
        <rFont val="Times New Roman"/>
        <family val="1"/>
      </rPr>
      <t>2026/05/06</t>
    </r>
    <r>
      <rPr>
        <sz val="9"/>
        <color theme="1"/>
        <rFont val="微软雅黑"/>
        <family val="2"/>
        <charset val="134"/>
      </rPr>
      <t>调实验室学习制备</t>
    </r>
    <phoneticPr fontId="64" type="noConversion"/>
  </si>
  <si>
    <t>2025/10/27调实验室学习制备</t>
    <phoneticPr fontId="12" type="noConversion"/>
  </si>
  <si>
    <r>
      <t>外围/罐区/泵房：赵艳春/</t>
    </r>
    <r>
      <rPr>
        <sz val="11"/>
        <color rgb="FFFF0000"/>
        <rFont val="宋体"/>
        <family val="3"/>
        <charset val="134"/>
        <scheme val="minor"/>
      </rPr>
      <t>吴宗璇</t>
    </r>
    <phoneticPr fontId="65" type="noConversion"/>
  </si>
  <si>
    <t>13号楼（验证组委培）</t>
  </si>
  <si>
    <r>
      <rPr>
        <b/>
        <sz val="11"/>
        <rFont val="仿宋_GB2312"/>
        <family val="3"/>
        <charset val="134"/>
      </rPr>
      <t>姓名</t>
    </r>
  </si>
  <si>
    <r>
      <rPr>
        <sz val="9"/>
        <rFont val="微软雅黑"/>
        <family val="2"/>
        <charset val="134"/>
      </rPr>
      <t>郭硕</t>
    </r>
    <phoneticPr fontId="64" type="noConversion"/>
  </si>
  <si>
    <r>
      <rPr>
        <sz val="9"/>
        <rFont val="微软雅黑"/>
        <family val="2"/>
        <charset val="134"/>
      </rPr>
      <t>屈文强</t>
    </r>
    <phoneticPr fontId="64" type="noConversion"/>
  </si>
  <si>
    <r>
      <rPr>
        <sz val="9"/>
        <rFont val="微软雅黑"/>
        <family val="2"/>
        <charset val="134"/>
      </rPr>
      <t>助理工程师</t>
    </r>
    <phoneticPr fontId="64" type="noConversion"/>
  </si>
  <si>
    <r>
      <rPr>
        <sz val="9"/>
        <rFont val="微软雅黑"/>
        <family val="2"/>
        <charset val="134"/>
      </rPr>
      <t>刘恩铄</t>
    </r>
    <phoneticPr fontId="64" type="noConversion"/>
  </si>
  <si>
    <r>
      <rPr>
        <sz val="9"/>
        <rFont val="微软雅黑"/>
        <family val="2"/>
        <charset val="134"/>
      </rPr>
      <t>徐文博</t>
    </r>
    <phoneticPr fontId="64" type="noConversion"/>
  </si>
  <si>
    <r>
      <rPr>
        <sz val="9"/>
        <rFont val="微软雅黑"/>
        <family val="2"/>
        <charset val="134"/>
      </rPr>
      <t>谭龙</t>
    </r>
    <phoneticPr fontId="64" type="noConversion"/>
  </si>
  <si>
    <r>
      <rPr>
        <b/>
        <sz val="9"/>
        <rFont val="宋体"/>
        <family val="3"/>
        <charset val="134"/>
      </rPr>
      <t>各档位人群部分</t>
    </r>
  </si>
  <si>
    <t>张超</t>
  </si>
  <si>
    <t>ALS16950</t>
  </si>
  <si>
    <t>师傅 窦惠鹏；调实验室学习制备</t>
  </si>
  <si>
    <t>返校</t>
    <phoneticPr fontId="12" type="noConversion"/>
  </si>
  <si>
    <t>休病假</t>
    <phoneticPr fontId="12" type="noConversion"/>
  </si>
  <si>
    <r>
      <t>2026/07/02</t>
    </r>
    <r>
      <rPr>
        <sz val="9"/>
        <color theme="1"/>
        <rFont val="微软雅黑"/>
        <family val="2"/>
        <charset val="134"/>
      </rPr>
      <t>离职</t>
    </r>
    <phoneticPr fontId="64" type="noConversion"/>
  </si>
  <si>
    <r>
      <t>2026/06/30</t>
    </r>
    <r>
      <rPr>
        <sz val="9"/>
        <color theme="1"/>
        <rFont val="微软雅黑"/>
        <family val="2"/>
        <charset val="134"/>
      </rPr>
      <t>离职</t>
    </r>
    <phoneticPr fontId="64" type="noConversion"/>
  </si>
  <si>
    <t>2026/06/29离职</t>
    <phoneticPr fontId="64" type="noConversion"/>
  </si>
  <si>
    <t>2026/07/14离职</t>
    <phoneticPr fontId="64" type="noConversion"/>
  </si>
  <si>
    <r>
      <t>2026/07/14</t>
    </r>
    <r>
      <rPr>
        <sz val="9"/>
        <color theme="1"/>
        <rFont val="宋体"/>
        <family val="3"/>
        <charset val="134"/>
      </rPr>
      <t>离职</t>
    </r>
    <phoneticPr fontId="64" type="noConversion"/>
  </si>
  <si>
    <t>邱海涛</t>
  </si>
  <si>
    <t>ALS16517</t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</si>
  <si>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梁光强；</t>
    </r>
    <r>
      <rPr>
        <b/>
        <sz val="9"/>
        <color rgb="FFFF0000"/>
        <rFont val="微软雅黑"/>
        <family val="2"/>
        <charset val="134"/>
      </rPr>
      <t>校招实习生</t>
    </r>
    <phoneticPr fontId="64" type="noConversion"/>
  </si>
  <si>
    <t>张重阳</t>
  </si>
  <si>
    <t>ALS17057</t>
  </si>
  <si>
    <t>马守泽</t>
  </si>
  <si>
    <t>ALS14999</t>
  </si>
  <si>
    <t>周一玎</t>
  </si>
  <si>
    <t>ALS17073</t>
  </si>
  <si>
    <t>吴双</t>
  </si>
  <si>
    <t>ALS16952</t>
  </si>
  <si>
    <t>袁达标</t>
  </si>
  <si>
    <t>ALS17159</t>
  </si>
  <si>
    <t>高舰</t>
  </si>
  <si>
    <t>ALS17160</t>
  </si>
  <si>
    <r>
      <t>2026/04/01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2026/06/13</t>
    </r>
    <r>
      <rPr>
        <sz val="9"/>
        <color theme="1"/>
        <rFont val="微软雅黑"/>
        <family val="2"/>
        <charset val="134"/>
      </rPr>
      <t>返回</t>
    </r>
    <r>
      <rPr>
        <sz val="9"/>
        <color theme="1"/>
        <rFont val="Times New Roman"/>
        <family val="1"/>
      </rPr>
      <t>TJ4</t>
    </r>
    <phoneticPr fontId="64" type="noConversion"/>
  </si>
  <si>
    <t>郑时权</t>
  </si>
  <si>
    <t>ALS17004</t>
  </si>
  <si>
    <t>马健豪</t>
  </si>
  <si>
    <t>ALS16999</t>
  </si>
  <si>
    <t>熊子成</t>
  </si>
  <si>
    <t>ALS16976</t>
  </si>
  <si>
    <t>张福生</t>
  </si>
  <si>
    <t>ALS16991</t>
  </si>
  <si>
    <t>方尊昌</t>
  </si>
  <si>
    <t>ALS17313</t>
  </si>
  <si>
    <t>朱佳琦</t>
  </si>
  <si>
    <t>ALS17005</t>
  </si>
  <si>
    <t>崔涛</t>
  </si>
  <si>
    <t>ALS16861</t>
  </si>
  <si>
    <t>张浩锋</t>
  </si>
  <si>
    <t>ALS13003</t>
  </si>
  <si>
    <t>肖宏</t>
  </si>
  <si>
    <t>ALS15995</t>
  </si>
  <si>
    <t>毕帅博</t>
  </si>
  <si>
    <t>ALS16016</t>
  </si>
  <si>
    <t>李子信</t>
  </si>
  <si>
    <t>ALS16015</t>
  </si>
  <si>
    <t>徐通通</t>
  </si>
  <si>
    <t>ALS17309</t>
  </si>
  <si>
    <t>杨周杰</t>
  </si>
  <si>
    <t>ALS17310</t>
  </si>
  <si>
    <t>张黄睿俣</t>
  </si>
  <si>
    <t>ALS17307</t>
  </si>
  <si>
    <t>张晗旭</t>
  </si>
  <si>
    <t>ALS17311</t>
  </si>
  <si>
    <t>TJ3委培结束，2026/06/05返回TJ4</t>
  </si>
  <si>
    <t>张秩僮</t>
  </si>
  <si>
    <t>ALS16986</t>
  </si>
  <si>
    <t>齐宇航</t>
  </si>
  <si>
    <t>ALS16987</t>
  </si>
  <si>
    <t>焦文刚</t>
  </si>
  <si>
    <t>ALS16988</t>
  </si>
  <si>
    <t>李樾</t>
  </si>
  <si>
    <t>ALS16984</t>
  </si>
  <si>
    <t>唐晨皓</t>
  </si>
  <si>
    <t>ALS16983</t>
  </si>
  <si>
    <t>姜博</t>
  </si>
  <si>
    <t>ALS16018</t>
  </si>
  <si>
    <t>董建平</t>
  </si>
  <si>
    <t>ALS16347</t>
  </si>
  <si>
    <r>
      <t>TJ3</t>
    </r>
    <r>
      <rPr>
        <sz val="9"/>
        <rFont val="微软雅黑"/>
        <family val="2"/>
        <charset val="134"/>
      </rPr>
      <t>委培结束，</t>
    </r>
    <r>
      <rPr>
        <sz val="9"/>
        <rFont val="Times New Roman"/>
        <family val="1"/>
      </rPr>
      <t>2026/06/05</t>
    </r>
    <r>
      <rPr>
        <sz val="9"/>
        <rFont val="微软雅黑"/>
        <family val="2"/>
        <charset val="134"/>
      </rPr>
      <t>返回</t>
    </r>
    <r>
      <rPr>
        <sz val="9"/>
        <rFont val="Times New Roman"/>
        <family val="1"/>
      </rPr>
      <t>TJ4</t>
    </r>
    <phoneticPr fontId="64" type="noConversion"/>
  </si>
  <si>
    <t>付泽</t>
  </si>
  <si>
    <t>ALS16982</t>
  </si>
  <si>
    <t>李明宇</t>
  </si>
  <si>
    <t>ALS16013</t>
  </si>
  <si>
    <t>刘润泽</t>
  </si>
  <si>
    <t>ALS16074</t>
  </si>
  <si>
    <t>蒲忠孝</t>
  </si>
  <si>
    <t>ALS16014</t>
  </si>
  <si>
    <t>付童童</t>
  </si>
  <si>
    <t>ALS16859</t>
  </si>
  <si>
    <t>王景威</t>
  </si>
  <si>
    <t>ALS17164</t>
  </si>
  <si>
    <r>
      <t>13</t>
    </r>
    <r>
      <rPr>
        <sz val="9"/>
        <color theme="1"/>
        <rFont val="微软雅黑"/>
        <family val="2"/>
        <charset val="134"/>
      </rPr>
      <t>号楼（</t>
    </r>
    <r>
      <rPr>
        <sz val="9"/>
        <color theme="1"/>
        <rFont val="Times New Roman"/>
        <family val="1"/>
      </rPr>
      <t>12</t>
    </r>
    <r>
      <rPr>
        <sz val="9"/>
        <color theme="1"/>
        <rFont val="微软雅黑"/>
        <family val="2"/>
        <charset val="134"/>
      </rPr>
      <t>号楼委培）</t>
    </r>
    <phoneticPr fontId="64" type="noConversion"/>
  </si>
  <si>
    <t>孟霖峰</t>
  </si>
  <si>
    <t>ALS17125</t>
  </si>
  <si>
    <t>刘同斌</t>
  </si>
  <si>
    <t>ALS16993</t>
  </si>
  <si>
    <t>徐柏钰</t>
  </si>
  <si>
    <t>ALS17002</t>
  </si>
  <si>
    <t>班长</t>
    <phoneticPr fontId="12" type="noConversion"/>
  </si>
  <si>
    <t>龙偕</t>
  </si>
  <si>
    <t>ALS17025</t>
  </si>
  <si>
    <t>工程师</t>
    <phoneticPr fontId="12" type="noConversion"/>
  </si>
  <si>
    <t>朱建辉</t>
  </si>
  <si>
    <t>ALS17093</t>
  </si>
  <si>
    <t>侯浩坤</t>
  </si>
  <si>
    <t>ALS17112</t>
  </si>
  <si>
    <t>柏文科</t>
  </si>
  <si>
    <t>ALS17115</t>
  </si>
  <si>
    <t>张启浩</t>
  </si>
  <si>
    <t>ALS17117</t>
  </si>
  <si>
    <t>安照林</t>
  </si>
  <si>
    <t>ALS17016</t>
  </si>
  <si>
    <t>刘简</t>
  </si>
  <si>
    <t>ALS17018</t>
  </si>
  <si>
    <t>马军</t>
  </si>
  <si>
    <t>ALS17074</t>
  </si>
  <si>
    <t>宋京硕</t>
  </si>
  <si>
    <t>ALS17114</t>
  </si>
  <si>
    <t>翟鹏飞</t>
  </si>
  <si>
    <t>ALS17021</t>
  </si>
  <si>
    <t>李添翼</t>
  </si>
  <si>
    <t>ALS16784</t>
  </si>
  <si>
    <t>李智伟</t>
  </si>
  <si>
    <t>ALS16974</t>
  </si>
  <si>
    <t>樊世超</t>
  </si>
  <si>
    <t>ALS16978</t>
  </si>
  <si>
    <t>徐艳鹏</t>
  </si>
  <si>
    <t>ALS16973</t>
  </si>
  <si>
    <t>工程师</t>
    <phoneticPr fontId="64" type="noConversion"/>
  </si>
  <si>
    <t>刘振</t>
  </si>
  <si>
    <t>ALS16970</t>
  </si>
  <si>
    <t>阴策</t>
  </si>
  <si>
    <t>ALS16847</t>
  </si>
  <si>
    <t>陈维</t>
  </si>
  <si>
    <t>ALS15571</t>
  </si>
  <si>
    <r>
      <t>2026/02/26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2026/06/13</t>
    </r>
    <r>
      <rPr>
        <sz val="9"/>
        <color theme="1"/>
        <rFont val="微软雅黑"/>
        <family val="2"/>
        <charset val="134"/>
      </rPr>
      <t>返回</t>
    </r>
    <r>
      <rPr>
        <sz val="9"/>
        <color theme="1"/>
        <rFont val="Times New Roman"/>
        <family val="1"/>
      </rPr>
      <t>TJ4</t>
    </r>
    <phoneticPr fontId="64" type="noConversion"/>
  </si>
  <si>
    <t>狄帅鹏</t>
  </si>
  <si>
    <t>ALS16921</t>
  </si>
  <si>
    <t>田申</t>
  </si>
  <si>
    <t>ALS14192</t>
  </si>
  <si>
    <r>
      <t>2025/09/16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，</t>
    </r>
    <r>
      <rPr>
        <sz val="9"/>
        <color theme="1"/>
        <rFont val="Times New Roman"/>
        <family val="1"/>
      </rPr>
      <t>2026/06/12</t>
    </r>
    <r>
      <rPr>
        <sz val="9"/>
        <color theme="1"/>
        <rFont val="微软雅黑"/>
        <family val="2"/>
        <charset val="134"/>
      </rPr>
      <t>回</t>
    </r>
    <r>
      <rPr>
        <sz val="9"/>
        <color theme="1"/>
        <rFont val="Times New Roman"/>
        <family val="1"/>
      </rPr>
      <t>TJ4</t>
    </r>
    <phoneticPr fontId="64" type="noConversion"/>
  </si>
  <si>
    <t>赵坤</t>
  </si>
  <si>
    <t>ALS15996</t>
  </si>
  <si>
    <t>于海龙</t>
  </si>
  <si>
    <t>LFX592</t>
  </si>
  <si>
    <t>陆欢</t>
  </si>
  <si>
    <t>ALS16772</t>
  </si>
  <si>
    <t>蒋志涵</t>
  </si>
  <si>
    <t>ALS16932</t>
  </si>
  <si>
    <t>韩春笋</t>
  </si>
  <si>
    <t>ALS15084</t>
  </si>
  <si>
    <t>韩少斌</t>
  </si>
  <si>
    <t>ALS15204</t>
  </si>
  <si>
    <t>杨天鸿</t>
  </si>
  <si>
    <t>ALS15352</t>
  </si>
  <si>
    <t>张浩喆</t>
  </si>
  <si>
    <t>ALS17072</t>
  </si>
  <si>
    <t>廖志行</t>
  </si>
  <si>
    <t>ALS17124</t>
  </si>
  <si>
    <t>王正宇</t>
  </si>
  <si>
    <t>LFX570</t>
  </si>
  <si>
    <t>王逸繁</t>
  </si>
  <si>
    <t>ALS15572</t>
  </si>
  <si>
    <t>冯之杰</t>
  </si>
  <si>
    <t>ALS15027</t>
  </si>
  <si>
    <t>杨友民</t>
  </si>
  <si>
    <t>ALS16919</t>
  </si>
  <si>
    <t>李昊霖</t>
  </si>
  <si>
    <t>ALS17071</t>
  </si>
  <si>
    <t>刘青松</t>
  </si>
  <si>
    <t>ALS15028</t>
  </si>
  <si>
    <t>张旭浩</t>
  </si>
  <si>
    <t>ALS16867</t>
  </si>
  <si>
    <t>梁利乾</t>
  </si>
  <si>
    <t>ALS15097</t>
  </si>
  <si>
    <t>陈乔生</t>
  </si>
  <si>
    <t>ALS16968</t>
  </si>
  <si>
    <r>
      <t>2025/02/11</t>
    </r>
    <r>
      <rPr>
        <sz val="9"/>
        <color rgb="FF000000"/>
        <rFont val="微软雅黑"/>
        <family val="2"/>
        <charset val="134"/>
      </rPr>
      <t>调</t>
    </r>
    <r>
      <rPr>
        <sz val="9"/>
        <color rgb="FF000000"/>
        <rFont val="Times New Roman"/>
        <family val="1"/>
      </rPr>
      <t>TJ1</t>
    </r>
    <r>
      <rPr>
        <sz val="9"/>
        <color rgb="FF000000"/>
        <rFont val="微软雅黑"/>
        <family val="2"/>
        <charset val="134"/>
      </rPr>
      <t>；</t>
    </r>
    <r>
      <rPr>
        <sz val="9"/>
        <color rgb="FF000000"/>
        <rFont val="Times New Roman"/>
        <family val="1"/>
      </rPr>
      <t>2025/01/04</t>
    </r>
    <r>
      <rPr>
        <sz val="9"/>
        <color rgb="FF000000"/>
        <rFont val="微软雅黑"/>
        <family val="2"/>
        <charset val="134"/>
      </rPr>
      <t>回</t>
    </r>
    <r>
      <rPr>
        <sz val="9"/>
        <color rgb="FF000000"/>
        <rFont val="Times New Roman"/>
        <family val="1"/>
      </rPr>
      <t>TJ4</t>
    </r>
    <r>
      <rPr>
        <sz val="9"/>
        <color rgb="FF000000"/>
        <rFont val="微软雅黑"/>
        <family val="2"/>
        <charset val="134"/>
      </rPr>
      <t>；</t>
    </r>
    <r>
      <rPr>
        <sz val="9"/>
        <color rgb="FF000000"/>
        <rFont val="Times New Roman"/>
        <family val="1"/>
      </rPr>
      <t>2026/04/01</t>
    </r>
    <r>
      <rPr>
        <sz val="9"/>
        <color rgb="FF000000"/>
        <rFont val="微软雅黑"/>
        <family val="2"/>
        <charset val="134"/>
      </rPr>
      <t>调</t>
    </r>
    <r>
      <rPr>
        <sz val="9"/>
        <color rgb="FF000000"/>
        <rFont val="Times New Roman"/>
        <family val="1"/>
      </rPr>
      <t>TJ1</t>
    </r>
    <r>
      <rPr>
        <sz val="9"/>
        <color rgb="FF000000"/>
        <rFont val="微软雅黑"/>
        <family val="2"/>
        <charset val="134"/>
      </rPr>
      <t>；</t>
    </r>
    <r>
      <rPr>
        <sz val="9"/>
        <color rgb="FF000000"/>
        <rFont val="Times New Roman"/>
        <family val="1"/>
      </rPr>
      <t>2026/06/13</t>
    </r>
    <r>
      <rPr>
        <sz val="9"/>
        <color rgb="FF000000"/>
        <rFont val="微软雅黑"/>
        <family val="2"/>
        <charset val="134"/>
      </rPr>
      <t>返回</t>
    </r>
    <r>
      <rPr>
        <sz val="9"/>
        <color rgb="FF000000"/>
        <rFont val="Times New Roman"/>
        <family val="1"/>
      </rPr>
      <t>TJ4</t>
    </r>
    <phoneticPr fontId="64" type="noConversion"/>
  </si>
  <si>
    <r>
      <t>2026/06/13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TJ4</t>
    </r>
    <phoneticPr fontId="64" type="noConversion"/>
  </si>
  <si>
    <r>
      <t>2025/01/05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2026/06/13</t>
    </r>
    <r>
      <rPr>
        <sz val="9"/>
        <color theme="1"/>
        <rFont val="微软雅黑"/>
        <family val="2"/>
        <charset val="134"/>
      </rPr>
      <t>返回</t>
    </r>
    <r>
      <rPr>
        <sz val="9"/>
        <color theme="1"/>
        <rFont val="Times New Roman"/>
        <family val="1"/>
      </rPr>
      <t>TJ4</t>
    </r>
    <phoneticPr fontId="64" type="noConversion"/>
  </si>
  <si>
    <r>
      <t>2026/03/02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2026/06/13</t>
    </r>
    <r>
      <rPr>
        <sz val="9"/>
        <color theme="1"/>
        <rFont val="微软雅黑"/>
        <family val="2"/>
        <charset val="134"/>
      </rPr>
      <t>返回</t>
    </r>
    <r>
      <rPr>
        <sz val="9"/>
        <color theme="1"/>
        <rFont val="Times New Roman"/>
        <family val="1"/>
      </rPr>
      <t>TJ4</t>
    </r>
    <phoneticPr fontId="64" type="noConversion"/>
  </si>
  <si>
    <r>
      <t>2024/07/31</t>
    </r>
    <r>
      <rPr>
        <sz val="9"/>
        <color theme="1"/>
        <rFont val="微软雅黑"/>
        <family val="2"/>
        <charset val="134"/>
      </rPr>
      <t>去罐区</t>
    </r>
    <r>
      <rPr>
        <sz val="9"/>
        <color theme="1"/>
        <rFont val="Times New Roman"/>
        <family val="1"/>
      </rPr>
      <t>;2024/09/04</t>
    </r>
    <r>
      <rPr>
        <sz val="9"/>
        <color theme="1"/>
        <rFont val="微软雅黑"/>
        <family val="2"/>
        <charset val="134"/>
      </rPr>
      <t>回</t>
    </r>
    <r>
      <rPr>
        <sz val="9"/>
        <color theme="1"/>
        <rFont val="Times New Roman"/>
        <family val="1"/>
      </rPr>
      <t>11</t>
    </r>
    <r>
      <rPr>
        <sz val="9"/>
        <color theme="1"/>
        <rFont val="微软雅黑"/>
        <family val="2"/>
        <charset val="134"/>
      </rPr>
      <t>号楼</t>
    </r>
    <r>
      <rPr>
        <sz val="9"/>
        <color theme="1"/>
        <rFont val="Times New Roman"/>
        <family val="1"/>
      </rPr>
      <t>;2025/05/23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2025/11/17</t>
    </r>
    <r>
      <rPr>
        <sz val="9"/>
        <color theme="1"/>
        <rFont val="微软雅黑"/>
        <family val="2"/>
        <charset val="134"/>
      </rPr>
      <t>回</t>
    </r>
    <r>
      <rPr>
        <sz val="9"/>
        <color theme="1"/>
        <rFont val="Times New Roman"/>
        <family val="1"/>
      </rPr>
      <t>TJ4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2026/04/07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TJ1</t>
    </r>
    <phoneticPr fontId="64" type="noConversion"/>
  </si>
  <si>
    <r>
      <t>2026/03/02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2026/06/05</t>
    </r>
    <r>
      <rPr>
        <sz val="9"/>
        <color theme="1"/>
        <rFont val="微软雅黑"/>
        <family val="2"/>
        <charset val="134"/>
      </rPr>
      <t>返回</t>
    </r>
    <r>
      <rPr>
        <sz val="9"/>
        <color theme="1"/>
        <rFont val="Times New Roman"/>
        <family val="1"/>
      </rPr>
      <t>TJ4</t>
    </r>
    <phoneticPr fontId="64" type="noConversion"/>
  </si>
  <si>
    <r>
      <t>2026/04/04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；</t>
    </r>
    <r>
      <rPr>
        <sz val="9"/>
        <color theme="1"/>
        <rFont val="Times New Roman"/>
        <family val="1"/>
      </rPr>
      <t>2026/06/05</t>
    </r>
    <r>
      <rPr>
        <sz val="9"/>
        <color theme="1"/>
        <rFont val="微软雅黑"/>
        <family val="2"/>
        <charset val="134"/>
      </rPr>
      <t>返回</t>
    </r>
    <r>
      <rPr>
        <sz val="9"/>
        <color theme="1"/>
        <rFont val="Times New Roman"/>
        <family val="1"/>
      </rPr>
      <t>TJ4</t>
    </r>
    <phoneticPr fontId="64" type="noConversion"/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</si>
  <si>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唐广勇；</t>
    </r>
    <r>
      <rPr>
        <sz val="9"/>
        <color theme="1"/>
        <rFont val="Times New Roman"/>
        <family val="1"/>
      </rPr>
      <t>2026/03/02</t>
    </r>
    <r>
      <rPr>
        <sz val="9"/>
        <color theme="1"/>
        <rFont val="微软雅黑"/>
        <family val="2"/>
        <charset val="134"/>
      </rPr>
      <t>调</t>
    </r>
    <r>
      <rPr>
        <sz val="9"/>
        <color theme="1"/>
        <rFont val="Times New Roman"/>
        <family val="1"/>
      </rPr>
      <t>TJ1</t>
    </r>
    <r>
      <rPr>
        <sz val="9"/>
        <color theme="1"/>
        <rFont val="微软雅黑"/>
        <family val="2"/>
        <charset val="134"/>
      </rPr>
      <t>，已返回</t>
    </r>
    <phoneticPr fontId="64" type="noConversion"/>
  </si>
  <si>
    <t>杨振东</t>
  </si>
  <si>
    <t>ALS17081</t>
  </si>
  <si>
    <t>外围/罐区/泵房</t>
    <phoneticPr fontId="12" type="noConversion"/>
  </si>
  <si>
    <t>储龙涵</t>
  </si>
  <si>
    <t>ALS16969</t>
  </si>
  <si>
    <t>周铎</t>
  </si>
  <si>
    <t>ALS17058</t>
  </si>
  <si>
    <t>王紫衡</t>
  </si>
  <si>
    <t>ALS17054</t>
  </si>
  <si>
    <t>刘百威</t>
  </si>
  <si>
    <t>ALS17140</t>
  </si>
  <si>
    <t>李硕</t>
  </si>
  <si>
    <t>ALS17098</t>
  </si>
  <si>
    <t>李庆峙</t>
  </si>
  <si>
    <t>ALS16990</t>
  </si>
  <si>
    <t>祁鑫</t>
  </si>
  <si>
    <t>ALS16979</t>
  </si>
  <si>
    <t>庞昭</t>
  </si>
  <si>
    <t>ALS17113</t>
  </si>
  <si>
    <r>
      <rPr>
        <sz val="9"/>
        <color theme="1"/>
        <rFont val="微软雅黑"/>
        <family val="2"/>
        <charset val="134"/>
      </rPr>
      <t>师傅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微软雅黑"/>
        <family val="2"/>
        <charset val="134"/>
      </rPr>
      <t>胡春鹏；</t>
    </r>
    <r>
      <rPr>
        <sz val="9"/>
        <color theme="1"/>
        <rFont val="Times New Roman"/>
        <family val="1"/>
      </rPr>
      <t>2026/05/06</t>
    </r>
    <r>
      <rPr>
        <sz val="9"/>
        <color theme="1"/>
        <rFont val="微软雅黑"/>
        <family val="2"/>
        <charset val="134"/>
      </rPr>
      <t>调实验室学习制备；</t>
    </r>
    <r>
      <rPr>
        <sz val="9"/>
        <color theme="1"/>
        <rFont val="Times New Roman"/>
        <family val="1"/>
      </rPr>
      <t>13</t>
    </r>
    <r>
      <rPr>
        <sz val="9"/>
        <color theme="1"/>
        <rFont val="微软雅黑"/>
        <family val="2"/>
        <charset val="134"/>
      </rPr>
      <t>号楼（</t>
    </r>
    <r>
      <rPr>
        <sz val="9"/>
        <color theme="1"/>
        <rFont val="Times New Roman"/>
        <family val="1"/>
      </rPr>
      <t>12</t>
    </r>
    <r>
      <rPr>
        <sz val="9"/>
        <color theme="1"/>
        <rFont val="微软雅黑"/>
        <family val="2"/>
        <charset val="134"/>
      </rPr>
      <t>号楼委培）</t>
    </r>
    <phoneticPr fontId="64" type="noConversion"/>
  </si>
  <si>
    <t>ALS12990</t>
  </si>
  <si>
    <t>4号楼</t>
  </si>
  <si>
    <t>ALS13623</t>
  </si>
  <si>
    <t>ALS16049</t>
  </si>
  <si>
    <t>ALS10340</t>
  </si>
  <si>
    <t>11号楼CNC区域</t>
  </si>
  <si>
    <t>ALS0034</t>
  </si>
  <si>
    <t>13号楼（11号楼委培）</t>
  </si>
  <si>
    <t>LFX127</t>
  </si>
  <si>
    <t>11号楼D级区域</t>
  </si>
  <si>
    <t>ALS12615</t>
  </si>
  <si>
    <t>ALS12804</t>
  </si>
  <si>
    <t>ALS14875</t>
  </si>
  <si>
    <t>12号楼（11号楼委培）</t>
  </si>
  <si>
    <t>11号楼</t>
  </si>
  <si>
    <t>5号楼</t>
  </si>
  <si>
    <t>12号楼CNC区域</t>
  </si>
  <si>
    <t>12号楼D级区域</t>
  </si>
  <si>
    <t>13号楼（12号楼委培）</t>
  </si>
  <si>
    <t>12号楼中试</t>
  </si>
  <si>
    <t>ALS12705</t>
  </si>
  <si>
    <t>自控组</t>
  </si>
  <si>
    <t>DCS&amp;仪表组</t>
  </si>
  <si>
    <t>验证组</t>
  </si>
  <si>
    <t>计算机化设备保障组（4&amp;5号楼）</t>
  </si>
  <si>
    <t>11号楼（验证组委培）</t>
  </si>
  <si>
    <t>12号楼（验证组委培）</t>
  </si>
  <si>
    <t>LFX779</t>
  </si>
  <si>
    <t>计算机化设备保障组（11&amp;12号楼）</t>
  </si>
  <si>
    <t>4号楼1&amp;2车间（验证组委培）</t>
  </si>
  <si>
    <t>13号楼（5号楼委培）</t>
  </si>
  <si>
    <t>5号楼（验证组委培）</t>
  </si>
  <si>
    <t>培训&amp;合规&amp;审计组</t>
  </si>
  <si>
    <t>外围/罐区组</t>
  </si>
  <si>
    <t>环保设备设施组</t>
  </si>
  <si>
    <t>ALS15586</t>
  </si>
  <si>
    <t>清洗组（4号楼）</t>
  </si>
  <si>
    <t>清洗组（11号楼）</t>
  </si>
  <si>
    <t>清洗组（12号楼）</t>
  </si>
  <si>
    <t>清洗组（5号楼）</t>
  </si>
  <si>
    <t>清洗组（13号楼）</t>
  </si>
  <si>
    <t>黄杨洋</t>
    <phoneticPr fontId="12" type="noConversion"/>
  </si>
  <si>
    <t>ALS16855</t>
    <phoneticPr fontId="12" type="noConversion"/>
  </si>
  <si>
    <t>B</t>
    <phoneticPr fontId="64" type="noConversion"/>
  </si>
  <si>
    <t>C</t>
    <phoneticPr fontId="64" type="noConversion"/>
  </si>
  <si>
    <t>4号楼制备组：皮轶杰</t>
    <phoneticPr fontId="65" type="noConversion"/>
  </si>
  <si>
    <t>13号楼</t>
    <phoneticPr fontId="65" type="noConversion"/>
  </si>
  <si>
    <t>李子凯</t>
    <phoneticPr fontId="65" type="noConversion"/>
  </si>
  <si>
    <t>07月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</si>
</sst>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43" formatCode="_ * #,##0.00_ ;_ * \-#,##0.00_ ;_ * &quot;-&quot;??_ ;_ @_ "/>
    <numFmt numFmtId="176" formatCode="0%\~"/>
    <numFmt numFmtId="177" formatCode="0.0%"/>
    <numFmt numFmtId="178" formatCode="d"/>
    <numFmt numFmtId="179" formatCode="#,##0.00_ "/>
    <numFmt numFmtId="180" formatCode="&quot;￥&quot;#,##0_);[Red]\(&quot;￥&quot;#,##0\)"/>
    <numFmt numFmtId="181" formatCode="0_);[Red]\(0\)"/>
    <numFmt numFmtId="182" formatCode="&quot;￥&quot;#,##0;&quot;￥&quot;\-#,##0"/>
    <numFmt numFmtId="183" formatCode="yyyy&quot;年&quot;m&quot;月&quot;;@"/>
    <numFmt numFmtId="184" formatCode="0.00_);[Red]\(0.00\)"/>
    <numFmt numFmtId="185" formatCode="[$-804]aaaa;@"/>
    <numFmt numFmtId="186" formatCode="&quot;¥&quot;#,##0_);[Red]\(&quot;¥&quot;#,##0\)"/>
    <numFmt numFmtId="187" formatCode="yyyy/mm/dd"/>
  </numFmts>
  <fonts count="73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9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仿宋_GB2312"/>
      <family val="3"/>
      <charset val="134"/>
    </font>
    <font>
      <b/>
      <sz val="9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.5"/>
      <color rgb="FF000000"/>
      <name val="微软雅黑"/>
      <family val="2"/>
      <charset val="134"/>
    </font>
    <font>
      <sz val="10.5"/>
      <color rgb="FF0000FF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11"/>
      <color theme="1"/>
      <name val="Arial"/>
      <family val="2"/>
    </font>
    <font>
      <b/>
      <sz val="14"/>
      <name val="Arial"/>
      <family val="2"/>
    </font>
    <font>
      <sz val="10"/>
      <color theme="1"/>
      <name val="Times New Roman"/>
      <family val="1"/>
    </font>
    <font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b/>
      <sz val="14"/>
      <color rgb="FFFF0000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0"/>
      <name val="宋体"/>
      <family val="3"/>
      <charset val="134"/>
      <scheme val="minor"/>
    </font>
    <font>
      <sz val="9"/>
      <name val="Arial"/>
      <family val="2"/>
    </font>
    <font>
      <sz val="9"/>
      <color theme="1"/>
      <name val="宋体"/>
      <family val="3"/>
      <charset val="134"/>
    </font>
    <font>
      <sz val="9"/>
      <name val="宋体"/>
      <family val="3"/>
      <charset val="134"/>
    </font>
    <font>
      <b/>
      <sz val="11"/>
      <color theme="1"/>
      <name val="宋体"/>
      <family val="3"/>
      <charset val="134"/>
    </font>
    <font>
      <sz val="9"/>
      <name val="Times New Roman"/>
      <family val="1"/>
    </font>
    <font>
      <b/>
      <sz val="9"/>
      <color rgb="FF00B0F0"/>
      <name val="Times New Roman"/>
      <family val="1"/>
    </font>
    <font>
      <sz val="9"/>
      <color rgb="FFFF0000"/>
      <name val="Times New Roman"/>
      <family val="1"/>
    </font>
    <font>
      <b/>
      <sz val="10"/>
      <color rgb="FFFF00FF"/>
      <name val="Times New Roman"/>
      <family val="1"/>
    </font>
    <font>
      <b/>
      <sz val="11"/>
      <name val="仿宋_GB2312"/>
      <family val="3"/>
      <charset val="134"/>
    </font>
    <font>
      <sz val="10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2"/>
      <color theme="1"/>
      <name val="仿宋_GB2312"/>
      <family val="3"/>
      <charset val="134"/>
    </font>
    <font>
      <b/>
      <sz val="14"/>
      <name val="仿宋_GB2312"/>
      <family val="3"/>
      <charset val="134"/>
    </font>
    <font>
      <b/>
      <sz val="14"/>
      <color rgb="FFFF0000"/>
      <name val="仿宋_GB2312"/>
      <family val="3"/>
      <charset val="134"/>
    </font>
    <font>
      <sz val="1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name val="仿宋"/>
      <family val="3"/>
      <charset val="134"/>
    </font>
    <font>
      <b/>
      <sz val="10"/>
      <name val="Arial"/>
      <family val="2"/>
    </font>
    <font>
      <b/>
      <sz val="10"/>
      <name val="宋体"/>
      <family val="3"/>
      <charset val="134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1"/>
      <name val="仿宋"/>
      <family val="3"/>
      <charset val="134"/>
    </font>
    <font>
      <sz val="11"/>
      <color theme="1"/>
      <name val="宋体"/>
      <family val="2"/>
      <scheme val="minor"/>
    </font>
    <font>
      <b/>
      <sz val="9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9"/>
      <color rgb="FFFF0000"/>
      <name val="Arial"/>
      <family val="2"/>
    </font>
    <font>
      <sz val="9"/>
      <color rgb="FFFF0000"/>
      <name val="宋体"/>
      <family val="3"/>
      <charset val="134"/>
    </font>
    <font>
      <b/>
      <sz val="9"/>
      <color theme="1"/>
      <name val="微软雅黑"/>
      <family val="2"/>
      <charset val="134"/>
    </font>
    <font>
      <b/>
      <sz val="9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name val="微软雅黑"/>
      <family val="2"/>
      <charset val="134"/>
    </font>
    <font>
      <sz val="9"/>
      <color rgb="FFFF0000"/>
      <name val="微软雅黑"/>
      <family val="2"/>
      <charset val="134"/>
    </font>
    <font>
      <sz val="10"/>
      <name val="微软雅黑"/>
      <family val="2"/>
      <charset val="134"/>
    </font>
    <font>
      <sz val="10.5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9"/>
      <color rgb="FFFF0000"/>
      <name val="Times New Roman"/>
      <family val="1"/>
    </font>
    <font>
      <b/>
      <sz val="11"/>
      <name val="宋体"/>
      <family val="3"/>
      <charset val="134"/>
    </font>
    <font>
      <b/>
      <sz val="9"/>
      <color rgb="FFFF0000"/>
      <name val="微软雅黑"/>
      <family val="2"/>
      <charset val="134"/>
    </font>
    <font>
      <sz val="9"/>
      <color rgb="FF000000"/>
      <name val="Times New Roman"/>
      <family val="1"/>
    </font>
    <font>
      <sz val="9"/>
      <color rgb="FF000000"/>
      <name val="微软雅黑"/>
      <family val="2"/>
      <charset val="134"/>
    </font>
    <font>
      <sz val="10"/>
      <color rgb="FFFF0000"/>
      <name val="微软雅黑"/>
      <family val="2"/>
      <charset val="134"/>
    </font>
  </fonts>
  <fills count="1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84">
    <xf numFmtId="185" fontId="0" fillId="0" borderId="0"/>
    <xf numFmtId="185" fontId="34" fillId="0" borderId="0">
      <alignment vertical="center"/>
    </xf>
    <xf numFmtId="185" fontId="35" fillId="0" borderId="0"/>
    <xf numFmtId="185" fontId="35" fillId="0" borderId="0"/>
    <xf numFmtId="185" fontId="34" fillId="0" borderId="0">
      <alignment vertical="center"/>
    </xf>
    <xf numFmtId="185" fontId="34" fillId="0" borderId="0"/>
    <xf numFmtId="185" fontId="35" fillId="0" borderId="0">
      <alignment vertical="center"/>
    </xf>
    <xf numFmtId="185" fontId="35" fillId="10" borderId="0" applyNumberFormat="0" applyBorder="0" applyAlignment="0" applyProtection="0">
      <alignment vertical="center"/>
    </xf>
    <xf numFmtId="185" fontId="40" fillId="0" borderId="0"/>
    <xf numFmtId="185" fontId="35" fillId="0" borderId="0">
      <alignment vertical="center"/>
    </xf>
    <xf numFmtId="9" fontId="47" fillId="0" borderId="0" applyFont="0" applyFill="0" applyBorder="0" applyAlignment="0" applyProtection="0">
      <alignment vertical="center"/>
    </xf>
    <xf numFmtId="185" fontId="49" fillId="0" borderId="0"/>
    <xf numFmtId="185" fontId="35" fillId="0" borderId="0">
      <alignment vertical="center"/>
    </xf>
    <xf numFmtId="185" fontId="35" fillId="0" borderId="0">
      <alignment vertical="center"/>
    </xf>
    <xf numFmtId="185" fontId="49" fillId="0" borderId="0"/>
    <xf numFmtId="185" fontId="35" fillId="0" borderId="0"/>
    <xf numFmtId="185" fontId="39" fillId="0" borderId="0">
      <alignment vertical="center"/>
    </xf>
    <xf numFmtId="185" fontId="35" fillId="0" borderId="0">
      <alignment vertical="center"/>
    </xf>
    <xf numFmtId="185" fontId="34" fillId="0" borderId="0"/>
    <xf numFmtId="185" fontId="39" fillId="0" borderId="0">
      <alignment vertical="center"/>
    </xf>
    <xf numFmtId="185" fontId="34" fillId="0" borderId="0">
      <alignment vertical="center"/>
    </xf>
    <xf numFmtId="185" fontId="39" fillId="0" borderId="0">
      <alignment vertical="center"/>
    </xf>
    <xf numFmtId="185" fontId="34" fillId="0" borderId="0">
      <alignment vertical="top"/>
    </xf>
    <xf numFmtId="185" fontId="49" fillId="0" borderId="0"/>
    <xf numFmtId="9" fontId="35" fillId="0" borderId="0" applyFont="0" applyFill="0" applyBorder="0" applyAlignment="0" applyProtection="0">
      <alignment vertical="center"/>
    </xf>
    <xf numFmtId="185" fontId="35" fillId="0" borderId="0">
      <alignment vertical="center"/>
    </xf>
    <xf numFmtId="185" fontId="35" fillId="0" borderId="0"/>
    <xf numFmtId="185" fontId="35" fillId="0" borderId="0">
      <alignment vertical="center"/>
    </xf>
    <xf numFmtId="185" fontId="35" fillId="0" borderId="0"/>
    <xf numFmtId="185" fontId="35" fillId="0" borderId="0">
      <alignment vertical="center"/>
    </xf>
    <xf numFmtId="185" fontId="35" fillId="0" borderId="0">
      <alignment vertical="center"/>
    </xf>
    <xf numFmtId="185" fontId="35" fillId="0" borderId="0">
      <alignment vertical="center"/>
    </xf>
    <xf numFmtId="185" fontId="34" fillId="0" borderId="0">
      <alignment vertical="center"/>
    </xf>
    <xf numFmtId="185" fontId="35" fillId="0" borderId="0"/>
    <xf numFmtId="185" fontId="49" fillId="0" borderId="0"/>
    <xf numFmtId="185" fontId="35" fillId="0" borderId="0">
      <alignment vertical="center"/>
    </xf>
    <xf numFmtId="185" fontId="35" fillId="0" borderId="0">
      <alignment vertical="center"/>
    </xf>
    <xf numFmtId="185" fontId="35" fillId="0" borderId="0">
      <alignment vertical="center"/>
    </xf>
    <xf numFmtId="185" fontId="35" fillId="0" borderId="0"/>
    <xf numFmtId="185" fontId="49" fillId="0" borderId="0"/>
    <xf numFmtId="185" fontId="49" fillId="0" borderId="0"/>
    <xf numFmtId="185" fontId="49" fillId="0" borderId="0"/>
    <xf numFmtId="185" fontId="49" fillId="0" borderId="0"/>
    <xf numFmtId="185" fontId="49" fillId="0" borderId="0"/>
    <xf numFmtId="185" fontId="49" fillId="0" borderId="0"/>
    <xf numFmtId="185" fontId="49" fillId="0" borderId="0"/>
    <xf numFmtId="185" fontId="49" fillId="0" borderId="0"/>
    <xf numFmtId="185" fontId="49" fillId="0" borderId="0"/>
    <xf numFmtId="185" fontId="49" fillId="0" borderId="0"/>
    <xf numFmtId="185" fontId="49" fillId="0" borderId="0"/>
    <xf numFmtId="185" fontId="49" fillId="0" borderId="0"/>
    <xf numFmtId="185" fontId="49" fillId="0" borderId="0"/>
    <xf numFmtId="185" fontId="49" fillId="0" borderId="0"/>
    <xf numFmtId="185" fontId="49" fillId="0" borderId="0"/>
    <xf numFmtId="185" fontId="49" fillId="0" borderId="0"/>
    <xf numFmtId="185" fontId="49" fillId="0" borderId="0"/>
    <xf numFmtId="185" fontId="49" fillId="0" borderId="0"/>
    <xf numFmtId="185" fontId="49" fillId="0" borderId="0"/>
    <xf numFmtId="185" fontId="49" fillId="0" borderId="0"/>
    <xf numFmtId="185" fontId="49" fillId="0" borderId="0"/>
    <xf numFmtId="185" fontId="49" fillId="0" borderId="0"/>
    <xf numFmtId="43" fontId="49" fillId="0" borderId="0" applyFont="0" applyFill="0" applyBorder="0" applyAlignment="0" applyProtection="0">
      <alignment vertical="center"/>
    </xf>
    <xf numFmtId="185" fontId="34" fillId="0" borderId="0">
      <alignment vertical="center"/>
    </xf>
    <xf numFmtId="185" fontId="35" fillId="0" borderId="0"/>
    <xf numFmtId="185" fontId="35" fillId="0" borderId="0">
      <alignment vertical="center"/>
    </xf>
    <xf numFmtId="185" fontId="35" fillId="0" borderId="0"/>
    <xf numFmtId="185" fontId="35" fillId="0" borderId="0"/>
    <xf numFmtId="185" fontId="35" fillId="0" borderId="0">
      <alignment vertical="center"/>
    </xf>
    <xf numFmtId="185" fontId="35" fillId="0" borderId="0"/>
    <xf numFmtId="185" fontId="49" fillId="0" borderId="0"/>
    <xf numFmtId="185" fontId="35" fillId="0" borderId="0"/>
    <xf numFmtId="185" fontId="34" fillId="0" borderId="0">
      <alignment vertical="center"/>
    </xf>
    <xf numFmtId="185" fontId="39" fillId="0" borderId="0">
      <alignment vertical="center"/>
    </xf>
    <xf numFmtId="185" fontId="49" fillId="0" borderId="0"/>
    <xf numFmtId="185" fontId="49" fillId="0" borderId="0"/>
    <xf numFmtId="185" fontId="39" fillId="0" borderId="0">
      <alignment vertical="center"/>
    </xf>
    <xf numFmtId="185" fontId="49" fillId="0" borderId="0"/>
    <xf numFmtId="185" fontId="34" fillId="0" borderId="0"/>
    <xf numFmtId="185" fontId="35" fillId="0" borderId="0"/>
    <xf numFmtId="185" fontId="35" fillId="0" borderId="0"/>
    <xf numFmtId="185" fontId="49" fillId="0" borderId="0"/>
    <xf numFmtId="185" fontId="49" fillId="0" borderId="0"/>
    <xf numFmtId="185" fontId="35" fillId="0" borderId="0">
      <alignment vertical="center"/>
    </xf>
    <xf numFmtId="185" fontId="35" fillId="0" borderId="0">
      <alignment vertical="center"/>
    </xf>
    <xf numFmtId="185" fontId="49" fillId="0" borderId="0"/>
    <xf numFmtId="185" fontId="49" fillId="0" borderId="0"/>
    <xf numFmtId="185" fontId="49" fillId="0" borderId="0"/>
    <xf numFmtId="185" fontId="49" fillId="0" borderId="0"/>
    <xf numFmtId="185" fontId="35" fillId="0" borderId="0"/>
    <xf numFmtId="185" fontId="34" fillId="0" borderId="0">
      <alignment vertical="top"/>
    </xf>
    <xf numFmtId="185" fontId="34" fillId="0" borderId="0">
      <alignment vertical="center"/>
    </xf>
    <xf numFmtId="185" fontId="49" fillId="0" borderId="0"/>
    <xf numFmtId="185" fontId="35" fillId="0" borderId="0"/>
    <xf numFmtId="185" fontId="35" fillId="0" borderId="0">
      <alignment vertical="center"/>
    </xf>
    <xf numFmtId="185" fontId="49" fillId="0" borderId="0"/>
    <xf numFmtId="185" fontId="35" fillId="0" borderId="0"/>
    <xf numFmtId="185" fontId="49" fillId="0" borderId="0"/>
    <xf numFmtId="185" fontId="49" fillId="0" borderId="0"/>
    <xf numFmtId="185" fontId="49" fillId="0" borderId="0"/>
    <xf numFmtId="185" fontId="49" fillId="0" borderId="0"/>
    <xf numFmtId="185" fontId="49" fillId="0" borderId="0"/>
    <xf numFmtId="185" fontId="49" fillId="0" borderId="0"/>
    <xf numFmtId="185" fontId="49" fillId="0" borderId="0"/>
    <xf numFmtId="185" fontId="49" fillId="0" borderId="0"/>
    <xf numFmtId="185" fontId="49" fillId="0" borderId="0"/>
    <xf numFmtId="185" fontId="34" fillId="0" borderId="0">
      <alignment vertical="center"/>
    </xf>
    <xf numFmtId="185" fontId="35" fillId="0" borderId="0">
      <alignment vertical="center"/>
    </xf>
    <xf numFmtId="185" fontId="35" fillId="0" borderId="0">
      <alignment vertical="center"/>
    </xf>
    <xf numFmtId="185" fontId="35" fillId="0" borderId="0">
      <alignment vertical="center"/>
    </xf>
    <xf numFmtId="185" fontId="35" fillId="0" borderId="0">
      <alignment vertical="center"/>
    </xf>
    <xf numFmtId="185" fontId="35" fillId="0" borderId="0"/>
    <xf numFmtId="185" fontId="35" fillId="0" borderId="0">
      <alignment vertical="center"/>
    </xf>
    <xf numFmtId="185" fontId="35" fillId="0" borderId="0"/>
    <xf numFmtId="185" fontId="49" fillId="0" borderId="0"/>
    <xf numFmtId="185" fontId="34" fillId="0" borderId="0"/>
    <xf numFmtId="185" fontId="35" fillId="0" borderId="0">
      <alignment vertical="center"/>
    </xf>
    <xf numFmtId="185" fontId="39" fillId="0" borderId="0">
      <alignment vertical="center"/>
    </xf>
    <xf numFmtId="185" fontId="35" fillId="0" borderId="0"/>
    <xf numFmtId="185" fontId="49" fillId="0" borderId="0"/>
    <xf numFmtId="185" fontId="35" fillId="0" borderId="0">
      <alignment vertical="center"/>
    </xf>
    <xf numFmtId="185" fontId="35" fillId="0" borderId="0">
      <alignment vertical="center"/>
    </xf>
    <xf numFmtId="185" fontId="49" fillId="0" borderId="0"/>
    <xf numFmtId="185" fontId="49" fillId="0" borderId="0"/>
    <xf numFmtId="185" fontId="49" fillId="0" borderId="0"/>
    <xf numFmtId="185" fontId="35" fillId="0" borderId="0">
      <alignment vertical="center"/>
    </xf>
    <xf numFmtId="185" fontId="35" fillId="10" borderId="0" applyNumberFormat="0" applyBorder="0" applyAlignment="0" applyProtection="0">
      <alignment vertical="center"/>
    </xf>
    <xf numFmtId="185" fontId="35" fillId="0" borderId="0">
      <alignment vertical="center"/>
    </xf>
    <xf numFmtId="185" fontId="34" fillId="0" borderId="0">
      <alignment vertical="center"/>
    </xf>
    <xf numFmtId="185" fontId="35" fillId="0" borderId="0"/>
    <xf numFmtId="185" fontId="35" fillId="0" borderId="0"/>
    <xf numFmtId="185" fontId="35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43" fontId="1" fillId="0" borderId="0" applyFont="0" applyFill="0" applyBorder="0" applyAlignment="0" applyProtection="0">
      <alignment vertical="center"/>
    </xf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  <xf numFmtId="185" fontId="1" fillId="0" borderId="0"/>
  </cellStyleXfs>
  <cellXfs count="267">
    <xf numFmtId="185" fontId="0" fillId="0" borderId="0" xfId="0"/>
    <xf numFmtId="185" fontId="4" fillId="0" borderId="10" xfId="0" applyFont="1" applyFill="1" applyBorder="1" applyAlignment="1">
      <alignment horizontal="center" vertical="center"/>
    </xf>
    <xf numFmtId="185" fontId="6" fillId="2" borderId="1" xfId="0" applyFont="1" applyFill="1" applyBorder="1" applyAlignment="1">
      <alignment horizontal="center" vertical="center"/>
    </xf>
    <xf numFmtId="185" fontId="7" fillId="5" borderId="1" xfId="0" applyFont="1" applyFill="1" applyBorder="1" applyAlignment="1">
      <alignment horizontal="center" vertical="center"/>
    </xf>
    <xf numFmtId="185" fontId="8" fillId="0" borderId="1" xfId="0" applyFont="1" applyBorder="1" applyAlignment="1">
      <alignment horizontal="center" vertical="center"/>
    </xf>
    <xf numFmtId="182" fontId="8" fillId="0" borderId="1" xfId="0" applyNumberFormat="1" applyFont="1" applyBorder="1" applyAlignment="1">
      <alignment horizontal="center" vertical="center"/>
    </xf>
    <xf numFmtId="9" fontId="9" fillId="0" borderId="1" xfId="0" applyNumberFormat="1" applyFont="1" applyBorder="1" applyAlignment="1">
      <alignment horizontal="center" vertical="center"/>
    </xf>
    <xf numFmtId="185" fontId="10" fillId="0" borderId="0" xfId="0" applyFont="1" applyAlignment="1">
      <alignment horizontal="left" vertical="center"/>
    </xf>
    <xf numFmtId="185" fontId="11" fillId="0" borderId="0" xfId="0" applyFont="1" applyAlignment="1">
      <alignment horizontal="left" vertical="center"/>
    </xf>
    <xf numFmtId="185" fontId="14" fillId="0" borderId="0" xfId="0" applyFont="1" applyAlignment="1">
      <alignment horizontal="center"/>
    </xf>
    <xf numFmtId="185" fontId="14" fillId="0" borderId="0" xfId="0" applyFont="1"/>
    <xf numFmtId="181" fontId="14" fillId="0" borderId="0" xfId="0" applyNumberFormat="1" applyFont="1"/>
    <xf numFmtId="185" fontId="15" fillId="2" borderId="1" xfId="0" applyFont="1" applyFill="1" applyBorder="1" applyAlignment="1">
      <alignment horizontal="center" vertical="center"/>
    </xf>
    <xf numFmtId="181" fontId="15" fillId="2" borderId="1" xfId="0" applyNumberFormat="1" applyFont="1" applyFill="1" applyBorder="1" applyAlignment="1">
      <alignment horizontal="center" vertical="center"/>
    </xf>
    <xf numFmtId="185" fontId="16" fillId="0" borderId="1" xfId="0" applyFont="1" applyBorder="1" applyAlignment="1">
      <alignment horizontal="center" vertical="center"/>
    </xf>
    <xf numFmtId="185" fontId="17" fillId="0" borderId="1" xfId="0" applyFont="1" applyBorder="1" applyAlignment="1">
      <alignment horizontal="center" vertical="center"/>
    </xf>
    <xf numFmtId="185" fontId="18" fillId="0" borderId="1" xfId="0" applyFont="1" applyFill="1" applyBorder="1" applyAlignment="1">
      <alignment horizontal="center" vertical="center"/>
    </xf>
    <xf numFmtId="185" fontId="18" fillId="0" borderId="1" xfId="0" applyFont="1" applyBorder="1" applyAlignment="1">
      <alignment horizontal="center" vertical="center"/>
    </xf>
    <xf numFmtId="185" fontId="19" fillId="7" borderId="1" xfId="0" applyFont="1" applyFill="1" applyBorder="1" applyAlignment="1">
      <alignment horizontal="center" vertical="center" wrapText="1"/>
    </xf>
    <xf numFmtId="185" fontId="14" fillId="0" borderId="1" xfId="0" applyFont="1" applyBorder="1"/>
    <xf numFmtId="181" fontId="14" fillId="0" borderId="1" xfId="0" applyNumberFormat="1" applyFont="1" applyBorder="1"/>
    <xf numFmtId="185" fontId="20" fillId="3" borderId="1" xfId="0" applyFont="1" applyFill="1" applyBorder="1" applyAlignment="1">
      <alignment horizontal="center" vertical="center" wrapText="1"/>
    </xf>
    <xf numFmtId="185" fontId="21" fillId="2" borderId="15" xfId="0" applyFont="1" applyFill="1" applyBorder="1" applyAlignment="1">
      <alignment vertical="center"/>
    </xf>
    <xf numFmtId="185" fontId="22" fillId="2" borderId="1" xfId="0" applyFont="1" applyFill="1" applyBorder="1" applyAlignment="1">
      <alignment horizontal="center" vertical="center"/>
    </xf>
    <xf numFmtId="185" fontId="23" fillId="0" borderId="1" xfId="0" applyFont="1" applyBorder="1" applyAlignment="1">
      <alignment horizontal="center" vertical="center"/>
    </xf>
    <xf numFmtId="185" fontId="21" fillId="2" borderId="16" xfId="0" applyFont="1" applyFill="1" applyBorder="1" applyAlignment="1">
      <alignment vertical="center"/>
    </xf>
    <xf numFmtId="185" fontId="2" fillId="0" borderId="0" xfId="0" applyFont="1"/>
    <xf numFmtId="183" fontId="24" fillId="0" borderId="1" xfId="0" applyNumberFormat="1" applyFont="1" applyFill="1" applyBorder="1" applyAlignment="1">
      <alignment horizontal="center" vertical="center"/>
    </xf>
    <xf numFmtId="185" fontId="2" fillId="0" borderId="0" xfId="0" applyFont="1" applyAlignment="1">
      <alignment horizontal="center" vertical="center"/>
    </xf>
    <xf numFmtId="14" fontId="28" fillId="0" borderId="1" xfId="0" applyNumberFormat="1" applyFont="1" applyFill="1" applyBorder="1" applyAlignment="1">
      <alignment horizontal="center" vertical="center" wrapText="1"/>
    </xf>
    <xf numFmtId="182" fontId="30" fillId="0" borderId="1" xfId="0" applyNumberFormat="1" applyFont="1" applyFill="1" applyBorder="1" applyAlignment="1">
      <alignment horizontal="center" vertical="center"/>
    </xf>
    <xf numFmtId="176" fontId="4" fillId="0" borderId="18" xfId="0" applyNumberFormat="1" applyFont="1" applyFill="1" applyBorder="1" applyAlignment="1">
      <alignment horizontal="right" vertical="center"/>
    </xf>
    <xf numFmtId="176" fontId="4" fillId="0" borderId="21" xfId="0" applyNumberFormat="1" applyFont="1" applyFill="1" applyBorder="1" applyAlignment="1">
      <alignment horizontal="right" vertical="center"/>
    </xf>
    <xf numFmtId="182" fontId="2" fillId="3" borderId="0" xfId="0" applyNumberFormat="1" applyFont="1" applyFill="1" applyAlignment="1">
      <alignment horizontal="center" vertical="center"/>
    </xf>
    <xf numFmtId="182" fontId="2" fillId="0" borderId="0" xfId="0" applyNumberFormat="1" applyFont="1" applyAlignment="1">
      <alignment horizontal="center" vertical="center"/>
    </xf>
    <xf numFmtId="179" fontId="2" fillId="3" borderId="0" xfId="0" applyNumberFormat="1" applyFont="1" applyFill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185" fontId="45" fillId="0" borderId="0" xfId="0" applyFont="1"/>
    <xf numFmtId="185" fontId="45" fillId="0" borderId="0" xfId="0" applyFont="1" applyAlignment="1">
      <alignment vertical="center"/>
    </xf>
    <xf numFmtId="185" fontId="26" fillId="0" borderId="1" xfId="0" applyFont="1" applyFill="1" applyBorder="1" applyAlignment="1">
      <alignment horizontal="center" vertical="center"/>
    </xf>
    <xf numFmtId="185" fontId="46" fillId="0" borderId="0" xfId="0" applyFont="1" applyAlignment="1">
      <alignment horizontal="center" vertical="center"/>
    </xf>
    <xf numFmtId="185" fontId="44" fillId="0" borderId="16" xfId="0" applyFont="1" applyBorder="1" applyAlignment="1">
      <alignment horizontal="center" vertical="center"/>
    </xf>
    <xf numFmtId="185" fontId="45" fillId="0" borderId="16" xfId="0" applyFont="1" applyBorder="1" applyAlignment="1">
      <alignment horizontal="center" vertical="center"/>
    </xf>
    <xf numFmtId="185" fontId="36" fillId="2" borderId="4" xfId="0" applyFont="1" applyFill="1" applyBorder="1" applyAlignment="1">
      <alignment vertical="center"/>
    </xf>
    <xf numFmtId="185" fontId="0" fillId="0" borderId="0" xfId="0" applyAlignment="1">
      <alignment horizontal="left"/>
    </xf>
    <xf numFmtId="185" fontId="0" fillId="0" borderId="0" xfId="0" applyNumberFormat="1"/>
    <xf numFmtId="185" fontId="42" fillId="6" borderId="2" xfId="0" applyFont="1" applyFill="1" applyBorder="1" applyAlignment="1">
      <alignment horizontal="center" vertical="center" wrapText="1"/>
    </xf>
    <xf numFmtId="185" fontId="43" fillId="6" borderId="2" xfId="0" applyFont="1" applyFill="1" applyBorder="1" applyAlignment="1">
      <alignment horizontal="center" vertical="center" wrapText="1"/>
    </xf>
    <xf numFmtId="9" fontId="2" fillId="0" borderId="0" xfId="10" applyFont="1" applyAlignment="1">
      <alignment horizontal="center" vertical="center"/>
    </xf>
    <xf numFmtId="185" fontId="17" fillId="0" borderId="1" xfId="0" applyFont="1" applyFill="1" applyBorder="1" applyAlignment="1">
      <alignment horizontal="center" vertical="center"/>
    </xf>
    <xf numFmtId="177" fontId="2" fillId="0" borderId="0" xfId="10" applyNumberFormat="1" applyFont="1" applyAlignment="1"/>
    <xf numFmtId="185" fontId="2" fillId="0" borderId="0" xfId="10" applyNumberFormat="1" applyFont="1" applyAlignment="1"/>
    <xf numFmtId="185" fontId="48" fillId="0" borderId="1" xfId="0" applyFont="1" applyFill="1" applyBorder="1" applyAlignment="1">
      <alignment horizontal="center" vertical="center" wrapText="1"/>
    </xf>
    <xf numFmtId="9" fontId="2" fillId="0" borderId="0" xfId="10" applyFont="1" applyAlignment="1"/>
    <xf numFmtId="182" fontId="29" fillId="0" borderId="1" xfId="0" applyNumberFormat="1" applyFont="1" applyFill="1" applyBorder="1" applyAlignment="1">
      <alignment horizontal="center" vertical="center"/>
    </xf>
    <xf numFmtId="9" fontId="28" fillId="0" borderId="1" xfId="0" applyNumberFormat="1" applyFont="1" applyFill="1" applyBorder="1" applyAlignment="1">
      <alignment horizontal="center" vertical="center" wrapText="1"/>
    </xf>
    <xf numFmtId="182" fontId="4" fillId="0" borderId="1" xfId="0" applyNumberFormat="1" applyFont="1" applyFill="1" applyBorder="1" applyAlignment="1">
      <alignment horizontal="center" vertical="center"/>
    </xf>
    <xf numFmtId="184" fontId="4" fillId="0" borderId="1" xfId="0" applyNumberFormat="1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/>
    </xf>
    <xf numFmtId="184" fontId="4" fillId="0" borderId="1" xfId="0" applyNumberFormat="1" applyFont="1" applyFill="1" applyBorder="1" applyAlignment="1">
      <alignment horizontal="center" vertical="center" wrapText="1"/>
    </xf>
    <xf numFmtId="185" fontId="35" fillId="0" borderId="0" xfId="0" applyFont="1" applyAlignment="1">
      <alignment horizontal="left"/>
    </xf>
    <xf numFmtId="185" fontId="4" fillId="0" borderId="1" xfId="0" applyFont="1" applyFill="1" applyBorder="1" applyAlignment="1">
      <alignment horizontal="center" vertical="center"/>
    </xf>
    <xf numFmtId="9" fontId="2" fillId="3" borderId="0" xfId="10" applyNumberFormat="1" applyFont="1" applyFill="1" applyAlignment="1">
      <alignment horizontal="center" vertical="center"/>
    </xf>
    <xf numFmtId="185" fontId="48" fillId="0" borderId="1" xfId="0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0" fontId="4" fillId="0" borderId="1" xfId="0" applyNumberFormat="1" applyFont="1" applyFill="1" applyBorder="1" applyAlignment="1">
      <alignment horizontal="center" vertical="center" wrapText="1"/>
    </xf>
    <xf numFmtId="185" fontId="41" fillId="0" borderId="1" xfId="0" applyFont="1" applyFill="1" applyBorder="1" applyAlignment="1">
      <alignment vertical="center" wrapText="1"/>
    </xf>
    <xf numFmtId="185" fontId="5" fillId="5" borderId="1" xfId="0" applyFont="1" applyFill="1" applyBorder="1" applyAlignment="1">
      <alignment horizontal="center" vertical="center"/>
    </xf>
    <xf numFmtId="185" fontId="6" fillId="5" borderId="1" xfId="0" applyFont="1" applyFill="1" applyBorder="1" applyAlignment="1">
      <alignment horizontal="center" vertical="center" wrapText="1"/>
    </xf>
    <xf numFmtId="185" fontId="5" fillId="5" borderId="1" xfId="0" applyFont="1" applyFill="1" applyBorder="1" applyAlignment="1">
      <alignment horizontal="center" vertical="center" wrapText="1"/>
    </xf>
    <xf numFmtId="185" fontId="32" fillId="3" borderId="1" xfId="0" applyFont="1" applyFill="1" applyBorder="1" applyAlignment="1">
      <alignment horizontal="center" vertical="center" wrapText="1"/>
    </xf>
    <xf numFmtId="185" fontId="27" fillId="5" borderId="1" xfId="0" applyFont="1" applyFill="1" applyBorder="1" applyAlignment="1">
      <alignment horizontal="center" vertical="center" wrapText="1"/>
    </xf>
    <xf numFmtId="185" fontId="27" fillId="3" borderId="1" xfId="0" applyFont="1" applyFill="1" applyBorder="1" applyAlignment="1">
      <alignment horizontal="center" vertical="center" wrapText="1"/>
    </xf>
    <xf numFmtId="185" fontId="4" fillId="0" borderId="24" xfId="0" applyFont="1" applyBorder="1" applyAlignment="1">
      <alignment horizontal="center" vertical="center"/>
    </xf>
    <xf numFmtId="185" fontId="4" fillId="9" borderId="24" xfId="0" applyFont="1" applyFill="1" applyBorder="1" applyAlignment="1">
      <alignment horizontal="center" vertical="center"/>
    </xf>
    <xf numFmtId="185" fontId="4" fillId="0" borderId="5" xfId="0" applyFont="1" applyFill="1" applyBorder="1" applyAlignment="1">
      <alignment vertical="center" wrapText="1"/>
    </xf>
    <xf numFmtId="185" fontId="4" fillId="0" borderId="6" xfId="0" applyFont="1" applyFill="1" applyBorder="1" applyAlignment="1">
      <alignment vertical="center" wrapText="1"/>
    </xf>
    <xf numFmtId="14" fontId="30" fillId="0" borderId="1" xfId="0" applyNumberFormat="1" applyFont="1" applyFill="1" applyBorder="1" applyAlignment="1">
      <alignment horizontal="center" vertical="center" wrapText="1"/>
    </xf>
    <xf numFmtId="185" fontId="51" fillId="3" borderId="1" xfId="0" applyFont="1" applyFill="1" applyBorder="1" applyAlignment="1">
      <alignment horizontal="center" vertical="center"/>
    </xf>
    <xf numFmtId="182" fontId="52" fillId="3" borderId="0" xfId="0" applyNumberFormat="1" applyFont="1" applyFill="1" applyAlignment="1">
      <alignment horizontal="center" vertical="center"/>
    </xf>
    <xf numFmtId="10" fontId="4" fillId="0" borderId="1" xfId="0" applyNumberFormat="1" applyFont="1" applyFill="1" applyBorder="1" applyAlignment="1">
      <alignment horizontal="center" vertical="center" wrapText="1"/>
    </xf>
    <xf numFmtId="185" fontId="53" fillId="5" borderId="1" xfId="0" applyFont="1" applyFill="1" applyBorder="1" applyAlignment="1">
      <alignment horizontal="center" vertical="center"/>
    </xf>
    <xf numFmtId="185" fontId="52" fillId="3" borderId="0" xfId="0" applyFont="1" applyFill="1" applyAlignment="1">
      <alignment horizontal="center"/>
    </xf>
    <xf numFmtId="185" fontId="52" fillId="0" borderId="0" xfId="0" applyFont="1"/>
    <xf numFmtId="185" fontId="28" fillId="0" borderId="26" xfId="0" applyFont="1" applyBorder="1" applyAlignment="1">
      <alignment horizontal="center" vertical="center"/>
    </xf>
    <xf numFmtId="185" fontId="50" fillId="0" borderId="7" xfId="0" applyFont="1" applyFill="1" applyBorder="1" applyAlignment="1">
      <alignment horizontal="center" vertical="center"/>
    </xf>
    <xf numFmtId="185" fontId="50" fillId="0" borderId="13" xfId="0" applyFont="1" applyFill="1" applyBorder="1" applyAlignment="1">
      <alignment horizontal="center" vertical="center"/>
    </xf>
    <xf numFmtId="9" fontId="28" fillId="0" borderId="13" xfId="0" applyNumberFormat="1" applyFont="1" applyFill="1" applyBorder="1" applyAlignment="1">
      <alignment horizontal="center" vertical="center"/>
    </xf>
    <xf numFmtId="9" fontId="28" fillId="0" borderId="14" xfId="0" applyNumberFormat="1" applyFont="1" applyFill="1" applyBorder="1" applyAlignment="1">
      <alignment horizontal="center" vertical="center"/>
    </xf>
    <xf numFmtId="185" fontId="39" fillId="0" borderId="0" xfId="0" applyFont="1"/>
    <xf numFmtId="10" fontId="4" fillId="0" borderId="1" xfId="0" applyNumberFormat="1" applyFont="1" applyFill="1" applyBorder="1" applyAlignment="1">
      <alignment horizontal="center" vertical="center" wrapText="1"/>
    </xf>
    <xf numFmtId="10" fontId="4" fillId="0" borderId="1" xfId="0" applyNumberFormat="1" applyFont="1" applyFill="1" applyBorder="1" applyAlignment="1">
      <alignment horizontal="center" vertical="center" wrapText="1"/>
    </xf>
    <xf numFmtId="183" fontId="54" fillId="0" borderId="1" xfId="0" applyNumberFormat="1" applyFont="1" applyFill="1" applyBorder="1" applyAlignment="1">
      <alignment horizontal="center" vertical="center"/>
    </xf>
    <xf numFmtId="185" fontId="55" fillId="0" borderId="1" xfId="0" applyFont="1" applyFill="1" applyBorder="1" applyAlignment="1">
      <alignment horizontal="center" vertical="center"/>
    </xf>
    <xf numFmtId="185" fontId="58" fillId="0" borderId="0" xfId="0" applyFont="1"/>
    <xf numFmtId="178" fontId="57" fillId="0" borderId="1" xfId="1" applyNumberFormat="1" applyFont="1" applyFill="1" applyBorder="1" applyAlignment="1">
      <alignment horizontal="center" vertical="center" wrapText="1"/>
    </xf>
    <xf numFmtId="185" fontId="58" fillId="0" borderId="16" xfId="0" applyFont="1" applyFill="1" applyBorder="1" applyAlignment="1">
      <alignment horizontal="center"/>
    </xf>
    <xf numFmtId="185" fontId="58" fillId="0" borderId="1" xfId="0" applyFont="1" applyFill="1" applyBorder="1" applyAlignment="1">
      <alignment horizontal="center"/>
    </xf>
    <xf numFmtId="185" fontId="59" fillId="0" borderId="1" xfId="0" applyFont="1" applyFill="1" applyBorder="1" applyAlignment="1">
      <alignment horizontal="center" vertical="center" wrapText="1"/>
    </xf>
    <xf numFmtId="14" fontId="59" fillId="0" borderId="1" xfId="0" applyNumberFormat="1" applyFont="1" applyFill="1" applyBorder="1" applyAlignment="1">
      <alignment horizontal="center" vertical="center" wrapText="1"/>
    </xf>
    <xf numFmtId="185" fontId="59" fillId="0" borderId="1" xfId="0" applyFont="1" applyFill="1" applyBorder="1" applyAlignment="1">
      <alignment horizontal="center" vertical="center"/>
    </xf>
    <xf numFmtId="14" fontId="59" fillId="0" borderId="1" xfId="0" applyNumberFormat="1" applyFont="1" applyFill="1" applyBorder="1" applyAlignment="1">
      <alignment horizontal="center" vertical="center"/>
    </xf>
    <xf numFmtId="180" fontId="57" fillId="0" borderId="1" xfId="0" applyNumberFormat="1" applyFont="1" applyFill="1" applyBorder="1" applyAlignment="1">
      <alignment horizontal="center" vertical="center"/>
    </xf>
    <xf numFmtId="9" fontId="58" fillId="0" borderId="16" xfId="0" applyNumberFormat="1" applyFont="1" applyFill="1" applyBorder="1" applyAlignment="1">
      <alignment horizontal="center" vertical="center"/>
    </xf>
    <xf numFmtId="185" fontId="58" fillId="0" borderId="0" xfId="0" applyFont="1" applyFill="1"/>
    <xf numFmtId="183" fontId="59" fillId="0" borderId="1" xfId="0" applyNumberFormat="1" applyFont="1" applyFill="1" applyBorder="1" applyAlignment="1">
      <alignment horizontal="center" vertical="center"/>
    </xf>
    <xf numFmtId="185" fontId="58" fillId="0" borderId="0" xfId="0" applyFont="1" applyFill="1" applyAlignment="1">
      <alignment horizontal="center" vertical="center"/>
    </xf>
    <xf numFmtId="14" fontId="59" fillId="12" borderId="1" xfId="0" applyNumberFormat="1" applyFont="1" applyFill="1" applyBorder="1" applyAlignment="1">
      <alignment horizontal="center" vertical="center" wrapText="1"/>
    </xf>
    <xf numFmtId="185" fontId="61" fillId="0" borderId="1" xfId="0" applyNumberFormat="1" applyFont="1" applyFill="1" applyBorder="1" applyAlignment="1" applyProtection="1">
      <alignment horizontal="center" vertical="center"/>
    </xf>
    <xf numFmtId="185" fontId="61" fillId="0" borderId="32" xfId="0" applyNumberFormat="1" applyFont="1" applyFill="1" applyBorder="1" applyAlignment="1" applyProtection="1">
      <alignment horizontal="center" vertical="center"/>
    </xf>
    <xf numFmtId="185" fontId="58" fillId="0" borderId="1" xfId="0" applyFont="1" applyFill="1" applyBorder="1" applyAlignment="1">
      <alignment horizontal="center" vertical="center"/>
    </xf>
    <xf numFmtId="185" fontId="61" fillId="0" borderId="16" xfId="0" applyNumberFormat="1" applyFont="1" applyFill="1" applyBorder="1" applyAlignment="1" applyProtection="1">
      <alignment horizontal="center" vertical="center"/>
    </xf>
    <xf numFmtId="185" fontId="58" fillId="0" borderId="16" xfId="0" applyFont="1" applyFill="1" applyBorder="1" applyAlignment="1">
      <alignment horizontal="center" vertical="center"/>
    </xf>
    <xf numFmtId="9" fontId="58" fillId="0" borderId="1" xfId="0" applyNumberFormat="1" applyFont="1" applyFill="1" applyBorder="1" applyAlignment="1">
      <alignment horizontal="center" vertical="center"/>
    </xf>
    <xf numFmtId="181" fontId="59" fillId="0" borderId="1" xfId="0" applyNumberFormat="1" applyFont="1" applyFill="1" applyBorder="1" applyAlignment="1">
      <alignment horizontal="center" vertical="center" wrapText="1"/>
    </xf>
    <xf numFmtId="185" fontId="59" fillId="0" borderId="0" xfId="0" applyFont="1"/>
    <xf numFmtId="185" fontId="59" fillId="0" borderId="0" xfId="0" applyFont="1" applyFill="1"/>
    <xf numFmtId="181" fontId="58" fillId="0" borderId="16" xfId="0" applyNumberFormat="1" applyFont="1" applyFill="1" applyBorder="1" applyAlignment="1">
      <alignment horizontal="center"/>
    </xf>
    <xf numFmtId="181" fontId="58" fillId="0" borderId="16" xfId="0" applyNumberFormat="1" applyFont="1" applyFill="1" applyBorder="1" applyAlignment="1">
      <alignment horizontal="center" vertical="center"/>
    </xf>
    <xf numFmtId="186" fontId="27" fillId="5" borderId="1" xfId="0" applyNumberFormat="1" applyFont="1" applyFill="1" applyBorder="1" applyAlignment="1">
      <alignment horizontal="center" vertical="center" wrapText="1"/>
    </xf>
    <xf numFmtId="186" fontId="31" fillId="0" borderId="1" xfId="0" applyNumberFormat="1" applyFont="1" applyFill="1" applyBorder="1" applyAlignment="1">
      <alignment horizontal="center" vertical="center"/>
    </xf>
    <xf numFmtId="186" fontId="2" fillId="3" borderId="0" xfId="0" applyNumberFormat="1" applyFont="1" applyFill="1" applyAlignment="1">
      <alignment horizontal="center" vertical="center"/>
    </xf>
    <xf numFmtId="186" fontId="2" fillId="0" borderId="0" xfId="0" applyNumberFormat="1" applyFont="1" applyAlignment="1">
      <alignment horizontal="center" vertical="center"/>
    </xf>
    <xf numFmtId="186" fontId="2" fillId="0" borderId="0" xfId="0" applyNumberFormat="1" applyFont="1"/>
    <xf numFmtId="184" fontId="4" fillId="0" borderId="21" xfId="0" applyNumberFormat="1" applyFont="1" applyBorder="1" applyAlignment="1">
      <alignment horizontal="center" vertical="center"/>
    </xf>
    <xf numFmtId="184" fontId="4" fillId="0" borderId="22" xfId="0" applyNumberFormat="1" applyFont="1" applyBorder="1" applyAlignment="1">
      <alignment horizontal="center" vertical="center"/>
    </xf>
    <xf numFmtId="184" fontId="28" fillId="0" borderId="27" xfId="0" applyNumberFormat="1" applyFont="1" applyBorder="1" applyAlignment="1">
      <alignment horizontal="center" vertical="center"/>
    </xf>
    <xf numFmtId="184" fontId="5" fillId="4" borderId="1" xfId="0" applyNumberFormat="1" applyFont="1" applyFill="1" applyBorder="1" applyAlignment="1">
      <alignment horizontal="center" vertical="center" wrapText="1"/>
    </xf>
    <xf numFmtId="184" fontId="50" fillId="4" borderId="1" xfId="0" applyNumberFormat="1" applyFont="1" applyFill="1" applyBorder="1" applyAlignment="1">
      <alignment horizontal="center" vertical="center" wrapText="1"/>
    </xf>
    <xf numFmtId="184" fontId="2" fillId="3" borderId="0" xfId="0" applyNumberFormat="1" applyFont="1" applyFill="1" applyAlignment="1">
      <alignment horizontal="center" vertical="center"/>
    </xf>
    <xf numFmtId="184" fontId="2" fillId="0" borderId="0" xfId="0" applyNumberFormat="1" applyFont="1" applyAlignment="1">
      <alignment horizontal="center" vertical="center"/>
    </xf>
    <xf numFmtId="184" fontId="4" fillId="0" borderId="25" xfId="0" applyNumberFormat="1" applyFont="1" applyBorder="1" applyAlignment="1">
      <alignment horizontal="center" vertical="center"/>
    </xf>
    <xf numFmtId="184" fontId="2" fillId="0" borderId="0" xfId="0" applyNumberFormat="1" applyFont="1"/>
    <xf numFmtId="185" fontId="62" fillId="0" borderId="1" xfId="0" applyFont="1" applyBorder="1" applyAlignment="1">
      <alignment horizontal="center" vertical="center"/>
    </xf>
    <xf numFmtId="185" fontId="63" fillId="0" borderId="0" xfId="0" applyFont="1"/>
    <xf numFmtId="185" fontId="63" fillId="0" borderId="1" xfId="0" applyFont="1" applyBorder="1" applyAlignment="1">
      <alignment horizontal="center" vertical="center"/>
    </xf>
    <xf numFmtId="9" fontId="63" fillId="0" borderId="1" xfId="24" applyFont="1" applyBorder="1" applyAlignment="1">
      <alignment horizontal="center" vertical="center"/>
    </xf>
    <xf numFmtId="181" fontId="63" fillId="0" borderId="0" xfId="0" applyNumberFormat="1" applyFont="1"/>
    <xf numFmtId="185" fontId="63" fillId="3" borderId="1" xfId="0" applyFont="1" applyFill="1" applyBorder="1" applyAlignment="1">
      <alignment horizontal="center" vertical="center"/>
    </xf>
    <xf numFmtId="10" fontId="4" fillId="0" borderId="5" xfId="0" applyNumberFormat="1" applyFont="1" applyFill="1" applyBorder="1" applyAlignment="1">
      <alignment horizontal="center" vertical="center" wrapText="1"/>
    </xf>
    <xf numFmtId="2" fontId="4" fillId="0" borderId="5" xfId="0" applyNumberFormat="1" applyFont="1" applyFill="1" applyBorder="1" applyAlignment="1">
      <alignment horizontal="center" vertical="center" wrapText="1"/>
    </xf>
    <xf numFmtId="182" fontId="57" fillId="0" borderId="1" xfId="0" applyNumberFormat="1" applyFont="1" applyFill="1" applyBorder="1" applyAlignment="1">
      <alignment horizontal="center" vertical="center"/>
    </xf>
    <xf numFmtId="185" fontId="59" fillId="13" borderId="1" xfId="0" applyFont="1" applyFill="1" applyBorder="1" applyAlignment="1">
      <alignment horizontal="center" vertical="center"/>
    </xf>
    <xf numFmtId="183" fontId="59" fillId="13" borderId="1" xfId="0" applyNumberFormat="1" applyFont="1" applyFill="1" applyBorder="1" applyAlignment="1">
      <alignment horizontal="center" vertical="center"/>
    </xf>
    <xf numFmtId="14" fontId="59" fillId="13" borderId="1" xfId="0" applyNumberFormat="1" applyFont="1" applyFill="1" applyBorder="1" applyAlignment="1">
      <alignment horizontal="center" vertical="center" wrapText="1"/>
    </xf>
    <xf numFmtId="185" fontId="55" fillId="0" borderId="1" xfId="0" applyFont="1" applyFill="1" applyBorder="1" applyAlignment="1">
      <alignment horizontal="center" vertical="center" wrapText="1"/>
    </xf>
    <xf numFmtId="185" fontId="30" fillId="0" borderId="1" xfId="0" applyFont="1" applyFill="1" applyBorder="1" applyAlignment="1">
      <alignment horizontal="center" vertical="center"/>
    </xf>
    <xf numFmtId="14" fontId="30" fillId="0" borderId="1" xfId="0" applyNumberFormat="1" applyFont="1" applyFill="1" applyBorder="1" applyAlignment="1">
      <alignment horizontal="center" vertical="center"/>
    </xf>
    <xf numFmtId="187" fontId="28" fillId="0" borderId="1" xfId="0" applyNumberFormat="1" applyFont="1" applyFill="1" applyBorder="1" applyAlignment="1">
      <alignment horizontal="center" vertical="center"/>
    </xf>
    <xf numFmtId="185" fontId="58" fillId="14" borderId="0" xfId="0" applyFont="1" applyFill="1"/>
    <xf numFmtId="182" fontId="57" fillId="14" borderId="1" xfId="0" applyNumberFormat="1" applyFont="1" applyFill="1" applyBorder="1" applyAlignment="1">
      <alignment horizontal="center" vertical="center"/>
    </xf>
    <xf numFmtId="14" fontId="59" fillId="13" borderId="1" xfId="0" applyNumberFormat="1" applyFont="1" applyFill="1" applyBorder="1" applyAlignment="1">
      <alignment horizontal="center" vertical="center"/>
    </xf>
    <xf numFmtId="10" fontId="4" fillId="0" borderId="5" xfId="0" applyNumberFormat="1" applyFont="1" applyFill="1" applyBorder="1" applyAlignment="1">
      <alignment horizontal="center" vertical="center" wrapText="1"/>
    </xf>
    <xf numFmtId="2" fontId="4" fillId="0" borderId="5" xfId="0" applyNumberFormat="1" applyFont="1" applyFill="1" applyBorder="1" applyAlignment="1">
      <alignment horizontal="center" vertical="center" wrapText="1"/>
    </xf>
    <xf numFmtId="185" fontId="4" fillId="13" borderId="1" xfId="0" applyFont="1" applyFill="1" applyBorder="1" applyAlignment="1">
      <alignment horizontal="left" vertical="center"/>
    </xf>
    <xf numFmtId="185" fontId="0" fillId="0" borderId="1" xfId="0" applyBorder="1"/>
    <xf numFmtId="185" fontId="35" fillId="0" borderId="1" xfId="0" applyFont="1" applyBorder="1"/>
    <xf numFmtId="185" fontId="0" fillId="0" borderId="1" xfId="0" applyFont="1" applyFill="1" applyBorder="1"/>
    <xf numFmtId="185" fontId="59" fillId="0" borderId="16" xfId="0" applyFont="1" applyFill="1" applyBorder="1" applyAlignment="1">
      <alignment horizontal="center"/>
    </xf>
    <xf numFmtId="185" fontId="59" fillId="0" borderId="1" xfId="0" applyFont="1" applyFill="1" applyBorder="1" applyAlignment="1">
      <alignment horizontal="center"/>
    </xf>
    <xf numFmtId="185" fontId="35" fillId="0" borderId="1" xfId="0" applyFont="1" applyFill="1" applyBorder="1"/>
    <xf numFmtId="10" fontId="4" fillId="0" borderId="5" xfId="0" applyNumberFormat="1" applyFont="1" applyFill="1" applyBorder="1" applyAlignment="1">
      <alignment horizontal="center" vertical="center" wrapText="1"/>
    </xf>
    <xf numFmtId="2" fontId="4" fillId="0" borderId="5" xfId="0" applyNumberFormat="1" applyFont="1" applyFill="1" applyBorder="1" applyAlignment="1">
      <alignment horizontal="center" vertical="center" wrapText="1"/>
    </xf>
    <xf numFmtId="185" fontId="26" fillId="0" borderId="1" xfId="0" applyFont="1" applyFill="1" applyBorder="1" applyAlignment="1">
      <alignment horizontal="center" vertical="center" wrapText="1"/>
    </xf>
    <xf numFmtId="14" fontId="28" fillId="0" borderId="1" xfId="0" applyNumberFormat="1" applyFont="1" applyFill="1" applyBorder="1" applyAlignment="1">
      <alignment horizontal="center" vertical="center"/>
    </xf>
    <xf numFmtId="185" fontId="28" fillId="0" borderId="1" xfId="0" applyFont="1" applyFill="1" applyBorder="1" applyAlignment="1">
      <alignment horizontal="center" vertical="center"/>
    </xf>
    <xf numFmtId="185" fontId="28" fillId="7" borderId="1" xfId="0" applyFont="1" applyFill="1" applyBorder="1" applyAlignment="1">
      <alignment horizontal="center" vertical="center"/>
    </xf>
    <xf numFmtId="14" fontId="28" fillId="7" borderId="1" xfId="0" applyNumberFormat="1" applyFont="1" applyFill="1" applyBorder="1" applyAlignment="1">
      <alignment horizontal="center" vertical="center"/>
    </xf>
    <xf numFmtId="185" fontId="59" fillId="0" borderId="0" xfId="0" applyFont="1" applyFill="1" applyAlignment="1">
      <alignment horizontal="left" vertical="center"/>
    </xf>
    <xf numFmtId="10" fontId="4" fillId="0" borderId="5" xfId="0" applyNumberFormat="1" applyFont="1" applyFill="1" applyBorder="1" applyAlignment="1">
      <alignment horizontal="center" vertical="center" wrapText="1"/>
    </xf>
    <xf numFmtId="2" fontId="4" fillId="0" borderId="5" xfId="0" applyNumberFormat="1" applyFont="1" applyFill="1" applyBorder="1" applyAlignment="1">
      <alignment horizontal="center" vertical="center" wrapText="1"/>
    </xf>
    <xf numFmtId="185" fontId="30" fillId="7" borderId="1" xfId="0" applyFont="1" applyFill="1" applyBorder="1" applyAlignment="1">
      <alignment horizontal="center" vertical="center"/>
    </xf>
    <xf numFmtId="14" fontId="30" fillId="7" borderId="1" xfId="0" applyNumberFormat="1" applyFont="1" applyFill="1" applyBorder="1" applyAlignment="1">
      <alignment horizontal="center" vertical="center"/>
    </xf>
    <xf numFmtId="185" fontId="2" fillId="0" borderId="1" xfId="0" applyFont="1" applyBorder="1" applyAlignment="1">
      <alignment horizontal="left"/>
    </xf>
    <xf numFmtId="185" fontId="25" fillId="0" borderId="1" xfId="0" applyFont="1" applyFill="1" applyBorder="1" applyAlignment="1">
      <alignment horizontal="left" vertical="center"/>
    </xf>
    <xf numFmtId="185" fontId="4" fillId="0" borderId="1" xfId="0" applyFont="1" applyFill="1" applyBorder="1" applyAlignment="1">
      <alignment horizontal="left" vertical="center"/>
    </xf>
    <xf numFmtId="185" fontId="58" fillId="13" borderId="1" xfId="0" applyFont="1" applyFill="1" applyBorder="1" applyAlignment="1">
      <alignment horizontal="left"/>
    </xf>
    <xf numFmtId="185" fontId="58" fillId="13" borderId="0" xfId="0" applyFont="1" applyFill="1" applyAlignment="1">
      <alignment horizontal="left"/>
    </xf>
    <xf numFmtId="185" fontId="30" fillId="0" borderId="1" xfId="0" applyFont="1" applyFill="1" applyBorder="1" applyAlignment="1">
      <alignment horizontal="left" vertical="center"/>
    </xf>
    <xf numFmtId="185" fontId="2" fillId="0" borderId="0" xfId="0" applyFont="1" applyAlignment="1">
      <alignment horizontal="left"/>
    </xf>
    <xf numFmtId="184" fontId="67" fillId="4" borderId="1" xfId="0" applyNumberFormat="1" applyFont="1" applyFill="1" applyBorder="1" applyAlignment="1">
      <alignment horizontal="center" vertical="center" wrapText="1"/>
    </xf>
    <xf numFmtId="10" fontId="4" fillId="0" borderId="5" xfId="0" applyNumberFormat="1" applyFont="1" applyFill="1" applyBorder="1" applyAlignment="1">
      <alignment horizontal="center" vertical="center" wrapText="1"/>
    </xf>
    <xf numFmtId="2" fontId="4" fillId="0" borderId="5" xfId="0" applyNumberFormat="1" applyFont="1" applyFill="1" applyBorder="1" applyAlignment="1">
      <alignment horizontal="center" vertical="center" wrapText="1"/>
    </xf>
    <xf numFmtId="185" fontId="59" fillId="0" borderId="32" xfId="0" applyFont="1" applyFill="1" applyBorder="1" applyAlignment="1" applyProtection="1">
      <alignment horizontal="center" vertical="center"/>
    </xf>
    <xf numFmtId="185" fontId="59" fillId="0" borderId="33" xfId="0" applyFont="1" applyFill="1" applyBorder="1" applyAlignment="1" applyProtection="1">
      <alignment horizontal="center" vertical="center"/>
    </xf>
    <xf numFmtId="185" fontId="59" fillId="0" borderId="1" xfId="0" applyFont="1" applyFill="1" applyBorder="1" applyAlignment="1" applyProtection="1">
      <alignment horizontal="center" vertical="center"/>
    </xf>
    <xf numFmtId="185" fontId="59" fillId="0" borderId="34" xfId="0" applyFont="1" applyFill="1" applyBorder="1" applyAlignment="1" applyProtection="1">
      <alignment horizontal="center" vertical="center"/>
    </xf>
    <xf numFmtId="185" fontId="59" fillId="0" borderId="35" xfId="0" applyFont="1" applyFill="1" applyBorder="1" applyAlignment="1" applyProtection="1">
      <alignment horizontal="center" vertical="center"/>
    </xf>
    <xf numFmtId="185" fontId="61" fillId="0" borderId="33" xfId="0" applyNumberFormat="1" applyFont="1" applyFill="1" applyBorder="1" applyAlignment="1" applyProtection="1">
      <alignment horizontal="center" vertical="center"/>
    </xf>
    <xf numFmtId="180" fontId="61" fillId="0" borderId="0" xfId="0" applyNumberFormat="1" applyFont="1" applyFill="1" applyAlignment="1">
      <alignment horizontal="center" vertical="center"/>
    </xf>
    <xf numFmtId="180" fontId="59" fillId="14" borderId="0" xfId="0" applyNumberFormat="1" applyFont="1" applyFill="1" applyAlignment="1">
      <alignment horizontal="center" vertical="center"/>
    </xf>
    <xf numFmtId="185" fontId="59" fillId="14" borderId="0" xfId="0" applyFont="1" applyFill="1" applyAlignment="1">
      <alignment horizontal="center" vertical="center"/>
    </xf>
    <xf numFmtId="185" fontId="59" fillId="0" borderId="0" xfId="0" applyFont="1" applyFill="1" applyAlignment="1">
      <alignment horizontal="center" vertical="center"/>
    </xf>
    <xf numFmtId="185" fontId="68" fillId="5" borderId="1" xfId="0" applyFont="1" applyFill="1" applyBorder="1" applyAlignment="1">
      <alignment horizontal="center" vertical="center"/>
    </xf>
    <xf numFmtId="185" fontId="28" fillId="13" borderId="1" xfId="0" applyFont="1" applyFill="1" applyBorder="1" applyAlignment="1">
      <alignment horizontal="center" vertical="center"/>
    </xf>
    <xf numFmtId="14" fontId="28" fillId="13" borderId="1" xfId="0" applyNumberFormat="1" applyFont="1" applyFill="1" applyBorder="1" applyAlignment="1">
      <alignment horizontal="center" vertical="center"/>
    </xf>
    <xf numFmtId="185" fontId="28" fillId="9" borderId="25" xfId="0" applyFont="1" applyFill="1" applyBorder="1" applyAlignment="1">
      <alignment horizontal="center" vertical="center"/>
    </xf>
    <xf numFmtId="185" fontId="33" fillId="9" borderId="17" xfId="0" applyFont="1" applyFill="1" applyBorder="1" applyAlignment="1">
      <alignment horizontal="center" vertical="center"/>
    </xf>
    <xf numFmtId="9" fontId="28" fillId="0" borderId="16" xfId="0" applyNumberFormat="1" applyFont="1" applyFill="1" applyBorder="1" applyAlignment="1">
      <alignment horizontal="left" vertical="center"/>
    </xf>
    <xf numFmtId="185" fontId="28" fillId="0" borderId="19" xfId="0" applyFont="1" applyBorder="1" applyAlignment="1">
      <alignment horizontal="center" vertical="center"/>
    </xf>
    <xf numFmtId="185" fontId="28" fillId="0" borderId="20" xfId="0" applyFont="1" applyBorder="1" applyAlignment="1">
      <alignment horizontal="center" vertical="center"/>
    </xf>
    <xf numFmtId="9" fontId="28" fillId="0" borderId="22" xfId="0" applyNumberFormat="1" applyFont="1" applyFill="1" applyBorder="1" applyAlignment="1">
      <alignment horizontal="left" vertical="center"/>
    </xf>
    <xf numFmtId="185" fontId="28" fillId="0" borderId="23" xfId="0" applyFont="1" applyBorder="1" applyAlignment="1">
      <alignment horizontal="center" vertical="center"/>
    </xf>
    <xf numFmtId="185" fontId="28" fillId="0" borderId="25" xfId="0" applyFont="1" applyBorder="1" applyAlignment="1">
      <alignment horizontal="center" vertical="center"/>
    </xf>
    <xf numFmtId="184" fontId="28" fillId="0" borderId="22" xfId="0" applyNumberFormat="1" applyFont="1" applyBorder="1" applyAlignment="1">
      <alignment horizontal="center" vertical="center"/>
    </xf>
    <xf numFmtId="185" fontId="50" fillId="0" borderId="8" xfId="0" applyFont="1" applyFill="1" applyBorder="1" applyAlignment="1">
      <alignment horizontal="center" vertical="center"/>
    </xf>
    <xf numFmtId="185" fontId="50" fillId="0" borderId="9" xfId="0" applyFont="1" applyFill="1" applyBorder="1" applyAlignment="1">
      <alignment horizontal="center" vertical="center"/>
    </xf>
    <xf numFmtId="9" fontId="28" fillId="0" borderId="8" xfId="0" applyNumberFormat="1" applyFont="1" applyFill="1" applyBorder="1" applyAlignment="1">
      <alignment horizontal="center" vertical="center"/>
    </xf>
    <xf numFmtId="9" fontId="28" fillId="0" borderId="9" xfId="0" applyNumberFormat="1" applyFont="1" applyFill="1" applyBorder="1" applyAlignment="1">
      <alignment horizontal="center" vertical="center"/>
    </xf>
    <xf numFmtId="9" fontId="28" fillId="0" borderId="11" xfId="0" applyNumberFormat="1" applyFont="1" applyFill="1" applyBorder="1" applyAlignment="1">
      <alignment horizontal="center" vertical="center"/>
    </xf>
    <xf numFmtId="9" fontId="28" fillId="0" borderId="12" xfId="0" applyNumberFormat="1" applyFont="1" applyFill="1" applyBorder="1" applyAlignment="1">
      <alignment horizontal="center" vertical="center"/>
    </xf>
    <xf numFmtId="185" fontId="52" fillId="0" borderId="0" xfId="0" applyFont="1" applyAlignment="1">
      <alignment horizontal="center" vertical="center"/>
    </xf>
    <xf numFmtId="185" fontId="4" fillId="15" borderId="1" xfId="0" applyFont="1" applyFill="1" applyBorder="1" applyAlignment="1">
      <alignment horizontal="center" vertical="center"/>
    </xf>
    <xf numFmtId="185" fontId="58" fillId="15" borderId="1" xfId="0" applyFont="1" applyFill="1" applyBorder="1" applyAlignment="1">
      <alignment horizontal="center" vertical="center"/>
    </xf>
    <xf numFmtId="14" fontId="60" fillId="0" borderId="1" xfId="0" applyNumberFormat="1" applyFont="1" applyFill="1" applyBorder="1" applyAlignment="1">
      <alignment horizontal="center" vertical="center" wrapText="1"/>
    </xf>
    <xf numFmtId="183" fontId="60" fillId="0" borderId="1" xfId="0" applyNumberFormat="1" applyFont="1" applyFill="1" applyBorder="1" applyAlignment="1">
      <alignment horizontal="center" vertical="center"/>
    </xf>
    <xf numFmtId="185" fontId="60" fillId="0" borderId="1" xfId="0" applyFont="1" applyFill="1" applyBorder="1" applyAlignment="1">
      <alignment horizontal="center" vertical="center"/>
    </xf>
    <xf numFmtId="14" fontId="60" fillId="0" borderId="1" xfId="0" applyNumberFormat="1" applyFont="1" applyFill="1" applyBorder="1" applyAlignment="1">
      <alignment horizontal="center" vertical="center"/>
    </xf>
    <xf numFmtId="187" fontId="28" fillId="0" borderId="1" xfId="0" applyNumberFormat="1" applyFont="1" applyFill="1" applyBorder="1" applyAlignment="1">
      <alignment horizontal="left" vertical="center"/>
    </xf>
    <xf numFmtId="185" fontId="4" fillId="0" borderId="1" xfId="0" quotePrefix="1" applyFont="1" applyFill="1" applyBorder="1" applyAlignment="1">
      <alignment horizontal="left" vertical="center"/>
    </xf>
    <xf numFmtId="185" fontId="26" fillId="7" borderId="1" xfId="0" applyFont="1" applyFill="1" applyBorder="1" applyAlignment="1">
      <alignment horizontal="center" vertical="center"/>
    </xf>
    <xf numFmtId="185" fontId="4" fillId="0" borderId="1" xfId="0" applyFont="1" applyFill="1" applyBorder="1" applyAlignment="1">
      <alignment horizontal="left" vertical="center" wrapText="1"/>
    </xf>
    <xf numFmtId="185" fontId="70" fillId="0" borderId="1" xfId="0" applyFont="1" applyFill="1" applyBorder="1" applyAlignment="1">
      <alignment horizontal="left" vertical="center"/>
    </xf>
    <xf numFmtId="185" fontId="4" fillId="13" borderId="1" xfId="0" applyFont="1" applyFill="1" applyBorder="1" applyAlignment="1">
      <alignment horizontal="left" wrapText="1"/>
    </xf>
    <xf numFmtId="185" fontId="72" fillId="0" borderId="32" xfId="0" applyNumberFormat="1" applyFont="1" applyFill="1" applyBorder="1" applyAlignment="1" applyProtection="1">
      <alignment horizontal="left" vertical="center"/>
    </xf>
    <xf numFmtId="185" fontId="0" fillId="0" borderId="1" xfId="0" applyBorder="1" applyAlignment="1">
      <alignment horizontal="center"/>
    </xf>
    <xf numFmtId="185" fontId="72" fillId="0" borderId="32" xfId="0" applyNumberFormat="1" applyFont="1" applyFill="1" applyBorder="1" applyAlignment="1" applyProtection="1">
      <alignment horizontal="center" vertical="center"/>
    </xf>
    <xf numFmtId="185" fontId="4" fillId="13" borderId="1" xfId="0" applyFont="1" applyFill="1" applyBorder="1" applyAlignment="1">
      <alignment horizontal="center" vertical="center"/>
    </xf>
    <xf numFmtId="9" fontId="28" fillId="13" borderId="8" xfId="0" applyNumberFormat="1" applyFont="1" applyFill="1" applyBorder="1" applyAlignment="1">
      <alignment horizontal="center" vertical="center"/>
    </xf>
    <xf numFmtId="9" fontId="28" fillId="13" borderId="9" xfId="0" applyNumberFormat="1" applyFont="1" applyFill="1" applyBorder="1" applyAlignment="1">
      <alignment horizontal="center" vertical="center"/>
    </xf>
    <xf numFmtId="9" fontId="28" fillId="13" borderId="13" xfId="0" applyNumberFormat="1" applyFont="1" applyFill="1" applyBorder="1" applyAlignment="1">
      <alignment horizontal="center" vertical="center"/>
    </xf>
    <xf numFmtId="185" fontId="35" fillId="0" borderId="3" xfId="0" applyFont="1" applyFill="1" applyBorder="1"/>
    <xf numFmtId="185" fontId="0" fillId="14" borderId="3" xfId="0" applyFill="1" applyBorder="1"/>
    <xf numFmtId="185" fontId="0" fillId="0" borderId="1" xfId="0" applyFill="1" applyBorder="1"/>
    <xf numFmtId="10" fontId="4" fillId="0" borderId="2" xfId="0" applyNumberFormat="1" applyFont="1" applyFill="1" applyBorder="1" applyAlignment="1">
      <alignment horizontal="center" vertical="center" wrapText="1"/>
    </xf>
    <xf numFmtId="10" fontId="4" fillId="0" borderId="3" xfId="0" applyNumberFormat="1" applyFont="1" applyFill="1" applyBorder="1" applyAlignment="1">
      <alignment horizontal="center" vertical="center" wrapText="1"/>
    </xf>
    <xf numFmtId="10" fontId="4" fillId="0" borderId="5" xfId="0" applyNumberFormat="1" applyFont="1" applyFill="1" applyBorder="1" applyAlignment="1">
      <alignment horizontal="center" vertical="center" wrapText="1"/>
    </xf>
    <xf numFmtId="185" fontId="4" fillId="0" borderId="30" xfId="0" applyFont="1" applyBorder="1" applyAlignment="1">
      <alignment horizontal="center" vertical="center"/>
    </xf>
    <xf numFmtId="185" fontId="4" fillId="0" borderId="31" xfId="0" applyFont="1" applyBorder="1" applyAlignment="1">
      <alignment horizontal="center" vertical="center"/>
    </xf>
    <xf numFmtId="2" fontId="4" fillId="0" borderId="2" xfId="0" applyNumberFormat="1" applyFont="1" applyFill="1" applyBorder="1" applyAlignment="1">
      <alignment horizontal="center" vertical="center" wrapText="1"/>
    </xf>
    <xf numFmtId="2" fontId="4" fillId="0" borderId="3" xfId="0" applyNumberFormat="1" applyFont="1" applyFill="1" applyBorder="1" applyAlignment="1">
      <alignment horizontal="center" vertical="center" wrapText="1"/>
    </xf>
    <xf numFmtId="185" fontId="4" fillId="0" borderId="28" xfId="0" applyFont="1" applyBorder="1" applyAlignment="1">
      <alignment horizontal="center" vertical="center"/>
    </xf>
    <xf numFmtId="185" fontId="4" fillId="0" borderId="29" xfId="0" applyFont="1" applyBorder="1" applyAlignment="1">
      <alignment horizontal="center" vertical="center"/>
    </xf>
    <xf numFmtId="184" fontId="4" fillId="0" borderId="2" xfId="0" applyNumberFormat="1" applyFont="1" applyFill="1" applyBorder="1" applyAlignment="1">
      <alignment horizontal="center" vertical="center" wrapText="1"/>
    </xf>
    <xf numFmtId="184" fontId="4" fillId="0" borderId="3" xfId="0" applyNumberFormat="1" applyFont="1" applyFill="1" applyBorder="1" applyAlignment="1">
      <alignment horizontal="center" vertical="center" wrapText="1"/>
    </xf>
    <xf numFmtId="184" fontId="4" fillId="0" borderId="5" xfId="0" applyNumberFormat="1" applyFont="1" applyFill="1" applyBorder="1" applyAlignment="1">
      <alignment horizontal="center" vertical="center" wrapText="1"/>
    </xf>
    <xf numFmtId="2" fontId="4" fillId="0" borderId="5" xfId="0" applyNumberFormat="1" applyFont="1" applyFill="1" applyBorder="1" applyAlignment="1">
      <alignment horizontal="center" vertical="center" wrapText="1"/>
    </xf>
    <xf numFmtId="185" fontId="58" fillId="0" borderId="15" xfId="0" applyFont="1" applyFill="1" applyBorder="1" applyAlignment="1">
      <alignment horizontal="center" vertical="center"/>
    </xf>
    <xf numFmtId="185" fontId="58" fillId="0" borderId="16" xfId="0" applyFont="1" applyFill="1" applyBorder="1" applyAlignment="1">
      <alignment horizontal="center" vertical="center"/>
    </xf>
    <xf numFmtId="185" fontId="58" fillId="0" borderId="1" xfId="0" applyFont="1" applyFill="1" applyBorder="1" applyAlignment="1">
      <alignment horizontal="center" vertical="center"/>
    </xf>
    <xf numFmtId="185" fontId="58" fillId="0" borderId="4" xfId="0" applyFont="1" applyFill="1" applyBorder="1" applyAlignment="1">
      <alignment horizontal="center"/>
    </xf>
    <xf numFmtId="185" fontId="58" fillId="0" borderId="15" xfId="0" applyFont="1" applyFill="1" applyBorder="1" applyAlignment="1">
      <alignment horizontal="center"/>
    </xf>
    <xf numFmtId="185" fontId="58" fillId="0" borderId="16" xfId="0" applyFont="1" applyFill="1" applyBorder="1" applyAlignment="1">
      <alignment horizontal="center"/>
    </xf>
    <xf numFmtId="185" fontId="58" fillId="0" borderId="1" xfId="0" applyFont="1" applyFill="1" applyBorder="1" applyAlignment="1">
      <alignment horizontal="center"/>
    </xf>
    <xf numFmtId="185" fontId="57" fillId="14" borderId="1" xfId="0" applyFont="1" applyFill="1" applyBorder="1" applyAlignment="1">
      <alignment horizontal="center" vertical="center" wrapText="1"/>
    </xf>
    <xf numFmtId="185" fontId="57" fillId="0" borderId="1" xfId="0" applyFont="1" applyFill="1" applyBorder="1" applyAlignment="1">
      <alignment horizontal="center" vertical="center" wrapText="1"/>
    </xf>
    <xf numFmtId="185" fontId="56" fillId="5" borderId="1" xfId="0" applyFont="1" applyFill="1" applyBorder="1" applyAlignment="1">
      <alignment horizontal="center" vertical="center"/>
    </xf>
    <xf numFmtId="185" fontId="57" fillId="0" borderId="1" xfId="0" applyFont="1" applyFill="1" applyBorder="1" applyAlignment="1">
      <alignment horizontal="center" vertical="center"/>
    </xf>
    <xf numFmtId="185" fontId="57" fillId="8" borderId="1" xfId="0" applyFont="1" applyFill="1" applyBorder="1" applyAlignment="1">
      <alignment horizontal="center" vertical="center" wrapText="1"/>
    </xf>
    <xf numFmtId="185" fontId="56" fillId="0" borderId="1" xfId="0" applyFont="1" applyFill="1" applyBorder="1" applyAlignment="1">
      <alignment horizontal="center" vertical="center" wrapText="1"/>
    </xf>
    <xf numFmtId="185" fontId="56" fillId="11" borderId="1" xfId="0" applyFont="1" applyFill="1" applyBorder="1" applyAlignment="1">
      <alignment horizontal="center" vertical="center" wrapText="1"/>
    </xf>
    <xf numFmtId="185" fontId="56" fillId="11" borderId="2" xfId="0" applyFont="1" applyFill="1" applyBorder="1" applyAlignment="1">
      <alignment horizontal="center" vertical="center" wrapText="1"/>
    </xf>
    <xf numFmtId="185" fontId="56" fillId="11" borderId="3" xfId="0" applyFont="1" applyFill="1" applyBorder="1" applyAlignment="1">
      <alignment horizontal="center" vertical="center" wrapText="1"/>
    </xf>
    <xf numFmtId="185" fontId="56" fillId="11" borderId="5" xfId="0" applyFont="1" applyFill="1" applyBorder="1" applyAlignment="1">
      <alignment horizontal="center" vertical="center" wrapText="1"/>
    </xf>
    <xf numFmtId="185" fontId="35" fillId="0" borderId="1" xfId="0" applyFont="1" applyBorder="1" applyAlignment="1">
      <alignment horizontal="center"/>
    </xf>
    <xf numFmtId="185" fontId="0" fillId="0" borderId="1" xfId="0" applyBorder="1" applyAlignment="1">
      <alignment horizontal="center"/>
    </xf>
    <xf numFmtId="185" fontId="63" fillId="0" borderId="1" xfId="0" applyFont="1" applyBorder="1" applyAlignment="1">
      <alignment horizontal="center" vertical="center"/>
    </xf>
  </cellXfs>
  <cellStyles count="184">
    <cellStyle name="20% - 强调文字颜色 1 2 2 2 2 2" xfId="7"/>
    <cellStyle name="20% - 强调文字颜色 1 2 2 2 2 2 2" xfId="125"/>
    <cellStyle name="百分比" xfId="10" builtinId="5"/>
    <cellStyle name="百分比 2" xfId="24"/>
    <cellStyle name="常规" xfId="0" builtinId="0"/>
    <cellStyle name="常规 10" xfId="15"/>
    <cellStyle name="常规 10 2" xfId="117"/>
    <cellStyle name="常规 10 3" xfId="38"/>
    <cellStyle name="常规 10 3 2" xfId="92"/>
    <cellStyle name="常规 109" xfId="16"/>
    <cellStyle name="常规 109 2" xfId="116"/>
    <cellStyle name="常规 11" xfId="41"/>
    <cellStyle name="常规 11 2" xfId="123"/>
    <cellStyle name="常规 11 2 2" xfId="183"/>
    <cellStyle name="常规 11 3" xfId="137"/>
    <cellStyle name="常规 12" xfId="36"/>
    <cellStyle name="常规 12 2" xfId="83"/>
    <cellStyle name="常规 13" xfId="39"/>
    <cellStyle name="常规 13 2" xfId="94"/>
    <cellStyle name="常规 13 2 2" xfId="169"/>
    <cellStyle name="常规 13 3" xfId="135"/>
    <cellStyle name="常规 14" xfId="21"/>
    <cellStyle name="常规 14 2" xfId="62"/>
    <cellStyle name="常规 14 2 2" xfId="127"/>
    <cellStyle name="常规 14 3" xfId="72"/>
    <cellStyle name="常规 15" xfId="19"/>
    <cellStyle name="常规 15 2" xfId="75"/>
    <cellStyle name="常规 16" xfId="40"/>
    <cellStyle name="常规 16 2" xfId="73"/>
    <cellStyle name="常规 16 2 2" xfId="159"/>
    <cellStyle name="常规 16 3" xfId="136"/>
    <cellStyle name="常规 17" xfId="42"/>
    <cellStyle name="常规 17 2" xfId="34"/>
    <cellStyle name="常规 17 2 2" xfId="99"/>
    <cellStyle name="常规 17 2 2 2" xfId="173"/>
    <cellStyle name="常规 17 2 3" xfId="134"/>
    <cellStyle name="常规 17 3" xfId="85"/>
    <cellStyle name="常规 17 3 2" xfId="165"/>
    <cellStyle name="常规 17 4" xfId="138"/>
    <cellStyle name="常规 18" xfId="29"/>
    <cellStyle name="常规 18 2" xfId="108"/>
    <cellStyle name="常规 19" xfId="35"/>
    <cellStyle name="常规 19 2" xfId="82"/>
    <cellStyle name="常规 2" xfId="6"/>
    <cellStyle name="常规 2 2" xfId="20"/>
    <cellStyle name="常规 2 2 2" xfId="63"/>
    <cellStyle name="常规 2 2 2 2" xfId="128"/>
    <cellStyle name="常规 2 2 2 2 2 2 2" xfId="5"/>
    <cellStyle name="常规 2 2 2 2 2 2 2 2" xfId="77"/>
    <cellStyle name="常规 2 2 3" xfId="90"/>
    <cellStyle name="常规 2 2 5" xfId="32"/>
    <cellStyle name="常规 2 2 5 2" xfId="105"/>
    <cellStyle name="常规 2 3" xfId="30"/>
    <cellStyle name="常规 2 3 2" xfId="107"/>
    <cellStyle name="常规 2 3 5" xfId="31"/>
    <cellStyle name="常规 2 3 5 2" xfId="109"/>
    <cellStyle name="常规 2 4" xfId="18"/>
    <cellStyle name="常规 2 4 2" xfId="114"/>
    <cellStyle name="常规 2 5" xfId="17"/>
    <cellStyle name="常规 2 5 2" xfId="115"/>
    <cellStyle name="常规 2 6" xfId="37"/>
    <cellStyle name="常规 2 6 2" xfId="93"/>
    <cellStyle name="常规 2 7" xfId="12"/>
    <cellStyle name="常规 2 7 2" xfId="120"/>
    <cellStyle name="常规 2 8" xfId="126"/>
    <cellStyle name="常规 20" xfId="43"/>
    <cellStyle name="常规 20 2" xfId="74"/>
    <cellStyle name="常规 20 2 2" xfId="160"/>
    <cellStyle name="常规 20 3" xfId="139"/>
    <cellStyle name="常规 21" xfId="47"/>
    <cellStyle name="常规 21 2" xfId="104"/>
    <cellStyle name="常规 21 2 2" xfId="178"/>
    <cellStyle name="常规 21 3" xfId="143"/>
    <cellStyle name="常规 22" xfId="45"/>
    <cellStyle name="常规 22 2" xfId="91"/>
    <cellStyle name="常规 22 2 2" xfId="168"/>
    <cellStyle name="常规 22 3" xfId="141"/>
    <cellStyle name="常规 23" xfId="46"/>
    <cellStyle name="常规 23 2" xfId="96"/>
    <cellStyle name="常规 23 2 2" xfId="170"/>
    <cellStyle name="常规 23 3" xfId="142"/>
    <cellStyle name="常规 24" xfId="48"/>
    <cellStyle name="常规 24 2" xfId="102"/>
    <cellStyle name="常规 24 2 2" xfId="176"/>
    <cellStyle name="常规 24 3" xfId="144"/>
    <cellStyle name="常规 25" xfId="49"/>
    <cellStyle name="常规 25 2" xfId="84"/>
    <cellStyle name="常规 25 2 2" xfId="164"/>
    <cellStyle name="常规 25 3" xfId="145"/>
    <cellStyle name="常规 26" xfId="51"/>
    <cellStyle name="常规 26 2" xfId="86"/>
    <cellStyle name="常规 26 2 2" xfId="166"/>
    <cellStyle name="常规 26 3" xfId="147"/>
    <cellStyle name="常规 27" xfId="44"/>
    <cellStyle name="常规 27 2" xfId="97"/>
    <cellStyle name="常规 27 2 2" xfId="171"/>
    <cellStyle name="常规 27 3" xfId="140"/>
    <cellStyle name="常规 28" xfId="50"/>
    <cellStyle name="常规 28 2" xfId="122"/>
    <cellStyle name="常规 28 2 2" xfId="182"/>
    <cellStyle name="常规 28 3" xfId="146"/>
    <cellStyle name="常规 29" xfId="52"/>
    <cellStyle name="常规 29 2" xfId="101"/>
    <cellStyle name="常规 29 2 2" xfId="175"/>
    <cellStyle name="常规 29 3" xfId="148"/>
    <cellStyle name="常规 3" xfId="27"/>
    <cellStyle name="常规 3 2" xfId="4"/>
    <cellStyle name="常规 3 2 2" xfId="71"/>
    <cellStyle name="常规 3 3" xfId="28"/>
    <cellStyle name="常规 3 3 2" xfId="110"/>
    <cellStyle name="常规 3 4" xfId="9"/>
    <cellStyle name="常规 3 4 2" xfId="124"/>
    <cellStyle name="常规 3 5" xfId="111"/>
    <cellStyle name="常规 30" xfId="53"/>
    <cellStyle name="常规 30 2" xfId="98"/>
    <cellStyle name="常规 30 2 2" xfId="172"/>
    <cellStyle name="常规 30 3" xfId="149"/>
    <cellStyle name="常规 31" xfId="54"/>
    <cellStyle name="常规 31 2" xfId="103"/>
    <cellStyle name="常规 31 2 2" xfId="177"/>
    <cellStyle name="常规 31 3" xfId="150"/>
    <cellStyle name="常规 32" xfId="55"/>
    <cellStyle name="常规 32 2" xfId="81"/>
    <cellStyle name="常规 32 2 2" xfId="163"/>
    <cellStyle name="常规 32 3" xfId="151"/>
    <cellStyle name="常规 33" xfId="56"/>
    <cellStyle name="常规 33 2" xfId="100"/>
    <cellStyle name="常规 33 2 2" xfId="174"/>
    <cellStyle name="常规 33 3" xfId="152"/>
    <cellStyle name="常规 34" xfId="57"/>
    <cellStyle name="常规 34 2" xfId="80"/>
    <cellStyle name="常规 34 2 2" xfId="162"/>
    <cellStyle name="常规 34 3" xfId="153"/>
    <cellStyle name="常规 35" xfId="58"/>
    <cellStyle name="常规 35 2" xfId="69"/>
    <cellStyle name="常规 35 2 2" xfId="158"/>
    <cellStyle name="常规 35 3" xfId="154"/>
    <cellStyle name="常规 36" xfId="59"/>
    <cellStyle name="常规 36 2" xfId="87"/>
    <cellStyle name="常规 36 2 2" xfId="167"/>
    <cellStyle name="常规 36 3" xfId="155"/>
    <cellStyle name="常规 37" xfId="60"/>
    <cellStyle name="常规 37 2" xfId="76"/>
    <cellStyle name="常规 37 2 2" xfId="161"/>
    <cellStyle name="常规 37 3" xfId="156"/>
    <cellStyle name="常规 38" xfId="64"/>
    <cellStyle name="常规 39" xfId="65"/>
    <cellStyle name="常规 39 2" xfId="129"/>
    <cellStyle name="常规 4" xfId="25"/>
    <cellStyle name="常规 4 2" xfId="106"/>
    <cellStyle name="常规 40" xfId="66"/>
    <cellStyle name="常规 40 2" xfId="130"/>
    <cellStyle name="常规 41" xfId="67"/>
    <cellStyle name="常规 42" xfId="11"/>
    <cellStyle name="常规 42 2" xfId="121"/>
    <cellStyle name="常规 42 2 2" xfId="181"/>
    <cellStyle name="常规 42 3" xfId="131"/>
    <cellStyle name="常规 43" xfId="95"/>
    <cellStyle name="常规 5" xfId="3"/>
    <cellStyle name="常规 5 2" xfId="14"/>
    <cellStyle name="常规 5 2 2" xfId="118"/>
    <cellStyle name="常规 5 2 2 2" xfId="180"/>
    <cellStyle name="常规 5 2 3" xfId="132"/>
    <cellStyle name="常规 5 3" xfId="79"/>
    <cellStyle name="常规 6" xfId="2"/>
    <cellStyle name="常规 6 2" xfId="22"/>
    <cellStyle name="常规 6 2 2" xfId="89"/>
    <cellStyle name="常规 6 2 4" xfId="33"/>
    <cellStyle name="常规 6 2 4 2" xfId="78"/>
    <cellStyle name="常规 6 3" xfId="70"/>
    <cellStyle name="常规 7" xfId="23"/>
    <cellStyle name="常规 7 2" xfId="113"/>
    <cellStyle name="常规 7 2 2" xfId="179"/>
    <cellStyle name="常规 7 3" xfId="133"/>
    <cellStyle name="常规 8" xfId="8"/>
    <cellStyle name="常规 8 2" xfId="26"/>
    <cellStyle name="常规 8 2 2" xfId="112"/>
    <cellStyle name="常规 8 3" xfId="68"/>
    <cellStyle name="常规 8 4" xfId="88"/>
    <cellStyle name="常规 9" xfId="13"/>
    <cellStyle name="常规 9 2" xfId="119"/>
    <cellStyle name="常规_实验室人员项目名单" xfId="1"/>
    <cellStyle name="千位分隔 2" xfId="61"/>
    <cellStyle name="千位分隔 2 2" xfId="157"/>
  </cellStyles>
  <dxfs count="68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19" Type="http://schemas.openxmlformats.org/officeDocument/2006/relationships/customXml" Target="../customXml/item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J1&amp;TJ4S-&#24037;&#20316;/TJ4&#22870;&#37329;/TJ4&#29983;&#20135;&#37096;&amp;&#29983;&#20135;&#35774;&#22791;&#37096;&#20154;&#21592;&#28165;&#21333;&#65292;06-26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生产部"/>
      <sheetName val="Sheet2"/>
      <sheetName val="生产部编制汇总"/>
      <sheetName val="生产设备部"/>
      <sheetName val="离职人员&amp;调出人员"/>
      <sheetName val="人员变动说明"/>
      <sheetName val="Sheet1"/>
    </sheetNames>
    <sheetDataSet>
      <sheetData sheetId="0">
        <row r="1">
          <cell r="C1" t="str">
            <v xml:space="preserve">员工编号 </v>
          </cell>
        </row>
        <row r="2">
          <cell r="C2" t="str">
            <v>AMM0098</v>
          </cell>
        </row>
        <row r="3">
          <cell r="C3" t="str">
            <v>ALS0702</v>
          </cell>
        </row>
        <row r="4">
          <cell r="C4" t="str">
            <v>ACT1907</v>
          </cell>
        </row>
        <row r="5">
          <cell r="C5" t="str">
            <v>ACT2490</v>
          </cell>
        </row>
        <row r="6">
          <cell r="C6" t="str">
            <v>ALS0733</v>
          </cell>
        </row>
        <row r="7">
          <cell r="C7" t="str">
            <v>ALS0808</v>
          </cell>
        </row>
        <row r="8">
          <cell r="C8" t="str">
            <v>ALS4192</v>
          </cell>
        </row>
        <row r="9">
          <cell r="C9" t="str">
            <v>ALS6044</v>
          </cell>
        </row>
        <row r="10">
          <cell r="C10" t="str">
            <v>ALS12990</v>
          </cell>
        </row>
        <row r="11">
          <cell r="C11" t="str">
            <v>ALS16005</v>
          </cell>
        </row>
        <row r="12">
          <cell r="C12" t="str">
            <v>ALS15926</v>
          </cell>
        </row>
        <row r="13">
          <cell r="C13" t="str">
            <v>ALS11919</v>
          </cell>
        </row>
        <row r="14">
          <cell r="C14" t="str">
            <v>ALS15894</v>
          </cell>
        </row>
        <row r="15">
          <cell r="C15" t="str">
            <v>ALS15896</v>
          </cell>
        </row>
        <row r="16">
          <cell r="C16" t="str">
            <v>ALS15895</v>
          </cell>
        </row>
        <row r="17">
          <cell r="C17" t="str">
            <v>ALS15897</v>
          </cell>
        </row>
        <row r="18">
          <cell r="C18" t="str">
            <v>ALS15911</v>
          </cell>
        </row>
        <row r="19">
          <cell r="C19" t="str">
            <v>ALS15913</v>
          </cell>
        </row>
        <row r="20">
          <cell r="C20" t="str">
            <v>ALS15910</v>
          </cell>
        </row>
        <row r="21">
          <cell r="C21" t="str">
            <v>ALS15912</v>
          </cell>
        </row>
        <row r="22">
          <cell r="C22" t="str">
            <v>ALS16007</v>
          </cell>
        </row>
        <row r="23">
          <cell r="C23" t="str">
            <v>ALS17016</v>
          </cell>
        </row>
        <row r="24">
          <cell r="C24" t="str">
            <v>ALS17018</v>
          </cell>
        </row>
        <row r="25">
          <cell r="C25" t="str">
            <v>ALS17074</v>
          </cell>
        </row>
        <row r="26">
          <cell r="C26" t="str">
            <v>ALS17114</v>
          </cell>
        </row>
        <row r="27">
          <cell r="C27" t="str">
            <v>ALS14195</v>
          </cell>
        </row>
        <row r="28">
          <cell r="C28" t="str">
            <v>ALS15823</v>
          </cell>
        </row>
        <row r="29">
          <cell r="C29" t="str">
            <v>ALS3510</v>
          </cell>
        </row>
        <row r="30">
          <cell r="C30" t="str">
            <v>ALS14115</v>
          </cell>
        </row>
        <row r="31">
          <cell r="C31" t="str">
            <v>ACT2027</v>
          </cell>
        </row>
        <row r="32">
          <cell r="C32" t="str">
            <v>ALS6830</v>
          </cell>
        </row>
        <row r="33">
          <cell r="C33" t="str">
            <v>ALS7213</v>
          </cell>
        </row>
        <row r="34">
          <cell r="C34" t="str">
            <v>ALS0377</v>
          </cell>
        </row>
        <row r="35">
          <cell r="C35" t="str">
            <v>ALS4011</v>
          </cell>
        </row>
        <row r="36">
          <cell r="C36" t="str">
            <v>ALS3597</v>
          </cell>
        </row>
        <row r="37">
          <cell r="C37" t="str">
            <v>ALS4128</v>
          </cell>
        </row>
        <row r="38">
          <cell r="C38" t="str">
            <v>FX3039</v>
          </cell>
        </row>
        <row r="39">
          <cell r="C39" t="str">
            <v>ALS3598</v>
          </cell>
        </row>
        <row r="40">
          <cell r="C40" t="str">
            <v>ALS10142</v>
          </cell>
        </row>
        <row r="41">
          <cell r="C41" t="str">
            <v>ALS10155</v>
          </cell>
        </row>
        <row r="42">
          <cell r="C42" t="str">
            <v>ALS10332</v>
          </cell>
        </row>
        <row r="43">
          <cell r="C43" t="str">
            <v>ALS8245</v>
          </cell>
        </row>
        <row r="44">
          <cell r="C44" t="str">
            <v>ALS7875</v>
          </cell>
        </row>
        <row r="45">
          <cell r="C45" t="str">
            <v>ALS10153</v>
          </cell>
        </row>
        <row r="46">
          <cell r="C46" t="str">
            <v>ALS16022</v>
          </cell>
        </row>
        <row r="47">
          <cell r="C47" t="str">
            <v>LFX569</v>
          </cell>
        </row>
        <row r="48">
          <cell r="C48" t="str">
            <v>ADH5432</v>
          </cell>
        </row>
        <row r="49">
          <cell r="C49" t="str">
            <v>ALS14328</v>
          </cell>
        </row>
        <row r="50">
          <cell r="C50" t="str">
            <v>ALS16970</v>
          </cell>
        </row>
        <row r="51">
          <cell r="C51" t="str">
            <v>LFX573</v>
          </cell>
        </row>
        <row r="52">
          <cell r="C52" t="str">
            <v>ALS10340</v>
          </cell>
        </row>
        <row r="53">
          <cell r="C53" t="str">
            <v>LFX859</v>
          </cell>
        </row>
        <row r="54">
          <cell r="C54" t="str">
            <v>ALS11236</v>
          </cell>
        </row>
        <row r="55">
          <cell r="C55" t="str">
            <v>ALS11225</v>
          </cell>
        </row>
        <row r="56">
          <cell r="C56" t="str">
            <v>ALS12616</v>
          </cell>
        </row>
        <row r="57">
          <cell r="C57" t="str">
            <v>ALS13442</v>
          </cell>
        </row>
        <row r="58">
          <cell r="C58" t="str">
            <v>ALS13499</v>
          </cell>
        </row>
        <row r="59">
          <cell r="C59" t="str">
            <v>ALS16847</v>
          </cell>
        </row>
        <row r="60">
          <cell r="C60" t="str">
            <v>AMM4573</v>
          </cell>
        </row>
        <row r="61">
          <cell r="C61" t="str">
            <v>ALS14242</v>
          </cell>
        </row>
        <row r="62">
          <cell r="C62" t="str">
            <v>FX2691</v>
          </cell>
        </row>
        <row r="63">
          <cell r="C63" t="str">
            <v>ALS14684</v>
          </cell>
        </row>
        <row r="64">
          <cell r="C64" t="str">
            <v>ALS11226</v>
          </cell>
        </row>
        <row r="65">
          <cell r="C65" t="str">
            <v>ALS5807</v>
          </cell>
        </row>
        <row r="66">
          <cell r="C66" t="str">
            <v>FX3085</v>
          </cell>
        </row>
        <row r="67">
          <cell r="C67" t="str">
            <v>ALS13342</v>
          </cell>
        </row>
        <row r="68">
          <cell r="C68" t="str">
            <v>ALS13604</v>
          </cell>
        </row>
        <row r="69">
          <cell r="C69" t="str">
            <v>ALS14573</v>
          </cell>
        </row>
        <row r="70">
          <cell r="C70" t="str">
            <v>ALS15138</v>
          </cell>
        </row>
        <row r="71">
          <cell r="C71" t="str">
            <v>ALS15270</v>
          </cell>
        </row>
        <row r="72">
          <cell r="C72" t="str">
            <v>ALS15345</v>
          </cell>
        </row>
        <row r="73">
          <cell r="C73" t="str">
            <v>ALS15915</v>
          </cell>
        </row>
        <row r="74">
          <cell r="C74" t="str">
            <v>ALS16336</v>
          </cell>
        </row>
        <row r="75">
          <cell r="C75" t="str">
            <v>ALS13065</v>
          </cell>
        </row>
        <row r="76">
          <cell r="C76" t="str">
            <v>ALS14747</v>
          </cell>
        </row>
        <row r="77">
          <cell r="C77" t="str">
            <v>ALS14576</v>
          </cell>
        </row>
        <row r="78">
          <cell r="C78" t="str">
            <v>ALS16394</v>
          </cell>
        </row>
        <row r="79">
          <cell r="C79" t="str">
            <v>ALS16413</v>
          </cell>
        </row>
        <row r="80">
          <cell r="C80" t="str">
            <v>ALS16434</v>
          </cell>
        </row>
        <row r="81">
          <cell r="C81" t="str">
            <v>ALS15396</v>
          </cell>
        </row>
        <row r="82">
          <cell r="C82" t="str">
            <v>ALS15575</v>
          </cell>
        </row>
        <row r="83">
          <cell r="C83" t="str">
            <v>ALS10165</v>
          </cell>
        </row>
        <row r="84">
          <cell r="C84" t="str">
            <v>ALS12614</v>
          </cell>
        </row>
        <row r="85">
          <cell r="C85" t="str">
            <v>ALS10335</v>
          </cell>
        </row>
        <row r="86">
          <cell r="C86" t="str">
            <v>ALS13611</v>
          </cell>
        </row>
        <row r="87">
          <cell r="C87" t="str">
            <v>ALS13665</v>
          </cell>
        </row>
        <row r="88">
          <cell r="C88" t="str">
            <v>ALS13669</v>
          </cell>
        </row>
        <row r="89">
          <cell r="C89" t="str">
            <v>ALS14026</v>
          </cell>
        </row>
        <row r="90">
          <cell r="C90" t="str">
            <v>ALS14237</v>
          </cell>
        </row>
        <row r="91">
          <cell r="C91" t="str">
            <v>ALS14422</v>
          </cell>
        </row>
        <row r="92">
          <cell r="C92" t="str">
            <v>ALS14610</v>
          </cell>
        </row>
        <row r="93">
          <cell r="C93" t="str">
            <v>ALS15889</v>
          </cell>
        </row>
        <row r="94">
          <cell r="C94" t="str">
            <v>ALS9146</v>
          </cell>
        </row>
        <row r="95">
          <cell r="C95" t="str">
            <v>ALS13686</v>
          </cell>
        </row>
        <row r="96">
          <cell r="C96" t="str">
            <v>ALS13794</v>
          </cell>
        </row>
        <row r="97">
          <cell r="C97" t="str">
            <v>ALS15268</v>
          </cell>
        </row>
        <row r="98">
          <cell r="C98" t="str">
            <v>ALS10175</v>
          </cell>
        </row>
        <row r="99">
          <cell r="C99" t="str">
            <v>ALS11791</v>
          </cell>
        </row>
        <row r="100">
          <cell r="C100" t="str">
            <v>ALS10317</v>
          </cell>
        </row>
        <row r="101">
          <cell r="C101" t="str">
            <v>ALS13605</v>
          </cell>
        </row>
        <row r="102">
          <cell r="C102" t="str">
            <v>ALS13787</v>
          </cell>
        </row>
        <row r="103">
          <cell r="C103" t="str">
            <v>ALS14129</v>
          </cell>
        </row>
        <row r="104">
          <cell r="C104" t="str">
            <v>ALS13784</v>
          </cell>
        </row>
        <row r="105">
          <cell r="C105" t="str">
            <v>ALS14236</v>
          </cell>
        </row>
        <row r="106">
          <cell r="C106" t="str">
            <v>ALS14574</v>
          </cell>
        </row>
        <row r="107">
          <cell r="C107" t="str">
            <v>AMM1080</v>
          </cell>
        </row>
        <row r="108">
          <cell r="C108" t="str">
            <v>ALS13514</v>
          </cell>
        </row>
        <row r="109">
          <cell r="C109" t="str">
            <v>ALS13851</v>
          </cell>
        </row>
        <row r="110">
          <cell r="C110" t="str">
            <v>ALS14470</v>
          </cell>
        </row>
        <row r="111">
          <cell r="C111" t="str">
            <v>ALS14333</v>
          </cell>
        </row>
        <row r="112">
          <cell r="C112" t="str">
            <v>ALS10327</v>
          </cell>
        </row>
        <row r="113">
          <cell r="C113" t="str">
            <v>ALS8328</v>
          </cell>
        </row>
        <row r="114">
          <cell r="C114" t="str">
            <v>ALS5619</v>
          </cell>
        </row>
        <row r="115">
          <cell r="C115" t="str">
            <v>ALS13022</v>
          </cell>
        </row>
        <row r="116">
          <cell r="C116" t="str">
            <v>ALS10328</v>
          </cell>
        </row>
        <row r="117">
          <cell r="C117" t="str">
            <v>AMM4102</v>
          </cell>
        </row>
        <row r="118">
          <cell r="C118" t="str">
            <v>ALS13727</v>
          </cell>
        </row>
        <row r="119">
          <cell r="C119" t="str">
            <v>ALS13789</v>
          </cell>
        </row>
        <row r="120">
          <cell r="C120" t="str">
            <v>ALS13786</v>
          </cell>
        </row>
        <row r="121">
          <cell r="C121" t="str">
            <v>ALS14154</v>
          </cell>
        </row>
        <row r="122">
          <cell r="C122" t="str">
            <v>ALS14504</v>
          </cell>
        </row>
        <row r="123">
          <cell r="C123" t="str">
            <v>ALS14240</v>
          </cell>
        </row>
        <row r="124">
          <cell r="C124" t="str">
            <v>ALS14632</v>
          </cell>
        </row>
        <row r="125">
          <cell r="C125" t="str">
            <v>AMM4694</v>
          </cell>
        </row>
        <row r="126">
          <cell r="C126" t="str">
            <v>ALS14424</v>
          </cell>
        </row>
        <row r="127">
          <cell r="C127" t="str">
            <v>ALS14426</v>
          </cell>
        </row>
        <row r="128">
          <cell r="C128" t="str">
            <v>ALS11936</v>
          </cell>
        </row>
        <row r="129">
          <cell r="C129" t="str">
            <v>ALS12754</v>
          </cell>
        </row>
        <row r="130">
          <cell r="C130" t="str">
            <v>ALS12598</v>
          </cell>
        </row>
        <row r="131">
          <cell r="C131" t="str">
            <v>LFX577</v>
          </cell>
        </row>
        <row r="132">
          <cell r="C132" t="str">
            <v>ALS13610</v>
          </cell>
        </row>
        <row r="133">
          <cell r="C133" t="str">
            <v>ALS13931</v>
          </cell>
        </row>
        <row r="134">
          <cell r="C134" t="str">
            <v>ALS13785</v>
          </cell>
        </row>
        <row r="135">
          <cell r="C135" t="str">
            <v>ALS14468</v>
          </cell>
        </row>
        <row r="136">
          <cell r="C136" t="str">
            <v>ALS15341</v>
          </cell>
        </row>
        <row r="137">
          <cell r="C137" t="str">
            <v>ALS16380</v>
          </cell>
        </row>
        <row r="138">
          <cell r="C138" t="str">
            <v>ALS13646</v>
          </cell>
        </row>
        <row r="139">
          <cell r="C139" t="str">
            <v>ALS14100</v>
          </cell>
        </row>
        <row r="140">
          <cell r="C140" t="str">
            <v>ALS14244</v>
          </cell>
        </row>
        <row r="141">
          <cell r="C141" t="str">
            <v>ALS14577</v>
          </cell>
        </row>
        <row r="142">
          <cell r="C142" t="str">
            <v>ALS14708</v>
          </cell>
        </row>
        <row r="143">
          <cell r="C143" t="str">
            <v>ALS14331</v>
          </cell>
        </row>
        <row r="144">
          <cell r="C144" t="str">
            <v>ALS16561</v>
          </cell>
        </row>
        <row r="145">
          <cell r="C145" t="str">
            <v>ALS6563</v>
          </cell>
        </row>
        <row r="146">
          <cell r="C146" t="str">
            <v>ALS8215</v>
          </cell>
        </row>
        <row r="147">
          <cell r="C147" t="str">
            <v>ALS1988</v>
          </cell>
        </row>
        <row r="148">
          <cell r="C148" t="str">
            <v>ALS10148</v>
          </cell>
        </row>
        <row r="149">
          <cell r="C149" t="str">
            <v>ALS2668</v>
          </cell>
        </row>
        <row r="150">
          <cell r="C150" t="str">
            <v>ALS8325</v>
          </cell>
        </row>
        <row r="151">
          <cell r="C151" t="str">
            <v>FX2679</v>
          </cell>
        </row>
        <row r="152">
          <cell r="C152" t="str">
            <v>ADH5191</v>
          </cell>
        </row>
        <row r="153">
          <cell r="C153" t="str">
            <v>ALS10146</v>
          </cell>
        </row>
        <row r="154">
          <cell r="C154" t="str">
            <v>ALS16047</v>
          </cell>
        </row>
        <row r="155">
          <cell r="C155" t="str">
            <v>FX2743</v>
          </cell>
        </row>
        <row r="156">
          <cell r="C156" t="str">
            <v>ALS11847</v>
          </cell>
        </row>
        <row r="157">
          <cell r="C157" t="str">
            <v>ALS15334</v>
          </cell>
        </row>
        <row r="158">
          <cell r="C158" t="str">
            <v>ALS16808</v>
          </cell>
        </row>
        <row r="159">
          <cell r="C159" t="str">
            <v>ALS17021</v>
          </cell>
        </row>
        <row r="160">
          <cell r="C160" t="str">
            <v>ACT2599</v>
          </cell>
        </row>
        <row r="161">
          <cell r="C161" t="str">
            <v>ALS13176</v>
          </cell>
        </row>
        <row r="162">
          <cell r="C162" t="str">
            <v>LFX616</v>
          </cell>
        </row>
        <row r="163">
          <cell r="C163" t="str">
            <v>ALS11215</v>
          </cell>
        </row>
        <row r="164">
          <cell r="C164" t="str">
            <v>ALS11789</v>
          </cell>
        </row>
        <row r="165">
          <cell r="C165" t="str">
            <v>BDH0641</v>
          </cell>
        </row>
        <row r="166">
          <cell r="C166" t="str">
            <v>ALS13069</v>
          </cell>
        </row>
        <row r="167">
          <cell r="C167" t="str">
            <v>ALS13861</v>
          </cell>
        </row>
        <row r="168">
          <cell r="C168" t="str">
            <v>ALS15954</v>
          </cell>
        </row>
        <row r="169">
          <cell r="C169" t="str">
            <v>ALS11786</v>
          </cell>
        </row>
        <row r="170">
          <cell r="C170" t="str">
            <v>ALS11846</v>
          </cell>
        </row>
        <row r="171">
          <cell r="C171" t="str">
            <v>ALS15254</v>
          </cell>
        </row>
        <row r="172">
          <cell r="C172" t="str">
            <v>ALS16309</v>
          </cell>
        </row>
        <row r="173">
          <cell r="C173" t="str">
            <v>ALS16316</v>
          </cell>
        </row>
        <row r="174">
          <cell r="C174" t="str">
            <v>ALS16784</v>
          </cell>
        </row>
        <row r="175">
          <cell r="C175" t="str">
            <v>ALS16974</v>
          </cell>
        </row>
        <row r="176">
          <cell r="C176" t="str">
            <v>ALS16978</v>
          </cell>
        </row>
        <row r="177">
          <cell r="C177" t="str">
            <v>ALS16973</v>
          </cell>
        </row>
        <row r="178">
          <cell r="C178" t="str">
            <v>ALS15298</v>
          </cell>
        </row>
        <row r="179">
          <cell r="C179" t="str">
            <v>ALS16049</v>
          </cell>
        </row>
        <row r="180">
          <cell r="C180" t="str">
            <v>ALS17312</v>
          </cell>
        </row>
        <row r="181">
          <cell r="C181" t="str">
            <v>ALS4957</v>
          </cell>
        </row>
        <row r="182">
          <cell r="C182" t="str">
            <v>ALS13025</v>
          </cell>
        </row>
        <row r="183">
          <cell r="C183" t="str">
            <v>ALS12958</v>
          </cell>
        </row>
        <row r="184">
          <cell r="C184" t="str">
            <v>ALS13603</v>
          </cell>
        </row>
        <row r="185">
          <cell r="C185" t="str">
            <v>ALS14854</v>
          </cell>
        </row>
        <row r="186">
          <cell r="C186" t="str">
            <v>ALS15337</v>
          </cell>
        </row>
        <row r="187">
          <cell r="C187" t="str">
            <v>ALS16382</v>
          </cell>
        </row>
        <row r="188">
          <cell r="C188" t="str">
            <v>ALS16404</v>
          </cell>
        </row>
        <row r="189">
          <cell r="C189" t="str">
            <v>ALS13897</v>
          </cell>
        </row>
        <row r="190">
          <cell r="C190" t="str">
            <v>ALS14629</v>
          </cell>
        </row>
        <row r="191">
          <cell r="C191" t="str">
            <v>ALS15348</v>
          </cell>
        </row>
        <row r="192">
          <cell r="C192" t="str">
            <v>ALS15398</v>
          </cell>
        </row>
        <row r="193">
          <cell r="C193" t="str">
            <v>BDH0640</v>
          </cell>
        </row>
        <row r="194">
          <cell r="C194" t="str">
            <v>ALS13895</v>
          </cell>
        </row>
        <row r="195">
          <cell r="C195" t="str">
            <v>ALS15299</v>
          </cell>
        </row>
        <row r="196">
          <cell r="C196" t="str">
            <v>ALS15343</v>
          </cell>
        </row>
        <row r="197">
          <cell r="C197" t="str">
            <v>ALS15966</v>
          </cell>
        </row>
        <row r="198">
          <cell r="C198" t="str">
            <v>ALS16386</v>
          </cell>
        </row>
        <row r="199">
          <cell r="C199" t="str">
            <v>ALS11694</v>
          </cell>
        </row>
        <row r="200">
          <cell r="C200" t="str">
            <v>ALS14326</v>
          </cell>
        </row>
        <row r="201">
          <cell r="C201" t="str">
            <v>ALS14686</v>
          </cell>
        </row>
        <row r="202">
          <cell r="C202" t="str">
            <v>ALS14792</v>
          </cell>
        </row>
        <row r="203">
          <cell r="C203" t="str">
            <v>ALS15349</v>
          </cell>
        </row>
        <row r="204">
          <cell r="C204" t="str">
            <v>ALS12745</v>
          </cell>
        </row>
        <row r="205">
          <cell r="C205" t="str">
            <v>ALS14235</v>
          </cell>
        </row>
        <row r="206">
          <cell r="C206" t="str">
            <v>ALS13071</v>
          </cell>
        </row>
        <row r="207">
          <cell r="C207" t="str">
            <v>ABT0617</v>
          </cell>
        </row>
        <row r="208">
          <cell r="C208" t="str">
            <v>ALS14683</v>
          </cell>
        </row>
        <row r="209">
          <cell r="C209" t="str">
            <v>ALS14876</v>
          </cell>
        </row>
        <row r="210">
          <cell r="C210" t="str">
            <v>ALS15344</v>
          </cell>
        </row>
        <row r="211">
          <cell r="C211" t="str">
            <v>ALS16144</v>
          </cell>
        </row>
        <row r="212">
          <cell r="C212" t="str">
            <v>ALS16320</v>
          </cell>
        </row>
        <row r="213">
          <cell r="C213" t="str">
            <v>ALS16405</v>
          </cell>
        </row>
        <row r="214">
          <cell r="C214" t="str">
            <v>ALS14058</v>
          </cell>
        </row>
        <row r="215">
          <cell r="C215" t="str">
            <v>ALS14330</v>
          </cell>
        </row>
        <row r="216">
          <cell r="C216" t="str">
            <v>ALS11232</v>
          </cell>
        </row>
        <row r="217">
          <cell r="C217" t="str">
            <v>ABT0244</v>
          </cell>
        </row>
        <row r="218">
          <cell r="C218" t="str">
            <v>ALS12311</v>
          </cell>
        </row>
        <row r="219">
          <cell r="C219" t="str">
            <v>ALS14057</v>
          </cell>
        </row>
        <row r="220">
          <cell r="C220" t="str">
            <v>ALS14130</v>
          </cell>
        </row>
        <row r="221">
          <cell r="C221" t="str">
            <v>ALS14685</v>
          </cell>
        </row>
        <row r="222">
          <cell r="C222" t="str">
            <v>ALS15674</v>
          </cell>
        </row>
        <row r="223">
          <cell r="C223" t="str">
            <v>ALS16105</v>
          </cell>
        </row>
        <row r="224">
          <cell r="C224" t="str">
            <v>ALS16318</v>
          </cell>
        </row>
        <row r="225">
          <cell r="C225" t="str">
            <v>ALS13623</v>
          </cell>
        </row>
        <row r="226">
          <cell r="C226" t="str">
            <v>ALS15346</v>
          </cell>
        </row>
        <row r="227">
          <cell r="C227" t="str">
            <v>ACT2446</v>
          </cell>
        </row>
        <row r="228">
          <cell r="C228" t="str">
            <v>AMM4002</v>
          </cell>
        </row>
        <row r="229">
          <cell r="C229" t="str">
            <v>ACT2571</v>
          </cell>
        </row>
        <row r="230">
          <cell r="C230" t="str">
            <v>ALS16176</v>
          </cell>
        </row>
        <row r="231">
          <cell r="C231" t="str">
            <v>AMM0574</v>
          </cell>
        </row>
        <row r="232">
          <cell r="C232" t="str">
            <v>ALS15392</v>
          </cell>
        </row>
        <row r="233">
          <cell r="C233" t="str">
            <v>ALS4606</v>
          </cell>
        </row>
        <row r="234">
          <cell r="C234" t="str">
            <v>ALS16831</v>
          </cell>
        </row>
        <row r="235">
          <cell r="C235" t="str">
            <v>ALS11773</v>
          </cell>
        </row>
        <row r="236">
          <cell r="C236" t="str">
            <v>ALS14192</v>
          </cell>
        </row>
        <row r="237">
          <cell r="C237" t="str">
            <v>ALS14193</v>
          </cell>
        </row>
        <row r="238">
          <cell r="C238" t="str">
            <v>ALS15923</v>
          </cell>
        </row>
        <row r="239">
          <cell r="C239" t="str">
            <v>ALS15996</v>
          </cell>
        </row>
        <row r="240">
          <cell r="C240" t="str">
            <v>ALS13853</v>
          </cell>
        </row>
        <row r="241">
          <cell r="C241" t="str">
            <v>LFX568</v>
          </cell>
        </row>
        <row r="242">
          <cell r="C242" t="str">
            <v>ALS14098</v>
          </cell>
        </row>
        <row r="243">
          <cell r="C243" t="str">
            <v>ALS14930</v>
          </cell>
        </row>
        <row r="244">
          <cell r="C244" t="str">
            <v>LFX592</v>
          </cell>
        </row>
        <row r="245">
          <cell r="C245" t="str">
            <v>ALS13772</v>
          </cell>
        </row>
        <row r="246">
          <cell r="C246" t="str">
            <v>ALS16772</v>
          </cell>
        </row>
        <row r="247">
          <cell r="C247" t="str">
            <v>ALS16932</v>
          </cell>
        </row>
        <row r="248">
          <cell r="C248" t="str">
            <v>ALS14679</v>
          </cell>
        </row>
        <row r="249">
          <cell r="C249" t="str">
            <v>ALS15084</v>
          </cell>
        </row>
        <row r="250">
          <cell r="C250" t="str">
            <v>ALS15204</v>
          </cell>
        </row>
        <row r="251">
          <cell r="C251" t="str">
            <v>ALS15352</v>
          </cell>
        </row>
        <row r="252">
          <cell r="C252" t="str">
            <v>ALS17072</v>
          </cell>
        </row>
        <row r="253">
          <cell r="C253" t="str">
            <v>ALS17124</v>
          </cell>
        </row>
        <row r="254">
          <cell r="C254" t="str">
            <v>ALS16628</v>
          </cell>
        </row>
        <row r="255">
          <cell r="C255" t="str">
            <v>ALS16617</v>
          </cell>
        </row>
        <row r="256">
          <cell r="C256" t="str">
            <v>ALS14744</v>
          </cell>
        </row>
        <row r="257">
          <cell r="C257" t="str">
            <v>ALS16921</v>
          </cell>
        </row>
        <row r="258">
          <cell r="C258" t="str">
            <v>ALS15419</v>
          </cell>
        </row>
        <row r="259">
          <cell r="C259" t="str">
            <v>ACT833</v>
          </cell>
        </row>
        <row r="260">
          <cell r="C260" t="str">
            <v>ALS15571</v>
          </cell>
        </row>
        <row r="261">
          <cell r="C261" t="str">
            <v>LFX570</v>
          </cell>
        </row>
        <row r="262">
          <cell r="C262" t="str">
            <v>ALS14790</v>
          </cell>
        </row>
        <row r="263">
          <cell r="C263" t="str">
            <v>ALS14835</v>
          </cell>
        </row>
        <row r="264">
          <cell r="C264" t="str">
            <v>ALS15055</v>
          </cell>
        </row>
        <row r="265">
          <cell r="C265" t="str">
            <v>ALS15572</v>
          </cell>
        </row>
        <row r="266">
          <cell r="C266" t="str">
            <v>ALS16101</v>
          </cell>
        </row>
        <row r="267">
          <cell r="C267" t="str">
            <v>ALS16846</v>
          </cell>
        </row>
        <row r="268">
          <cell r="C268" t="str">
            <v>ALS1758</v>
          </cell>
        </row>
        <row r="269">
          <cell r="C269" t="str">
            <v>ALS14021</v>
          </cell>
        </row>
        <row r="270">
          <cell r="C270" t="str">
            <v>ALS14571</v>
          </cell>
        </row>
        <row r="271">
          <cell r="C271" t="str">
            <v>ALS15027</v>
          </cell>
        </row>
        <row r="272">
          <cell r="C272" t="str">
            <v>ALS16919</v>
          </cell>
        </row>
        <row r="273">
          <cell r="C273" t="str">
            <v>ALS17071</v>
          </cell>
        </row>
        <row r="274">
          <cell r="C274" t="str">
            <v>ALS16107</v>
          </cell>
        </row>
        <row r="275">
          <cell r="C275" t="str">
            <v>ACT2467</v>
          </cell>
        </row>
        <row r="276">
          <cell r="C276" t="str">
            <v>ALS15028</v>
          </cell>
        </row>
        <row r="277">
          <cell r="C277" t="str">
            <v>ALS15205</v>
          </cell>
        </row>
        <row r="278">
          <cell r="C278" t="str">
            <v>ALS16106</v>
          </cell>
        </row>
        <row r="279">
          <cell r="C279" t="str">
            <v>ALS16867</v>
          </cell>
        </row>
        <row r="280">
          <cell r="C280" t="str">
            <v>ALS14027</v>
          </cell>
        </row>
        <row r="281">
          <cell r="C281" t="str">
            <v>ALS14998</v>
          </cell>
        </row>
        <row r="282">
          <cell r="C282" t="str">
            <v>ACT2491</v>
          </cell>
        </row>
        <row r="283">
          <cell r="C283" t="str">
            <v>ALS15250</v>
          </cell>
        </row>
        <row r="284">
          <cell r="C284" t="str">
            <v>ALS14025</v>
          </cell>
        </row>
        <row r="285">
          <cell r="C285" t="str">
            <v>ALS15097</v>
          </cell>
        </row>
        <row r="286">
          <cell r="C286" t="str">
            <v>ALS15353</v>
          </cell>
        </row>
        <row r="287">
          <cell r="C287" t="str">
            <v>ALS15439</v>
          </cell>
        </row>
        <row r="288">
          <cell r="C288" t="str">
            <v>ALS16968</v>
          </cell>
        </row>
        <row r="289">
          <cell r="C289" t="str">
            <v>ALS14775</v>
          </cell>
        </row>
        <row r="290">
          <cell r="C290" t="str">
            <v>ALS1466</v>
          </cell>
        </row>
        <row r="291">
          <cell r="C291" t="str">
            <v>AMM0875</v>
          </cell>
        </row>
        <row r="292">
          <cell r="C292" t="str">
            <v>ACT844</v>
          </cell>
        </row>
        <row r="293">
          <cell r="C293" t="str">
            <v>ALS13806</v>
          </cell>
        </row>
        <row r="294">
          <cell r="C294" t="str">
            <v>ALS17004</v>
          </cell>
        </row>
        <row r="295">
          <cell r="C295" t="str">
            <v>ALS0367</v>
          </cell>
        </row>
        <row r="296">
          <cell r="C296" t="str">
            <v>ALS3845</v>
          </cell>
        </row>
        <row r="297">
          <cell r="C297" t="str">
            <v>ALS11094</v>
          </cell>
        </row>
        <row r="298">
          <cell r="C298" t="str">
            <v>ALS12304</v>
          </cell>
        </row>
        <row r="299">
          <cell r="C299" t="str">
            <v>ALS14314</v>
          </cell>
        </row>
        <row r="300">
          <cell r="C300" t="str">
            <v>ALS16999</v>
          </cell>
        </row>
        <row r="301">
          <cell r="C301" t="str">
            <v>ALS14676</v>
          </cell>
        </row>
        <row r="302">
          <cell r="C302" t="str">
            <v>ALS12765</v>
          </cell>
        </row>
        <row r="303">
          <cell r="C303" t="str">
            <v>ALS15761</v>
          </cell>
        </row>
        <row r="304">
          <cell r="C304" t="str">
            <v>ALS13177</v>
          </cell>
        </row>
        <row r="305">
          <cell r="C305" t="str">
            <v>ALS15762</v>
          </cell>
        </row>
        <row r="306">
          <cell r="C306" t="str">
            <v>ALS16298</v>
          </cell>
        </row>
        <row r="307">
          <cell r="C307" t="str">
            <v>ALS16297</v>
          </cell>
        </row>
        <row r="308">
          <cell r="C308" t="str">
            <v>ALS16293</v>
          </cell>
        </row>
        <row r="309">
          <cell r="C309" t="str">
            <v>ALS16976</v>
          </cell>
        </row>
        <row r="310">
          <cell r="C310" t="str">
            <v>ALS16991</v>
          </cell>
        </row>
        <row r="311">
          <cell r="C311" t="str">
            <v>ALS17313</v>
          </cell>
        </row>
        <row r="312">
          <cell r="C312" t="str">
            <v>ALS16463</v>
          </cell>
        </row>
        <row r="313">
          <cell r="C313" t="str">
            <v>ALS16551</v>
          </cell>
        </row>
        <row r="314">
          <cell r="C314" t="str">
            <v>ALS16550</v>
          </cell>
        </row>
        <row r="315">
          <cell r="C315" t="str">
            <v>ALS17005</v>
          </cell>
        </row>
        <row r="316">
          <cell r="C316" t="str">
            <v>ALS15922</v>
          </cell>
        </row>
        <row r="317">
          <cell r="C317" t="str">
            <v>ALS14420</v>
          </cell>
        </row>
        <row r="318">
          <cell r="C318" t="str">
            <v>ALS15389</v>
          </cell>
        </row>
        <row r="319">
          <cell r="C319" t="str">
            <v>ALS11201</v>
          </cell>
        </row>
        <row r="320">
          <cell r="C320" t="str">
            <v>ADH3945</v>
          </cell>
        </row>
        <row r="321">
          <cell r="C321" t="str">
            <v>LFX864</v>
          </cell>
        </row>
        <row r="322">
          <cell r="C322" t="str">
            <v>ALS15703</v>
          </cell>
        </row>
        <row r="323">
          <cell r="C323" t="str">
            <v>ALS16192</v>
          </cell>
        </row>
        <row r="324">
          <cell r="C324" t="str">
            <v>ALS16412</v>
          </cell>
        </row>
        <row r="325">
          <cell r="C325" t="str">
            <v>ALS16502</v>
          </cell>
        </row>
        <row r="326">
          <cell r="C326" t="str">
            <v>ALS16507</v>
          </cell>
        </row>
        <row r="327">
          <cell r="C327" t="str">
            <v>AMM2053</v>
          </cell>
        </row>
        <row r="328">
          <cell r="C328" t="str">
            <v>ALS16296</v>
          </cell>
        </row>
        <row r="329">
          <cell r="C329" t="str">
            <v>ALS16844</v>
          </cell>
        </row>
        <row r="330">
          <cell r="C330" t="str">
            <v>ALS14766</v>
          </cell>
        </row>
        <row r="331">
          <cell r="C331" t="str">
            <v>ALS0034</v>
          </cell>
        </row>
        <row r="332">
          <cell r="C332" t="str">
            <v>ALS13027</v>
          </cell>
        </row>
        <row r="333">
          <cell r="C333" t="str">
            <v>ALS14155</v>
          </cell>
        </row>
        <row r="334">
          <cell r="C334" t="str">
            <v>ALS15702</v>
          </cell>
        </row>
        <row r="335">
          <cell r="C335" t="str">
            <v>ALS16458</v>
          </cell>
        </row>
        <row r="336">
          <cell r="C336" t="str">
            <v>ALS16503</v>
          </cell>
        </row>
        <row r="337">
          <cell r="C337" t="str">
            <v>ALS16532</v>
          </cell>
        </row>
        <row r="338">
          <cell r="C338" t="str">
            <v>ALS16555</v>
          </cell>
        </row>
        <row r="339">
          <cell r="C339" t="str">
            <v>FX2675</v>
          </cell>
        </row>
        <row r="340">
          <cell r="C340" t="str">
            <v>ALS13930</v>
          </cell>
        </row>
        <row r="341">
          <cell r="C341" t="str">
            <v>ALS14673</v>
          </cell>
        </row>
        <row r="342">
          <cell r="C342" t="str">
            <v>LFX853</v>
          </cell>
        </row>
        <row r="343">
          <cell r="C343" t="str">
            <v>ALS15390</v>
          </cell>
        </row>
        <row r="344">
          <cell r="C344" t="str">
            <v>ALS15479</v>
          </cell>
        </row>
        <row r="345">
          <cell r="C345" t="str">
            <v>ALS16321</v>
          </cell>
        </row>
        <row r="346">
          <cell r="C346" t="str">
            <v>ALS16559</v>
          </cell>
        </row>
        <row r="347">
          <cell r="C347" t="str">
            <v>ALS16553</v>
          </cell>
        </row>
        <row r="348">
          <cell r="C348" t="str">
            <v>ALS16544</v>
          </cell>
        </row>
        <row r="349">
          <cell r="C349" t="str">
            <v>ADH3360</v>
          </cell>
        </row>
        <row r="350">
          <cell r="C350" t="str">
            <v>ALS14677</v>
          </cell>
        </row>
        <row r="351">
          <cell r="C351" t="str">
            <v>ALS16843</v>
          </cell>
        </row>
        <row r="352">
          <cell r="C352" t="str">
            <v>ALS14670</v>
          </cell>
        </row>
        <row r="353">
          <cell r="C353" t="str">
            <v>ALS12994</v>
          </cell>
        </row>
        <row r="354">
          <cell r="C354" t="str">
            <v>ALS13367</v>
          </cell>
        </row>
        <row r="355">
          <cell r="C355" t="str">
            <v>ALS16506</v>
          </cell>
        </row>
        <row r="356">
          <cell r="C356" t="str">
            <v>ALS16530</v>
          </cell>
        </row>
        <row r="357">
          <cell r="C357" t="str">
            <v>ALS16558</v>
          </cell>
        </row>
        <row r="358">
          <cell r="C358" t="str">
            <v>ALS16598</v>
          </cell>
        </row>
        <row r="359">
          <cell r="C359" t="str">
            <v>ALS14323</v>
          </cell>
        </row>
        <row r="360">
          <cell r="C360" t="str">
            <v>ALS15391</v>
          </cell>
        </row>
        <row r="361">
          <cell r="C361" t="str">
            <v>ALS16299</v>
          </cell>
        </row>
        <row r="362">
          <cell r="C362" t="str">
            <v>ALS16300</v>
          </cell>
        </row>
        <row r="363">
          <cell r="C363" t="str">
            <v>ALS15921</v>
          </cell>
        </row>
        <row r="364">
          <cell r="C364" t="str">
            <v>ALS16631</v>
          </cell>
        </row>
        <row r="365">
          <cell r="C365" t="str">
            <v>ACT337</v>
          </cell>
        </row>
        <row r="366">
          <cell r="C366" t="str">
            <v>ALS3717</v>
          </cell>
        </row>
        <row r="367">
          <cell r="C367" t="str">
            <v>ADH2765</v>
          </cell>
        </row>
        <row r="368">
          <cell r="C368" t="str">
            <v>ALS15385</v>
          </cell>
        </row>
        <row r="369">
          <cell r="C369" t="str">
            <v>ALS15602</v>
          </cell>
        </row>
        <row r="370">
          <cell r="C370" t="str">
            <v>ALS16861</v>
          </cell>
        </row>
        <row r="371">
          <cell r="C371" t="str">
            <v>ALS12155</v>
          </cell>
        </row>
        <row r="372">
          <cell r="C372" t="str">
            <v>ALS5477</v>
          </cell>
        </row>
        <row r="373">
          <cell r="C373" t="str">
            <v>ALS2304</v>
          </cell>
        </row>
        <row r="374">
          <cell r="C374" t="str">
            <v>ALS17048</v>
          </cell>
        </row>
        <row r="375">
          <cell r="C375" t="str">
            <v>ALS6119</v>
          </cell>
        </row>
        <row r="376">
          <cell r="C376" t="str">
            <v>ALS12615</v>
          </cell>
        </row>
        <row r="377">
          <cell r="C377" t="str">
            <v>ALS12954</v>
          </cell>
        </row>
        <row r="378">
          <cell r="C378" t="str">
            <v>ALS14885</v>
          </cell>
        </row>
        <row r="379">
          <cell r="C379" t="str">
            <v>ALS13003</v>
          </cell>
        </row>
        <row r="380">
          <cell r="C380" t="str">
            <v>ALS15866</v>
          </cell>
        </row>
        <row r="381">
          <cell r="C381" t="str">
            <v>ALS16194</v>
          </cell>
        </row>
        <row r="382">
          <cell r="C382" t="str">
            <v>ALS12825</v>
          </cell>
        </row>
        <row r="383">
          <cell r="C383" t="str">
            <v>ALS13028</v>
          </cell>
        </row>
        <row r="384">
          <cell r="C384" t="str">
            <v>FX2809</v>
          </cell>
        </row>
        <row r="385">
          <cell r="C385" t="str">
            <v>ALS8031</v>
          </cell>
        </row>
        <row r="386">
          <cell r="C386" t="str">
            <v>ALS13687</v>
          </cell>
        </row>
        <row r="387">
          <cell r="C387" t="str">
            <v>LFX127</v>
          </cell>
        </row>
        <row r="388">
          <cell r="C388" t="str">
            <v>ALS15494</v>
          </cell>
        </row>
        <row r="389">
          <cell r="C389" t="str">
            <v>ALS12804</v>
          </cell>
        </row>
        <row r="390">
          <cell r="C390" t="str">
            <v>LFX918</v>
          </cell>
        </row>
        <row r="391">
          <cell r="C391" t="str">
            <v>ALS15824</v>
          </cell>
        </row>
        <row r="392">
          <cell r="C392" t="str">
            <v>ALS15995</v>
          </cell>
        </row>
        <row r="393">
          <cell r="C393" t="str">
            <v>ALS16016</v>
          </cell>
        </row>
        <row r="394">
          <cell r="C394" t="str">
            <v>ALS16015</v>
          </cell>
        </row>
        <row r="395">
          <cell r="C395" t="str">
            <v>ALS16048</v>
          </cell>
        </row>
        <row r="396">
          <cell r="C396" t="str">
            <v>ALS16274</v>
          </cell>
        </row>
        <row r="397">
          <cell r="C397" t="str">
            <v>ALS16271</v>
          </cell>
        </row>
        <row r="398">
          <cell r="C398" t="str">
            <v>ALS16266</v>
          </cell>
        </row>
        <row r="399">
          <cell r="C399" t="str">
            <v>ALS16268</v>
          </cell>
        </row>
        <row r="400">
          <cell r="C400" t="str">
            <v>ALS16249</v>
          </cell>
        </row>
        <row r="401">
          <cell r="C401" t="str">
            <v>ALS16454</v>
          </cell>
        </row>
        <row r="402">
          <cell r="C402" t="str">
            <v>ALS16455</v>
          </cell>
        </row>
        <row r="403">
          <cell r="C403" t="str">
            <v>ALS16548</v>
          </cell>
        </row>
        <row r="404">
          <cell r="C404" t="str">
            <v>ALS17309</v>
          </cell>
        </row>
        <row r="405">
          <cell r="C405" t="str">
            <v>ALS16611</v>
          </cell>
        </row>
        <row r="406">
          <cell r="C406" t="str">
            <v>ALS16612</v>
          </cell>
        </row>
        <row r="407">
          <cell r="C407" t="str">
            <v>ALS16842</v>
          </cell>
        </row>
        <row r="408">
          <cell r="C408" t="str">
            <v>ALS15296</v>
          </cell>
        </row>
        <row r="409">
          <cell r="C409" t="str">
            <v>ALS11785</v>
          </cell>
        </row>
        <row r="410">
          <cell r="C410" t="str">
            <v>ALS13570</v>
          </cell>
        </row>
        <row r="411">
          <cell r="C411" t="str">
            <v>ALS13694</v>
          </cell>
        </row>
        <row r="412">
          <cell r="C412" t="str">
            <v>ALS13928</v>
          </cell>
        </row>
        <row r="413">
          <cell r="C413" t="str">
            <v>ALS14875</v>
          </cell>
        </row>
        <row r="414">
          <cell r="C414" t="str">
            <v>ALS16452</v>
          </cell>
        </row>
        <row r="415">
          <cell r="C415" t="str">
            <v>ALS16399</v>
          </cell>
        </row>
        <row r="416">
          <cell r="C416" t="str">
            <v>ALS16504</v>
          </cell>
        </row>
        <row r="417">
          <cell r="C417" t="str">
            <v>ALS17310</v>
          </cell>
        </row>
        <row r="418">
          <cell r="C418" t="str">
            <v>ALS12772</v>
          </cell>
        </row>
        <row r="419">
          <cell r="C419" t="str">
            <v>ALS14324</v>
          </cell>
        </row>
        <row r="420">
          <cell r="C420" t="str">
            <v>ALS8494</v>
          </cell>
        </row>
        <row r="421">
          <cell r="C421" t="str">
            <v>ALS14569</v>
          </cell>
        </row>
        <row r="422">
          <cell r="C422" t="str">
            <v>ALS15290</v>
          </cell>
        </row>
        <row r="423">
          <cell r="C423" t="str">
            <v>ALS16422</v>
          </cell>
        </row>
        <row r="424">
          <cell r="C424" t="str">
            <v>ALS16396</v>
          </cell>
        </row>
        <row r="425">
          <cell r="C425" t="str">
            <v>ALS16538</v>
          </cell>
        </row>
        <row r="426">
          <cell r="C426" t="str">
            <v>ALS16535</v>
          </cell>
        </row>
        <row r="427">
          <cell r="C427" t="str">
            <v>ALS16547</v>
          </cell>
        </row>
        <row r="428">
          <cell r="C428" t="str">
            <v>ALS17307</v>
          </cell>
        </row>
        <row r="429">
          <cell r="C429" t="str">
            <v>ALS13510</v>
          </cell>
        </row>
        <row r="430">
          <cell r="C430" t="str">
            <v>ALS14248</v>
          </cell>
        </row>
        <row r="431">
          <cell r="C431" t="str">
            <v>ALS13117</v>
          </cell>
        </row>
        <row r="432">
          <cell r="C432" t="str">
            <v>ALS12806</v>
          </cell>
        </row>
        <row r="433">
          <cell r="C433" t="str">
            <v>ALS13587</v>
          </cell>
        </row>
        <row r="434">
          <cell r="C434" t="str">
            <v>ALS14787</v>
          </cell>
        </row>
        <row r="435">
          <cell r="C435" t="str">
            <v>ALS16435</v>
          </cell>
        </row>
        <row r="436">
          <cell r="C436" t="str">
            <v>ALS16505</v>
          </cell>
        </row>
        <row r="437">
          <cell r="C437" t="str">
            <v>ALS16546</v>
          </cell>
        </row>
        <row r="438">
          <cell r="C438" t="str">
            <v>ALS16552</v>
          </cell>
        </row>
        <row r="439">
          <cell r="C439" t="str">
            <v>ALS17311</v>
          </cell>
        </row>
        <row r="440">
          <cell r="C440" t="str">
            <v>ALS16270</v>
          </cell>
        </row>
        <row r="441">
          <cell r="C441" t="str">
            <v>ALS13438</v>
          </cell>
        </row>
        <row r="442">
          <cell r="C442" t="str">
            <v>ALS14322</v>
          </cell>
        </row>
        <row r="443">
          <cell r="C443" t="str">
            <v>LFX888</v>
          </cell>
        </row>
        <row r="444">
          <cell r="C444" t="str">
            <v>ALS13544</v>
          </cell>
        </row>
        <row r="445">
          <cell r="C445" t="str">
            <v>ALS13618</v>
          </cell>
        </row>
        <row r="446">
          <cell r="C446" t="str">
            <v>ALS15293</v>
          </cell>
        </row>
        <row r="447">
          <cell r="C447" t="str">
            <v>ALS16250</v>
          </cell>
        </row>
        <row r="448">
          <cell r="C448" t="str">
            <v>ALS16419</v>
          </cell>
        </row>
        <row r="449">
          <cell r="C449" t="str">
            <v>ALS16536</v>
          </cell>
        </row>
        <row r="450">
          <cell r="C450" t="str">
            <v>ADH6415</v>
          </cell>
        </row>
        <row r="451">
          <cell r="C451" t="str">
            <v>AMM0064</v>
          </cell>
        </row>
        <row r="452">
          <cell r="C452" t="str">
            <v>ALS16891</v>
          </cell>
        </row>
        <row r="453">
          <cell r="C453" t="str">
            <v>LFX023</v>
          </cell>
        </row>
        <row r="454">
          <cell r="C454" t="str">
            <v>ALS12705</v>
          </cell>
        </row>
        <row r="455">
          <cell r="C455" t="str">
            <v>ALS12763</v>
          </cell>
        </row>
        <row r="456">
          <cell r="C456" t="str">
            <v>ALS14824</v>
          </cell>
        </row>
        <row r="457">
          <cell r="C457" t="str">
            <v>ALS15021</v>
          </cell>
        </row>
        <row r="458">
          <cell r="C458" t="str">
            <v>ALS15022</v>
          </cell>
        </row>
        <row r="459">
          <cell r="C459" t="str">
            <v>LFX672</v>
          </cell>
        </row>
        <row r="460">
          <cell r="C460" t="str">
            <v>ALS13396</v>
          </cell>
        </row>
        <row r="461">
          <cell r="C461" t="str">
            <v>ALS2225</v>
          </cell>
        </row>
        <row r="462">
          <cell r="C462" t="str">
            <v>ALS2294</v>
          </cell>
        </row>
        <row r="463">
          <cell r="C463" t="str">
            <v>ADH0741</v>
          </cell>
        </row>
        <row r="464">
          <cell r="C464" t="str">
            <v>ALS4845</v>
          </cell>
        </row>
        <row r="465">
          <cell r="C465" t="str">
            <v>LFX126</v>
          </cell>
        </row>
        <row r="466">
          <cell r="C466" t="str">
            <v>ALS6536</v>
          </cell>
        </row>
        <row r="467">
          <cell r="C467" t="str">
            <v>AMM4392</v>
          </cell>
        </row>
        <row r="468">
          <cell r="C468" t="str">
            <v>ALS4568</v>
          </cell>
        </row>
        <row r="469">
          <cell r="C469" t="str">
            <v>AMM2965</v>
          </cell>
        </row>
        <row r="470">
          <cell r="C470" t="str">
            <v>LFX855</v>
          </cell>
        </row>
        <row r="471">
          <cell r="C471" t="str">
            <v>ALS14156</v>
          </cell>
        </row>
        <row r="472">
          <cell r="C472" t="str">
            <v>ALS14601</v>
          </cell>
        </row>
        <row r="473">
          <cell r="C473" t="str">
            <v>ALS14637</v>
          </cell>
        </row>
        <row r="474">
          <cell r="C474" t="str">
            <v>ALS16430</v>
          </cell>
        </row>
        <row r="475">
          <cell r="C475" t="str">
            <v>ADH6279</v>
          </cell>
        </row>
        <row r="476">
          <cell r="C476" t="str">
            <v>AMM2395</v>
          </cell>
        </row>
        <row r="477">
          <cell r="C477" t="str">
            <v>ALS11222</v>
          </cell>
        </row>
        <row r="478">
          <cell r="C478" t="str">
            <v>ALS15249</v>
          </cell>
        </row>
        <row r="479">
          <cell r="C479" t="str">
            <v>ALS16417</v>
          </cell>
        </row>
        <row r="480">
          <cell r="C480" t="str">
            <v>ALS16424</v>
          </cell>
        </row>
        <row r="481">
          <cell r="C481" t="str">
            <v>AMM0587</v>
          </cell>
        </row>
        <row r="482">
          <cell r="C482" t="str">
            <v>ALS15386</v>
          </cell>
        </row>
        <row r="483">
          <cell r="C483" t="str">
            <v>AMM2310</v>
          </cell>
        </row>
        <row r="484">
          <cell r="C484" t="str">
            <v>ALS14671</v>
          </cell>
        </row>
        <row r="485">
          <cell r="C485" t="str">
            <v>ALS14704</v>
          </cell>
        </row>
        <row r="486">
          <cell r="C486" t="str">
            <v>ALS14706</v>
          </cell>
        </row>
        <row r="487">
          <cell r="C487" t="str">
            <v>ALS14860</v>
          </cell>
        </row>
        <row r="488">
          <cell r="C488" t="str">
            <v>ALS15223</v>
          </cell>
        </row>
        <row r="489">
          <cell r="C489" t="str">
            <v>ALS15474</v>
          </cell>
        </row>
        <row r="490">
          <cell r="C490" t="str">
            <v>ALS15554</v>
          </cell>
        </row>
        <row r="491">
          <cell r="C491" t="str">
            <v>ALS15555</v>
          </cell>
        </row>
        <row r="492">
          <cell r="C492" t="str">
            <v>ALS15726</v>
          </cell>
        </row>
        <row r="493">
          <cell r="C493" t="str">
            <v>ALS15858</v>
          </cell>
        </row>
        <row r="494">
          <cell r="C494" t="str">
            <v>ALS15861</v>
          </cell>
        </row>
        <row r="495">
          <cell r="C495" t="str">
            <v>ALS16260</v>
          </cell>
        </row>
        <row r="496">
          <cell r="C496" t="str">
            <v>ALS16278</v>
          </cell>
        </row>
        <row r="497">
          <cell r="C497" t="str">
            <v>ALS16294</v>
          </cell>
        </row>
        <row r="498">
          <cell r="C498" t="str">
            <v>ALS16426</v>
          </cell>
        </row>
        <row r="499">
          <cell r="C499" t="str">
            <v>ALS16986</v>
          </cell>
        </row>
        <row r="500">
          <cell r="C500" t="str">
            <v>ALS16987</v>
          </cell>
        </row>
        <row r="501">
          <cell r="C501" t="str">
            <v>ALS16988</v>
          </cell>
        </row>
        <row r="502">
          <cell r="C502" t="str">
            <v>ALS16984</v>
          </cell>
        </row>
        <row r="503">
          <cell r="C503" t="str">
            <v>ALS16983</v>
          </cell>
        </row>
        <row r="504">
          <cell r="C504" t="str">
            <v>ALS16557</v>
          </cell>
        </row>
        <row r="505">
          <cell r="C505" t="str">
            <v>ALS16560</v>
          </cell>
        </row>
        <row r="506">
          <cell r="C506" t="str">
            <v>ALS16565</v>
          </cell>
        </row>
        <row r="507">
          <cell r="C507" t="str">
            <v>ALS16596</v>
          </cell>
        </row>
        <row r="508">
          <cell r="C508" t="str">
            <v>ALS16597</v>
          </cell>
        </row>
        <row r="509">
          <cell r="C509" t="str">
            <v>ALS16564</v>
          </cell>
        </row>
        <row r="510">
          <cell r="C510" t="str">
            <v>ALS16622</v>
          </cell>
        </row>
        <row r="511">
          <cell r="C511" t="str">
            <v>ALS16516</v>
          </cell>
        </row>
        <row r="512">
          <cell r="C512" t="str">
            <v>AMM3995</v>
          </cell>
        </row>
        <row r="513">
          <cell r="C513" t="str">
            <v>BDH0465</v>
          </cell>
        </row>
        <row r="514">
          <cell r="C514" t="str">
            <v>ALS14767</v>
          </cell>
        </row>
        <row r="515">
          <cell r="C515" t="str">
            <v>ALS14832</v>
          </cell>
        </row>
        <row r="516">
          <cell r="C516" t="str">
            <v>ALS15227</v>
          </cell>
        </row>
        <row r="517">
          <cell r="C517" t="str">
            <v>ALS16305</v>
          </cell>
        </row>
        <row r="518">
          <cell r="C518" t="str">
            <v>ALS16982</v>
          </cell>
        </row>
        <row r="519">
          <cell r="C519" t="str">
            <v>ALS14312</v>
          </cell>
        </row>
        <row r="520">
          <cell r="C520" t="str">
            <v>ALS14313</v>
          </cell>
        </row>
        <row r="521">
          <cell r="C521" t="str">
            <v>ALS15698</v>
          </cell>
        </row>
        <row r="522">
          <cell r="C522" t="str">
            <v>ALS14214</v>
          </cell>
        </row>
        <row r="523">
          <cell r="C523" t="str">
            <v>AMM0513</v>
          </cell>
        </row>
        <row r="524">
          <cell r="C524" t="str">
            <v>ALS14700</v>
          </cell>
        </row>
        <row r="525">
          <cell r="C525" t="str">
            <v>ALS14730</v>
          </cell>
        </row>
        <row r="526">
          <cell r="C526" t="str">
            <v>ALS15471</v>
          </cell>
        </row>
        <row r="527">
          <cell r="C527" t="str">
            <v>ALS15473</v>
          </cell>
        </row>
        <row r="528">
          <cell r="C528" t="str">
            <v>ALS15559</v>
          </cell>
        </row>
        <row r="529">
          <cell r="C529" t="str">
            <v>ALS15643</v>
          </cell>
        </row>
        <row r="530">
          <cell r="C530" t="str">
            <v>ALS15730</v>
          </cell>
        </row>
        <row r="531">
          <cell r="C531" t="str">
            <v>ALS15789</v>
          </cell>
        </row>
        <row r="532">
          <cell r="C532" t="str">
            <v>ALS16018</v>
          </cell>
        </row>
        <row r="533">
          <cell r="C533" t="str">
            <v>ALS16254</v>
          </cell>
        </row>
        <row r="534">
          <cell r="C534" t="str">
            <v>ALS16257</v>
          </cell>
        </row>
        <row r="535">
          <cell r="C535" t="str">
            <v>ALS16258</v>
          </cell>
        </row>
        <row r="536">
          <cell r="C536" t="str">
            <v>AMM4428</v>
          </cell>
        </row>
        <row r="537">
          <cell r="C537" t="str">
            <v>ALS14709</v>
          </cell>
        </row>
        <row r="538">
          <cell r="C538" t="str">
            <v>ALS14830</v>
          </cell>
        </row>
        <row r="539">
          <cell r="C539" t="str">
            <v>ADH6967</v>
          </cell>
        </row>
        <row r="540">
          <cell r="C540" t="str">
            <v>ALS16013</v>
          </cell>
        </row>
        <row r="541">
          <cell r="C541" t="str">
            <v>AMM3993</v>
          </cell>
        </row>
        <row r="542">
          <cell r="C542" t="str">
            <v>ALS14604</v>
          </cell>
        </row>
        <row r="543">
          <cell r="C543" t="str">
            <v>ALS14608</v>
          </cell>
        </row>
        <row r="544">
          <cell r="C544" t="str">
            <v>ALS15222</v>
          </cell>
        </row>
        <row r="545">
          <cell r="C545" t="str">
            <v>ALS15470</v>
          </cell>
        </row>
        <row r="546">
          <cell r="C546" t="str">
            <v>ALS15475</v>
          </cell>
        </row>
        <row r="547">
          <cell r="C547" t="str">
            <v>ALS15608</v>
          </cell>
        </row>
        <row r="548">
          <cell r="C548" t="str">
            <v>ALS15696</v>
          </cell>
        </row>
        <row r="549">
          <cell r="C549" t="str">
            <v>ALS16347</v>
          </cell>
        </row>
        <row r="550">
          <cell r="C550" t="str">
            <v>ALS16402</v>
          </cell>
        </row>
        <row r="551">
          <cell r="C551" t="str">
            <v>ALS16508</v>
          </cell>
        </row>
        <row r="552">
          <cell r="C552" t="str">
            <v>AMM4084</v>
          </cell>
        </row>
        <row r="553">
          <cell r="C553" t="str">
            <v>ADH6471</v>
          </cell>
        </row>
        <row r="554">
          <cell r="C554" t="str">
            <v>ALS13588</v>
          </cell>
        </row>
        <row r="555">
          <cell r="C555" t="str">
            <v>ALS14310</v>
          </cell>
        </row>
        <row r="556">
          <cell r="C556" t="str">
            <v>ALS14735</v>
          </cell>
        </row>
        <row r="557">
          <cell r="C557" t="str">
            <v>ALS16074</v>
          </cell>
        </row>
        <row r="558">
          <cell r="C558" t="str">
            <v>ALS14507</v>
          </cell>
        </row>
        <row r="559">
          <cell r="C559" t="str">
            <v>ALS14568</v>
          </cell>
        </row>
        <row r="560">
          <cell r="C560" t="str">
            <v>LFX452</v>
          </cell>
        </row>
        <row r="561">
          <cell r="C561" t="str">
            <v>ADH6302</v>
          </cell>
        </row>
        <row r="562">
          <cell r="C562" t="str">
            <v>ALS13679</v>
          </cell>
        </row>
        <row r="563">
          <cell r="C563" t="str">
            <v>ALS14729</v>
          </cell>
        </row>
        <row r="564">
          <cell r="C564" t="str">
            <v>ALS14672</v>
          </cell>
        </row>
        <row r="565">
          <cell r="C565" t="str">
            <v>ALS15224</v>
          </cell>
        </row>
        <row r="566">
          <cell r="C566" t="str">
            <v>ALS16425</v>
          </cell>
        </row>
        <row r="567">
          <cell r="C567" t="str">
            <v>ALS16510</v>
          </cell>
        </row>
        <row r="568">
          <cell r="C568" t="str">
            <v>ALS16515</v>
          </cell>
        </row>
        <row r="569">
          <cell r="C569" t="str">
            <v>LFX079</v>
          </cell>
        </row>
        <row r="570">
          <cell r="C570" t="str">
            <v>FX2885</v>
          </cell>
        </row>
        <row r="571">
          <cell r="C571" t="str">
            <v>ALS13564</v>
          </cell>
        </row>
        <row r="572">
          <cell r="C572" t="str">
            <v>ALS14606</v>
          </cell>
        </row>
        <row r="573">
          <cell r="C573" t="str">
            <v>ALS14502</v>
          </cell>
        </row>
        <row r="574">
          <cell r="C574" t="str">
            <v>ALS15764</v>
          </cell>
        </row>
        <row r="575">
          <cell r="C575" t="str">
            <v>ALS16014</v>
          </cell>
        </row>
        <row r="576">
          <cell r="C576" t="str">
            <v>ALS16619</v>
          </cell>
        </row>
        <row r="577">
          <cell r="C577" t="str">
            <v>ALS16621</v>
          </cell>
        </row>
        <row r="578">
          <cell r="C578" t="str">
            <v>ALS14566</v>
          </cell>
        </row>
        <row r="579">
          <cell r="C579" t="str">
            <v>AMM3115</v>
          </cell>
        </row>
        <row r="580">
          <cell r="C580" t="str">
            <v>ADH5609</v>
          </cell>
        </row>
        <row r="581">
          <cell r="C581" t="str">
            <v>ALS13121</v>
          </cell>
        </row>
        <row r="582">
          <cell r="C582" t="str">
            <v>ALS15864</v>
          </cell>
        </row>
        <row r="583">
          <cell r="C583" t="str">
            <v>ALS16403</v>
          </cell>
        </row>
        <row r="584">
          <cell r="C584" t="str">
            <v>ALS16418</v>
          </cell>
        </row>
        <row r="585">
          <cell r="C585" t="str">
            <v>ALS16480</v>
          </cell>
        </row>
        <row r="586">
          <cell r="C586" t="str">
            <v>BDH0550</v>
          </cell>
        </row>
        <row r="587">
          <cell r="C587" t="str">
            <v>ALS14612</v>
          </cell>
        </row>
        <row r="588">
          <cell r="C588" t="str">
            <v>ALS14738</v>
          </cell>
        </row>
        <row r="589">
          <cell r="C589" t="str">
            <v>ALS14745</v>
          </cell>
        </row>
        <row r="590">
          <cell r="C590" t="str">
            <v>ALS15646</v>
          </cell>
        </row>
        <row r="591">
          <cell r="C591" t="str">
            <v>ALS16620</v>
          </cell>
        </row>
        <row r="592">
          <cell r="C592" t="str">
            <v>ALS17164</v>
          </cell>
        </row>
        <row r="593">
          <cell r="C593" t="str">
            <v>AMT0033</v>
          </cell>
        </row>
        <row r="594">
          <cell r="C594" t="str">
            <v>ALS8427</v>
          </cell>
        </row>
        <row r="595">
          <cell r="C595" t="str">
            <v>ALS14415</v>
          </cell>
        </row>
        <row r="596">
          <cell r="C596" t="str">
            <v>ALS15221</v>
          </cell>
        </row>
        <row r="597">
          <cell r="C597" t="str">
            <v>ALS16460</v>
          </cell>
        </row>
        <row r="598">
          <cell r="C598" t="str">
            <v>ALS16445</v>
          </cell>
        </row>
        <row r="599">
          <cell r="C599" t="str">
            <v>ALS10159</v>
          </cell>
        </row>
        <row r="600">
          <cell r="C600" t="str">
            <v>ALS16992</v>
          </cell>
        </row>
        <row r="601">
          <cell r="C601" t="str">
            <v>ALS15044</v>
          </cell>
        </row>
        <row r="602">
          <cell r="C602" t="str">
            <v>ALS15096</v>
          </cell>
        </row>
        <row r="603">
          <cell r="C603" t="str">
            <v>ACT2289</v>
          </cell>
        </row>
        <row r="604">
          <cell r="C604" t="str">
            <v>ALS2629</v>
          </cell>
        </row>
        <row r="605">
          <cell r="C605" t="str">
            <v>ALS12992</v>
          </cell>
        </row>
        <row r="606">
          <cell r="C606" t="str">
            <v>AMM3426</v>
          </cell>
        </row>
        <row r="607">
          <cell r="C607" t="str">
            <v>ALS13220</v>
          </cell>
        </row>
        <row r="608">
          <cell r="C608" t="str">
            <v>ALS16859</v>
          </cell>
        </row>
        <row r="609">
          <cell r="C609" t="str">
            <v>BDH0403</v>
          </cell>
        </row>
        <row r="610">
          <cell r="C610" t="str">
            <v>ALS16211</v>
          </cell>
        </row>
        <row r="611">
          <cell r="C611" t="str">
            <v>ALS14565</v>
          </cell>
        </row>
        <row r="612">
          <cell r="C612" t="str">
            <v>ALS16690</v>
          </cell>
        </row>
        <row r="613">
          <cell r="C613" t="str">
            <v>ALS14564</v>
          </cell>
        </row>
        <row r="614">
          <cell r="C614" t="str">
            <v>ALS14826</v>
          </cell>
        </row>
        <row r="615">
          <cell r="C615" t="str">
            <v>ALS15128</v>
          </cell>
        </row>
        <row r="616">
          <cell r="C616" t="str">
            <v>ALS15438</v>
          </cell>
        </row>
        <row r="617">
          <cell r="C617" t="str">
            <v>ALS15647</v>
          </cell>
        </row>
        <row r="618">
          <cell r="C618" t="str">
            <v>ALS16462</v>
          </cell>
        </row>
        <row r="619">
          <cell r="C619" t="str">
            <v>ALS16440</v>
          </cell>
        </row>
        <row r="620">
          <cell r="C620" t="str">
            <v>ALS16781</v>
          </cell>
        </row>
        <row r="621">
          <cell r="C621" t="str">
            <v>ALS16768</v>
          </cell>
        </row>
        <row r="622">
          <cell r="C622" t="str">
            <v>ALS16819</v>
          </cell>
        </row>
        <row r="623">
          <cell r="C623" t="str">
            <v>ALS16853</v>
          </cell>
        </row>
        <row r="624">
          <cell r="C624" t="str">
            <v>ALS17165</v>
          </cell>
        </row>
        <row r="625">
          <cell r="C625" t="str">
            <v>ALS17125</v>
          </cell>
        </row>
        <row r="626">
          <cell r="C626" t="str">
            <v>ALS15566</v>
          </cell>
        </row>
        <row r="627">
          <cell r="C627" t="str">
            <v>ALS14987</v>
          </cell>
        </row>
        <row r="628">
          <cell r="C628" t="str">
            <v>ALS14728</v>
          </cell>
        </row>
        <row r="629">
          <cell r="C629" t="str">
            <v>ALS14731</v>
          </cell>
        </row>
        <row r="630">
          <cell r="C630" t="str">
            <v>ALS15247</v>
          </cell>
        </row>
        <row r="631">
          <cell r="C631" t="str">
            <v>ALS15556</v>
          </cell>
        </row>
        <row r="632">
          <cell r="C632" t="str">
            <v>ADH6965</v>
          </cell>
        </row>
        <row r="633">
          <cell r="C633" t="str">
            <v>ALS16858</v>
          </cell>
        </row>
        <row r="634">
          <cell r="C634" t="str">
            <v>ALS16849</v>
          </cell>
        </row>
        <row r="635">
          <cell r="C635" t="str">
            <v>ALS14828</v>
          </cell>
        </row>
        <row r="636">
          <cell r="C636" t="str">
            <v>ALS15127</v>
          </cell>
        </row>
        <row r="637">
          <cell r="C637" t="str">
            <v>ALS15415</v>
          </cell>
        </row>
        <row r="638">
          <cell r="C638" t="str">
            <v>ALS15469</v>
          </cell>
        </row>
        <row r="639">
          <cell r="C639" t="str">
            <v>ALS16302</v>
          </cell>
        </row>
        <row r="640">
          <cell r="C640" t="str">
            <v>ALS16303</v>
          </cell>
        </row>
        <row r="641">
          <cell r="C641" t="str">
            <v>ALS16836</v>
          </cell>
        </row>
        <row r="642">
          <cell r="C642" t="str">
            <v>ALS16854</v>
          </cell>
        </row>
        <row r="643">
          <cell r="C643" t="str">
            <v>ALS14311</v>
          </cell>
        </row>
        <row r="644">
          <cell r="C644" t="str">
            <v>AMM4275</v>
          </cell>
        </row>
        <row r="645">
          <cell r="C645" t="str">
            <v>ALS14764</v>
          </cell>
        </row>
        <row r="646">
          <cell r="C646" t="str">
            <v>ADH3353</v>
          </cell>
        </row>
        <row r="647">
          <cell r="C647" t="str">
            <v>AMM2550</v>
          </cell>
        </row>
        <row r="648">
          <cell r="C648" t="str">
            <v>ALS14506</v>
          </cell>
        </row>
        <row r="649">
          <cell r="C649" t="str">
            <v>ALS16845</v>
          </cell>
        </row>
        <row r="650">
          <cell r="C650" t="str">
            <v>ALS14774</v>
          </cell>
        </row>
        <row r="651">
          <cell r="C651" t="str">
            <v>AMM4231</v>
          </cell>
        </row>
        <row r="652">
          <cell r="C652" t="str">
            <v>ADH6203</v>
          </cell>
        </row>
        <row r="653">
          <cell r="C653" t="str">
            <v>AMM4333</v>
          </cell>
        </row>
        <row r="654">
          <cell r="C654" t="str">
            <v>ALS14825</v>
          </cell>
        </row>
        <row r="655">
          <cell r="C655" t="str">
            <v>ALS16848</v>
          </cell>
        </row>
        <row r="656">
          <cell r="C656" t="str">
            <v>ALS15151</v>
          </cell>
        </row>
        <row r="657">
          <cell r="C657" t="str">
            <v>ALS16117</v>
          </cell>
        </row>
        <row r="658">
          <cell r="C658" t="str">
            <v>ALS16610</v>
          </cell>
        </row>
        <row r="659">
          <cell r="C659" t="str">
            <v>ALS17185</v>
          </cell>
        </row>
        <row r="660">
          <cell r="C660" t="str">
            <v>ALS16528</v>
          </cell>
        </row>
        <row r="661">
          <cell r="C661" t="str">
            <v>ALS16653</v>
          </cell>
        </row>
        <row r="662">
          <cell r="C662" t="str">
            <v>ALS16993</v>
          </cell>
        </row>
        <row r="663">
          <cell r="C663" t="str">
            <v>ALS17002</v>
          </cell>
        </row>
        <row r="664">
          <cell r="C664" t="str">
            <v>ALS17025</v>
          </cell>
        </row>
        <row r="665">
          <cell r="C665" t="str">
            <v>ALS16738</v>
          </cell>
        </row>
        <row r="666">
          <cell r="C666" t="str">
            <v>ALS16818</v>
          </cell>
        </row>
        <row r="667">
          <cell r="C667" t="str">
            <v>ALS17093</v>
          </cell>
        </row>
        <row r="668">
          <cell r="C668" t="str">
            <v>ALS17112</v>
          </cell>
        </row>
        <row r="669">
          <cell r="C669" t="str">
            <v>ALS17115</v>
          </cell>
        </row>
        <row r="670">
          <cell r="C670" t="str">
            <v>ALS17117</v>
          </cell>
        </row>
        <row r="671">
          <cell r="C671" t="str">
            <v>ALS16855</v>
          </cell>
        </row>
        <row r="672">
          <cell r="C672" t="str">
            <v>ALS16824</v>
          </cell>
        </row>
        <row r="673">
          <cell r="C673" t="str">
            <v>ALS16838</v>
          </cell>
        </row>
        <row r="674">
          <cell r="C674" t="str">
            <v>ACT1579</v>
          </cell>
        </row>
        <row r="675">
          <cell r="C675" t="str">
            <v>ALS14984</v>
          </cell>
        </row>
        <row r="676">
          <cell r="C676" t="str">
            <v>ALS15095</v>
          </cell>
        </row>
        <row r="677">
          <cell r="C677" t="str">
            <v>ALS15335</v>
          </cell>
        </row>
        <row r="678">
          <cell r="C678" t="str">
            <v>ALS17113</v>
          </cell>
        </row>
        <row r="679">
          <cell r="C679" t="str">
            <v>ALS2530</v>
          </cell>
        </row>
        <row r="680">
          <cell r="C680" t="str">
            <v>ALS3455</v>
          </cell>
        </row>
        <row r="681">
          <cell r="C681" t="str">
            <v>ALS7380</v>
          </cell>
        </row>
        <row r="682">
          <cell r="C682" t="str">
            <v>ALS11096</v>
          </cell>
        </row>
        <row r="683">
          <cell r="C683" t="str">
            <v>ALS16118</v>
          </cell>
        </row>
        <row r="684">
          <cell r="C684" t="str">
            <v>ALS2305</v>
          </cell>
        </row>
        <row r="685">
          <cell r="C685" t="str">
            <v>AMM3422</v>
          </cell>
        </row>
        <row r="686">
          <cell r="C686" t="str">
            <v>ALS12838</v>
          </cell>
        </row>
        <row r="687">
          <cell r="C687" t="str">
            <v>ALS12955</v>
          </cell>
        </row>
        <row r="688">
          <cell r="C688" t="str">
            <v>ALS16339</v>
          </cell>
        </row>
        <row r="689">
          <cell r="C689" t="str">
            <v>ALS14337</v>
          </cell>
        </row>
        <row r="690">
          <cell r="C690" t="str">
            <v>ALS14338</v>
          </cell>
        </row>
        <row r="691">
          <cell r="C691" t="str">
            <v>ALS16461</v>
          </cell>
        </row>
        <row r="692">
          <cell r="C692" t="str">
            <v>ALS2257</v>
          </cell>
        </row>
        <row r="693">
          <cell r="C693" t="str">
            <v>ALS10334</v>
          </cell>
        </row>
        <row r="694">
          <cell r="C694" t="str">
            <v>ALS11230</v>
          </cell>
        </row>
        <row r="695">
          <cell r="C695" t="str">
            <v>ABT0062</v>
          </cell>
        </row>
        <row r="696">
          <cell r="C696" t="str">
            <v>ALS14985</v>
          </cell>
        </row>
        <row r="697">
          <cell r="C697" t="str">
            <v>ALS15491</v>
          </cell>
        </row>
        <row r="698">
          <cell r="C698" t="str">
            <v>ALS16348</v>
          </cell>
        </row>
        <row r="699">
          <cell r="C699" t="str">
            <v>ALS13550</v>
          </cell>
        </row>
        <row r="700">
          <cell r="C700" t="str">
            <v>ALS14334</v>
          </cell>
        </row>
        <row r="701">
          <cell r="C701" t="str">
            <v>ALS14335</v>
          </cell>
        </row>
        <row r="702">
          <cell r="C702" t="str">
            <v>ALS15552</v>
          </cell>
        </row>
        <row r="703">
          <cell r="C703" t="str">
            <v>ALS16279</v>
          </cell>
        </row>
        <row r="704">
          <cell r="C704" t="str">
            <v>ALS16277</v>
          </cell>
        </row>
        <row r="705">
          <cell r="C705" t="str">
            <v>ALS16427</v>
          </cell>
        </row>
        <row r="706">
          <cell r="C706" t="str">
            <v>ALS16429</v>
          </cell>
        </row>
        <row r="707">
          <cell r="C707" t="str">
            <v>ALS16777</v>
          </cell>
        </row>
        <row r="708">
          <cell r="C708" t="str">
            <v>ALS11204</v>
          </cell>
        </row>
        <row r="709">
          <cell r="C709" t="str">
            <v>ALS13720</v>
          </cell>
        </row>
        <row r="710">
          <cell r="C710" t="str">
            <v>ALS15551</v>
          </cell>
        </row>
        <row r="711">
          <cell r="C711" t="str">
            <v>ALS15765</v>
          </cell>
        </row>
        <row r="712">
          <cell r="C712" t="str">
            <v>ALS16251</v>
          </cell>
        </row>
        <row r="713">
          <cell r="C713" t="str">
            <v>ALS16310</v>
          </cell>
        </row>
        <row r="714">
          <cell r="C714" t="str">
            <v>ALS16441</v>
          </cell>
        </row>
        <row r="715">
          <cell r="C715" t="str">
            <v>ALS16468</v>
          </cell>
        </row>
        <row r="716">
          <cell r="C716" t="str">
            <v>ALS16740</v>
          </cell>
        </row>
        <row r="717">
          <cell r="C717" t="str">
            <v>ALS16769</v>
          </cell>
        </row>
        <row r="718">
          <cell r="C718" t="str">
            <v>LFX779</v>
          </cell>
        </row>
        <row r="719">
          <cell r="C719" t="str">
            <v>ALS13120</v>
          </cell>
        </row>
        <row r="720">
          <cell r="C720" t="str">
            <v>ALS13745</v>
          </cell>
        </row>
        <row r="721">
          <cell r="C721" t="str">
            <v>ALS15378</v>
          </cell>
        </row>
        <row r="722">
          <cell r="C722" t="str">
            <v>ALS15694</v>
          </cell>
        </row>
        <row r="723">
          <cell r="C723" t="str">
            <v>ALS16450</v>
          </cell>
        </row>
        <row r="724">
          <cell r="C724" t="str">
            <v>ALS16428</v>
          </cell>
        </row>
        <row r="725">
          <cell r="C725" t="str">
            <v>ALS16850</v>
          </cell>
        </row>
        <row r="726">
          <cell r="C726" t="str">
            <v>ALS16383</v>
          </cell>
        </row>
        <row r="727">
          <cell r="C727" t="str">
            <v>ALS14999</v>
          </cell>
        </row>
        <row r="728">
          <cell r="C728" t="str">
            <v>ALS17073</v>
          </cell>
        </row>
        <row r="729">
          <cell r="C729" t="str">
            <v>ALS17057</v>
          </cell>
        </row>
        <row r="730">
          <cell r="C730" t="str">
            <v>ALS16517</v>
          </cell>
        </row>
        <row r="731">
          <cell r="C731" t="str">
            <v>ALS13607</v>
          </cell>
        </row>
        <row r="732">
          <cell r="C732" t="str">
            <v>ALS14317</v>
          </cell>
        </row>
        <row r="733">
          <cell r="C733" t="str">
            <v>ALS14503</v>
          </cell>
        </row>
        <row r="734">
          <cell r="C734" t="str">
            <v>ALS14635</v>
          </cell>
        </row>
        <row r="735">
          <cell r="C735" t="str">
            <v>ALS14636</v>
          </cell>
        </row>
        <row r="736">
          <cell r="C736" t="str">
            <v>ALS14763</v>
          </cell>
        </row>
        <row r="737">
          <cell r="C737" t="str">
            <v>ALS15563</v>
          </cell>
        </row>
        <row r="738">
          <cell r="C738" t="str">
            <v>ALS15644</v>
          </cell>
        </row>
        <row r="739">
          <cell r="C739" t="str">
            <v>ALS16501</v>
          </cell>
        </row>
        <row r="740">
          <cell r="C740" t="str">
            <v>ALS16509</v>
          </cell>
        </row>
        <row r="741">
          <cell r="C741" t="str">
            <v>ALS16511</v>
          </cell>
        </row>
        <row r="742">
          <cell r="C742" t="str">
            <v>ALS16497</v>
          </cell>
        </row>
        <row r="743">
          <cell r="C743" t="str">
            <v>ALS16513</v>
          </cell>
        </row>
        <row r="744">
          <cell r="C744" t="str">
            <v>ALS16514</v>
          </cell>
        </row>
        <row r="745">
          <cell r="C745" t="str">
            <v>ALS14609</v>
          </cell>
        </row>
        <row r="746">
          <cell r="C746" t="str">
            <v>AMM4287</v>
          </cell>
        </row>
        <row r="747">
          <cell r="C747" t="str">
            <v>ALS15437</v>
          </cell>
        </row>
        <row r="748">
          <cell r="C748" t="str">
            <v>ALS14319</v>
          </cell>
        </row>
        <row r="749">
          <cell r="C749" t="str">
            <v>ALS13371</v>
          </cell>
        </row>
        <row r="750">
          <cell r="C750" t="str">
            <v>ALS14246</v>
          </cell>
        </row>
        <row r="751">
          <cell r="C751" t="str">
            <v>ALS14605</v>
          </cell>
        </row>
        <row r="752">
          <cell r="C752" t="str">
            <v>ALS15226</v>
          </cell>
        </row>
        <row r="753">
          <cell r="C753" t="str">
            <v>ALS14416</v>
          </cell>
        </row>
        <row r="754">
          <cell r="C754" t="str">
            <v>ALS16324</v>
          </cell>
        </row>
        <row r="755">
          <cell r="C755" t="str">
            <v>ALS16606</v>
          </cell>
        </row>
        <row r="756">
          <cell r="C756" t="str">
            <v>ALS16609</v>
          </cell>
        </row>
        <row r="757">
          <cell r="C757" t="str">
            <v>ALS16601</v>
          </cell>
        </row>
        <row r="758">
          <cell r="C758" t="str">
            <v>ALS16623</v>
          </cell>
        </row>
        <row r="759">
          <cell r="C759" t="str">
            <v>ALS16604</v>
          </cell>
        </row>
        <row r="760">
          <cell r="C760" t="str">
            <v>ALS16729</v>
          </cell>
        </row>
        <row r="761">
          <cell r="C761" t="str">
            <v>ALS16952</v>
          </cell>
        </row>
        <row r="762">
          <cell r="C762" t="str">
            <v>ALS17159</v>
          </cell>
        </row>
        <row r="763">
          <cell r="C763" t="str">
            <v>ALS17160</v>
          </cell>
        </row>
        <row r="764">
          <cell r="C764" t="str">
            <v>ALS16602</v>
          </cell>
        </row>
        <row r="765">
          <cell r="C765" t="str">
            <v>ALS9244</v>
          </cell>
        </row>
        <row r="766">
          <cell r="C766" t="str">
            <v>ALS17081</v>
          </cell>
        </row>
        <row r="767">
          <cell r="C767" t="str">
            <v>ALS13782</v>
          </cell>
        </row>
        <row r="768">
          <cell r="C768" t="str">
            <v>ALS14723</v>
          </cell>
        </row>
        <row r="769">
          <cell r="C769" t="str">
            <v>ALS14786</v>
          </cell>
        </row>
        <row r="770">
          <cell r="C770" t="str">
            <v>ALS16625</v>
          </cell>
        </row>
        <row r="771">
          <cell r="C771" t="str">
            <v>ALS14613</v>
          </cell>
        </row>
        <row r="772">
          <cell r="C772" t="str">
            <v>ALS14898</v>
          </cell>
        </row>
        <row r="773">
          <cell r="C773" t="str">
            <v>ALS8214</v>
          </cell>
        </row>
        <row r="774">
          <cell r="C774" t="str">
            <v>ALS11237</v>
          </cell>
        </row>
        <row r="775">
          <cell r="C775" t="str">
            <v>ALS15492</v>
          </cell>
        </row>
        <row r="776">
          <cell r="C776" t="str">
            <v>ALS13489</v>
          </cell>
        </row>
        <row r="777">
          <cell r="C777" t="str">
            <v>ALS14820</v>
          </cell>
        </row>
        <row r="778">
          <cell r="C778" t="str">
            <v>ALS15724</v>
          </cell>
        </row>
        <row r="779">
          <cell r="C779" t="str">
            <v>ALS10321</v>
          </cell>
        </row>
        <row r="780">
          <cell r="C780" t="str">
            <v>ALS14414</v>
          </cell>
        </row>
        <row r="781">
          <cell r="C781" t="str">
            <v>ALS14791</v>
          </cell>
        </row>
        <row r="782">
          <cell r="C782" t="str">
            <v>ALS15768</v>
          </cell>
        </row>
        <row r="783">
          <cell r="C783" t="str">
            <v>ALS16267</v>
          </cell>
        </row>
        <row r="784">
          <cell r="C784" t="str">
            <v>ALS16813</v>
          </cell>
        </row>
        <row r="785">
          <cell r="C785" t="str">
            <v>ALS7144</v>
          </cell>
        </row>
        <row r="786">
          <cell r="C786" t="str">
            <v>ALS10164</v>
          </cell>
        </row>
        <row r="787">
          <cell r="C787" t="str">
            <v>ALS17058</v>
          </cell>
        </row>
        <row r="788">
          <cell r="C788" t="str">
            <v>ALS10177</v>
          </cell>
        </row>
        <row r="789">
          <cell r="C789" t="str">
            <v>ALS14056</v>
          </cell>
        </row>
        <row r="790">
          <cell r="C790" t="str">
            <v>ALS17140</v>
          </cell>
        </row>
        <row r="791">
          <cell r="C791" t="str">
            <v>ALS15601</v>
          </cell>
        </row>
        <row r="792">
          <cell r="C792" t="str">
            <v>ALS16323</v>
          </cell>
        </row>
        <row r="793">
          <cell r="C793" t="str">
            <v>ALS17054</v>
          </cell>
        </row>
        <row r="794">
          <cell r="C794" t="str">
            <v>ALS13365</v>
          </cell>
        </row>
        <row r="795">
          <cell r="C795" t="str">
            <v>ALS13372</v>
          </cell>
        </row>
        <row r="796">
          <cell r="C796" t="str">
            <v>ALS13556</v>
          </cell>
        </row>
        <row r="797">
          <cell r="C797" t="str">
            <v>ALS14822</v>
          </cell>
        </row>
        <row r="798">
          <cell r="C798" t="str">
            <v>ALS14823</v>
          </cell>
        </row>
        <row r="799">
          <cell r="C799" t="str">
            <v>ALS14872</v>
          </cell>
        </row>
        <row r="800">
          <cell r="C800" t="str">
            <v>ALS16276</v>
          </cell>
        </row>
        <row r="801">
          <cell r="C801" t="str">
            <v>ALS15336</v>
          </cell>
        </row>
        <row r="802">
          <cell r="C802" t="str">
            <v>AMT0020</v>
          </cell>
        </row>
        <row r="803">
          <cell r="C803" t="str">
            <v>AMT0122</v>
          </cell>
        </row>
        <row r="804">
          <cell r="C804" t="str">
            <v>ALS15769</v>
          </cell>
        </row>
        <row r="805">
          <cell r="C805" t="str">
            <v>ALS16491</v>
          </cell>
        </row>
        <row r="806">
          <cell r="C806" t="str">
            <v>ALS16969</v>
          </cell>
        </row>
        <row r="807">
          <cell r="C807" t="str">
            <v>ACT481</v>
          </cell>
        </row>
        <row r="808">
          <cell r="C808" t="str">
            <v>ACT2667</v>
          </cell>
        </row>
        <row r="809">
          <cell r="C809" t="str">
            <v>ALS16004</v>
          </cell>
        </row>
        <row r="810">
          <cell r="C810" t="str">
            <v>ALS16090</v>
          </cell>
        </row>
        <row r="811">
          <cell r="C811" t="str">
            <v>ALS16123</v>
          </cell>
        </row>
        <row r="812">
          <cell r="C812" t="str">
            <v>ALS0084</v>
          </cell>
        </row>
        <row r="813">
          <cell r="C813" t="str">
            <v>ACT2128</v>
          </cell>
        </row>
        <row r="814">
          <cell r="C814" t="str">
            <v>ALS4400</v>
          </cell>
        </row>
        <row r="815">
          <cell r="C815" t="str">
            <v>ALS3661</v>
          </cell>
        </row>
        <row r="816">
          <cell r="C816" t="str">
            <v>ALS13708</v>
          </cell>
        </row>
        <row r="817">
          <cell r="C817" t="str">
            <v>ALS14336</v>
          </cell>
        </row>
        <row r="818">
          <cell r="C818" t="str">
            <v>ALS15129</v>
          </cell>
        </row>
        <row r="819">
          <cell r="C819" t="str">
            <v>ALS15906</v>
          </cell>
        </row>
        <row r="820">
          <cell r="C820" t="str">
            <v>ALS6553</v>
          </cell>
        </row>
        <row r="821">
          <cell r="C821" t="str">
            <v>ALS6046</v>
          </cell>
        </row>
        <row r="822">
          <cell r="C822" t="str">
            <v>ALS11880</v>
          </cell>
        </row>
        <row r="823">
          <cell r="C823" t="str">
            <v>ALS15152</v>
          </cell>
        </row>
        <row r="824">
          <cell r="C824" t="str">
            <v>ALS15218</v>
          </cell>
        </row>
        <row r="825">
          <cell r="C825" t="str">
            <v>AMM1476</v>
          </cell>
        </row>
        <row r="826">
          <cell r="C826" t="str">
            <v>ALS15220</v>
          </cell>
        </row>
        <row r="827">
          <cell r="C827" t="str">
            <v>ALS15248</v>
          </cell>
        </row>
        <row r="828">
          <cell r="C828" t="str">
            <v>ALS17098</v>
          </cell>
        </row>
        <row r="829">
          <cell r="C829" t="str">
            <v>ALS16590</v>
          </cell>
        </row>
        <row r="830">
          <cell r="C830" t="str">
            <v>ALS16592</v>
          </cell>
        </row>
        <row r="831">
          <cell r="C831" t="str">
            <v>ALS16823</v>
          </cell>
        </row>
        <row r="832">
          <cell r="C832" t="str">
            <v>ALS0705</v>
          </cell>
        </row>
        <row r="833">
          <cell r="C833" t="str">
            <v>ALS14194</v>
          </cell>
        </row>
        <row r="834">
          <cell r="C834" t="str">
            <v>AMM1607</v>
          </cell>
        </row>
        <row r="835">
          <cell r="C835" t="str">
            <v>ALS16325</v>
          </cell>
        </row>
        <row r="836">
          <cell r="C836" t="str">
            <v>ALS16965</v>
          </cell>
        </row>
        <row r="837">
          <cell r="C837" t="str">
            <v>ALS16990</v>
          </cell>
        </row>
        <row r="838">
          <cell r="C838" t="str">
            <v>LFX167</v>
          </cell>
        </row>
        <row r="839">
          <cell r="C839" t="str">
            <v>AMM1208</v>
          </cell>
        </row>
        <row r="840">
          <cell r="C840" t="str">
            <v>ALS11984</v>
          </cell>
        </row>
        <row r="841">
          <cell r="C841" t="str">
            <v>ALS11985</v>
          </cell>
        </row>
        <row r="842">
          <cell r="C842" t="str">
            <v>ALS13892</v>
          </cell>
        </row>
        <row r="843">
          <cell r="C843" t="str">
            <v>ALS14501</v>
          </cell>
        </row>
        <row r="844">
          <cell r="C844" t="str">
            <v>ALS15553</v>
          </cell>
        </row>
        <row r="845">
          <cell r="C845" t="str">
            <v>ALS15908</v>
          </cell>
        </row>
        <row r="846">
          <cell r="C846" t="str">
            <v>ALS16979</v>
          </cell>
        </row>
        <row r="847">
          <cell r="C847" t="str">
            <v>ALS6668</v>
          </cell>
        </row>
        <row r="848">
          <cell r="C848" t="str">
            <v>ALS13677</v>
          </cell>
        </row>
        <row r="849">
          <cell r="C849" t="str">
            <v>ALS13145</v>
          </cell>
        </row>
        <row r="850">
          <cell r="C850" t="str">
            <v>ALS15586</v>
          </cell>
        </row>
        <row r="851">
          <cell r="C851" t="str">
            <v>ALS11344</v>
          </cell>
        </row>
        <row r="852">
          <cell r="C852" t="str">
            <v>ALS11346</v>
          </cell>
        </row>
        <row r="853">
          <cell r="C853" t="str">
            <v>ALS11347</v>
          </cell>
        </row>
        <row r="854">
          <cell r="C854" t="str">
            <v>ADH5506</v>
          </cell>
        </row>
        <row r="855">
          <cell r="C855" t="str">
            <v>ACT2196</v>
          </cell>
        </row>
        <row r="856">
          <cell r="C856" t="str">
            <v>ALS12471</v>
          </cell>
        </row>
        <row r="857">
          <cell r="C857" t="str">
            <v>ACT438</v>
          </cell>
        </row>
        <row r="858">
          <cell r="C858" t="str">
            <v>ALS12724</v>
          </cell>
        </row>
        <row r="859">
          <cell r="C859" t="str">
            <v>ALS10150</v>
          </cell>
        </row>
        <row r="860">
          <cell r="C860" t="str">
            <v>ALS11916</v>
          </cell>
        </row>
        <row r="861">
          <cell r="C861" t="str">
            <v>ALS14724</v>
          </cell>
        </row>
        <row r="862">
          <cell r="C862" t="str">
            <v>ALS15972</v>
          </cell>
        </row>
        <row r="863">
          <cell r="C863" t="str">
            <v>ALS11983</v>
          </cell>
        </row>
        <row r="864">
          <cell r="C864" t="str">
            <v>ALS4678</v>
          </cell>
        </row>
        <row r="865">
          <cell r="C865" t="str">
            <v>ALS0916</v>
          </cell>
        </row>
        <row r="866">
          <cell r="C866" t="str">
            <v>ALS0149</v>
          </cell>
        </row>
        <row r="867">
          <cell r="C867" t="str">
            <v>ALS2206</v>
          </cell>
        </row>
        <row r="868">
          <cell r="C868" t="str">
            <v>ALS2546</v>
          </cell>
        </row>
        <row r="869">
          <cell r="C869" t="str">
            <v>AMM0549</v>
          </cell>
        </row>
        <row r="870">
          <cell r="C870" t="str">
            <v>ALS6933</v>
          </cell>
        </row>
        <row r="871">
          <cell r="C871" t="str">
            <v>ALS9438</v>
          </cell>
        </row>
        <row r="872">
          <cell r="C872" t="str">
            <v>ALS8391</v>
          </cell>
        </row>
        <row r="873">
          <cell r="C873" t="str">
            <v>ALS4369</v>
          </cell>
        </row>
        <row r="874">
          <cell r="C874" t="str">
            <v>ACT2035</v>
          </cell>
        </row>
        <row r="875">
          <cell r="C875" t="str">
            <v>ALS3239</v>
          </cell>
        </row>
        <row r="876">
          <cell r="C876" t="str">
            <v>ALS15384</v>
          </cell>
        </row>
        <row r="877">
          <cell r="C877" t="str">
            <v>AMM2115</v>
          </cell>
        </row>
        <row r="878">
          <cell r="C878" t="str">
            <v>ALS14243</v>
          </cell>
        </row>
        <row r="879">
          <cell r="C879" t="str">
            <v>ALS13898</v>
          </cell>
        </row>
        <row r="880">
          <cell r="C880" t="str">
            <v>ALS15126</v>
          </cell>
        </row>
        <row r="881">
          <cell r="C881" t="str">
            <v>ALS13511</v>
          </cell>
        </row>
        <row r="882">
          <cell r="C882" t="str">
            <v>ALS12753</v>
          </cell>
        </row>
        <row r="883">
          <cell r="C883" t="str">
            <v>ALS13538</v>
          </cell>
        </row>
        <row r="884">
          <cell r="C884" t="str">
            <v>ALS13516</v>
          </cell>
        </row>
        <row r="885">
          <cell r="C885" t="str">
            <v>ALS13515</v>
          </cell>
        </row>
        <row r="886">
          <cell r="C886" t="str">
            <v>ALS13178</v>
          </cell>
        </row>
        <row r="887">
          <cell r="C887" t="str">
            <v>ALS13572</v>
          </cell>
        </row>
        <row r="888">
          <cell r="C888" t="str">
            <v>ALS14740</v>
          </cell>
        </row>
        <row r="889">
          <cell r="C889" t="str">
            <v>ALS14743</v>
          </cell>
        </row>
        <row r="890">
          <cell r="C890" t="str">
            <v>ALS13034</v>
          </cell>
        </row>
        <row r="891">
          <cell r="C891" t="str">
            <v>ALS15286</v>
          </cell>
        </row>
        <row r="892">
          <cell r="C892" t="str">
            <v>ALS13513</v>
          </cell>
        </row>
        <row r="893">
          <cell r="C893" t="str">
            <v>ALS15920</v>
          </cell>
        </row>
        <row r="894">
          <cell r="C894" t="str">
            <v>ALS16563</v>
          </cell>
        </row>
        <row r="895">
          <cell r="C895" t="str">
            <v>ALS16567</v>
          </cell>
        </row>
        <row r="896">
          <cell r="C896" t="str">
            <v>ALS16950</v>
          </cell>
        </row>
        <row r="897">
          <cell r="C897" t="str">
            <v>ALS17003</v>
          </cell>
        </row>
        <row r="898">
          <cell r="C898" t="str">
            <v>ALS14325</v>
          </cell>
        </row>
        <row r="899">
          <cell r="C899" t="str">
            <v>ALS17570</v>
          </cell>
        </row>
        <row r="900">
          <cell r="C900" t="str">
            <v>ALS17573</v>
          </cell>
        </row>
        <row r="901">
          <cell r="C901" t="str">
            <v>ALS17500</v>
          </cell>
        </row>
        <row r="902">
          <cell r="C902" t="str">
            <v>ALS17473</v>
          </cell>
        </row>
        <row r="903">
          <cell r="C903" t="str">
            <v>ALS17561</v>
          </cell>
        </row>
        <row r="904">
          <cell r="C904" t="str">
            <v>ALS17553</v>
          </cell>
        </row>
        <row r="905">
          <cell r="C905" t="str">
            <v>ALS17510</v>
          </cell>
        </row>
        <row r="906">
          <cell r="C906" t="str">
            <v>ALS17515</v>
          </cell>
        </row>
        <row r="907">
          <cell r="C907" t="str">
            <v>ALS17513</v>
          </cell>
        </row>
        <row r="908">
          <cell r="C908" t="str">
            <v>ALS17574</v>
          </cell>
        </row>
        <row r="909">
          <cell r="C909" t="str">
            <v>ALS17575</v>
          </cell>
        </row>
        <row r="910">
          <cell r="C910" t="str">
            <v>ALS17576</v>
          </cell>
        </row>
        <row r="911">
          <cell r="C911" t="str">
            <v>ALS17527</v>
          </cell>
        </row>
        <row r="912">
          <cell r="C912" t="str">
            <v>ALS17531</v>
          </cell>
        </row>
        <row r="913">
          <cell r="C913" t="str">
            <v>ALS17550</v>
          </cell>
        </row>
        <row r="914">
          <cell r="C914" t="str">
            <v>ALS17541</v>
          </cell>
        </row>
        <row r="915">
          <cell r="C915" t="str">
            <v>ALS17534</v>
          </cell>
        </row>
        <row r="916">
          <cell r="C916" t="str">
            <v>ALS17540</v>
          </cell>
        </row>
        <row r="917">
          <cell r="C917" t="str">
            <v>ALS17631</v>
          </cell>
        </row>
        <row r="918">
          <cell r="C918" t="str">
            <v>ALS17586</v>
          </cell>
        </row>
        <row r="919">
          <cell r="C919" t="str">
            <v>ALS17602</v>
          </cell>
        </row>
        <row r="920">
          <cell r="C920" t="str">
            <v>ALS17618</v>
          </cell>
        </row>
        <row r="921">
          <cell r="C921" t="str">
            <v>ALS17606</v>
          </cell>
        </row>
        <row r="922">
          <cell r="C922" t="str">
            <v>ALS17609</v>
          </cell>
        </row>
        <row r="923">
          <cell r="C923" t="str">
            <v>ALS17603</v>
          </cell>
        </row>
        <row r="924">
          <cell r="C924" t="str">
            <v>ALS17605</v>
          </cell>
        </row>
        <row r="925">
          <cell r="C925" t="str">
            <v>ALS17604</v>
          </cell>
        </row>
        <row r="926">
          <cell r="C926" t="str">
            <v>ALS17589</v>
          </cell>
        </row>
        <row r="927">
          <cell r="C927" t="str">
            <v>ALS17582</v>
          </cell>
        </row>
        <row r="928">
          <cell r="C928" t="str">
            <v>ALS17584</v>
          </cell>
        </row>
        <row r="929">
          <cell r="C929" t="str">
            <v>ALS17588</v>
          </cell>
        </row>
        <row r="930">
          <cell r="C930" t="str">
            <v>ALS17585</v>
          </cell>
        </row>
        <row r="931">
          <cell r="C931" t="str">
            <v>ALS17580</v>
          </cell>
        </row>
        <row r="932">
          <cell r="C932" t="str">
            <v>ALS17581</v>
          </cell>
        </row>
        <row r="933">
          <cell r="C933" t="str">
            <v>ALS17595</v>
          </cell>
        </row>
        <row r="934">
          <cell r="C934" t="str">
            <v>ALS17628</v>
          </cell>
        </row>
        <row r="935">
          <cell r="C935" t="str">
            <v>ALS17623</v>
          </cell>
        </row>
        <row r="936">
          <cell r="C936" t="str">
            <v>ALS17629</v>
          </cell>
        </row>
        <row r="937">
          <cell r="C937" t="str">
            <v>ALS17619</v>
          </cell>
        </row>
        <row r="938">
          <cell r="C938" t="str">
            <v>ALS17620</v>
          </cell>
        </row>
        <row r="939">
          <cell r="C939" t="str">
            <v>ALS17591</v>
          </cell>
        </row>
        <row r="940">
          <cell r="C940" t="str">
            <v>ALS17592</v>
          </cell>
        </row>
        <row r="941">
          <cell r="C941" t="str">
            <v>ALS17611</v>
          </cell>
        </row>
        <row r="942">
          <cell r="C942" t="str">
            <v>ALS17612</v>
          </cell>
        </row>
        <row r="943">
          <cell r="C943" t="str">
            <v>ALS17613</v>
          </cell>
        </row>
        <row r="944">
          <cell r="C944" t="str">
            <v>ALS17616</v>
          </cell>
        </row>
        <row r="945">
          <cell r="C945" t="str">
            <v>ALS17617</v>
          </cell>
        </row>
        <row r="946">
          <cell r="C946" t="str">
            <v>ALS17622</v>
          </cell>
        </row>
        <row r="947">
          <cell r="C947" t="str">
            <v>ALS17614</v>
          </cell>
        </row>
        <row r="948">
          <cell r="C948" t="str">
            <v>ALS17615</v>
          </cell>
        </row>
        <row r="949">
          <cell r="C949" t="str">
            <v>ALS17596</v>
          </cell>
        </row>
        <row r="950">
          <cell r="C950" t="str">
            <v>ALS17621</v>
          </cell>
        </row>
        <row r="951">
          <cell r="C951" t="str">
            <v>ALS17626</v>
          </cell>
        </row>
        <row r="952">
          <cell r="C952" t="str">
            <v>ALS17600</v>
          </cell>
        </row>
        <row r="953">
          <cell r="C953" t="str">
            <v>ALS17601</v>
          </cell>
        </row>
        <row r="954">
          <cell r="C954" t="str">
            <v>ALS17599</v>
          </cell>
        </row>
        <row r="955">
          <cell r="C955" t="str">
            <v>ALS17607</v>
          </cell>
        </row>
        <row r="956">
          <cell r="C956" t="str">
            <v>ALS17411</v>
          </cell>
        </row>
        <row r="957">
          <cell r="C957" t="str">
            <v>ALS17329</v>
          </cell>
        </row>
        <row r="958">
          <cell r="C958" t="str">
            <v>ALS17366</v>
          </cell>
        </row>
        <row r="959">
          <cell r="C959" t="str">
            <v>ALS17426</v>
          </cell>
        </row>
        <row r="960">
          <cell r="C960" t="str">
            <v>ALS17427</v>
          </cell>
        </row>
        <row r="961">
          <cell r="C961" t="str">
            <v>ALS17340</v>
          </cell>
        </row>
        <row r="962">
          <cell r="C962" t="str">
            <v>ALS17333</v>
          </cell>
        </row>
        <row r="963">
          <cell r="C963" t="str">
            <v>ALS17367</v>
          </cell>
        </row>
        <row r="964">
          <cell r="C964" t="str">
            <v>ALS17362</v>
          </cell>
        </row>
        <row r="965">
          <cell r="C965" t="str">
            <v>ALS17379</v>
          </cell>
        </row>
        <row r="966">
          <cell r="C966" t="str">
            <v>ALS17376</v>
          </cell>
        </row>
        <row r="967">
          <cell r="C967" t="str">
            <v>ALS17378</v>
          </cell>
        </row>
        <row r="968">
          <cell r="C968" t="str">
            <v>ALS17361</v>
          </cell>
        </row>
        <row r="969">
          <cell r="C969" t="str">
            <v>ALS17377</v>
          </cell>
        </row>
        <row r="970">
          <cell r="C970" t="str">
            <v>ALS17418</v>
          </cell>
        </row>
        <row r="971">
          <cell r="C971" t="str">
            <v>ALS17429</v>
          </cell>
        </row>
        <row r="972">
          <cell r="C972" t="str">
            <v>ALS17432</v>
          </cell>
        </row>
        <row r="973">
          <cell r="C973" t="str">
            <v>ALS17428</v>
          </cell>
        </row>
        <row r="974">
          <cell r="C974" t="str">
            <v>ALS17431</v>
          </cell>
        </row>
        <row r="975">
          <cell r="C975" t="str">
            <v>ALS17345</v>
          </cell>
        </row>
        <row r="976">
          <cell r="C976" t="str">
            <v>ALS17346</v>
          </cell>
        </row>
        <row r="977">
          <cell r="C977" t="str">
            <v>ALS17369</v>
          </cell>
        </row>
        <row r="978">
          <cell r="C978" t="str">
            <v>ALS17374</v>
          </cell>
        </row>
        <row r="979">
          <cell r="C979" t="str">
            <v>ALS17375</v>
          </cell>
        </row>
        <row r="980">
          <cell r="C980" t="str">
            <v>ALS17373</v>
          </cell>
        </row>
        <row r="981">
          <cell r="C981" t="str">
            <v>ALS17372</v>
          </cell>
        </row>
        <row r="982">
          <cell r="C982" t="str">
            <v>ALS17407</v>
          </cell>
        </row>
        <row r="983">
          <cell r="C983" t="str">
            <v>ALS17408</v>
          </cell>
        </row>
        <row r="984">
          <cell r="C984" t="str">
            <v>ALS17416</v>
          </cell>
        </row>
        <row r="985">
          <cell r="C985" t="str">
            <v>ALS17330</v>
          </cell>
        </row>
        <row r="986">
          <cell r="C986" t="str">
            <v>ALS17339</v>
          </cell>
        </row>
        <row r="987">
          <cell r="C987" t="str">
            <v>ALS17344</v>
          </cell>
        </row>
        <row r="988">
          <cell r="C988" t="str">
            <v>ALS17341</v>
          </cell>
        </row>
        <row r="989">
          <cell r="C989" t="str">
            <v>ALS17342</v>
          </cell>
        </row>
        <row r="990">
          <cell r="C990" t="str">
            <v>ALS17449</v>
          </cell>
        </row>
        <row r="991">
          <cell r="C991" t="str">
            <v>ALS17338</v>
          </cell>
        </row>
        <row r="992">
          <cell r="C992" t="str">
            <v>ALS17343</v>
          </cell>
        </row>
        <row r="993">
          <cell r="C993" t="str">
            <v>ALS17371</v>
          </cell>
        </row>
        <row r="994">
          <cell r="C994" t="str">
            <v>ALS17364</v>
          </cell>
        </row>
        <row r="995">
          <cell r="C995" t="str">
            <v>ALS17368</v>
          </cell>
        </row>
        <row r="996">
          <cell r="C996" t="str">
            <v>ALS17419</v>
          </cell>
        </row>
        <row r="997">
          <cell r="C997" t="str">
            <v>ALS17409</v>
          </cell>
        </row>
        <row r="998">
          <cell r="C998" t="str">
            <v>ALS17415</v>
          </cell>
        </row>
        <row r="999">
          <cell r="C999" t="str">
            <v>ALS17417</v>
          </cell>
        </row>
        <row r="1000">
          <cell r="C1000" t="str">
            <v>ALS17413</v>
          </cell>
        </row>
        <row r="1001">
          <cell r="C1001" t="str">
            <v>ALS17412</v>
          </cell>
        </row>
        <row r="1002">
          <cell r="C1002" t="str">
            <v>ALS17414</v>
          </cell>
        </row>
        <row r="1003">
          <cell r="C1003" t="str">
            <v>ALS17410</v>
          </cell>
        </row>
        <row r="1004">
          <cell r="C1004" t="str">
            <v>ALS17347</v>
          </cell>
        </row>
        <row r="1005">
          <cell r="C1005" t="str">
            <v>ALS17332</v>
          </cell>
        </row>
        <row r="1006">
          <cell r="C1006" t="str">
            <v>ALS17447</v>
          </cell>
        </row>
        <row r="1007">
          <cell r="C1007" t="str">
            <v>ALS17363</v>
          </cell>
        </row>
        <row r="1008">
          <cell r="C1008" t="str">
            <v>ALS17365</v>
          </cell>
        </row>
      </sheetData>
      <sheetData sheetId="1"/>
      <sheetData sheetId="2"/>
      <sheetData sheetId="3"/>
      <sheetData sheetId="4">
        <row r="1">
          <cell r="C1" t="str">
            <v>员工编号</v>
          </cell>
        </row>
      </sheetData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customProperty" Target="../customProperty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  <pageSetUpPr fitToPage="1"/>
  </sheetPr>
  <dimension ref="A1:W206"/>
  <sheetViews>
    <sheetView zoomScaleNormal="100" workbookViewId="0">
      <pane xSplit="6" ySplit="1" topLeftCell="L89" activePane="bottomRight" state="frozen"/>
      <selection pane="topRight"/>
      <selection pane="bottomLeft"/>
      <selection pane="bottomRight" activeCell="E98" sqref="E98"/>
    </sheetView>
  </sheetViews>
  <sheetFormatPr defaultColWidth="9" defaultRowHeight="14" x14ac:dyDescent="0.3"/>
  <cols>
    <col min="1" max="1" width="27.36328125" style="26" customWidth="1"/>
    <col min="2" max="2" width="13.36328125" style="83" customWidth="1"/>
    <col min="3" max="3" width="10.90625" style="83" customWidth="1"/>
    <col min="4" max="4" width="10.08984375" style="83" customWidth="1"/>
    <col min="5" max="5" width="10.453125" style="83" customWidth="1"/>
    <col min="6" max="6" width="16.36328125" style="130" customWidth="1"/>
    <col min="7" max="7" width="9.26953125" style="28" hidden="1" customWidth="1"/>
    <col min="8" max="8" width="9.90625" style="28" hidden="1" customWidth="1"/>
    <col min="9" max="9" width="13.7265625" style="28" hidden="1" customWidth="1"/>
    <col min="10" max="10" width="12.6328125" style="28" hidden="1" customWidth="1"/>
    <col min="11" max="11" width="8.26953125" style="28" hidden="1" customWidth="1"/>
    <col min="12" max="12" width="8.08984375" style="122" customWidth="1"/>
    <col min="13" max="13" width="11.90625" style="28" customWidth="1"/>
    <col min="14" max="16" width="12" style="28" customWidth="1"/>
    <col min="17" max="17" width="26.7265625" style="179" customWidth="1"/>
    <col min="18" max="18" width="15.36328125" style="26" customWidth="1"/>
    <col min="19" max="16384" width="9" style="26"/>
  </cols>
  <sheetData>
    <row r="1" spans="1:23" ht="49.15" customHeight="1" x14ac:dyDescent="0.3">
      <c r="A1" s="67" t="s">
        <v>0</v>
      </c>
      <c r="B1" s="193" t="s">
        <v>1</v>
      </c>
      <c r="C1" s="81" t="s">
        <v>1610</v>
      </c>
      <c r="D1" s="193" t="s">
        <v>3</v>
      </c>
      <c r="E1" s="81" t="s">
        <v>702</v>
      </c>
      <c r="F1" s="127" t="s">
        <v>4</v>
      </c>
      <c r="G1" s="69" t="s">
        <v>5</v>
      </c>
      <c r="H1" s="68" t="s">
        <v>6</v>
      </c>
      <c r="I1" s="69" t="s">
        <v>7</v>
      </c>
      <c r="J1" s="68" t="s">
        <v>8</v>
      </c>
      <c r="K1" s="71" t="s">
        <v>9</v>
      </c>
      <c r="L1" s="119" t="s">
        <v>10</v>
      </c>
      <c r="M1" s="72" t="s">
        <v>11</v>
      </c>
      <c r="N1" s="68" t="s">
        <v>12</v>
      </c>
      <c r="O1" s="70" t="s">
        <v>56</v>
      </c>
      <c r="P1" s="68" t="s">
        <v>13</v>
      </c>
      <c r="Q1" s="68" t="s">
        <v>1556</v>
      </c>
    </row>
    <row r="2" spans="1:23" ht="19.5" customHeight="1" x14ac:dyDescent="0.3">
      <c r="A2" s="39" t="s">
        <v>318</v>
      </c>
      <c r="B2" s="39" t="s">
        <v>62</v>
      </c>
      <c r="C2" s="163" t="s">
        <v>167</v>
      </c>
      <c r="D2" s="27" t="s">
        <v>26</v>
      </c>
      <c r="E2" s="29">
        <v>42073</v>
      </c>
      <c r="F2" s="128">
        <f t="shared" ref="F2:F128" si="0">(L2*K2+G2+H2+I2-J2)</f>
        <v>600</v>
      </c>
      <c r="G2" s="54">
        <f>SUMIF(积分汇总!$B:$B,'副主任&amp;工艺组长及其他'!C2,积分汇总!$E:$E)</f>
        <v>0</v>
      </c>
      <c r="H2" s="54">
        <f>SUMIF(记录巡查问题条数汇总!$B:$B,'副主任&amp;工艺组长及其他'!C2,记录巡查问题条数汇总!$E:$E)</f>
        <v>0</v>
      </c>
      <c r="I2" s="30"/>
      <c r="J2" s="54">
        <f>SUMIF(安全质量事故!$B:$B,'副主任&amp;工艺组长及其他'!C2,安全质量事故!$G:$G)</f>
        <v>0</v>
      </c>
      <c r="K2" s="55">
        <v>1</v>
      </c>
      <c r="L2" s="120">
        <f t="shared" ref="L2:L33" si="1">HLOOKUP(M2,$A$143:$H$144,2)</f>
        <v>600</v>
      </c>
      <c r="M2" s="78" t="s">
        <v>15</v>
      </c>
      <c r="N2" s="234" t="s">
        <v>1859</v>
      </c>
      <c r="O2" s="239">
        <v>187.77</v>
      </c>
      <c r="P2" s="234">
        <v>0.47099999999999997</v>
      </c>
      <c r="Q2" s="173"/>
      <c r="R2" s="51" t="str">
        <f>VLOOKUP(D2,[1]生产部!$C:$C,1,0)</f>
        <v>ALS1988</v>
      </c>
      <c r="W2" s="50"/>
    </row>
    <row r="3" spans="1:23" ht="15.75" customHeight="1" x14ac:dyDescent="0.3">
      <c r="A3" s="39" t="s">
        <v>318</v>
      </c>
      <c r="B3" s="39" t="s">
        <v>62</v>
      </c>
      <c r="C3" s="163" t="s">
        <v>953</v>
      </c>
      <c r="D3" s="27" t="s">
        <v>964</v>
      </c>
      <c r="E3" s="29">
        <v>44431</v>
      </c>
      <c r="F3" s="128">
        <f t="shared" ref="F3" si="2">(L3*K3+G3+H3+I3-J3)</f>
        <v>600</v>
      </c>
      <c r="G3" s="54">
        <f>SUMIF(积分汇总!$B:$B,'副主任&amp;工艺组长及其他'!C3,积分汇总!$E:$E)</f>
        <v>0</v>
      </c>
      <c r="H3" s="54">
        <f>SUMIF(记录巡查问题条数汇总!$B:$B,'副主任&amp;工艺组长及其他'!C3,记录巡查问题条数汇总!$E:$E)</f>
        <v>0</v>
      </c>
      <c r="I3" s="30"/>
      <c r="J3" s="54">
        <f>SUMIF(安全质量事故!$B:$B,'副主任&amp;工艺组长及其他'!C3,安全质量事故!$G:$G)</f>
        <v>0</v>
      </c>
      <c r="K3" s="55">
        <v>1</v>
      </c>
      <c r="L3" s="120">
        <f t="shared" si="1"/>
        <v>600</v>
      </c>
      <c r="M3" s="78" t="s">
        <v>15</v>
      </c>
      <c r="N3" s="235"/>
      <c r="O3" s="240"/>
      <c r="P3" s="235"/>
      <c r="Q3" s="173"/>
      <c r="R3" s="51" t="str">
        <f>VLOOKUP(D3,[1]生产部!$C:$C,1,0)</f>
        <v>ALS8215</v>
      </c>
      <c r="W3" s="50"/>
    </row>
    <row r="4" spans="1:23" ht="19.5" customHeight="1" x14ac:dyDescent="0.3">
      <c r="A4" s="39" t="s">
        <v>318</v>
      </c>
      <c r="B4" s="39" t="s">
        <v>87</v>
      </c>
      <c r="C4" s="39" t="s">
        <v>306</v>
      </c>
      <c r="D4" s="27" t="s">
        <v>94</v>
      </c>
      <c r="E4" s="29">
        <v>42933</v>
      </c>
      <c r="F4" s="128">
        <f t="shared" si="0"/>
        <v>600</v>
      </c>
      <c r="G4" s="54">
        <f>SUMIF(积分汇总!$B:$B,'副主任&amp;工艺组长及其他'!C4,积分汇总!$E:$E)</f>
        <v>0</v>
      </c>
      <c r="H4" s="54">
        <f>SUMIF(记录巡查问题条数汇总!$B:$B,'副主任&amp;工艺组长及其他'!C4,记录巡查问题条数汇总!$E:$E)</f>
        <v>0</v>
      </c>
      <c r="I4" s="30"/>
      <c r="J4" s="54">
        <f>SUMIF(安全质量事故!$B:$B,'副主任&amp;工艺组长及其他'!C4,安全质量事故!$G:$G)</f>
        <v>0</v>
      </c>
      <c r="K4" s="55">
        <v>1</v>
      </c>
      <c r="L4" s="120">
        <f t="shared" si="1"/>
        <v>600</v>
      </c>
      <c r="M4" s="78" t="s">
        <v>15</v>
      </c>
      <c r="N4" s="235"/>
      <c r="O4" s="240"/>
      <c r="P4" s="235"/>
      <c r="Q4" s="173"/>
      <c r="R4" s="51" t="str">
        <f>VLOOKUP(D4,[1]生产部!$C:$C,1,0)</f>
        <v>FX2679</v>
      </c>
    </row>
    <row r="5" spans="1:23" ht="19.5" customHeight="1" x14ac:dyDescent="0.3">
      <c r="A5" s="39" t="s">
        <v>318</v>
      </c>
      <c r="B5" s="39" t="s">
        <v>87</v>
      </c>
      <c r="C5" s="39" t="s">
        <v>415</v>
      </c>
      <c r="D5" s="27" t="s">
        <v>416</v>
      </c>
      <c r="E5" s="29">
        <v>44677</v>
      </c>
      <c r="F5" s="128">
        <f t="shared" si="0"/>
        <v>600</v>
      </c>
      <c r="G5" s="54">
        <f>SUMIF(积分汇总!$B:$B,'副主任&amp;工艺组长及其他'!C5,积分汇总!$E:$E)</f>
        <v>0</v>
      </c>
      <c r="H5" s="54">
        <f>SUMIF(记录巡查问题条数汇总!$B:$B,'副主任&amp;工艺组长及其他'!C5,记录巡查问题条数汇总!$E:$E)</f>
        <v>0</v>
      </c>
      <c r="I5" s="30"/>
      <c r="J5" s="54">
        <f>SUMIF(安全质量事故!$B:$B,'副主任&amp;工艺组长及其他'!C5,安全质量事故!$G:$G)</f>
        <v>0</v>
      </c>
      <c r="K5" s="55">
        <v>1</v>
      </c>
      <c r="L5" s="120">
        <f t="shared" si="1"/>
        <v>600</v>
      </c>
      <c r="M5" s="78" t="s">
        <v>15</v>
      </c>
      <c r="N5" s="235"/>
      <c r="O5" s="240"/>
      <c r="P5" s="235"/>
      <c r="Q5" s="173"/>
      <c r="R5" s="51" t="str">
        <f>VLOOKUP(D5,[1]生产部!$C:$C,1,0)</f>
        <v>ADH5191</v>
      </c>
    </row>
    <row r="6" spans="1:23" ht="19.5" customHeight="1" x14ac:dyDescent="0.3">
      <c r="A6" s="39" t="s">
        <v>318</v>
      </c>
      <c r="B6" s="39" t="s">
        <v>87</v>
      </c>
      <c r="C6" s="39" t="s">
        <v>434</v>
      </c>
      <c r="D6" s="27" t="s">
        <v>78</v>
      </c>
      <c r="E6" s="29">
        <v>44755</v>
      </c>
      <c r="F6" s="128">
        <f t="shared" si="0"/>
        <v>400</v>
      </c>
      <c r="G6" s="54">
        <f>SUMIF(积分汇总!$B:$B,'副主任&amp;工艺组长及其他'!C6,积分汇总!$E:$E)</f>
        <v>0</v>
      </c>
      <c r="H6" s="54">
        <f>SUMIF(记录巡查问题条数汇总!$B:$B,'副主任&amp;工艺组长及其他'!C6,记录巡查问题条数汇总!$E:$E)</f>
        <v>0</v>
      </c>
      <c r="I6" s="30"/>
      <c r="J6" s="54">
        <f>SUMIF(安全质量事故!$B:$B,'副主任&amp;工艺组长及其他'!C6,安全质量事故!$G:$G)</f>
        <v>0</v>
      </c>
      <c r="K6" s="55">
        <v>1</v>
      </c>
      <c r="L6" s="120">
        <f t="shared" si="1"/>
        <v>400</v>
      </c>
      <c r="M6" s="78" t="s">
        <v>14</v>
      </c>
      <c r="N6" s="235"/>
      <c r="O6" s="240"/>
      <c r="P6" s="235"/>
      <c r="Q6" s="173"/>
      <c r="R6" s="51" t="str">
        <f>VLOOKUP(D6,[1]生产部!$C:$C,1,0)</f>
        <v>ALS10146</v>
      </c>
    </row>
    <row r="7" spans="1:23" ht="19.5" customHeight="1" x14ac:dyDescent="0.3">
      <c r="A7" s="39" t="s">
        <v>318</v>
      </c>
      <c r="B7" s="39" t="s">
        <v>87</v>
      </c>
      <c r="C7" s="39" t="s">
        <v>172</v>
      </c>
      <c r="D7" s="27" t="s">
        <v>93</v>
      </c>
      <c r="E7" s="29">
        <v>44732</v>
      </c>
      <c r="F7" s="128">
        <f t="shared" si="0"/>
        <v>400</v>
      </c>
      <c r="G7" s="54">
        <f>SUMIF(积分汇总!$B:$B,'副主任&amp;工艺组长及其他'!C7,积分汇总!$E:$E)</f>
        <v>0</v>
      </c>
      <c r="H7" s="54">
        <f>SUMIF(记录巡查问题条数汇总!$B:$B,'副主任&amp;工艺组长及其他'!C7,记录巡查问题条数汇总!$E:$E)</f>
        <v>0</v>
      </c>
      <c r="I7" s="30"/>
      <c r="J7" s="54">
        <f>SUMIF(安全质量事故!$B:$B,'副主任&amp;工艺组长及其他'!C7,安全质量事故!$G:$G)</f>
        <v>0</v>
      </c>
      <c r="K7" s="55">
        <v>1</v>
      </c>
      <c r="L7" s="120">
        <f t="shared" si="1"/>
        <v>400</v>
      </c>
      <c r="M7" s="78" t="s">
        <v>14</v>
      </c>
      <c r="N7" s="235"/>
      <c r="O7" s="240"/>
      <c r="P7" s="235"/>
      <c r="Q7" s="173"/>
      <c r="R7" s="51" t="str">
        <f>VLOOKUP(D7,[1]生产部!$C:$C,1,0)</f>
        <v>BDH0641</v>
      </c>
    </row>
    <row r="8" spans="1:23" ht="19.5" customHeight="1" x14ac:dyDescent="0.3">
      <c r="A8" s="39" t="s">
        <v>318</v>
      </c>
      <c r="B8" s="39" t="s">
        <v>87</v>
      </c>
      <c r="C8" s="39" t="s">
        <v>1068</v>
      </c>
      <c r="D8" s="27" t="s">
        <v>1042</v>
      </c>
      <c r="E8" s="29">
        <v>46057</v>
      </c>
      <c r="F8" s="128">
        <f t="shared" si="0"/>
        <v>400</v>
      </c>
      <c r="G8" s="54">
        <f>SUMIF(积分汇总!$B:$B,'副主任&amp;工艺组长及其他'!C8,积分汇总!$E:$E)</f>
        <v>0</v>
      </c>
      <c r="H8" s="54">
        <f>SUMIF(记录巡查问题条数汇总!$B:$B,'副主任&amp;工艺组长及其他'!C8,记录巡查问题条数汇总!$E:$E)</f>
        <v>0</v>
      </c>
      <c r="I8" s="30"/>
      <c r="J8" s="54">
        <f>SUMIF(安全质量事故!$B:$B,'副主任&amp;工艺组长及其他'!C8,安全质量事故!$G:$G)</f>
        <v>0</v>
      </c>
      <c r="K8" s="55">
        <v>1</v>
      </c>
      <c r="L8" s="120">
        <f t="shared" si="1"/>
        <v>400</v>
      </c>
      <c r="M8" s="78" t="s">
        <v>14</v>
      </c>
      <c r="N8" s="235"/>
      <c r="O8" s="240"/>
      <c r="P8" s="235"/>
      <c r="Q8" s="173"/>
      <c r="R8" s="51" t="str">
        <f>VLOOKUP(D8,[1]生产部!$C:$C,1,0)</f>
        <v>ALS16047</v>
      </c>
    </row>
    <row r="9" spans="1:23" ht="19.149999999999999" customHeight="1" x14ac:dyDescent="0.3">
      <c r="A9" s="39" t="s">
        <v>318</v>
      </c>
      <c r="B9" s="39" t="s">
        <v>89</v>
      </c>
      <c r="C9" s="39" t="s">
        <v>439</v>
      </c>
      <c r="D9" s="27" t="s">
        <v>436</v>
      </c>
      <c r="E9" s="29">
        <v>45448</v>
      </c>
      <c r="F9" s="128">
        <f t="shared" si="0"/>
        <v>400</v>
      </c>
      <c r="G9" s="54">
        <f>SUMIF(积分汇总!$B:$B,'副主任&amp;工艺组长及其他'!C9,积分汇总!$E:$E)</f>
        <v>0</v>
      </c>
      <c r="H9" s="54">
        <f>SUMIF(记录巡查问题条数汇总!$B:$B,'副主任&amp;工艺组长及其他'!C9,记录巡查问题条数汇总!$E:$E)</f>
        <v>0</v>
      </c>
      <c r="I9" s="30"/>
      <c r="J9" s="54">
        <f>SUMIF(安全质量事故!$B:$B,'副主任&amp;工艺组长及其他'!C9,安全质量事故!$G:$G)</f>
        <v>0</v>
      </c>
      <c r="K9" s="55">
        <v>1</v>
      </c>
      <c r="L9" s="120">
        <f t="shared" si="1"/>
        <v>400</v>
      </c>
      <c r="M9" s="78" t="s">
        <v>14</v>
      </c>
      <c r="N9" s="235"/>
      <c r="O9" s="240"/>
      <c r="P9" s="235"/>
      <c r="Q9" s="174"/>
      <c r="R9" s="51" t="str">
        <f>VLOOKUP(D9,[1]生产部!$C:$C,1,0)</f>
        <v>ALS12958</v>
      </c>
    </row>
    <row r="10" spans="1:23" ht="19.5" customHeight="1" x14ac:dyDescent="0.3">
      <c r="A10" s="39" t="s">
        <v>318</v>
      </c>
      <c r="B10" s="39" t="s">
        <v>16</v>
      </c>
      <c r="C10" s="39" t="s">
        <v>1206</v>
      </c>
      <c r="D10" s="27" t="s">
        <v>1207</v>
      </c>
      <c r="E10" s="29">
        <v>43237</v>
      </c>
      <c r="F10" s="128">
        <f t="shared" si="0"/>
        <v>400</v>
      </c>
      <c r="G10" s="54">
        <f>SUMIF(积分汇总!$B:$B,'副主任&amp;工艺组长及其他'!C10,积分汇总!$E:$E)</f>
        <v>0</v>
      </c>
      <c r="H10" s="54">
        <f>SUMIF(记录巡查问题条数汇总!$B:$B,'副主任&amp;工艺组长及其他'!C10,记录巡查问题条数汇总!$E:$E)</f>
        <v>0</v>
      </c>
      <c r="I10" s="30"/>
      <c r="J10" s="54">
        <f>SUMIF(安全质量事故!$B:$B,'副主任&amp;工艺组长及其他'!C10,安全质量事故!$G:$G)</f>
        <v>0</v>
      </c>
      <c r="K10" s="55">
        <v>1</v>
      </c>
      <c r="L10" s="120">
        <f t="shared" si="1"/>
        <v>400</v>
      </c>
      <c r="M10" s="78" t="s">
        <v>14</v>
      </c>
      <c r="N10" s="235"/>
      <c r="O10" s="240"/>
      <c r="P10" s="235"/>
      <c r="Q10" s="175" t="s">
        <v>1205</v>
      </c>
      <c r="R10" s="51" t="str">
        <f>VLOOKUP(D10,[1]生产部!$C:$C,1,0)</f>
        <v>FX2743</v>
      </c>
    </row>
    <row r="11" spans="1:23" ht="19.5" customHeight="1" x14ac:dyDescent="0.3">
      <c r="A11" s="39" t="s">
        <v>318</v>
      </c>
      <c r="B11" s="39" t="s">
        <v>16</v>
      </c>
      <c r="C11" s="93" t="s">
        <v>1729</v>
      </c>
      <c r="D11" s="92" t="s">
        <v>1730</v>
      </c>
      <c r="E11" s="77">
        <v>46176</v>
      </c>
      <c r="F11" s="128">
        <f t="shared" ref="F11" si="3">(L11*K11+G11+H11+I11-J11)</f>
        <v>400</v>
      </c>
      <c r="G11" s="54">
        <f>SUMIF(积分汇总!$B:$B,'副主任&amp;工艺组长及其他'!C11,积分汇总!$E:$E)</f>
        <v>0</v>
      </c>
      <c r="H11" s="54">
        <f>SUMIF(记录巡查问题条数汇总!$B:$B,'副主任&amp;工艺组长及其他'!C11,记录巡查问题条数汇总!$E:$E)</f>
        <v>0</v>
      </c>
      <c r="I11" s="30"/>
      <c r="J11" s="54">
        <f>SUMIF(安全质量事故!$B:$B,'副主任&amp;工艺组长及其他'!C11,安全质量事故!$G:$G)</f>
        <v>0</v>
      </c>
      <c r="K11" s="55">
        <v>1</v>
      </c>
      <c r="L11" s="120">
        <f t="shared" si="1"/>
        <v>400</v>
      </c>
      <c r="M11" s="78" t="s">
        <v>14</v>
      </c>
      <c r="N11" s="235"/>
      <c r="O11" s="240"/>
      <c r="P11" s="235"/>
      <c r="Q11" s="175" t="s">
        <v>1205</v>
      </c>
      <c r="R11" s="51" t="str">
        <f>VLOOKUP(D11,[1]生产部!$C:$C,1,0)</f>
        <v>ALS17021</v>
      </c>
    </row>
    <row r="12" spans="1:23" ht="19.149999999999999" customHeight="1" x14ac:dyDescent="0.3">
      <c r="A12" s="39" t="s">
        <v>318</v>
      </c>
      <c r="B12" s="39" t="s">
        <v>1200</v>
      </c>
      <c r="C12" s="39" t="s">
        <v>114</v>
      </c>
      <c r="D12" s="27" t="s">
        <v>110</v>
      </c>
      <c r="E12" s="29">
        <v>45042</v>
      </c>
      <c r="F12" s="128">
        <f t="shared" si="0"/>
        <v>400</v>
      </c>
      <c r="G12" s="54">
        <f>SUMIF(积分汇总!$B:$B,'副主任&amp;工艺组长及其他'!C12,积分汇总!$E:$E)</f>
        <v>0</v>
      </c>
      <c r="H12" s="54">
        <f>SUMIF(记录巡查问题条数汇总!$B:$B,'副主任&amp;工艺组长及其他'!C12,记录巡查问题条数汇总!$E:$E)</f>
        <v>0</v>
      </c>
      <c r="I12" s="30"/>
      <c r="J12" s="54">
        <f>SUMIF(安全质量事故!$B:$B,'副主任&amp;工艺组长及其他'!C12,安全质量事故!$G:$G)</f>
        <v>0</v>
      </c>
      <c r="K12" s="55">
        <v>1</v>
      </c>
      <c r="L12" s="120">
        <f t="shared" si="1"/>
        <v>400</v>
      </c>
      <c r="M12" s="78" t="s">
        <v>14</v>
      </c>
      <c r="N12" s="235"/>
      <c r="O12" s="240"/>
      <c r="P12" s="235"/>
      <c r="Q12" s="175"/>
      <c r="R12" s="51" t="str">
        <f>VLOOKUP(D12,[1]生产部!$C:$C,1,0)</f>
        <v>ALS11919</v>
      </c>
    </row>
    <row r="13" spans="1:23" ht="19.149999999999999" customHeight="1" x14ac:dyDescent="0.3">
      <c r="A13" s="39" t="s">
        <v>318</v>
      </c>
      <c r="B13" s="39" t="s">
        <v>1200</v>
      </c>
      <c r="C13" s="93" t="s">
        <v>1723</v>
      </c>
      <c r="D13" s="92" t="s">
        <v>1724</v>
      </c>
      <c r="E13" s="77">
        <v>46176</v>
      </c>
      <c r="F13" s="128">
        <f t="shared" si="0"/>
        <v>400</v>
      </c>
      <c r="G13" s="54">
        <f>SUMIF(积分汇总!$B:$B,'副主任&amp;工艺组长及其他'!C13,积分汇总!$E:$E)</f>
        <v>0</v>
      </c>
      <c r="H13" s="54">
        <f>SUMIF(记录巡查问题条数汇总!$B:$B,'副主任&amp;工艺组长及其他'!C13,记录巡查问题条数汇总!$E:$E)</f>
        <v>0</v>
      </c>
      <c r="I13" s="30"/>
      <c r="J13" s="54">
        <f>SUMIF(安全质量事故!$B:$B,'副主任&amp;工艺组长及其他'!C13,安全质量事故!$G:$G)</f>
        <v>0</v>
      </c>
      <c r="K13" s="55">
        <v>1</v>
      </c>
      <c r="L13" s="120">
        <f t="shared" si="1"/>
        <v>400</v>
      </c>
      <c r="M13" s="78" t="s">
        <v>14</v>
      </c>
      <c r="N13" s="235"/>
      <c r="O13" s="240"/>
      <c r="P13" s="235"/>
      <c r="Q13" s="175"/>
      <c r="R13" s="51" t="str">
        <f>VLOOKUP(D13,[1]生产部!$C:$C,1,0)</f>
        <v>ALS17018</v>
      </c>
    </row>
    <row r="14" spans="1:23" ht="19.149999999999999" customHeight="1" x14ac:dyDescent="0.3">
      <c r="A14" s="39" t="s">
        <v>318</v>
      </c>
      <c r="B14" s="39" t="s">
        <v>1200</v>
      </c>
      <c r="C14" s="93" t="s">
        <v>1727</v>
      </c>
      <c r="D14" s="92" t="s">
        <v>1728</v>
      </c>
      <c r="E14" s="77">
        <v>46183</v>
      </c>
      <c r="F14" s="180">
        <f>(L14*K14+G14+H14+I14-J14)/30*20</f>
        <v>266.66666666666669</v>
      </c>
      <c r="G14" s="54">
        <f>SUMIF(积分汇总!$B:$B,'副主任&amp;工艺组长及其他'!C14,积分汇总!$E:$E)</f>
        <v>0</v>
      </c>
      <c r="H14" s="54">
        <f>SUMIF(记录巡查问题条数汇总!$B:$B,'副主任&amp;工艺组长及其他'!C14,记录巡查问题条数汇总!$E:$E)</f>
        <v>0</v>
      </c>
      <c r="I14" s="30"/>
      <c r="J14" s="54">
        <f>SUMIF(安全质量事故!$B:$B,'副主任&amp;工艺组长及其他'!C14,安全质量事故!$G:$G)</f>
        <v>0</v>
      </c>
      <c r="K14" s="55">
        <v>1</v>
      </c>
      <c r="L14" s="120">
        <f t="shared" si="1"/>
        <v>400</v>
      </c>
      <c r="M14" s="78" t="s">
        <v>14</v>
      </c>
      <c r="N14" s="235"/>
      <c r="O14" s="240"/>
      <c r="P14" s="235"/>
      <c r="Q14" s="175"/>
      <c r="R14" s="51" t="str">
        <f>VLOOKUP(D14,[1]生产部!$C:$C,1,0)</f>
        <v>ALS17114</v>
      </c>
    </row>
    <row r="15" spans="1:23" ht="19.149999999999999" customHeight="1" x14ac:dyDescent="0.35">
      <c r="A15" s="39" t="s">
        <v>318</v>
      </c>
      <c r="B15" s="39" t="s">
        <v>1200</v>
      </c>
      <c r="C15" s="144" t="s">
        <v>1071</v>
      </c>
      <c r="D15" s="143" t="s">
        <v>1048</v>
      </c>
      <c r="E15" s="144">
        <v>46027</v>
      </c>
      <c r="F15" s="128">
        <f t="shared" si="0"/>
        <v>400</v>
      </c>
      <c r="G15" s="54">
        <f>SUMIF(积分汇总!$B:$B,'副主任&amp;工艺组长及其他'!C15,积分汇总!$E:$E)</f>
        <v>0</v>
      </c>
      <c r="H15" s="54">
        <f>SUMIF(记录巡查问题条数汇总!$B:$B,'副主任&amp;工艺组长及其他'!C15,记录巡查问题条数汇总!$E:$E)</f>
        <v>0</v>
      </c>
      <c r="I15" s="30"/>
      <c r="J15" s="54">
        <f>SUMIF(安全质量事故!$B:$B,'副主任&amp;工艺组长及其他'!C15,安全质量事故!$G:$G)</f>
        <v>0</v>
      </c>
      <c r="K15" s="55">
        <v>1</v>
      </c>
      <c r="L15" s="120">
        <f t="shared" si="1"/>
        <v>400</v>
      </c>
      <c r="M15" s="78" t="s">
        <v>14</v>
      </c>
      <c r="N15" s="235"/>
      <c r="O15" s="240"/>
      <c r="P15" s="235"/>
      <c r="Q15" s="176" t="s">
        <v>1396</v>
      </c>
      <c r="R15" s="51" t="str">
        <f>VLOOKUP(D15,[1]生产部!$C:$C,1,0)</f>
        <v>ALS15894</v>
      </c>
    </row>
    <row r="16" spans="1:23" ht="19.149999999999999" customHeight="1" x14ac:dyDescent="0.3">
      <c r="A16" s="39" t="s">
        <v>318</v>
      </c>
      <c r="B16" s="39" t="s">
        <v>1200</v>
      </c>
      <c r="C16" s="144" t="s">
        <v>1073</v>
      </c>
      <c r="D16" s="143" t="s">
        <v>1050</v>
      </c>
      <c r="E16" s="144">
        <v>46027</v>
      </c>
      <c r="F16" s="128">
        <f t="shared" si="0"/>
        <v>400</v>
      </c>
      <c r="G16" s="54">
        <f>SUMIF(积分汇总!$B:$B,'副主任&amp;工艺组长及其他'!C16,积分汇总!$E:$E)</f>
        <v>0</v>
      </c>
      <c r="H16" s="54">
        <f>SUMIF(记录巡查问题条数汇总!$B:$B,'副主任&amp;工艺组长及其他'!C16,记录巡查问题条数汇总!$E:$E)</f>
        <v>0</v>
      </c>
      <c r="I16" s="30"/>
      <c r="J16" s="54">
        <f>SUMIF(安全质量事故!$B:$B,'副主任&amp;工艺组长及其他'!C16,安全质量事故!$G:$G)</f>
        <v>0</v>
      </c>
      <c r="K16" s="55">
        <v>1</v>
      </c>
      <c r="L16" s="120">
        <f t="shared" si="1"/>
        <v>400</v>
      </c>
      <c r="M16" s="78" t="s">
        <v>14</v>
      </c>
      <c r="N16" s="235"/>
      <c r="O16" s="240"/>
      <c r="P16" s="235"/>
      <c r="Q16" s="212" t="s">
        <v>1624</v>
      </c>
      <c r="R16" s="51" t="str">
        <f>VLOOKUP(D16,[1]生产部!$C:$C,1,0)</f>
        <v>ALS15896</v>
      </c>
    </row>
    <row r="17" spans="1:23" ht="19.149999999999999" customHeight="1" x14ac:dyDescent="0.35">
      <c r="A17" s="39" t="s">
        <v>318</v>
      </c>
      <c r="B17" s="39" t="s">
        <v>1200</v>
      </c>
      <c r="C17" s="144" t="s">
        <v>1074</v>
      </c>
      <c r="D17" s="143" t="s">
        <v>1051</v>
      </c>
      <c r="E17" s="144">
        <v>46027</v>
      </c>
      <c r="F17" s="128">
        <f t="shared" si="0"/>
        <v>400</v>
      </c>
      <c r="G17" s="54">
        <f>SUMIF(积分汇总!$B:$B,'副主任&amp;工艺组长及其他'!C17,积分汇总!$E:$E)</f>
        <v>0</v>
      </c>
      <c r="H17" s="54">
        <f>SUMIF(记录巡查问题条数汇总!$B:$B,'副主任&amp;工艺组长及其他'!C17,记录巡查问题条数汇总!$E:$E)</f>
        <v>0</v>
      </c>
      <c r="I17" s="30"/>
      <c r="J17" s="54">
        <f>SUMIF(安全质量事故!$B:$B,'副主任&amp;工艺组长及其他'!C17,安全质量事故!$G:$G)</f>
        <v>0</v>
      </c>
      <c r="K17" s="55">
        <v>1</v>
      </c>
      <c r="L17" s="120">
        <f t="shared" si="1"/>
        <v>400</v>
      </c>
      <c r="M17" s="78" t="s">
        <v>14</v>
      </c>
      <c r="N17" s="235"/>
      <c r="O17" s="240"/>
      <c r="P17" s="235"/>
      <c r="Q17" s="176" t="s">
        <v>1396</v>
      </c>
      <c r="R17" s="51" t="str">
        <f>VLOOKUP(D17,[1]生产部!$C:$C,1,0)</f>
        <v>ALS15895</v>
      </c>
    </row>
    <row r="18" spans="1:23" ht="19.149999999999999" customHeight="1" x14ac:dyDescent="0.35">
      <c r="A18" s="39" t="s">
        <v>318</v>
      </c>
      <c r="B18" s="39" t="s">
        <v>1200</v>
      </c>
      <c r="C18" s="144" t="s">
        <v>1075</v>
      </c>
      <c r="D18" s="143" t="s">
        <v>1052</v>
      </c>
      <c r="E18" s="144">
        <v>46027</v>
      </c>
      <c r="F18" s="128">
        <f t="shared" si="0"/>
        <v>400</v>
      </c>
      <c r="G18" s="54">
        <f>SUMIF(积分汇总!$B:$B,'副主任&amp;工艺组长及其他'!C18,积分汇总!$E:$E)</f>
        <v>0</v>
      </c>
      <c r="H18" s="54">
        <f>SUMIF(记录巡查问题条数汇总!$B:$B,'副主任&amp;工艺组长及其他'!C18,记录巡查问题条数汇总!$E:$E)</f>
        <v>0</v>
      </c>
      <c r="I18" s="30"/>
      <c r="J18" s="54">
        <f>SUMIF(安全质量事故!$B:$B,'副主任&amp;工艺组长及其他'!C18,安全质量事故!$G:$G)</f>
        <v>0</v>
      </c>
      <c r="K18" s="55">
        <v>1</v>
      </c>
      <c r="L18" s="120">
        <f t="shared" si="1"/>
        <v>400</v>
      </c>
      <c r="M18" s="78" t="s">
        <v>14</v>
      </c>
      <c r="N18" s="235"/>
      <c r="O18" s="240"/>
      <c r="P18" s="235"/>
      <c r="Q18" s="176" t="s">
        <v>1396</v>
      </c>
      <c r="R18" s="51" t="str">
        <f>VLOOKUP(D18,[1]生产部!$C:$C,1,0)</f>
        <v>ALS15897</v>
      </c>
    </row>
    <row r="19" spans="1:23" ht="19.149999999999999" customHeight="1" x14ac:dyDescent="0.3">
      <c r="A19" s="39" t="s">
        <v>318</v>
      </c>
      <c r="B19" s="166" t="s">
        <v>158</v>
      </c>
      <c r="C19" s="99" t="s">
        <v>506</v>
      </c>
      <c r="D19" s="105" t="s">
        <v>476</v>
      </c>
      <c r="E19" s="99">
        <v>45833</v>
      </c>
      <c r="F19" s="128">
        <f t="shared" si="0"/>
        <v>400</v>
      </c>
      <c r="G19" s="54">
        <f>SUMIF(积分汇总!$B:$B,'副主任&amp;工艺组长及其他'!C19,积分汇总!$E:$E)</f>
        <v>0</v>
      </c>
      <c r="H19" s="54">
        <f>SUMIF(记录巡查问题条数汇总!$B:$B,'副主任&amp;工艺组长及其他'!C19,记录巡查问题条数汇总!$E:$E)</f>
        <v>0</v>
      </c>
      <c r="I19" s="30"/>
      <c r="J19" s="54">
        <f>SUMIF(安全质量事故!$B:$B,'副主任&amp;工艺组长及其他'!C19,安全质量事故!$G:$G)</f>
        <v>0</v>
      </c>
      <c r="K19" s="55">
        <v>1</v>
      </c>
      <c r="L19" s="120">
        <f t="shared" si="1"/>
        <v>400</v>
      </c>
      <c r="M19" s="78" t="s">
        <v>14</v>
      </c>
      <c r="N19" s="235"/>
      <c r="O19" s="240"/>
      <c r="P19" s="235"/>
      <c r="Q19" s="173"/>
      <c r="R19" s="51" t="str">
        <f>VLOOKUP(D19,[1]生产部!$C:$C,1,0)</f>
        <v>ALS14195</v>
      </c>
    </row>
    <row r="20" spans="1:23" ht="19.149999999999999" customHeight="1" x14ac:dyDescent="0.3">
      <c r="A20" s="39" t="s">
        <v>318</v>
      </c>
      <c r="B20" s="166" t="s">
        <v>158</v>
      </c>
      <c r="C20" s="99" t="s">
        <v>1032</v>
      </c>
      <c r="D20" s="105" t="s">
        <v>963</v>
      </c>
      <c r="E20" s="99">
        <v>46029</v>
      </c>
      <c r="F20" s="128">
        <f t="shared" si="0"/>
        <v>400</v>
      </c>
      <c r="G20" s="54">
        <f>SUMIF(积分汇总!$B:$B,'副主任&amp;工艺组长及其他'!C20,积分汇总!$E:$E)</f>
        <v>0</v>
      </c>
      <c r="H20" s="54">
        <f>SUMIF(记录巡查问题条数汇总!$B:$B,'副主任&amp;工艺组长及其他'!C20,记录巡查问题条数汇总!$E:$E)</f>
        <v>0</v>
      </c>
      <c r="I20" s="30"/>
      <c r="J20" s="54">
        <f>SUMIF(安全质量事故!$B:$B,'副主任&amp;工艺组长及其他'!C20,安全质量事故!$G:$G)</f>
        <v>0</v>
      </c>
      <c r="K20" s="55">
        <v>1</v>
      </c>
      <c r="L20" s="120">
        <f t="shared" si="1"/>
        <v>400</v>
      </c>
      <c r="M20" s="78" t="s">
        <v>14</v>
      </c>
      <c r="N20" s="235"/>
      <c r="O20" s="240"/>
      <c r="P20" s="235"/>
      <c r="Q20" s="173"/>
      <c r="R20" s="51" t="str">
        <f>VLOOKUP(D20,[1]生产部!$C:$C,1,0)</f>
        <v>ALS15823</v>
      </c>
    </row>
    <row r="21" spans="1:23" ht="19.5" customHeight="1" x14ac:dyDescent="0.3">
      <c r="A21" s="39" t="s">
        <v>319</v>
      </c>
      <c r="B21" s="39" t="s">
        <v>62</v>
      </c>
      <c r="C21" s="163" t="s">
        <v>141</v>
      </c>
      <c r="D21" s="27" t="s">
        <v>29</v>
      </c>
      <c r="E21" s="29">
        <v>44125</v>
      </c>
      <c r="F21" s="128">
        <f t="shared" si="0"/>
        <v>600</v>
      </c>
      <c r="G21" s="54">
        <f>SUMIF(积分汇总!$B:$B,'副主任&amp;工艺组长及其他'!C21,积分汇总!$E:$E)</f>
        <v>0</v>
      </c>
      <c r="H21" s="54">
        <f>SUMIF(记录巡查问题条数汇总!$B:$B,'副主任&amp;工艺组长及其他'!C21,记录巡查问题条数汇总!$E:$E)</f>
        <v>0</v>
      </c>
      <c r="I21" s="30"/>
      <c r="J21" s="54">
        <f>SUMIF(安全质量事故!$B:$B,'副主任&amp;工艺组长及其他'!C21,安全质量事故!$G:$G)</f>
        <v>0</v>
      </c>
      <c r="K21" s="55">
        <v>1</v>
      </c>
      <c r="L21" s="120">
        <f t="shared" si="1"/>
        <v>600</v>
      </c>
      <c r="M21" s="78" t="s">
        <v>15</v>
      </c>
      <c r="N21" s="235"/>
      <c r="O21" s="240"/>
      <c r="P21" s="235"/>
      <c r="Q21" s="173"/>
      <c r="R21" s="51" t="str">
        <f>VLOOKUP(D21,[1]生产部!$C:$C,1,0)</f>
        <v>ACT2027</v>
      </c>
      <c r="W21" s="50"/>
    </row>
    <row r="22" spans="1:23" ht="19.5" customHeight="1" x14ac:dyDescent="0.3">
      <c r="A22" s="39" t="s">
        <v>319</v>
      </c>
      <c r="B22" s="39" t="s">
        <v>62</v>
      </c>
      <c r="C22" s="163" t="s">
        <v>154</v>
      </c>
      <c r="D22" s="27" t="s">
        <v>57</v>
      </c>
      <c r="E22" s="29">
        <v>44272</v>
      </c>
      <c r="F22" s="128">
        <f t="shared" si="0"/>
        <v>400</v>
      </c>
      <c r="G22" s="54">
        <f>SUMIF(积分汇总!$B:$B,'副主任&amp;工艺组长及其他'!C22,积分汇总!$E:$E)</f>
        <v>0</v>
      </c>
      <c r="H22" s="54">
        <f>SUMIF(记录巡查问题条数汇总!$B:$B,'副主任&amp;工艺组长及其他'!C22,记录巡查问题条数汇总!$E:$E)</f>
        <v>0</v>
      </c>
      <c r="I22" s="30"/>
      <c r="J22" s="54">
        <f>SUMIF(安全质量事故!$B:$B,'副主任&amp;工艺组长及其他'!C22,安全质量事故!$G:$G)</f>
        <v>0</v>
      </c>
      <c r="K22" s="55">
        <v>1</v>
      </c>
      <c r="L22" s="120">
        <f t="shared" si="1"/>
        <v>400</v>
      </c>
      <c r="M22" s="78" t="s">
        <v>14</v>
      </c>
      <c r="N22" s="235"/>
      <c r="O22" s="240"/>
      <c r="P22" s="235"/>
      <c r="Q22" s="173"/>
      <c r="R22" s="51" t="str">
        <f>VLOOKUP(D22,[1]生产部!$C:$C,1,0)</f>
        <v>ALS7213</v>
      </c>
      <c r="W22" s="50"/>
    </row>
    <row r="23" spans="1:23" ht="19.5" customHeight="1" x14ac:dyDescent="0.3">
      <c r="A23" s="39" t="s">
        <v>319</v>
      </c>
      <c r="B23" s="39" t="s">
        <v>62</v>
      </c>
      <c r="C23" s="163" t="s">
        <v>142</v>
      </c>
      <c r="D23" s="27" t="s">
        <v>28</v>
      </c>
      <c r="E23" s="29">
        <v>44139</v>
      </c>
      <c r="F23" s="128">
        <f t="shared" si="0"/>
        <v>600</v>
      </c>
      <c r="G23" s="54">
        <f>SUMIF(积分汇总!$B:$B,'副主任&amp;工艺组长及其他'!C23,积分汇总!$E:$E)</f>
        <v>0</v>
      </c>
      <c r="H23" s="54">
        <f>SUMIF(记录巡查问题条数汇总!$B:$B,'副主任&amp;工艺组长及其他'!C23,记录巡查问题条数汇总!$E:$E)</f>
        <v>0</v>
      </c>
      <c r="I23" s="30"/>
      <c r="J23" s="54">
        <f>SUMIF(安全质量事故!$B:$B,'副主任&amp;工艺组长及其他'!C23,安全质量事故!$G:$G)</f>
        <v>0</v>
      </c>
      <c r="K23" s="55">
        <v>1</v>
      </c>
      <c r="L23" s="120">
        <f t="shared" si="1"/>
        <v>600</v>
      </c>
      <c r="M23" s="78" t="s">
        <v>15</v>
      </c>
      <c r="N23" s="235"/>
      <c r="O23" s="240"/>
      <c r="P23" s="235"/>
      <c r="Q23" s="173"/>
      <c r="R23" s="51" t="str">
        <f>VLOOKUP(D23,[1]生产部!$C:$C,1,0)</f>
        <v>ALS6830</v>
      </c>
      <c r="W23" s="50"/>
    </row>
    <row r="24" spans="1:23" ht="19.5" customHeight="1" x14ac:dyDescent="0.3">
      <c r="A24" s="39" t="s">
        <v>319</v>
      </c>
      <c r="B24" s="39" t="s">
        <v>199</v>
      </c>
      <c r="C24" s="163" t="s">
        <v>210</v>
      </c>
      <c r="D24" s="27" t="s">
        <v>211</v>
      </c>
      <c r="E24" s="29">
        <v>42926</v>
      </c>
      <c r="F24" s="128">
        <f t="shared" si="0"/>
        <v>400</v>
      </c>
      <c r="G24" s="54">
        <f>SUMIF(积分汇总!$B:$B,'副主任&amp;工艺组长及其他'!C24,积分汇总!$E:$E)</f>
        <v>0</v>
      </c>
      <c r="H24" s="54">
        <f>SUMIF(记录巡查问题条数汇总!$B:$B,'副主任&amp;工艺组长及其他'!C24,记录巡查问题条数汇总!$E:$E)</f>
        <v>0</v>
      </c>
      <c r="I24" s="30"/>
      <c r="J24" s="54">
        <f>SUMIF(安全质量事故!$B:$B,'副主任&amp;工艺组长及其他'!C24,安全质量事故!$G:$G)</f>
        <v>0</v>
      </c>
      <c r="K24" s="55">
        <v>1</v>
      </c>
      <c r="L24" s="120">
        <f t="shared" si="1"/>
        <v>400</v>
      </c>
      <c r="M24" s="78" t="s">
        <v>14</v>
      </c>
      <c r="N24" s="235"/>
      <c r="O24" s="240"/>
      <c r="P24" s="235"/>
      <c r="Q24" s="173"/>
      <c r="R24" s="51" t="str">
        <f>VLOOKUP(D24,[1]生产部!$C:$C,1,0)</f>
        <v>ALS3598</v>
      </c>
    </row>
    <row r="25" spans="1:23" ht="19.5" customHeight="1" x14ac:dyDescent="0.3">
      <c r="A25" s="39" t="s">
        <v>319</v>
      </c>
      <c r="B25" s="39" t="s">
        <v>87</v>
      </c>
      <c r="C25" s="163" t="s">
        <v>307</v>
      </c>
      <c r="D25" s="27" t="s">
        <v>217</v>
      </c>
      <c r="E25" s="29">
        <v>42972</v>
      </c>
      <c r="F25" s="128">
        <f t="shared" si="0"/>
        <v>400</v>
      </c>
      <c r="G25" s="54">
        <f>SUMIF(积分汇总!$B:$B,'副主任&amp;工艺组长及其他'!C25,积分汇总!$E:$E)</f>
        <v>0</v>
      </c>
      <c r="H25" s="54">
        <f>SUMIF(记录巡查问题条数汇总!$B:$B,'副主任&amp;工艺组长及其他'!C25,记录巡查问题条数汇总!$E:$E)</f>
        <v>0</v>
      </c>
      <c r="I25" s="30"/>
      <c r="J25" s="54">
        <f>SUMIF(安全质量事故!$B:$B,'副主任&amp;工艺组长及其他'!C25,安全质量事故!$G:$G)</f>
        <v>0</v>
      </c>
      <c r="K25" s="55">
        <v>1</v>
      </c>
      <c r="L25" s="120">
        <f t="shared" si="1"/>
        <v>400</v>
      </c>
      <c r="M25" s="78" t="s">
        <v>14</v>
      </c>
      <c r="N25" s="235"/>
      <c r="O25" s="240"/>
      <c r="P25" s="235"/>
      <c r="Q25" s="173"/>
      <c r="R25" s="51" t="str">
        <f>VLOOKUP(D25,[1]生产部!$C:$C,1,0)</f>
        <v>FX2691</v>
      </c>
    </row>
    <row r="26" spans="1:23" ht="19.5" customHeight="1" x14ac:dyDescent="0.3">
      <c r="A26" s="39" t="s">
        <v>319</v>
      </c>
      <c r="B26" s="39" t="s">
        <v>87</v>
      </c>
      <c r="C26" s="163" t="s">
        <v>139</v>
      </c>
      <c r="D26" s="27" t="s">
        <v>74</v>
      </c>
      <c r="E26" s="29">
        <v>44755</v>
      </c>
      <c r="F26" s="128">
        <f t="shared" si="0"/>
        <v>400</v>
      </c>
      <c r="G26" s="54">
        <f>SUMIF(积分汇总!$B:$B,'副主任&amp;工艺组长及其他'!C26,积分汇总!$E:$E)</f>
        <v>0</v>
      </c>
      <c r="H26" s="54">
        <f>SUMIF(记录巡查问题条数汇总!$B:$B,'副主任&amp;工艺组长及其他'!C26,记录巡查问题条数汇总!$E:$E)</f>
        <v>0</v>
      </c>
      <c r="I26" s="30"/>
      <c r="J26" s="54">
        <f>SUMIF(安全质量事故!$B:$B,'副主任&amp;工艺组长及其他'!C26,安全质量事故!$G:$G)</f>
        <v>0</v>
      </c>
      <c r="K26" s="55">
        <v>1</v>
      </c>
      <c r="L26" s="120">
        <f t="shared" si="1"/>
        <v>400</v>
      </c>
      <c r="M26" s="78" t="s">
        <v>14</v>
      </c>
      <c r="N26" s="235"/>
      <c r="O26" s="240"/>
      <c r="P26" s="235"/>
      <c r="Q26" s="173"/>
      <c r="R26" s="51" t="str">
        <f>VLOOKUP(D26,[1]生产部!$C:$C,1,0)</f>
        <v>ALS10155</v>
      </c>
    </row>
    <row r="27" spans="1:23" ht="19.5" customHeight="1" x14ac:dyDescent="0.3">
      <c r="A27" s="39" t="s">
        <v>319</v>
      </c>
      <c r="B27" s="39" t="s">
        <v>87</v>
      </c>
      <c r="C27" s="163" t="s">
        <v>145</v>
      </c>
      <c r="D27" s="27" t="s">
        <v>71</v>
      </c>
      <c r="E27" s="29">
        <v>44734</v>
      </c>
      <c r="F27" s="128">
        <f t="shared" si="0"/>
        <v>400</v>
      </c>
      <c r="G27" s="54">
        <f>SUMIF(积分汇总!$B:$B,'副主任&amp;工艺组长及其他'!C27,积分汇总!$E:$E)</f>
        <v>0</v>
      </c>
      <c r="H27" s="54">
        <f>SUMIF(记录巡查问题条数汇总!$B:$B,'副主任&amp;工艺组长及其他'!C27,记录巡查问题条数汇总!$E:$E)</f>
        <v>0</v>
      </c>
      <c r="I27" s="30"/>
      <c r="J27" s="54">
        <f>SUMIF(安全质量事故!$B:$B,'副主任&amp;工艺组长及其他'!C27,安全质量事故!$G:$G)</f>
        <v>0</v>
      </c>
      <c r="K27" s="55">
        <v>1</v>
      </c>
      <c r="L27" s="120">
        <f t="shared" si="1"/>
        <v>400</v>
      </c>
      <c r="M27" s="78" t="s">
        <v>14</v>
      </c>
      <c r="N27" s="235"/>
      <c r="O27" s="240"/>
      <c r="P27" s="235"/>
      <c r="Q27" s="173"/>
      <c r="R27" s="51" t="str">
        <f>VLOOKUP(D27,[1]生产部!$C:$C,1,0)</f>
        <v>ALS10332</v>
      </c>
    </row>
    <row r="28" spans="1:23" ht="19.5" customHeight="1" x14ac:dyDescent="0.3">
      <c r="A28" s="39" t="s">
        <v>319</v>
      </c>
      <c r="B28" s="39" t="s">
        <v>87</v>
      </c>
      <c r="C28" s="163" t="s">
        <v>146</v>
      </c>
      <c r="D28" s="27" t="s">
        <v>75</v>
      </c>
      <c r="E28" s="29">
        <v>44755</v>
      </c>
      <c r="F28" s="128">
        <f t="shared" si="0"/>
        <v>600</v>
      </c>
      <c r="G28" s="54">
        <f>SUMIF(积分汇总!$B:$B,'副主任&amp;工艺组长及其他'!C28,积分汇总!$E:$E)</f>
        <v>0</v>
      </c>
      <c r="H28" s="54">
        <f>SUMIF(记录巡查问题条数汇总!$B:$B,'副主任&amp;工艺组长及其他'!C28,记录巡查问题条数汇总!$E:$E)</f>
        <v>0</v>
      </c>
      <c r="I28" s="30"/>
      <c r="J28" s="54">
        <f>SUMIF(安全质量事故!$B:$B,'副主任&amp;工艺组长及其他'!C28,安全质量事故!$G:$G)</f>
        <v>0</v>
      </c>
      <c r="K28" s="55">
        <v>1</v>
      </c>
      <c r="L28" s="120">
        <f t="shared" si="1"/>
        <v>600</v>
      </c>
      <c r="M28" s="78" t="s">
        <v>15</v>
      </c>
      <c r="N28" s="235"/>
      <c r="O28" s="240"/>
      <c r="P28" s="235"/>
      <c r="Q28" s="173"/>
      <c r="R28" s="51" t="str">
        <f>VLOOKUP(D28,[1]生产部!$C:$C,1,0)</f>
        <v>ALS10153</v>
      </c>
    </row>
    <row r="29" spans="1:23" ht="19.5" customHeight="1" x14ac:dyDescent="0.3">
      <c r="A29" s="39" t="s">
        <v>319</v>
      </c>
      <c r="B29" s="39" t="s">
        <v>87</v>
      </c>
      <c r="C29" s="163" t="s">
        <v>152</v>
      </c>
      <c r="D29" s="27" t="s">
        <v>63</v>
      </c>
      <c r="E29" s="29">
        <v>44389</v>
      </c>
      <c r="F29" s="128">
        <f t="shared" si="0"/>
        <v>400</v>
      </c>
      <c r="G29" s="54">
        <f>SUMIF(积分汇总!$B:$B,'副主任&amp;工艺组长及其他'!C29,积分汇总!$E:$E)</f>
        <v>0</v>
      </c>
      <c r="H29" s="54">
        <f>SUMIF(记录巡查问题条数汇总!$B:$B,'副主任&amp;工艺组长及其他'!C29,记录巡查问题条数汇总!$E:$E)</f>
        <v>0</v>
      </c>
      <c r="I29" s="30"/>
      <c r="J29" s="54">
        <f>SUMIF(安全质量事故!$B:$B,'副主任&amp;工艺组长及其他'!C29,安全质量事故!$G:$G)</f>
        <v>0</v>
      </c>
      <c r="K29" s="55">
        <v>1</v>
      </c>
      <c r="L29" s="120">
        <f t="shared" si="1"/>
        <v>400</v>
      </c>
      <c r="M29" s="78" t="s">
        <v>14</v>
      </c>
      <c r="N29" s="235"/>
      <c r="O29" s="240"/>
      <c r="P29" s="235"/>
      <c r="Q29" s="173"/>
      <c r="R29" s="51" t="str">
        <f>VLOOKUP(D29,[1]生产部!$C:$C,1,0)</f>
        <v>ALS7875</v>
      </c>
    </row>
    <row r="30" spans="1:23" ht="19.5" customHeight="1" x14ac:dyDescent="0.3">
      <c r="A30" s="39" t="s">
        <v>319</v>
      </c>
      <c r="B30" s="39" t="s">
        <v>87</v>
      </c>
      <c r="C30" s="163" t="s">
        <v>153</v>
      </c>
      <c r="D30" s="27" t="s">
        <v>60</v>
      </c>
      <c r="E30" s="29">
        <v>44433</v>
      </c>
      <c r="F30" s="128">
        <f t="shared" si="0"/>
        <v>400</v>
      </c>
      <c r="G30" s="54">
        <f>SUMIF(积分汇总!$B:$B,'副主任&amp;工艺组长及其他'!C30,积分汇总!$E:$E)</f>
        <v>0</v>
      </c>
      <c r="H30" s="54">
        <f>SUMIF(记录巡查问题条数汇总!$B:$B,'副主任&amp;工艺组长及其他'!C30,记录巡查问题条数汇总!$E:$E)</f>
        <v>0</v>
      </c>
      <c r="I30" s="30"/>
      <c r="J30" s="54">
        <f>SUMIF(安全质量事故!$B:$B,'副主任&amp;工艺组长及其他'!C30,安全质量事故!$G:$G)</f>
        <v>0</v>
      </c>
      <c r="K30" s="55">
        <v>1</v>
      </c>
      <c r="L30" s="120">
        <f t="shared" si="1"/>
        <v>400</v>
      </c>
      <c r="M30" s="78" t="s">
        <v>14</v>
      </c>
      <c r="N30" s="235"/>
      <c r="O30" s="240"/>
      <c r="P30" s="235"/>
      <c r="Q30" s="173"/>
      <c r="R30" s="51" t="str">
        <f>VLOOKUP(D30,[1]生产部!$C:$C,1,0)</f>
        <v>ALS8245</v>
      </c>
    </row>
    <row r="31" spans="1:23" ht="19.5" customHeight="1" x14ac:dyDescent="0.3">
      <c r="A31" s="39" t="s">
        <v>319</v>
      </c>
      <c r="B31" s="39" t="s">
        <v>87</v>
      </c>
      <c r="C31" s="163" t="s">
        <v>200</v>
      </c>
      <c r="D31" s="27" t="s">
        <v>196</v>
      </c>
      <c r="E31" s="29">
        <v>44755</v>
      </c>
      <c r="F31" s="128">
        <f t="shared" si="0"/>
        <v>400</v>
      </c>
      <c r="G31" s="54">
        <f>SUMIF(积分汇总!$B:$B,'副主任&amp;工艺组长及其他'!C31,积分汇总!$E:$E)</f>
        <v>0</v>
      </c>
      <c r="H31" s="54">
        <f>SUMIF(记录巡查问题条数汇总!$B:$B,'副主任&amp;工艺组长及其他'!C31,记录巡查问题条数汇总!$E:$E)</f>
        <v>0</v>
      </c>
      <c r="I31" s="30"/>
      <c r="J31" s="54">
        <f>SUMIF(安全质量事故!$B:$B,'副主任&amp;工艺组长及其他'!C31,安全质量事故!$G:$G)</f>
        <v>0</v>
      </c>
      <c r="K31" s="55">
        <v>1</v>
      </c>
      <c r="L31" s="120">
        <f t="shared" si="1"/>
        <v>400</v>
      </c>
      <c r="M31" s="78" t="s">
        <v>14</v>
      </c>
      <c r="N31" s="235"/>
      <c r="O31" s="240"/>
      <c r="P31" s="235"/>
      <c r="Q31" s="173"/>
      <c r="R31" s="51" t="str">
        <f>VLOOKUP(D31,[1]生产部!$C:$C,1,0)</f>
        <v>ALS10142</v>
      </c>
    </row>
    <row r="32" spans="1:23" ht="19.149999999999999" customHeight="1" x14ac:dyDescent="0.3">
      <c r="A32" s="39" t="s">
        <v>319</v>
      </c>
      <c r="B32" s="39" t="s">
        <v>87</v>
      </c>
      <c r="C32" s="39" t="s">
        <v>584</v>
      </c>
      <c r="D32" s="27" t="s">
        <v>545</v>
      </c>
      <c r="E32" s="29">
        <v>45889</v>
      </c>
      <c r="F32" s="128">
        <f t="shared" si="0"/>
        <v>400</v>
      </c>
      <c r="G32" s="54">
        <f>SUMIF(积分汇总!$B:$B,'副主任&amp;工艺组长及其他'!C32,积分汇总!$E:$E)</f>
        <v>0</v>
      </c>
      <c r="H32" s="54">
        <f>SUMIF(记录巡查问题条数汇总!$B:$B,'副主任&amp;工艺组长及其他'!C32,记录巡查问题条数汇总!$E:$E)</f>
        <v>0</v>
      </c>
      <c r="I32" s="30"/>
      <c r="J32" s="54">
        <f>SUMIF(安全质量事故!$B:$B,'副主任&amp;工艺组长及其他'!C32,安全质量事故!$G:$G)</f>
        <v>0</v>
      </c>
      <c r="K32" s="55">
        <v>1</v>
      </c>
      <c r="L32" s="120">
        <f t="shared" si="1"/>
        <v>400</v>
      </c>
      <c r="M32" s="78" t="s">
        <v>14</v>
      </c>
      <c r="N32" s="235"/>
      <c r="O32" s="240"/>
      <c r="P32" s="235"/>
      <c r="Q32" s="173"/>
      <c r="R32" s="51" t="str">
        <f>VLOOKUP(D32,[1]生产部!$C:$C,1,0)</f>
        <v>ALS14684</v>
      </c>
    </row>
    <row r="33" spans="1:20" ht="19.5" customHeight="1" x14ac:dyDescent="0.3">
      <c r="A33" s="39" t="s">
        <v>319</v>
      </c>
      <c r="B33" s="39" t="s">
        <v>87</v>
      </c>
      <c r="C33" s="39" t="s">
        <v>1069</v>
      </c>
      <c r="D33" s="27" t="s">
        <v>1041</v>
      </c>
      <c r="E33" s="29">
        <v>46050</v>
      </c>
      <c r="F33" s="128">
        <f t="shared" si="0"/>
        <v>400</v>
      </c>
      <c r="G33" s="54">
        <f>SUMIF(积分汇总!$B:$B,'副主任&amp;工艺组长及其他'!C33,积分汇总!$E:$E)</f>
        <v>0</v>
      </c>
      <c r="H33" s="54">
        <f>SUMIF(记录巡查问题条数汇总!$B:$B,'副主任&amp;工艺组长及其他'!C33,记录巡查问题条数汇总!$E:$E)</f>
        <v>0</v>
      </c>
      <c r="I33" s="30"/>
      <c r="J33" s="54">
        <f>SUMIF(安全质量事故!$B:$B,'副主任&amp;工艺组长及其他'!C33,安全质量事故!$G:$G)</f>
        <v>0</v>
      </c>
      <c r="K33" s="55">
        <v>1</v>
      </c>
      <c r="L33" s="120">
        <f t="shared" si="1"/>
        <v>400</v>
      </c>
      <c r="M33" s="78" t="s">
        <v>14</v>
      </c>
      <c r="N33" s="235"/>
      <c r="O33" s="240"/>
      <c r="P33" s="235"/>
      <c r="Q33" s="173"/>
      <c r="R33" s="51" t="str">
        <f>VLOOKUP(D33,[1]生产部!$C:$C,1,0)</f>
        <v>ALS16022</v>
      </c>
    </row>
    <row r="34" spans="1:20" ht="19.149999999999999" customHeight="1" x14ac:dyDescent="0.3">
      <c r="A34" s="39" t="s">
        <v>319</v>
      </c>
      <c r="B34" s="220" t="s">
        <v>1739</v>
      </c>
      <c r="C34" s="93" t="s">
        <v>1740</v>
      </c>
      <c r="D34" s="92" t="s">
        <v>1741</v>
      </c>
      <c r="E34" s="77">
        <v>46169</v>
      </c>
      <c r="F34" s="128">
        <f t="shared" ref="F34:F35" si="4">(L34*K34+G34+H34+I34-J34)</f>
        <v>400</v>
      </c>
      <c r="G34" s="54">
        <f>SUMIF(积分汇总!$B:$B,'副主任&amp;工艺组长及其他'!C34,积分汇总!$E:$E)</f>
        <v>0</v>
      </c>
      <c r="H34" s="54">
        <f>SUMIF(记录巡查问题条数汇总!$B:$B,'副主任&amp;工艺组长及其他'!C34,记录巡查问题条数汇总!$E:$E)</f>
        <v>0</v>
      </c>
      <c r="I34" s="30"/>
      <c r="J34" s="54">
        <f>SUMIF(安全质量事故!$B:$B,'副主任&amp;工艺组长及其他'!C34,安全质量事故!$G:$G)</f>
        <v>0</v>
      </c>
      <c r="K34" s="55">
        <v>1</v>
      </c>
      <c r="L34" s="120">
        <f t="shared" ref="L34:L65" si="5">HLOOKUP(M34,$A$143:$H$144,2)</f>
        <v>400</v>
      </c>
      <c r="M34" s="78" t="s">
        <v>14</v>
      </c>
      <c r="N34" s="235"/>
      <c r="O34" s="240"/>
      <c r="P34" s="235"/>
      <c r="Q34" s="175"/>
      <c r="R34" s="51" t="str">
        <f>VLOOKUP(D34,[1]生产部!$C:$C,1,0)</f>
        <v>ALS16970</v>
      </c>
    </row>
    <row r="35" spans="1:20" ht="19.149999999999999" customHeight="1" x14ac:dyDescent="0.3">
      <c r="A35" s="39" t="s">
        <v>319</v>
      </c>
      <c r="B35" s="39" t="s">
        <v>1200</v>
      </c>
      <c r="C35" s="39" t="s">
        <v>1203</v>
      </c>
      <c r="D35" s="27" t="s">
        <v>1204</v>
      </c>
      <c r="E35" s="29">
        <v>44389</v>
      </c>
      <c r="F35" s="128">
        <f t="shared" si="4"/>
        <v>400</v>
      </c>
      <c r="G35" s="54">
        <f>SUMIF(积分汇总!$B:$B,'副主任&amp;工艺组长及其他'!C35,积分汇总!$E:$E)</f>
        <v>0</v>
      </c>
      <c r="H35" s="54">
        <f>SUMIF(记录巡查问题条数汇总!$B:$B,'副主任&amp;工艺组长及其他'!C35,记录巡查问题条数汇总!$E:$E)</f>
        <v>0</v>
      </c>
      <c r="I35" s="30"/>
      <c r="J35" s="54">
        <f>SUMIF(安全质量事故!$B:$B,'副主任&amp;工艺组长及其他'!C35,安全质量事故!$G:$G)</f>
        <v>0</v>
      </c>
      <c r="K35" s="55">
        <v>1</v>
      </c>
      <c r="L35" s="120">
        <f t="shared" si="5"/>
        <v>400</v>
      </c>
      <c r="M35" s="78" t="s">
        <v>14</v>
      </c>
      <c r="N35" s="235"/>
      <c r="O35" s="240"/>
      <c r="P35" s="235"/>
      <c r="Q35" s="175" t="s">
        <v>1205</v>
      </c>
      <c r="R35" s="51" t="str">
        <f>VLOOKUP(D35,[1]生产部!$C:$C,1,0)</f>
        <v>LFX573</v>
      </c>
    </row>
    <row r="36" spans="1:20" ht="19.149999999999999" customHeight="1" x14ac:dyDescent="0.3">
      <c r="A36" s="39" t="s">
        <v>319</v>
      </c>
      <c r="B36" s="39" t="s">
        <v>1200</v>
      </c>
      <c r="C36" s="93" t="s">
        <v>1742</v>
      </c>
      <c r="D36" s="92" t="s">
        <v>1743</v>
      </c>
      <c r="E36" s="77">
        <v>46160</v>
      </c>
      <c r="F36" s="128">
        <f t="shared" si="0"/>
        <v>400</v>
      </c>
      <c r="G36" s="54">
        <f>SUMIF(积分汇总!$B:$B,'副主任&amp;工艺组长及其他'!C36,积分汇总!$E:$E)</f>
        <v>0</v>
      </c>
      <c r="H36" s="54">
        <f>SUMIF(记录巡查问题条数汇总!$B:$B,'副主任&amp;工艺组长及其他'!C36,记录巡查问题条数汇总!$E:$E)</f>
        <v>0</v>
      </c>
      <c r="I36" s="30"/>
      <c r="J36" s="54">
        <f>SUMIF(安全质量事故!$B:$B,'副主任&amp;工艺组长及其他'!C36,安全质量事故!$G:$G)</f>
        <v>0</v>
      </c>
      <c r="K36" s="55">
        <v>1</v>
      </c>
      <c r="L36" s="120">
        <f t="shared" si="5"/>
        <v>400</v>
      </c>
      <c r="M36" s="78" t="s">
        <v>14</v>
      </c>
      <c r="N36" s="235"/>
      <c r="O36" s="240"/>
      <c r="P36" s="235"/>
      <c r="Q36" s="175"/>
      <c r="R36" s="51" t="str">
        <f>VLOOKUP(D36,[1]生产部!$C:$C,1,0)</f>
        <v>ALS16847</v>
      </c>
    </row>
    <row r="37" spans="1:20" ht="19.149999999999999" customHeight="1" x14ac:dyDescent="0.35">
      <c r="A37" s="39" t="s">
        <v>319</v>
      </c>
      <c r="B37" s="39" t="s">
        <v>1200</v>
      </c>
      <c r="C37" s="144" t="s">
        <v>1023</v>
      </c>
      <c r="D37" s="142" t="s">
        <v>955</v>
      </c>
      <c r="E37" s="151">
        <v>46043</v>
      </c>
      <c r="F37" s="128">
        <f t="shared" si="0"/>
        <v>400</v>
      </c>
      <c r="G37" s="54">
        <f>SUMIF(积分汇总!$B:$B,'副主任&amp;工艺组长及其他'!C37,积分汇总!$E:$E)</f>
        <v>0</v>
      </c>
      <c r="H37" s="54">
        <f>SUMIF(记录巡查问题条数汇总!$B:$B,'副主任&amp;工艺组长及其他'!C37,记录巡查问题条数汇总!$E:$E)</f>
        <v>0</v>
      </c>
      <c r="I37" s="30"/>
      <c r="J37" s="54">
        <f>SUMIF(安全质量事故!$B:$B,'副主任&amp;工艺组长及其他'!C37,安全质量事故!$G:$G)</f>
        <v>0</v>
      </c>
      <c r="K37" s="55">
        <v>1</v>
      </c>
      <c r="L37" s="120">
        <f t="shared" si="5"/>
        <v>400</v>
      </c>
      <c r="M37" s="78" t="s">
        <v>14</v>
      </c>
      <c r="N37" s="235"/>
      <c r="O37" s="240"/>
      <c r="P37" s="235"/>
      <c r="Q37" s="177" t="s">
        <v>1397</v>
      </c>
      <c r="R37" s="51" t="str">
        <f>VLOOKUP(D37,[1]生产部!$C:$C,1,0)</f>
        <v>ALS16005</v>
      </c>
    </row>
    <row r="38" spans="1:20" ht="19.149999999999999" customHeight="1" x14ac:dyDescent="0.35">
      <c r="A38" s="39" t="s">
        <v>319</v>
      </c>
      <c r="B38" s="39" t="s">
        <v>1200</v>
      </c>
      <c r="C38" s="144" t="s">
        <v>1358</v>
      </c>
      <c r="D38" s="142" t="s">
        <v>1359</v>
      </c>
      <c r="E38" s="151">
        <v>46106</v>
      </c>
      <c r="F38" s="128">
        <f t="shared" si="0"/>
        <v>400</v>
      </c>
      <c r="G38" s="54">
        <f>SUMIF(积分汇总!$B:$B,'副主任&amp;工艺组长及其他'!C38,积分汇总!$E:$E)</f>
        <v>0</v>
      </c>
      <c r="H38" s="54">
        <f>SUMIF(记录巡查问题条数汇总!$B:$B,'副主任&amp;工艺组长及其他'!C38,记录巡查问题条数汇总!$E:$E)</f>
        <v>0</v>
      </c>
      <c r="I38" s="30"/>
      <c r="J38" s="54">
        <f>SUMIF(安全质量事故!$B:$B,'副主任&amp;工艺组长及其他'!C38,安全质量事故!$G:$G)</f>
        <v>0</v>
      </c>
      <c r="K38" s="55">
        <v>1</v>
      </c>
      <c r="L38" s="120">
        <f t="shared" si="5"/>
        <v>400</v>
      </c>
      <c r="M38" s="78" t="s">
        <v>14</v>
      </c>
      <c r="N38" s="235"/>
      <c r="O38" s="240"/>
      <c r="P38" s="235"/>
      <c r="Q38" s="177" t="s">
        <v>1397</v>
      </c>
      <c r="R38" s="51" t="str">
        <f>VLOOKUP(D38,[1]生产部!$C:$C,1,0)</f>
        <v>ALS15926</v>
      </c>
    </row>
    <row r="39" spans="1:20" ht="19.149999999999999" customHeight="1" x14ac:dyDescent="0.35">
      <c r="A39" s="39" t="s">
        <v>319</v>
      </c>
      <c r="B39" s="39" t="s">
        <v>1200</v>
      </c>
      <c r="C39" s="144" t="s">
        <v>1009</v>
      </c>
      <c r="D39" s="142" t="s">
        <v>957</v>
      </c>
      <c r="E39" s="151">
        <v>46029</v>
      </c>
      <c r="F39" s="128">
        <f t="shared" si="0"/>
        <v>400</v>
      </c>
      <c r="G39" s="54">
        <f>SUMIF(积分汇总!$B:$B,'副主任&amp;工艺组长及其他'!C39,积分汇总!$E:$E)</f>
        <v>0</v>
      </c>
      <c r="H39" s="54">
        <f>SUMIF(记录巡查问题条数汇总!$B:$B,'副主任&amp;工艺组长及其他'!C39,记录巡查问题条数汇总!$E:$E)</f>
        <v>0</v>
      </c>
      <c r="I39" s="30"/>
      <c r="J39" s="54">
        <f>SUMIF(安全质量事故!$B:$B,'副主任&amp;工艺组长及其他'!C39,安全质量事故!$G:$G)</f>
        <v>0</v>
      </c>
      <c r="K39" s="55">
        <v>1</v>
      </c>
      <c r="L39" s="120">
        <f t="shared" si="5"/>
        <v>400</v>
      </c>
      <c r="M39" s="78" t="s">
        <v>14</v>
      </c>
      <c r="N39" s="235"/>
      <c r="O39" s="240"/>
      <c r="P39" s="235"/>
      <c r="Q39" s="177" t="s">
        <v>1398</v>
      </c>
      <c r="R39" s="51" t="str">
        <f>VLOOKUP(D39,[1]生产部!$C:$C,1,0)</f>
        <v>ALS15911</v>
      </c>
    </row>
    <row r="40" spans="1:20" ht="19.149999999999999" customHeight="1" x14ac:dyDescent="0.3">
      <c r="A40" s="39" t="s">
        <v>319</v>
      </c>
      <c r="B40" s="39" t="s">
        <v>1200</v>
      </c>
      <c r="C40" s="144" t="s">
        <v>1010</v>
      </c>
      <c r="D40" s="142" t="s">
        <v>958</v>
      </c>
      <c r="E40" s="151">
        <v>46029</v>
      </c>
      <c r="F40" s="128">
        <f t="shared" si="0"/>
        <v>200</v>
      </c>
      <c r="G40" s="54">
        <f>SUMIF(积分汇总!$B:$B,'副主任&amp;工艺组长及其他'!C40,积分汇总!$E:$E)</f>
        <v>0</v>
      </c>
      <c r="H40" s="54">
        <f>SUMIF(记录巡查问题条数汇总!$B:$B,'副主任&amp;工艺组长及其他'!C40,记录巡查问题条数汇总!$E:$E)</f>
        <v>0</v>
      </c>
      <c r="I40" s="30"/>
      <c r="J40" s="54">
        <f>SUMIF(安全质量事故!$B:$B,'副主任&amp;工艺组长及其他'!C40,安全质量事故!$G:$G)</f>
        <v>0</v>
      </c>
      <c r="K40" s="55">
        <v>1</v>
      </c>
      <c r="L40" s="120">
        <f t="shared" si="5"/>
        <v>200</v>
      </c>
      <c r="M40" s="78" t="s">
        <v>18</v>
      </c>
      <c r="N40" s="235"/>
      <c r="O40" s="240"/>
      <c r="P40" s="235"/>
      <c r="Q40" s="212" t="s">
        <v>1624</v>
      </c>
      <c r="R40" s="51" t="str">
        <f>VLOOKUP(D40,[1]生产部!$C:$C,1,0)</f>
        <v>ALS15913</v>
      </c>
    </row>
    <row r="41" spans="1:20" ht="19.149999999999999" customHeight="1" x14ac:dyDescent="0.35">
      <c r="A41" s="39" t="s">
        <v>319</v>
      </c>
      <c r="B41" s="39" t="s">
        <v>1200</v>
      </c>
      <c r="C41" s="144" t="s">
        <v>1011</v>
      </c>
      <c r="D41" s="142" t="s">
        <v>959</v>
      </c>
      <c r="E41" s="151">
        <v>46029</v>
      </c>
      <c r="F41" s="128">
        <f t="shared" si="0"/>
        <v>400</v>
      </c>
      <c r="G41" s="54">
        <f>SUMIF(积分汇总!$B:$B,'副主任&amp;工艺组长及其他'!C41,积分汇总!$E:$E)</f>
        <v>0</v>
      </c>
      <c r="H41" s="54">
        <f>SUMIF(记录巡查问题条数汇总!$B:$B,'副主任&amp;工艺组长及其他'!C41,记录巡查问题条数汇总!$E:$E)</f>
        <v>0</v>
      </c>
      <c r="I41" s="30"/>
      <c r="J41" s="54">
        <f>SUMIF(安全质量事故!$B:$B,'副主任&amp;工艺组长及其他'!C41,安全质量事故!$G:$G)</f>
        <v>0</v>
      </c>
      <c r="K41" s="55">
        <v>1</v>
      </c>
      <c r="L41" s="120">
        <f t="shared" si="5"/>
        <v>400</v>
      </c>
      <c r="M41" s="78" t="s">
        <v>14</v>
      </c>
      <c r="N41" s="235"/>
      <c r="O41" s="240"/>
      <c r="P41" s="235"/>
      <c r="Q41" s="177" t="s">
        <v>1399</v>
      </c>
      <c r="R41" s="51" t="str">
        <f>VLOOKUP(D41,[1]生产部!$C:$C,1,0)</f>
        <v>ALS15910</v>
      </c>
    </row>
    <row r="42" spans="1:20" ht="19.149999999999999" customHeight="1" x14ac:dyDescent="0.35">
      <c r="A42" s="39" t="s">
        <v>319</v>
      </c>
      <c r="B42" s="39" t="s">
        <v>1200</v>
      </c>
      <c r="C42" s="144" t="s">
        <v>1013</v>
      </c>
      <c r="D42" s="142" t="s">
        <v>961</v>
      </c>
      <c r="E42" s="151">
        <v>46029</v>
      </c>
      <c r="F42" s="128">
        <f t="shared" si="0"/>
        <v>400</v>
      </c>
      <c r="G42" s="54">
        <f>SUMIF(积分汇总!$B:$B,'副主任&amp;工艺组长及其他'!C42,积分汇总!$E:$E)</f>
        <v>0</v>
      </c>
      <c r="H42" s="54">
        <f>SUMIF(记录巡查问题条数汇总!$B:$B,'副主任&amp;工艺组长及其他'!C42,记录巡查问题条数汇总!$E:$E)</f>
        <v>0</v>
      </c>
      <c r="I42" s="30"/>
      <c r="J42" s="54">
        <f>SUMIF(安全质量事故!$B:$B,'副主任&amp;工艺组长及其他'!C42,安全质量事故!$G:$G)</f>
        <v>0</v>
      </c>
      <c r="K42" s="55">
        <v>1</v>
      </c>
      <c r="L42" s="120">
        <f t="shared" si="5"/>
        <v>400</v>
      </c>
      <c r="M42" s="78" t="s">
        <v>14</v>
      </c>
      <c r="N42" s="235"/>
      <c r="O42" s="240"/>
      <c r="P42" s="235"/>
      <c r="Q42" s="177" t="s">
        <v>1400</v>
      </c>
      <c r="R42" s="51" t="str">
        <f>VLOOKUP(D42,[1]生产部!$C:$C,1,0)</f>
        <v>ALS15912</v>
      </c>
    </row>
    <row r="43" spans="1:20" ht="19.149999999999999" customHeight="1" x14ac:dyDescent="0.35">
      <c r="A43" s="39" t="s">
        <v>319</v>
      </c>
      <c r="B43" s="39" t="s">
        <v>1200</v>
      </c>
      <c r="C43" s="144" t="s">
        <v>1014</v>
      </c>
      <c r="D43" s="143" t="s">
        <v>962</v>
      </c>
      <c r="E43" s="144">
        <v>46043</v>
      </c>
      <c r="F43" s="128">
        <f t="shared" si="0"/>
        <v>400</v>
      </c>
      <c r="G43" s="54">
        <f>SUMIF(积分汇总!$B:$B,'副主任&amp;工艺组长及其他'!C43,积分汇总!$E:$E)</f>
        <v>0</v>
      </c>
      <c r="H43" s="54">
        <f>SUMIF(记录巡查问题条数汇总!$B:$B,'副主任&amp;工艺组长及其他'!C43,记录巡查问题条数汇总!$E:$E)</f>
        <v>0</v>
      </c>
      <c r="I43" s="30"/>
      <c r="J43" s="54">
        <f>SUMIF(安全质量事故!$B:$B,'副主任&amp;工艺组长及其他'!C43,安全质量事故!$G:$G)</f>
        <v>0</v>
      </c>
      <c r="K43" s="55">
        <v>1</v>
      </c>
      <c r="L43" s="120">
        <f t="shared" si="5"/>
        <v>400</v>
      </c>
      <c r="M43" s="78" t="s">
        <v>14</v>
      </c>
      <c r="N43" s="235"/>
      <c r="O43" s="240"/>
      <c r="P43" s="235"/>
      <c r="Q43" s="177" t="s">
        <v>1397</v>
      </c>
      <c r="R43" s="51" t="str">
        <f>VLOOKUP(D43,[1]生产部!$C:$C,1,0)</f>
        <v>ALS16007</v>
      </c>
    </row>
    <row r="44" spans="1:20" ht="19.149999999999999" customHeight="1" x14ac:dyDescent="0.3">
      <c r="A44" s="39" t="s">
        <v>316</v>
      </c>
      <c r="B44" s="39" t="s">
        <v>62</v>
      </c>
      <c r="C44" s="39" t="s">
        <v>34</v>
      </c>
      <c r="D44" s="27" t="s">
        <v>24</v>
      </c>
      <c r="E44" s="29">
        <v>38803</v>
      </c>
      <c r="F44" s="128">
        <f t="shared" si="0"/>
        <v>600</v>
      </c>
      <c r="G44" s="54">
        <f>SUMIF(积分汇总!$B:$B,'副主任&amp;工艺组长及其他'!C44,积分汇总!$E:$E)</f>
        <v>0</v>
      </c>
      <c r="H44" s="54">
        <f>SUMIF(记录巡查问题条数汇总!$B:$B,'副主任&amp;工艺组长及其他'!C44,记录巡查问题条数汇总!$E:$E)</f>
        <v>0</v>
      </c>
      <c r="I44" s="30"/>
      <c r="J44" s="54">
        <f>SUMIF(安全质量事故!$B:$B,'副主任&amp;工艺组长及其他'!C44,安全质量事故!$G:$G)</f>
        <v>0</v>
      </c>
      <c r="K44" s="55">
        <v>1</v>
      </c>
      <c r="L44" s="120">
        <f t="shared" si="5"/>
        <v>600</v>
      </c>
      <c r="M44" s="78" t="s">
        <v>15</v>
      </c>
      <c r="N44" s="234" t="s">
        <v>1860</v>
      </c>
      <c r="O44" s="239">
        <v>74.53</v>
      </c>
      <c r="P44" s="234">
        <v>0.39300000000000002</v>
      </c>
      <c r="Q44" s="173"/>
      <c r="R44" s="51" t="str">
        <f>VLOOKUP(D44,[1]生产部!$C:$C,1,0)</f>
        <v>ACT844</v>
      </c>
      <c r="T44" s="53"/>
    </row>
    <row r="45" spans="1:20" ht="19.149999999999999" customHeight="1" x14ac:dyDescent="0.3">
      <c r="A45" s="39" t="s">
        <v>316</v>
      </c>
      <c r="B45" s="39" t="s">
        <v>62</v>
      </c>
      <c r="C45" s="39" t="s">
        <v>403</v>
      </c>
      <c r="D45" s="27" t="s">
        <v>400</v>
      </c>
      <c r="E45" s="29">
        <v>45707</v>
      </c>
      <c r="F45" s="128">
        <f t="shared" si="0"/>
        <v>600</v>
      </c>
      <c r="G45" s="54">
        <f>SUMIF(积分汇总!$B:$B,'副主任&amp;工艺组长及其他'!C45,积分汇总!$E:$E)</f>
        <v>0</v>
      </c>
      <c r="H45" s="54">
        <f>SUMIF(记录巡查问题条数汇总!$B:$B,'副主任&amp;工艺组长及其他'!C45,记录巡查问题条数汇总!$E:$E)</f>
        <v>0</v>
      </c>
      <c r="I45" s="30"/>
      <c r="J45" s="54">
        <f>SUMIF(安全质量事故!$B:$B,'副主任&amp;工艺组长及其他'!C45,安全质量事故!$G:$G)</f>
        <v>0</v>
      </c>
      <c r="K45" s="55">
        <v>1</v>
      </c>
      <c r="L45" s="120">
        <f t="shared" si="5"/>
        <v>600</v>
      </c>
      <c r="M45" s="78" t="s">
        <v>15</v>
      </c>
      <c r="N45" s="235"/>
      <c r="O45" s="240"/>
      <c r="P45" s="235"/>
      <c r="Q45" s="173"/>
      <c r="R45" s="51" t="str">
        <f>VLOOKUP(D45,[1]生产部!$C:$C,1,0)</f>
        <v>ALS13806</v>
      </c>
    </row>
    <row r="46" spans="1:20" ht="19.149999999999999" customHeight="1" x14ac:dyDescent="0.3">
      <c r="A46" s="39" t="s">
        <v>316</v>
      </c>
      <c r="B46" s="39" t="s">
        <v>62</v>
      </c>
      <c r="C46" s="93" t="s">
        <v>1644</v>
      </c>
      <c r="D46" s="92" t="s">
        <v>1645</v>
      </c>
      <c r="E46" s="77">
        <v>46174</v>
      </c>
      <c r="F46" s="128">
        <f t="shared" si="0"/>
        <v>200</v>
      </c>
      <c r="G46" s="54">
        <f>SUMIF(积分汇总!$B:$B,'副主任&amp;工艺组长及其他'!C46,积分汇总!$E:$E)</f>
        <v>0</v>
      </c>
      <c r="H46" s="54">
        <f>SUMIF(记录巡查问题条数汇总!$B:$B,'副主任&amp;工艺组长及其他'!C46,记录巡查问题条数汇总!$E:$E)</f>
        <v>0</v>
      </c>
      <c r="I46" s="30"/>
      <c r="J46" s="54">
        <f>SUMIF(安全质量事故!$B:$B,'副主任&amp;工艺组长及其他'!C46,安全质量事故!$G:$G)</f>
        <v>0</v>
      </c>
      <c r="K46" s="55">
        <v>1</v>
      </c>
      <c r="L46" s="120">
        <f t="shared" si="5"/>
        <v>200</v>
      </c>
      <c r="M46" s="78" t="s">
        <v>18</v>
      </c>
      <c r="N46" s="235"/>
      <c r="O46" s="240"/>
      <c r="P46" s="235"/>
      <c r="Q46" s="173"/>
      <c r="R46" s="51" t="str">
        <f>VLOOKUP(D46,[1]生产部!$C:$C,1,0)</f>
        <v>ALS17004</v>
      </c>
    </row>
    <row r="47" spans="1:20" ht="19.149999999999999" customHeight="1" x14ac:dyDescent="0.3">
      <c r="A47" s="39" t="s">
        <v>316</v>
      </c>
      <c r="B47" s="39" t="s">
        <v>62</v>
      </c>
      <c r="C47" s="93" t="s">
        <v>127</v>
      </c>
      <c r="D47" s="92" t="s">
        <v>1836</v>
      </c>
      <c r="E47" s="77">
        <v>45217</v>
      </c>
      <c r="F47" s="128">
        <f t="shared" ref="F47:F48" si="6">(L47*K47+G47+H47+I47-J47)</f>
        <v>600</v>
      </c>
      <c r="G47" s="54">
        <f>SUMIF(积分汇总!$B:$B,'副主任&amp;工艺组长及其他'!C47,积分汇总!$E:$E)</f>
        <v>0</v>
      </c>
      <c r="H47" s="54">
        <f>SUMIF(记录巡查问题条数汇总!$B:$B,'副主任&amp;工艺组长及其他'!C47,记录巡查问题条数汇总!$E:$E)</f>
        <v>0</v>
      </c>
      <c r="I47" s="30"/>
      <c r="J47" s="54">
        <f>SUMIF(安全质量事故!$B:$B,'副主任&amp;工艺组长及其他'!C47,安全质量事故!$G:$G)</f>
        <v>0</v>
      </c>
      <c r="K47" s="55">
        <v>1</v>
      </c>
      <c r="L47" s="120">
        <f t="shared" si="5"/>
        <v>600</v>
      </c>
      <c r="M47" s="78" t="s">
        <v>15</v>
      </c>
      <c r="N47" s="235"/>
      <c r="O47" s="240"/>
      <c r="P47" s="235"/>
      <c r="Q47" s="173"/>
      <c r="R47" s="51" t="str">
        <f>VLOOKUP(D47,[1]生产部!$C:$C,1,0)</f>
        <v>ALS12705</v>
      </c>
    </row>
    <row r="48" spans="1:20" ht="19.149999999999999" customHeight="1" x14ac:dyDescent="0.3">
      <c r="A48" s="39" t="s">
        <v>316</v>
      </c>
      <c r="B48" s="39" t="s">
        <v>62</v>
      </c>
      <c r="C48" s="93" t="s">
        <v>128</v>
      </c>
      <c r="D48" s="92" t="s">
        <v>130</v>
      </c>
      <c r="E48" s="77">
        <v>45238</v>
      </c>
      <c r="F48" s="128">
        <f t="shared" si="6"/>
        <v>600</v>
      </c>
      <c r="G48" s="54">
        <f>SUMIF(积分汇总!$B:$B,'副主任&amp;工艺组长及其他'!C48,积分汇总!$E:$E)</f>
        <v>0</v>
      </c>
      <c r="H48" s="54">
        <f>SUMIF(记录巡查问题条数汇总!$B:$B,'副主任&amp;工艺组长及其他'!C48,记录巡查问题条数汇总!$E:$E)</f>
        <v>0</v>
      </c>
      <c r="I48" s="30"/>
      <c r="J48" s="54">
        <f>SUMIF(安全质量事故!$B:$B,'副主任&amp;工艺组长及其他'!C48,安全质量事故!$G:$G)</f>
        <v>0</v>
      </c>
      <c r="K48" s="55">
        <v>1</v>
      </c>
      <c r="L48" s="120">
        <f t="shared" si="5"/>
        <v>600</v>
      </c>
      <c r="M48" s="78" t="s">
        <v>15</v>
      </c>
      <c r="N48" s="235"/>
      <c r="O48" s="240"/>
      <c r="P48" s="235"/>
      <c r="Q48" s="173"/>
      <c r="R48" s="51" t="str">
        <f>VLOOKUP(D48,[1]生产部!$C:$C,1,0)</f>
        <v>ALS12763</v>
      </c>
    </row>
    <row r="49" spans="1:18" ht="19.149999999999999" customHeight="1" x14ac:dyDescent="0.3">
      <c r="A49" s="39" t="s">
        <v>316</v>
      </c>
      <c r="B49" s="39" t="s">
        <v>199</v>
      </c>
      <c r="C49" s="39" t="s">
        <v>346</v>
      </c>
      <c r="D49" s="27" t="s">
        <v>329</v>
      </c>
      <c r="E49" s="29">
        <v>44774</v>
      </c>
      <c r="F49" s="128">
        <f t="shared" si="0"/>
        <v>200</v>
      </c>
      <c r="G49" s="54">
        <f>SUMIF(积分汇总!$B:$B,'副主任&amp;工艺组长及其他'!C49,积分汇总!$E:$E)</f>
        <v>0</v>
      </c>
      <c r="H49" s="54">
        <f>SUMIF(记录巡查问题条数汇总!$B:$B,'副主任&amp;工艺组长及其他'!C49,记录巡查问题条数汇总!$E:$E)</f>
        <v>0</v>
      </c>
      <c r="I49" s="30"/>
      <c r="J49" s="54">
        <f>SUMIF(安全质量事故!$B:$B,'副主任&amp;工艺组长及其他'!C49,安全质量事故!$G:$G)</f>
        <v>0</v>
      </c>
      <c r="K49" s="55">
        <v>1</v>
      </c>
      <c r="L49" s="120">
        <f t="shared" si="5"/>
        <v>200</v>
      </c>
      <c r="M49" s="78" t="s">
        <v>18</v>
      </c>
      <c r="N49" s="235"/>
      <c r="O49" s="240"/>
      <c r="P49" s="235"/>
      <c r="Q49" s="173"/>
      <c r="R49" s="51" t="str">
        <f>VLOOKUP(D49,[1]生产部!$C:$C,1,0)</f>
        <v>ALS11094</v>
      </c>
    </row>
    <row r="50" spans="1:18" ht="19.5" customHeight="1" x14ac:dyDescent="0.3">
      <c r="A50" s="39" t="s">
        <v>316</v>
      </c>
      <c r="B50" s="39" t="s">
        <v>16</v>
      </c>
      <c r="C50" s="163" t="s">
        <v>1213</v>
      </c>
      <c r="D50" s="27" t="s">
        <v>1214</v>
      </c>
      <c r="E50" s="29">
        <v>43530</v>
      </c>
      <c r="F50" s="128">
        <f t="shared" si="0"/>
        <v>200</v>
      </c>
      <c r="G50" s="54">
        <f>SUMIF(积分汇总!$B:$B,'副主任&amp;工艺组长及其他'!C50,积分汇总!$E:$E)</f>
        <v>0</v>
      </c>
      <c r="H50" s="54">
        <f>SUMIF(记录巡查问题条数汇总!$B:$B,'副主任&amp;工艺组长及其他'!C50,记录巡查问题条数汇总!$E:$E)</f>
        <v>0</v>
      </c>
      <c r="I50" s="30"/>
      <c r="J50" s="54">
        <f>SUMIF(安全质量事故!$B:$B,'副主任&amp;工艺组长及其他'!C50,安全质量事故!$G:$G)</f>
        <v>0</v>
      </c>
      <c r="K50" s="55">
        <v>1</v>
      </c>
      <c r="L50" s="120">
        <f t="shared" si="5"/>
        <v>200</v>
      </c>
      <c r="M50" s="78" t="s">
        <v>18</v>
      </c>
      <c r="N50" s="235"/>
      <c r="O50" s="240"/>
      <c r="P50" s="235"/>
      <c r="Q50" s="175" t="s">
        <v>1205</v>
      </c>
      <c r="R50" s="51" t="str">
        <f>VLOOKUP(D50,[1]生产部!$C:$C,1,0)</f>
        <v>FX2809</v>
      </c>
    </row>
    <row r="51" spans="1:18" ht="19.149999999999999" customHeight="1" x14ac:dyDescent="0.3">
      <c r="A51" s="39" t="s">
        <v>316</v>
      </c>
      <c r="B51" s="39" t="s">
        <v>16</v>
      </c>
      <c r="C51" s="39" t="s">
        <v>1021</v>
      </c>
      <c r="D51" s="27" t="s">
        <v>968</v>
      </c>
      <c r="E51" s="29">
        <v>46015</v>
      </c>
      <c r="F51" s="128">
        <f t="shared" si="0"/>
        <v>200</v>
      </c>
      <c r="G51" s="54">
        <f>SUMIF(积分汇总!$B:$B,'副主任&amp;工艺组长及其他'!C51,积分汇总!$E:$E)</f>
        <v>0</v>
      </c>
      <c r="H51" s="54">
        <f>SUMIF(记录巡查问题条数汇总!$B:$B,'副主任&amp;工艺组长及其他'!C51,记录巡查问题条数汇总!$E:$E)</f>
        <v>0</v>
      </c>
      <c r="I51" s="30"/>
      <c r="J51" s="54">
        <f>SUMIF(安全质量事故!$B:$B,'副主任&amp;工艺组长及其他'!C51,安全质量事故!$G:$G)</f>
        <v>0</v>
      </c>
      <c r="K51" s="55">
        <v>1</v>
      </c>
      <c r="L51" s="120">
        <f t="shared" si="5"/>
        <v>200</v>
      </c>
      <c r="M51" s="78" t="s">
        <v>18</v>
      </c>
      <c r="N51" s="235"/>
      <c r="O51" s="240"/>
      <c r="P51" s="235"/>
      <c r="Q51" s="178"/>
      <c r="R51" s="51" t="str">
        <f>VLOOKUP(D51,[1]生产部!$C:$C,1,0)</f>
        <v>ALS15761</v>
      </c>
    </row>
    <row r="52" spans="1:18" ht="19.149999999999999" customHeight="1" x14ac:dyDescent="0.3">
      <c r="A52" s="39" t="s">
        <v>316</v>
      </c>
      <c r="B52" s="39" t="s">
        <v>16</v>
      </c>
      <c r="C52" s="93" t="s">
        <v>1646</v>
      </c>
      <c r="D52" s="92" t="s">
        <v>1647</v>
      </c>
      <c r="E52" s="77">
        <v>46176</v>
      </c>
      <c r="F52" s="128">
        <f t="shared" si="0"/>
        <v>200</v>
      </c>
      <c r="G52" s="54">
        <f>SUMIF(积分汇总!$B:$B,'副主任&amp;工艺组长及其他'!C52,积分汇总!$E:$E)</f>
        <v>0</v>
      </c>
      <c r="H52" s="54">
        <f>SUMIF(记录巡查问题条数汇总!$B:$B,'副主任&amp;工艺组长及其他'!C52,记录巡查问题条数汇总!$E:$E)</f>
        <v>0</v>
      </c>
      <c r="I52" s="30"/>
      <c r="J52" s="54">
        <f>SUMIF(安全质量事故!$B:$B,'副主任&amp;工艺组长及其他'!C52,安全质量事故!$G:$G)</f>
        <v>0</v>
      </c>
      <c r="K52" s="55">
        <v>1</v>
      </c>
      <c r="L52" s="120">
        <f t="shared" si="5"/>
        <v>200</v>
      </c>
      <c r="M52" s="78" t="s">
        <v>18</v>
      </c>
      <c r="N52" s="235"/>
      <c r="O52" s="240"/>
      <c r="P52" s="235"/>
      <c r="Q52" s="178"/>
      <c r="R52" s="51" t="str">
        <f>VLOOKUP(D52,[1]生产部!$C:$C,1,0)</f>
        <v>ALS16999</v>
      </c>
    </row>
    <row r="53" spans="1:18" ht="19.149999999999999" customHeight="1" x14ac:dyDescent="0.3">
      <c r="A53" s="39" t="s">
        <v>317</v>
      </c>
      <c r="B53" s="39" t="s">
        <v>62</v>
      </c>
      <c r="C53" s="39" t="s">
        <v>783</v>
      </c>
      <c r="D53" s="27" t="s">
        <v>747</v>
      </c>
      <c r="E53" s="29">
        <v>45980</v>
      </c>
      <c r="F53" s="128">
        <f t="shared" si="0"/>
        <v>200</v>
      </c>
      <c r="G53" s="54">
        <f>SUMIF(积分汇总!$B:$B,'副主任&amp;工艺组长及其他'!C53,积分汇总!$E:$E)</f>
        <v>0</v>
      </c>
      <c r="H53" s="54">
        <f>SUMIF(记录巡查问题条数汇总!$B:$B,'副主任&amp;工艺组长及其他'!C53,记录巡查问题条数汇总!$E:$E)</f>
        <v>0</v>
      </c>
      <c r="I53" s="30"/>
      <c r="J53" s="54">
        <f>SUMIF(安全质量事故!$B:$B,'副主任&amp;工艺组长及其他'!C53,安全质量事故!$G:$G)</f>
        <v>0</v>
      </c>
      <c r="K53" s="55">
        <v>1</v>
      </c>
      <c r="L53" s="120">
        <f t="shared" si="5"/>
        <v>200</v>
      </c>
      <c r="M53" s="78" t="s">
        <v>18</v>
      </c>
      <c r="N53" s="235"/>
      <c r="O53" s="240"/>
      <c r="P53" s="235"/>
      <c r="Q53" s="173"/>
      <c r="R53" s="51" t="str">
        <f>VLOOKUP(D53,[1]生产部!$C:$C,1,0)</f>
        <v>ALS15385</v>
      </c>
    </row>
    <row r="54" spans="1:18" ht="19.149999999999999" customHeight="1" x14ac:dyDescent="0.3">
      <c r="A54" s="39" t="s">
        <v>317</v>
      </c>
      <c r="B54" s="39" t="s">
        <v>62</v>
      </c>
      <c r="C54" s="39" t="s">
        <v>894</v>
      </c>
      <c r="D54" s="27" t="s">
        <v>848</v>
      </c>
      <c r="E54" s="29">
        <v>46001</v>
      </c>
      <c r="F54" s="128">
        <f t="shared" si="0"/>
        <v>200</v>
      </c>
      <c r="G54" s="54">
        <f>SUMIF(积分汇总!$B:$B,'副主任&amp;工艺组长及其他'!C54,积分汇总!$E:$E)</f>
        <v>0</v>
      </c>
      <c r="H54" s="54">
        <f>SUMIF(记录巡查问题条数汇总!$B:$B,'副主任&amp;工艺组长及其他'!C54,记录巡查问题条数汇总!$E:$E)</f>
        <v>0</v>
      </c>
      <c r="I54" s="30"/>
      <c r="J54" s="54">
        <f>SUMIF(安全质量事故!$B:$B,'副主任&amp;工艺组长及其他'!C54,安全质量事故!$G:$G)</f>
        <v>0</v>
      </c>
      <c r="K54" s="55">
        <v>1</v>
      </c>
      <c r="L54" s="120">
        <f t="shared" si="5"/>
        <v>200</v>
      </c>
      <c r="M54" s="78" t="s">
        <v>18</v>
      </c>
      <c r="N54" s="235"/>
      <c r="O54" s="240"/>
      <c r="P54" s="235"/>
      <c r="Q54" s="173"/>
      <c r="R54" s="51" t="str">
        <f>VLOOKUP(D54,[1]生产部!$C:$C,1,0)</f>
        <v>ALS15602</v>
      </c>
    </row>
    <row r="55" spans="1:18" ht="19.149999999999999" customHeight="1" x14ac:dyDescent="0.3">
      <c r="A55" s="39" t="s">
        <v>317</v>
      </c>
      <c r="B55" s="39" t="s">
        <v>62</v>
      </c>
      <c r="C55" s="93" t="s">
        <v>1656</v>
      </c>
      <c r="D55" s="92" t="s">
        <v>1657</v>
      </c>
      <c r="E55" s="77">
        <v>46162</v>
      </c>
      <c r="F55" s="128">
        <f t="shared" si="0"/>
        <v>400</v>
      </c>
      <c r="G55" s="54">
        <f>SUMIF(积分汇总!$B:$B,'副主任&amp;工艺组长及其他'!C55,积分汇总!$E:$E)</f>
        <v>0</v>
      </c>
      <c r="H55" s="54">
        <f>SUMIF(记录巡查问题条数汇总!$B:$B,'副主任&amp;工艺组长及其他'!C55,记录巡查问题条数汇总!$E:$E)</f>
        <v>0</v>
      </c>
      <c r="I55" s="30"/>
      <c r="J55" s="54">
        <f>SUMIF(安全质量事故!$B:$B,'副主任&amp;工艺组长及其他'!C55,安全质量事故!$G:$G)</f>
        <v>0</v>
      </c>
      <c r="K55" s="55">
        <v>1</v>
      </c>
      <c r="L55" s="120">
        <f t="shared" si="5"/>
        <v>400</v>
      </c>
      <c r="M55" s="78" t="s">
        <v>14</v>
      </c>
      <c r="N55" s="235"/>
      <c r="O55" s="240"/>
      <c r="P55" s="235"/>
      <c r="Q55" s="173"/>
      <c r="R55" s="51" t="str">
        <f>VLOOKUP(D55,[1]生产部!$C:$C,1,0)</f>
        <v>ALS16861</v>
      </c>
    </row>
    <row r="56" spans="1:18" ht="19.149999999999999" customHeight="1" x14ac:dyDescent="0.3">
      <c r="A56" s="39" t="s">
        <v>317</v>
      </c>
      <c r="B56" s="39" t="s">
        <v>199</v>
      </c>
      <c r="C56" s="39" t="s">
        <v>274</v>
      </c>
      <c r="D56" s="27" t="s">
        <v>212</v>
      </c>
      <c r="E56" s="29">
        <v>45446</v>
      </c>
      <c r="F56" s="128">
        <f t="shared" si="0"/>
        <v>0</v>
      </c>
      <c r="G56" s="54">
        <f>SUMIF(积分汇总!$B:$B,'副主任&amp;工艺组长及其他'!C56,积分汇总!$E:$E)</f>
        <v>0</v>
      </c>
      <c r="H56" s="54">
        <f>SUMIF(记录巡查问题条数汇总!$B:$B,'副主任&amp;工艺组长及其他'!C56,记录巡查问题条数汇总!$E:$E)</f>
        <v>0</v>
      </c>
      <c r="I56" s="30"/>
      <c r="J56" s="54">
        <f>SUMIF(安全质量事故!$B:$B,'副主任&amp;工艺组长及其他'!C56,安全质量事故!$G:$G)</f>
        <v>0</v>
      </c>
      <c r="K56" s="55">
        <v>1</v>
      </c>
      <c r="L56" s="120">
        <f t="shared" si="5"/>
        <v>0</v>
      </c>
      <c r="M56" s="78" t="s">
        <v>19</v>
      </c>
      <c r="N56" s="235"/>
      <c r="O56" s="240"/>
      <c r="P56" s="235"/>
      <c r="Q56" s="174"/>
      <c r="R56" s="51" t="str">
        <f>VLOOKUP(D56,[1]生产部!$C:$C,1,0)</f>
        <v>ALS12954</v>
      </c>
    </row>
    <row r="57" spans="1:18" ht="19.149999999999999" customHeight="1" x14ac:dyDescent="0.3">
      <c r="A57" s="39" t="s">
        <v>317</v>
      </c>
      <c r="B57" s="39" t="s">
        <v>199</v>
      </c>
      <c r="C57" s="39" t="s">
        <v>724</v>
      </c>
      <c r="D57" s="27" t="s">
        <v>707</v>
      </c>
      <c r="E57" s="29">
        <v>45922</v>
      </c>
      <c r="F57" s="128">
        <f t="shared" si="0"/>
        <v>400</v>
      </c>
      <c r="G57" s="54">
        <f>SUMIF(积分汇总!$B:$B,'副主任&amp;工艺组长及其他'!C57,积分汇总!$E:$E)</f>
        <v>0</v>
      </c>
      <c r="H57" s="54">
        <f>SUMIF(记录巡查问题条数汇总!$B:$B,'副主任&amp;工艺组长及其他'!C57,记录巡查问题条数汇总!$E:$E)</f>
        <v>0</v>
      </c>
      <c r="I57" s="30"/>
      <c r="J57" s="54">
        <f>SUMIF(安全质量事故!$B:$B,'副主任&amp;工艺组长及其他'!C57,安全质量事故!$G:$G)</f>
        <v>0</v>
      </c>
      <c r="K57" s="55">
        <v>1</v>
      </c>
      <c r="L57" s="120">
        <f t="shared" si="5"/>
        <v>400</v>
      </c>
      <c r="M57" s="78" t="s">
        <v>14</v>
      </c>
      <c r="N57" s="235"/>
      <c r="O57" s="240"/>
      <c r="P57" s="235"/>
      <c r="Q57" s="173"/>
      <c r="R57" s="51" t="str">
        <f>VLOOKUP(D57,[1]生产部!$C:$C,1,0)</f>
        <v>ALS14885</v>
      </c>
    </row>
    <row r="58" spans="1:18" ht="19.149999999999999" customHeight="1" x14ac:dyDescent="0.3">
      <c r="A58" s="39" t="s">
        <v>317</v>
      </c>
      <c r="B58" s="39" t="s">
        <v>16</v>
      </c>
      <c r="C58" s="39" t="s">
        <v>1211</v>
      </c>
      <c r="D58" s="27" t="s">
        <v>1212</v>
      </c>
      <c r="E58" s="29">
        <v>46106</v>
      </c>
      <c r="F58" s="128">
        <f t="shared" si="0"/>
        <v>200</v>
      </c>
      <c r="G58" s="54">
        <f>SUMIF(积分汇总!$B:$B,'副主任&amp;工艺组长及其他'!C58,积分汇总!$E:$E)</f>
        <v>0</v>
      </c>
      <c r="H58" s="54">
        <f>SUMIF(记录巡查问题条数汇总!$B:$B,'副主任&amp;工艺组长及其他'!C58,记录巡查问题条数汇总!$E:$E)</f>
        <v>0</v>
      </c>
      <c r="I58" s="30"/>
      <c r="J58" s="54">
        <f>SUMIF(安全质量事故!$B:$B,'副主任&amp;工艺组长及其他'!C58,安全质量事故!$G:$G)</f>
        <v>0</v>
      </c>
      <c r="K58" s="55">
        <v>1</v>
      </c>
      <c r="L58" s="120">
        <f t="shared" si="5"/>
        <v>200</v>
      </c>
      <c r="M58" s="78" t="s">
        <v>18</v>
      </c>
      <c r="N58" s="235"/>
      <c r="O58" s="240"/>
      <c r="P58" s="235"/>
      <c r="Q58" s="173"/>
      <c r="R58" s="51" t="str">
        <f>VLOOKUP(D58,[1]生产部!$C:$C,1,0)</f>
        <v>ALS16194</v>
      </c>
    </row>
    <row r="59" spans="1:18" ht="19.149999999999999" customHeight="1" x14ac:dyDescent="0.3">
      <c r="A59" s="39" t="s">
        <v>317</v>
      </c>
      <c r="B59" s="39" t="s">
        <v>16</v>
      </c>
      <c r="C59" s="39" t="s">
        <v>900</v>
      </c>
      <c r="D59" s="27" t="s">
        <v>849</v>
      </c>
      <c r="E59" s="29">
        <v>45992</v>
      </c>
      <c r="F59" s="128">
        <f t="shared" si="0"/>
        <v>400</v>
      </c>
      <c r="G59" s="54">
        <f>SUMIF(积分汇总!$B:$B,'副主任&amp;工艺组长及其他'!C59,积分汇总!$E:$E)</f>
        <v>0</v>
      </c>
      <c r="H59" s="54">
        <f>SUMIF(记录巡查问题条数汇总!$B:$B,'副主任&amp;工艺组长及其他'!C59,记录巡查问题条数汇总!$E:$E)</f>
        <v>0</v>
      </c>
      <c r="I59" s="30"/>
      <c r="J59" s="54">
        <f>SUMIF(安全质量事故!$B:$B,'副主任&amp;工艺组长及其他'!C59,安全质量事故!$G:$G)</f>
        <v>0</v>
      </c>
      <c r="K59" s="55">
        <v>1</v>
      </c>
      <c r="L59" s="120">
        <f t="shared" si="5"/>
        <v>400</v>
      </c>
      <c r="M59" s="78" t="s">
        <v>14</v>
      </c>
      <c r="N59" s="235"/>
      <c r="O59" s="240"/>
      <c r="P59" s="235"/>
      <c r="Q59" s="173"/>
      <c r="R59" s="51" t="str">
        <f>VLOOKUP(D59,[1]生产部!$C:$C,1,0)</f>
        <v>ALS15494</v>
      </c>
    </row>
    <row r="60" spans="1:18" ht="19.149999999999999" customHeight="1" x14ac:dyDescent="0.3">
      <c r="A60" s="39" t="s">
        <v>317</v>
      </c>
      <c r="B60" s="39" t="s">
        <v>16</v>
      </c>
      <c r="C60" s="93" t="s">
        <v>1658</v>
      </c>
      <c r="D60" s="92" t="s">
        <v>1659</v>
      </c>
      <c r="E60" s="77">
        <v>45469</v>
      </c>
      <c r="F60" s="128">
        <f t="shared" si="0"/>
        <v>200</v>
      </c>
      <c r="G60" s="54">
        <f>SUMIF(积分汇总!$B:$B,'副主任&amp;工艺组长及其他'!C60,积分汇总!$E:$E)</f>
        <v>0</v>
      </c>
      <c r="H60" s="54">
        <f>SUMIF(记录巡查问题条数汇总!$B:$B,'副主任&amp;工艺组长及其他'!C60,记录巡查问题条数汇总!$E:$E)</f>
        <v>0</v>
      </c>
      <c r="I60" s="30"/>
      <c r="J60" s="54">
        <f>SUMIF(安全质量事故!$B:$B,'副主任&amp;工艺组长及其他'!C60,安全质量事故!$G:$G)</f>
        <v>0</v>
      </c>
      <c r="K60" s="55">
        <v>1</v>
      </c>
      <c r="L60" s="120">
        <f t="shared" si="5"/>
        <v>200</v>
      </c>
      <c r="M60" s="78" t="s">
        <v>18</v>
      </c>
      <c r="N60" s="235"/>
      <c r="O60" s="240"/>
      <c r="P60" s="235"/>
      <c r="Q60" s="173"/>
      <c r="R60" s="51" t="str">
        <f>VLOOKUP(D60,[1]生产部!$C:$C,1,0)</f>
        <v>ALS13003</v>
      </c>
    </row>
    <row r="61" spans="1:18" ht="19.149999999999999" customHeight="1" x14ac:dyDescent="0.35">
      <c r="A61" s="39" t="s">
        <v>317</v>
      </c>
      <c r="B61" s="39" t="s">
        <v>1200</v>
      </c>
      <c r="C61" s="142" t="s">
        <v>1018</v>
      </c>
      <c r="D61" s="143" t="s">
        <v>993</v>
      </c>
      <c r="E61" s="144">
        <v>45469</v>
      </c>
      <c r="F61" s="128">
        <f t="shared" si="0"/>
        <v>200</v>
      </c>
      <c r="G61" s="54">
        <f>SUMIF(积分汇总!$B:$B,'副主任&amp;工艺组长及其他'!C61,积分汇总!$E:$E)</f>
        <v>0</v>
      </c>
      <c r="H61" s="54">
        <f>SUMIF(记录巡查问题条数汇总!$B:$B,'副主任&amp;工艺组长及其他'!C61,记录巡查问题条数汇总!$E:$E)</f>
        <v>0</v>
      </c>
      <c r="I61" s="30"/>
      <c r="J61" s="54">
        <f>SUMIF(安全质量事故!$B:$B,'副主任&amp;工艺组长及其他'!C61,安全质量事故!$G:$G)</f>
        <v>0</v>
      </c>
      <c r="K61" s="55">
        <v>1</v>
      </c>
      <c r="L61" s="120">
        <f t="shared" si="5"/>
        <v>200</v>
      </c>
      <c r="M61" s="78" t="s">
        <v>18</v>
      </c>
      <c r="N61" s="235"/>
      <c r="O61" s="240"/>
      <c r="P61" s="235"/>
      <c r="Q61" s="177" t="s">
        <v>1607</v>
      </c>
      <c r="R61" s="51" t="str">
        <f>VLOOKUP(D61,[1]生产部!$C:$C,1,0)</f>
        <v>ALS13034</v>
      </c>
    </row>
    <row r="62" spans="1:18" ht="19.149999999999999" customHeight="1" x14ac:dyDescent="0.3">
      <c r="A62" s="39" t="s">
        <v>317</v>
      </c>
      <c r="B62" s="39" t="s">
        <v>1200</v>
      </c>
      <c r="C62" s="194" t="s">
        <v>1611</v>
      </c>
      <c r="D62" s="194" t="s">
        <v>1603</v>
      </c>
      <c r="E62" s="195">
        <v>46134</v>
      </c>
      <c r="F62" s="128">
        <f t="shared" si="0"/>
        <v>200</v>
      </c>
      <c r="G62" s="54">
        <f>SUMIF(积分汇总!$B:$B,'副主任&amp;工艺组长及其他'!C62,积分汇总!$E:$E)</f>
        <v>0</v>
      </c>
      <c r="H62" s="54">
        <f>SUMIF(记录巡查问题条数汇总!$B:$B,'副主任&amp;工艺组长及其他'!C62,记录巡查问题条数汇总!$E:$E)</f>
        <v>0</v>
      </c>
      <c r="I62" s="30"/>
      <c r="J62" s="54">
        <f>SUMIF(安全质量事故!$B:$B,'副主任&amp;工艺组长及其他'!C62,安全质量事故!$G:$G)</f>
        <v>0</v>
      </c>
      <c r="K62" s="55">
        <v>1</v>
      </c>
      <c r="L62" s="120">
        <f t="shared" si="5"/>
        <v>200</v>
      </c>
      <c r="M62" s="78" t="s">
        <v>18</v>
      </c>
      <c r="N62" s="235"/>
      <c r="O62" s="240"/>
      <c r="P62" s="235"/>
      <c r="Q62" s="154" t="s">
        <v>1605</v>
      </c>
      <c r="R62" s="51" t="str">
        <f>VLOOKUP(D62,[1]生产部!$C:$C,1,0)</f>
        <v>ALS16547</v>
      </c>
    </row>
    <row r="63" spans="1:18" ht="19.149999999999999" customHeight="1" x14ac:dyDescent="0.3">
      <c r="A63" s="39" t="s">
        <v>317</v>
      </c>
      <c r="B63" s="39" t="s">
        <v>1200</v>
      </c>
      <c r="C63" s="194" t="s">
        <v>1612</v>
      </c>
      <c r="D63" s="194" t="s">
        <v>1604</v>
      </c>
      <c r="E63" s="195">
        <v>46134</v>
      </c>
      <c r="F63" s="128">
        <f t="shared" si="0"/>
        <v>200</v>
      </c>
      <c r="G63" s="54">
        <f>SUMIF(积分汇总!$B:$B,'副主任&amp;工艺组长及其他'!C63,积分汇总!$E:$E)</f>
        <v>0</v>
      </c>
      <c r="H63" s="54">
        <f>SUMIF(记录巡查问题条数汇总!$B:$B,'副主任&amp;工艺组长及其他'!C63,记录巡查问题条数汇总!$E:$E)</f>
        <v>0</v>
      </c>
      <c r="I63" s="30"/>
      <c r="J63" s="54">
        <f>SUMIF(安全质量事故!$B:$B,'副主任&amp;工艺组长及其他'!C63,安全质量事故!$G:$G)</f>
        <v>0</v>
      </c>
      <c r="K63" s="55">
        <v>1</v>
      </c>
      <c r="L63" s="120">
        <f t="shared" si="5"/>
        <v>200</v>
      </c>
      <c r="M63" s="78" t="s">
        <v>18</v>
      </c>
      <c r="N63" s="235"/>
      <c r="O63" s="240"/>
      <c r="P63" s="235"/>
      <c r="Q63" s="154" t="s">
        <v>1606</v>
      </c>
      <c r="R63" s="51" t="str">
        <f>VLOOKUP(D63,[1]生产部!$C:$C,1,0)</f>
        <v>ALS16552</v>
      </c>
    </row>
    <row r="64" spans="1:18" ht="19.149999999999999" customHeight="1" x14ac:dyDescent="0.3">
      <c r="A64" s="39" t="s">
        <v>376</v>
      </c>
      <c r="B64" s="39" t="s">
        <v>62</v>
      </c>
      <c r="C64" s="39" t="s">
        <v>618</v>
      </c>
      <c r="D64" s="27" t="s">
        <v>455</v>
      </c>
      <c r="E64" s="29">
        <v>43985</v>
      </c>
      <c r="F64" s="128">
        <f t="shared" si="0"/>
        <v>200</v>
      </c>
      <c r="G64" s="54">
        <f>SUMIF(积分汇总!$B:$B,'副主任&amp;工艺组长及其他'!C64,积分汇总!$E:$E)</f>
        <v>0</v>
      </c>
      <c r="H64" s="54">
        <f>SUMIF(记录巡查问题条数汇总!$B:$B,'副主任&amp;工艺组长及其他'!C64,记录巡查问题条数汇总!$E:$E)</f>
        <v>0</v>
      </c>
      <c r="I64" s="30"/>
      <c r="J64" s="54">
        <f>SUMIF(安全质量事故!$B:$B,'副主任&amp;工艺组长及其他'!C64,安全质量事故!$G:$G)</f>
        <v>0</v>
      </c>
      <c r="K64" s="55">
        <v>1</v>
      </c>
      <c r="L64" s="120">
        <f t="shared" si="5"/>
        <v>200</v>
      </c>
      <c r="M64" s="78" t="s">
        <v>18</v>
      </c>
      <c r="N64" s="243" t="s">
        <v>1860</v>
      </c>
      <c r="O64" s="243">
        <v>20.76</v>
      </c>
      <c r="P64" s="234">
        <v>0.39600000000000002</v>
      </c>
      <c r="Q64" s="173"/>
      <c r="R64" s="51" t="str">
        <f>VLOOKUP(D64,[1]生产部!$C:$C,1,0)</f>
        <v>AMM0574</v>
      </c>
    </row>
    <row r="65" spans="1:18" ht="19.149999999999999" customHeight="1" x14ac:dyDescent="0.3">
      <c r="A65" s="39" t="s">
        <v>376</v>
      </c>
      <c r="B65" s="39" t="s">
        <v>62</v>
      </c>
      <c r="C65" s="39" t="s">
        <v>782</v>
      </c>
      <c r="D65" s="27" t="s">
        <v>739</v>
      </c>
      <c r="E65" s="29">
        <v>45980</v>
      </c>
      <c r="F65" s="128">
        <f t="shared" si="0"/>
        <v>200</v>
      </c>
      <c r="G65" s="54">
        <f>SUMIF(积分汇总!$B:$B,'副主任&amp;工艺组长及其他'!C65,积分汇总!$E:$E)</f>
        <v>0</v>
      </c>
      <c r="H65" s="54">
        <f>SUMIF(记录巡查问题条数汇总!$B:$B,'副主任&amp;工艺组长及其他'!C65,记录巡查问题条数汇总!$E:$E)</f>
        <v>0</v>
      </c>
      <c r="I65" s="30"/>
      <c r="J65" s="54">
        <f>SUMIF(安全质量事故!$B:$B,'副主任&amp;工艺组长及其他'!C65,安全质量事故!$G:$G)</f>
        <v>0</v>
      </c>
      <c r="K65" s="55">
        <v>1</v>
      </c>
      <c r="L65" s="120">
        <f t="shared" si="5"/>
        <v>200</v>
      </c>
      <c r="M65" s="78" t="s">
        <v>18</v>
      </c>
      <c r="N65" s="244"/>
      <c r="O65" s="244"/>
      <c r="P65" s="235"/>
      <c r="Q65" s="173"/>
      <c r="R65" s="51" t="str">
        <f>VLOOKUP(D65,[1]生产部!$C:$C,1,0)</f>
        <v>ALS15392</v>
      </c>
    </row>
    <row r="66" spans="1:18" ht="19.149999999999999" customHeight="1" x14ac:dyDescent="0.3">
      <c r="A66" s="39" t="s">
        <v>376</v>
      </c>
      <c r="B66" s="39" t="s">
        <v>199</v>
      </c>
      <c r="C66" s="39" t="s">
        <v>459</v>
      </c>
      <c r="D66" s="27" t="s">
        <v>456</v>
      </c>
      <c r="E66" s="29">
        <v>44998</v>
      </c>
      <c r="F66" s="128">
        <f t="shared" si="0"/>
        <v>200</v>
      </c>
      <c r="G66" s="54">
        <f>SUMIF(积分汇总!$B:$B,'副主任&amp;工艺组长及其他'!C66,积分汇总!$E:$E)</f>
        <v>0</v>
      </c>
      <c r="H66" s="54">
        <f>SUMIF(记录巡查问题条数汇总!$B:$B,'副主任&amp;工艺组长及其他'!C66,记录巡查问题条数汇总!$E:$E)</f>
        <v>0</v>
      </c>
      <c r="I66" s="30"/>
      <c r="J66" s="54">
        <f>SUMIF(安全质量事故!$B:$B,'副主任&amp;工艺组长及其他'!C66,安全质量事故!$G:$G)</f>
        <v>0</v>
      </c>
      <c r="K66" s="55">
        <v>1</v>
      </c>
      <c r="L66" s="120">
        <f t="shared" ref="L66:L97" si="7">HLOOKUP(M66,$A$143:$H$144,2)</f>
        <v>200</v>
      </c>
      <c r="M66" s="78" t="s">
        <v>18</v>
      </c>
      <c r="N66" s="244"/>
      <c r="O66" s="244"/>
      <c r="P66" s="235"/>
      <c r="Q66" s="173"/>
      <c r="R66" s="51" t="str">
        <f>VLOOKUP(D66,[1]生产部!$C:$C,1,0)</f>
        <v>ALS11773</v>
      </c>
    </row>
    <row r="67" spans="1:18" ht="19.149999999999999" customHeight="1" x14ac:dyDescent="0.3">
      <c r="A67" s="39" t="s">
        <v>376</v>
      </c>
      <c r="B67" s="39" t="s">
        <v>16</v>
      </c>
      <c r="C67" s="93" t="s">
        <v>1749</v>
      </c>
      <c r="D67" s="92" t="s">
        <v>1750</v>
      </c>
      <c r="E67" s="77">
        <v>45833</v>
      </c>
      <c r="F67" s="128">
        <f t="shared" ref="F67" si="8">(L67*K67+G67+H67+I67-J67)</f>
        <v>200</v>
      </c>
      <c r="G67" s="54">
        <f>SUMIF(积分汇总!$B:$B,'副主任&amp;工艺组长及其他'!C67,积分汇总!$E:$E)</f>
        <v>0</v>
      </c>
      <c r="H67" s="54">
        <f>SUMIF(记录巡查问题条数汇总!$B:$B,'副主任&amp;工艺组长及其他'!C67,记录巡查问题条数汇总!$E:$E)</f>
        <v>0</v>
      </c>
      <c r="I67" s="30"/>
      <c r="J67" s="54">
        <f>SUMIF(安全质量事故!$B:$B,'副主任&amp;工艺组长及其他'!C67,安全质量事故!$G:$G)</f>
        <v>0</v>
      </c>
      <c r="K67" s="55">
        <v>1</v>
      </c>
      <c r="L67" s="120">
        <f t="shared" si="7"/>
        <v>200</v>
      </c>
      <c r="M67" s="78" t="s">
        <v>18</v>
      </c>
      <c r="N67" s="245"/>
      <c r="O67" s="245"/>
      <c r="P67" s="236"/>
      <c r="Q67" s="221" t="s">
        <v>1751</v>
      </c>
      <c r="R67" s="51" t="str">
        <f>VLOOKUP(D67,[1]生产部!$C:$C,1,0)</f>
        <v>ALS14192</v>
      </c>
    </row>
    <row r="68" spans="1:18" ht="19.149999999999999" customHeight="1" x14ac:dyDescent="0.3">
      <c r="A68" s="39" t="s">
        <v>542</v>
      </c>
      <c r="B68" s="39" t="s">
        <v>62</v>
      </c>
      <c r="C68" s="39" t="s">
        <v>543</v>
      </c>
      <c r="D68" s="27" t="s">
        <v>493</v>
      </c>
      <c r="E68" s="29">
        <v>45840</v>
      </c>
      <c r="F68" s="128">
        <f t="shared" si="0"/>
        <v>400</v>
      </c>
      <c r="G68" s="54">
        <f>SUMIF(积分汇总!$B:$B,'副主任&amp;工艺组长及其他'!C68,积分汇总!$E:$E)</f>
        <v>0</v>
      </c>
      <c r="H68" s="54">
        <f>SUMIF(记录巡查问题条数汇总!$B:$B,'副主任&amp;工艺组长及其他'!C68,记录巡查问题条数汇总!$E:$E)</f>
        <v>0</v>
      </c>
      <c r="I68" s="30"/>
      <c r="J68" s="54">
        <f>SUMIF(安全质量事故!$B:$B,'副主任&amp;工艺组长及其他'!C68,安全质量事故!$G:$G)</f>
        <v>0</v>
      </c>
      <c r="K68" s="55">
        <v>1</v>
      </c>
      <c r="L68" s="120">
        <f t="shared" si="7"/>
        <v>400</v>
      </c>
      <c r="M68" s="78" t="s">
        <v>14</v>
      </c>
      <c r="N68" s="234" t="s">
        <v>1859</v>
      </c>
      <c r="O68" s="239">
        <v>36.619999999999997</v>
      </c>
      <c r="P68" s="234">
        <v>0.55000000000000004</v>
      </c>
      <c r="Q68" s="173"/>
      <c r="R68" s="51" t="str">
        <f>VLOOKUP(D68,[1]生产部!$C:$C,1,0)</f>
        <v>ALS14214</v>
      </c>
    </row>
    <row r="69" spans="1:18" ht="19.149999999999999" customHeight="1" x14ac:dyDescent="0.3">
      <c r="A69" s="39" t="s">
        <v>542</v>
      </c>
      <c r="B69" s="39" t="s">
        <v>62</v>
      </c>
      <c r="C69" s="39" t="s">
        <v>608</v>
      </c>
      <c r="D69" s="27" t="s">
        <v>565</v>
      </c>
      <c r="E69" s="29">
        <v>45875</v>
      </c>
      <c r="F69" s="128">
        <f t="shared" si="0"/>
        <v>400</v>
      </c>
      <c r="G69" s="54">
        <f>SUMIF(积分汇总!$B:$B,'副主任&amp;工艺组长及其他'!C69,积分汇总!$E:$E)</f>
        <v>0</v>
      </c>
      <c r="H69" s="54">
        <f>SUMIF(记录巡查问题条数汇总!$B:$B,'副主任&amp;工艺组长及其他'!C69,记录巡查问题条数汇总!$E:$E)</f>
        <v>0</v>
      </c>
      <c r="I69" s="30"/>
      <c r="J69" s="54">
        <f>SUMIF(安全质量事故!$B:$B,'副主任&amp;工艺组长及其他'!C69,安全质量事故!$G:$G)</f>
        <v>0</v>
      </c>
      <c r="K69" s="55">
        <v>1</v>
      </c>
      <c r="L69" s="120">
        <f t="shared" si="7"/>
        <v>400</v>
      </c>
      <c r="M69" s="78" t="s">
        <v>14</v>
      </c>
      <c r="N69" s="235"/>
      <c r="O69" s="240"/>
      <c r="P69" s="235"/>
      <c r="Q69" s="173"/>
      <c r="R69" s="51" t="str">
        <f>VLOOKUP(D69,[1]生产部!$C:$C,1,0)</f>
        <v>ALS14568</v>
      </c>
    </row>
    <row r="70" spans="1:18" ht="19.149999999999999" customHeight="1" x14ac:dyDescent="0.3">
      <c r="A70" s="39" t="s">
        <v>542</v>
      </c>
      <c r="B70" s="39" t="s">
        <v>62</v>
      </c>
      <c r="C70" s="39" t="s">
        <v>662</v>
      </c>
      <c r="D70" s="27" t="s">
        <v>637</v>
      </c>
      <c r="E70" s="29">
        <v>45903</v>
      </c>
      <c r="F70" s="128">
        <f t="shared" si="0"/>
        <v>400</v>
      </c>
      <c r="G70" s="54">
        <f>SUMIF(积分汇总!$B:$B,'副主任&amp;工艺组长及其他'!C70,积分汇总!$E:$E)</f>
        <v>0</v>
      </c>
      <c r="H70" s="54">
        <f>SUMIF(记录巡查问题条数汇总!$B:$B,'副主任&amp;工艺组长及其他'!C70,记录巡查问题条数汇总!$E:$E)</f>
        <v>0</v>
      </c>
      <c r="I70" s="30"/>
      <c r="J70" s="54">
        <f>SUMIF(安全质量事故!$B:$B,'副主任&amp;工艺组长及其他'!C70,安全质量事故!$G:$G)</f>
        <v>0</v>
      </c>
      <c r="K70" s="55">
        <v>1</v>
      </c>
      <c r="L70" s="120">
        <f t="shared" si="7"/>
        <v>400</v>
      </c>
      <c r="M70" s="78" t="s">
        <v>14</v>
      </c>
      <c r="N70" s="235"/>
      <c r="O70" s="240"/>
      <c r="P70" s="235"/>
      <c r="Q70" s="173"/>
      <c r="R70" s="51" t="str">
        <f>VLOOKUP(D70,[1]生产部!$C:$C,1,0)</f>
        <v>ALS14774</v>
      </c>
    </row>
    <row r="71" spans="1:18" ht="19.149999999999999" customHeight="1" x14ac:dyDescent="0.3">
      <c r="A71" s="39" t="s">
        <v>542</v>
      </c>
      <c r="B71" s="39" t="s">
        <v>62</v>
      </c>
      <c r="C71" s="39" t="s">
        <v>716</v>
      </c>
      <c r="D71" s="27" t="s">
        <v>708</v>
      </c>
      <c r="E71" s="29">
        <v>45945</v>
      </c>
      <c r="F71" s="128">
        <f t="shared" si="0"/>
        <v>400</v>
      </c>
      <c r="G71" s="54">
        <f>SUMIF(积分汇总!$B:$B,'副主任&amp;工艺组长及其他'!C71,积分汇总!$E:$E)</f>
        <v>0</v>
      </c>
      <c r="H71" s="54">
        <f>SUMIF(记录巡查问题条数汇总!$B:$B,'副主任&amp;工艺组长及其他'!C71,记录巡查问题条数汇总!$E:$E)</f>
        <v>0</v>
      </c>
      <c r="I71" s="30"/>
      <c r="J71" s="54">
        <f>SUMIF(安全质量事故!$B:$B,'副主任&amp;工艺组长及其他'!C71,安全质量事故!$G:$G)</f>
        <v>0</v>
      </c>
      <c r="K71" s="55">
        <v>1</v>
      </c>
      <c r="L71" s="120">
        <f t="shared" si="7"/>
        <v>400</v>
      </c>
      <c r="M71" s="78" t="s">
        <v>14</v>
      </c>
      <c r="N71" s="235"/>
      <c r="O71" s="240"/>
      <c r="P71" s="235"/>
      <c r="Q71" s="173"/>
      <c r="R71" s="51" t="str">
        <f>VLOOKUP(D71,[1]生产部!$C:$C,1,0)</f>
        <v>ALS15022</v>
      </c>
    </row>
    <row r="72" spans="1:18" ht="19.149999999999999" customHeight="1" x14ac:dyDescent="0.3">
      <c r="A72" s="39" t="s">
        <v>542</v>
      </c>
      <c r="B72" s="39" t="s">
        <v>62</v>
      </c>
      <c r="C72" s="39" t="s">
        <v>717</v>
      </c>
      <c r="D72" s="27" t="s">
        <v>710</v>
      </c>
      <c r="E72" s="29">
        <v>45945</v>
      </c>
      <c r="F72" s="128">
        <f t="shared" si="0"/>
        <v>400</v>
      </c>
      <c r="G72" s="54">
        <f>SUMIF(积分汇总!$B:$B,'副主任&amp;工艺组长及其他'!C72,积分汇总!$E:$E)</f>
        <v>0</v>
      </c>
      <c r="H72" s="54">
        <f>SUMIF(记录巡查问题条数汇总!$B:$B,'副主任&amp;工艺组长及其他'!C72,记录巡查问题条数汇总!$E:$E)</f>
        <v>0</v>
      </c>
      <c r="I72" s="30"/>
      <c r="J72" s="54">
        <f>SUMIF(安全质量事故!$B:$B,'副主任&amp;工艺组长及其他'!C72,安全质量事故!$G:$G)</f>
        <v>0</v>
      </c>
      <c r="K72" s="55">
        <v>1</v>
      </c>
      <c r="L72" s="120">
        <f t="shared" si="7"/>
        <v>400</v>
      </c>
      <c r="M72" s="78" t="s">
        <v>14</v>
      </c>
      <c r="N72" s="235"/>
      <c r="O72" s="240"/>
      <c r="P72" s="235"/>
      <c r="Q72" s="173"/>
      <c r="R72" s="51" t="str">
        <f>VLOOKUP(D72,[1]生产部!$C:$C,1,0)</f>
        <v>ALS15021</v>
      </c>
    </row>
    <row r="73" spans="1:18" ht="19.149999999999999" customHeight="1" x14ac:dyDescent="0.3">
      <c r="A73" s="39" t="s">
        <v>542</v>
      </c>
      <c r="B73" s="39" t="s">
        <v>62</v>
      </c>
      <c r="C73" s="39" t="s">
        <v>718</v>
      </c>
      <c r="D73" s="27" t="s">
        <v>711</v>
      </c>
      <c r="E73" s="29">
        <v>45950</v>
      </c>
      <c r="F73" s="128">
        <f t="shared" si="0"/>
        <v>400</v>
      </c>
      <c r="G73" s="54">
        <f>SUMIF(积分汇总!$B:$B,'副主任&amp;工艺组长及其他'!C73,积分汇总!$E:$E)</f>
        <v>0</v>
      </c>
      <c r="H73" s="54">
        <f>SUMIF(记录巡查问题条数汇总!$B:$B,'副主任&amp;工艺组长及其他'!C73,记录巡查问题条数汇总!$E:$E)</f>
        <v>0</v>
      </c>
      <c r="I73" s="30"/>
      <c r="J73" s="54">
        <f>SUMIF(安全质量事故!$B:$B,'副主任&amp;工艺组长及其他'!C73,安全质量事故!$G:$G)</f>
        <v>0</v>
      </c>
      <c r="K73" s="55">
        <v>1</v>
      </c>
      <c r="L73" s="120">
        <f t="shared" si="7"/>
        <v>400</v>
      </c>
      <c r="M73" s="78" t="s">
        <v>14</v>
      </c>
      <c r="N73" s="235"/>
      <c r="O73" s="240"/>
      <c r="P73" s="235"/>
      <c r="Q73" s="173"/>
      <c r="R73" s="51" t="str">
        <f>VLOOKUP(D73,[1]生产部!$C:$C,1,0)</f>
        <v>ALS15044</v>
      </c>
    </row>
    <row r="74" spans="1:18" ht="19.149999999999999" customHeight="1" x14ac:dyDescent="0.3">
      <c r="A74" s="39" t="s">
        <v>542</v>
      </c>
      <c r="B74" s="39" t="s">
        <v>62</v>
      </c>
      <c r="C74" s="39" t="s">
        <v>784</v>
      </c>
      <c r="D74" s="27" t="s">
        <v>769</v>
      </c>
      <c r="E74" s="29">
        <v>45957</v>
      </c>
      <c r="F74" s="128">
        <f t="shared" si="0"/>
        <v>400</v>
      </c>
      <c r="G74" s="54">
        <f>SUMIF(积分汇总!$B:$B,'副主任&amp;工艺组长及其他'!C74,积分汇总!$E:$E)</f>
        <v>0</v>
      </c>
      <c r="H74" s="54">
        <f>SUMIF(记录巡查问题条数汇总!$B:$B,'副主任&amp;工艺组长及其他'!C74,记录巡查问题条数汇总!$E:$E)</f>
        <v>0</v>
      </c>
      <c r="I74" s="30"/>
      <c r="J74" s="54">
        <f>SUMIF(安全质量事故!$B:$B,'副主任&amp;工艺组长及其他'!C74,安全质量事故!$G:$G)</f>
        <v>0</v>
      </c>
      <c r="K74" s="55">
        <v>1</v>
      </c>
      <c r="L74" s="120">
        <f t="shared" si="7"/>
        <v>400</v>
      </c>
      <c r="M74" s="78" t="s">
        <v>14</v>
      </c>
      <c r="N74" s="235"/>
      <c r="O74" s="240"/>
      <c r="P74" s="235"/>
      <c r="Q74" s="173"/>
      <c r="R74" s="51" t="str">
        <f>VLOOKUP(D74,[1]生产部!$C:$C,1,0)</f>
        <v>ALS15096</v>
      </c>
    </row>
    <row r="75" spans="1:18" ht="19.149999999999999" customHeight="1" x14ac:dyDescent="0.3">
      <c r="A75" s="39" t="s">
        <v>542</v>
      </c>
      <c r="B75" s="39" t="s">
        <v>62</v>
      </c>
      <c r="C75" s="39" t="s">
        <v>663</v>
      </c>
      <c r="D75" s="27" t="s">
        <v>652</v>
      </c>
      <c r="E75" s="29">
        <v>45910</v>
      </c>
      <c r="F75" s="128">
        <f t="shared" si="0"/>
        <v>600</v>
      </c>
      <c r="G75" s="54">
        <f>SUMIF(积分汇总!$B:$B,'副主任&amp;工艺组长及其他'!C75,积分汇总!$E:$E)</f>
        <v>0</v>
      </c>
      <c r="H75" s="54">
        <f>SUMIF(记录巡查问题条数汇总!$B:$B,'副主任&amp;工艺组长及其他'!C75,记录巡查问题条数汇总!$E:$E)</f>
        <v>0</v>
      </c>
      <c r="I75" s="30"/>
      <c r="J75" s="54">
        <f>SUMIF(安全质量事故!$B:$B,'副主任&amp;工艺组长及其他'!C75,安全质量事故!$G:$G)</f>
        <v>0</v>
      </c>
      <c r="K75" s="55">
        <v>1</v>
      </c>
      <c r="L75" s="120">
        <f t="shared" si="7"/>
        <v>600</v>
      </c>
      <c r="M75" s="78" t="s">
        <v>15</v>
      </c>
      <c r="N75" s="235"/>
      <c r="O75" s="240"/>
      <c r="P75" s="235"/>
      <c r="Q75" s="173"/>
      <c r="R75" s="51" t="str">
        <f>VLOOKUP(D75,[1]生产部!$C:$C,1,0)</f>
        <v>ALS14824</v>
      </c>
    </row>
    <row r="76" spans="1:18" ht="19.5" customHeight="1" x14ac:dyDescent="0.3">
      <c r="A76" s="39" t="s">
        <v>542</v>
      </c>
      <c r="B76" s="39" t="s">
        <v>87</v>
      </c>
      <c r="C76" s="163" t="s">
        <v>364</v>
      </c>
      <c r="D76" s="27" t="s">
        <v>103</v>
      </c>
      <c r="E76" s="29">
        <v>44493</v>
      </c>
      <c r="F76" s="128">
        <f t="shared" si="0"/>
        <v>400</v>
      </c>
      <c r="G76" s="54">
        <f>SUMIF(积分汇总!$B:$B,'副主任&amp;工艺组长及其他'!C76,积分汇总!$E:$E)</f>
        <v>0</v>
      </c>
      <c r="H76" s="54">
        <f>SUMIF(记录巡查问题条数汇总!$B:$B,'副主任&amp;工艺组长及其他'!C76,记录巡查问题条数汇总!$E:$E)</f>
        <v>0</v>
      </c>
      <c r="I76" s="30"/>
      <c r="J76" s="54">
        <f>SUMIF(安全质量事故!$B:$B,'副主任&amp;工艺组长及其他'!C76,安全质量事故!$G:$G)</f>
        <v>0</v>
      </c>
      <c r="K76" s="55">
        <v>1</v>
      </c>
      <c r="L76" s="120">
        <f t="shared" si="7"/>
        <v>400</v>
      </c>
      <c r="M76" s="78" t="s">
        <v>14</v>
      </c>
      <c r="N76" s="235"/>
      <c r="O76" s="240"/>
      <c r="P76" s="235"/>
      <c r="Q76" s="173"/>
      <c r="R76" s="51" t="str">
        <f>VLOOKUP(D76,[1]生产部!$C:$C,1,0)</f>
        <v>ALS4845</v>
      </c>
    </row>
    <row r="77" spans="1:18" ht="19.149999999999999" customHeight="1" x14ac:dyDescent="0.3">
      <c r="A77" s="39" t="s">
        <v>542</v>
      </c>
      <c r="B77" s="39" t="s">
        <v>87</v>
      </c>
      <c r="C77" s="39" t="s">
        <v>362</v>
      </c>
      <c r="D77" s="27" t="s">
        <v>25</v>
      </c>
      <c r="E77" s="29">
        <v>44025</v>
      </c>
      <c r="F77" s="128">
        <f t="shared" si="0"/>
        <v>400</v>
      </c>
      <c r="G77" s="54">
        <f>SUMIF(积分汇总!$B:$B,'副主任&amp;工艺组长及其他'!C77,积分汇总!$E:$E)</f>
        <v>0</v>
      </c>
      <c r="H77" s="54">
        <f>SUMIF(记录巡查问题条数汇总!$B:$B,'副主任&amp;工艺组长及其他'!C77,记录巡查问题条数汇总!$E:$E)</f>
        <v>0</v>
      </c>
      <c r="I77" s="30"/>
      <c r="J77" s="54">
        <f>SUMIF(安全质量事故!$B:$B,'副主任&amp;工艺组长及其他'!C77,安全质量事故!$G:$G)</f>
        <v>0</v>
      </c>
      <c r="K77" s="55">
        <v>1</v>
      </c>
      <c r="L77" s="120">
        <f t="shared" si="7"/>
        <v>400</v>
      </c>
      <c r="M77" s="78" t="s">
        <v>14</v>
      </c>
      <c r="N77" s="235"/>
      <c r="O77" s="240"/>
      <c r="P77" s="235"/>
      <c r="Q77" s="173"/>
      <c r="R77" s="51" t="str">
        <f>VLOOKUP(D77,[1]生产部!$C:$C,1,0)</f>
        <v>ALS6536</v>
      </c>
    </row>
    <row r="78" spans="1:18" ht="19.149999999999999" customHeight="1" x14ac:dyDescent="0.3">
      <c r="A78" s="39" t="s">
        <v>542</v>
      </c>
      <c r="B78" s="39" t="s">
        <v>199</v>
      </c>
      <c r="C78" s="39" t="s">
        <v>661</v>
      </c>
      <c r="D78" s="27" t="s">
        <v>631</v>
      </c>
      <c r="E78" s="29" t="s">
        <v>729</v>
      </c>
      <c r="F78" s="128">
        <f t="shared" si="0"/>
        <v>400</v>
      </c>
      <c r="G78" s="54">
        <f>SUMIF(积分汇总!$B:$B,'副主任&amp;工艺组长及其他'!C78,积分汇总!$E:$E)</f>
        <v>0</v>
      </c>
      <c r="H78" s="54">
        <f>SUMIF(记录巡查问题条数汇总!$B:$B,'副主任&amp;工艺组长及其他'!C78,记录巡查问题条数汇总!$E:$E)</f>
        <v>0</v>
      </c>
      <c r="I78" s="30"/>
      <c r="J78" s="54">
        <f>SUMIF(安全质量事故!$B:$B,'副主任&amp;工艺组长及其他'!C78,安全质量事故!$G:$G)</f>
        <v>0</v>
      </c>
      <c r="K78" s="55">
        <v>1</v>
      </c>
      <c r="L78" s="120">
        <f t="shared" si="7"/>
        <v>400</v>
      </c>
      <c r="M78" s="78" t="s">
        <v>14</v>
      </c>
      <c r="N78" s="235"/>
      <c r="O78" s="240"/>
      <c r="P78" s="235"/>
      <c r="Q78" s="173"/>
      <c r="R78" s="51" t="str">
        <f>VLOOKUP(D78,[1]生产部!$C:$C,1,0)</f>
        <v>AMM4392</v>
      </c>
    </row>
    <row r="79" spans="1:18" ht="19.149999999999999" customHeight="1" x14ac:dyDescent="0.3">
      <c r="A79" s="39" t="s">
        <v>542</v>
      </c>
      <c r="B79" s="39" t="s">
        <v>199</v>
      </c>
      <c r="C79" s="39" t="s">
        <v>895</v>
      </c>
      <c r="D79" s="27" t="s">
        <v>871</v>
      </c>
      <c r="E79" s="29">
        <v>43963</v>
      </c>
      <c r="F79" s="128">
        <f t="shared" si="0"/>
        <v>400</v>
      </c>
      <c r="G79" s="54">
        <f>SUMIF(积分汇总!$B:$B,'副主任&amp;工艺组长及其他'!C79,积分汇总!$E:$E)</f>
        <v>0</v>
      </c>
      <c r="H79" s="54">
        <f>SUMIF(记录巡查问题条数汇总!$B:$B,'副主任&amp;工艺组长及其他'!C79,记录巡查问题条数汇总!$E:$E)</f>
        <v>0</v>
      </c>
      <c r="I79" s="30"/>
      <c r="J79" s="54">
        <f>SUMIF(安全质量事故!$B:$B,'副主任&amp;工艺组长及其他'!C79,安全质量事故!$G:$G)</f>
        <v>0</v>
      </c>
      <c r="K79" s="55">
        <v>1</v>
      </c>
      <c r="L79" s="120">
        <f t="shared" si="7"/>
        <v>400</v>
      </c>
      <c r="M79" s="78" t="s">
        <v>14</v>
      </c>
      <c r="N79" s="235"/>
      <c r="O79" s="240"/>
      <c r="P79" s="235"/>
      <c r="Q79" s="173"/>
      <c r="R79" s="51" t="str">
        <f>VLOOKUP(D79,[1]生产部!$C:$C,1,0)</f>
        <v>ALS6119</v>
      </c>
    </row>
    <row r="80" spans="1:18" ht="19.149999999999999" customHeight="1" x14ac:dyDescent="0.3">
      <c r="A80" s="39" t="s">
        <v>542</v>
      </c>
      <c r="B80" s="39" t="s">
        <v>199</v>
      </c>
      <c r="C80" s="39" t="s">
        <v>1038</v>
      </c>
      <c r="D80" s="27" t="s">
        <v>971</v>
      </c>
      <c r="E80" s="29">
        <v>43661</v>
      </c>
      <c r="F80" s="128">
        <f t="shared" si="0"/>
        <v>400</v>
      </c>
      <c r="G80" s="54">
        <f>SUMIF(积分汇总!$B:$B,'副主任&amp;工艺组长及其他'!C80,积分汇总!$E:$E)</f>
        <v>0</v>
      </c>
      <c r="H80" s="54">
        <f>SUMIF(记录巡查问题条数汇总!$B:$B,'副主任&amp;工艺组长及其他'!C80,记录巡查问题条数汇总!$E:$E)</f>
        <v>0</v>
      </c>
      <c r="I80" s="30"/>
      <c r="J80" s="54">
        <f>SUMIF(安全质量事故!$B:$B,'副主任&amp;工艺组长及其他'!C80,安全质量事故!$G:$G)</f>
        <v>0</v>
      </c>
      <c r="K80" s="55">
        <v>1</v>
      </c>
      <c r="L80" s="120">
        <f t="shared" si="7"/>
        <v>400</v>
      </c>
      <c r="M80" s="78" t="s">
        <v>14</v>
      </c>
      <c r="N80" s="235"/>
      <c r="O80" s="240"/>
      <c r="P80" s="235"/>
      <c r="Q80" s="173"/>
      <c r="R80" s="51" t="str">
        <f>VLOOKUP(D80,[1]生产部!$C:$C,1,0)</f>
        <v>LFX126</v>
      </c>
    </row>
    <row r="81" spans="1:18" ht="19.149999999999999" customHeight="1" x14ac:dyDescent="0.3">
      <c r="A81" s="39" t="s">
        <v>542</v>
      </c>
      <c r="B81" s="39" t="s">
        <v>199</v>
      </c>
      <c r="C81" s="39" t="s">
        <v>281</v>
      </c>
      <c r="D81" s="27" t="s">
        <v>277</v>
      </c>
      <c r="E81" s="29">
        <v>45525</v>
      </c>
      <c r="F81" s="128">
        <f t="shared" si="0"/>
        <v>400</v>
      </c>
      <c r="G81" s="54">
        <f>SUMIF(积分汇总!$B:$B,'副主任&amp;工艺组长及其他'!C81,积分汇总!$E:$E)</f>
        <v>0</v>
      </c>
      <c r="H81" s="54">
        <f>SUMIF(记录巡查问题条数汇总!$B:$B,'副主任&amp;工艺组长及其他'!C81,记录巡查问题条数汇总!$E:$E)</f>
        <v>0</v>
      </c>
      <c r="I81" s="30"/>
      <c r="J81" s="54">
        <f>SUMIF(安全质量事故!$B:$B,'副主任&amp;工艺组长及其他'!C81,安全质量事故!$G:$G)</f>
        <v>0</v>
      </c>
      <c r="K81" s="55">
        <v>1</v>
      </c>
      <c r="L81" s="120">
        <f t="shared" si="7"/>
        <v>400</v>
      </c>
      <c r="M81" s="78" t="s">
        <v>14</v>
      </c>
      <c r="N81" s="235"/>
      <c r="O81" s="240"/>
      <c r="P81" s="235"/>
      <c r="Q81" s="173"/>
      <c r="R81" s="51" t="str">
        <f>VLOOKUP(D81,[1]生产部!$C:$C,1,0)</f>
        <v>ALS13220</v>
      </c>
    </row>
    <row r="82" spans="1:18" ht="19.149999999999999" customHeight="1" x14ac:dyDescent="0.3">
      <c r="A82" s="39" t="s">
        <v>542</v>
      </c>
      <c r="B82" s="39" t="s">
        <v>199</v>
      </c>
      <c r="C82" s="39" t="s">
        <v>596</v>
      </c>
      <c r="D82" s="27" t="s">
        <v>562</v>
      </c>
      <c r="E82" s="29">
        <v>45138</v>
      </c>
      <c r="F82" s="128">
        <f t="shared" si="0"/>
        <v>400</v>
      </c>
      <c r="G82" s="54">
        <f>SUMIF(积分汇总!$B:$B,'副主任&amp;工艺组长及其他'!C82,积分汇总!$E:$E)</f>
        <v>0</v>
      </c>
      <c r="H82" s="54">
        <f>SUMIF(记录巡查问题条数汇总!$B:$B,'副主任&amp;工艺组长及其他'!C82,记录巡查问题条数汇总!$E:$E)</f>
        <v>0</v>
      </c>
      <c r="I82" s="30"/>
      <c r="J82" s="54">
        <f>SUMIF(安全质量事故!$B:$B,'副主任&amp;工艺组长及其他'!C82,安全质量事故!$G:$G)</f>
        <v>0</v>
      </c>
      <c r="K82" s="55">
        <v>1</v>
      </c>
      <c r="L82" s="120">
        <f t="shared" si="7"/>
        <v>400</v>
      </c>
      <c r="M82" s="78" t="s">
        <v>14</v>
      </c>
      <c r="N82" s="235"/>
      <c r="O82" s="240"/>
      <c r="P82" s="235"/>
      <c r="Q82" s="173"/>
      <c r="R82" s="51" t="str">
        <f>VLOOKUP(D82,[1]生产部!$C:$C,1,0)</f>
        <v>AMM3426</v>
      </c>
    </row>
    <row r="83" spans="1:18" ht="19.5" customHeight="1" x14ac:dyDescent="0.3">
      <c r="A83" s="39" t="s">
        <v>542</v>
      </c>
      <c r="B83" s="39" t="s">
        <v>87</v>
      </c>
      <c r="C83" s="163" t="s">
        <v>64</v>
      </c>
      <c r="D83" s="92" t="s">
        <v>65</v>
      </c>
      <c r="E83" s="29">
        <v>44467</v>
      </c>
      <c r="F83" s="128">
        <f t="shared" si="0"/>
        <v>400</v>
      </c>
      <c r="G83" s="54">
        <f>SUMIF(积分汇总!$B:$B,'副主任&amp;工艺组长及其他'!C83,积分汇总!$E:$E)</f>
        <v>0</v>
      </c>
      <c r="H83" s="54">
        <f>SUMIF(记录巡查问题条数汇总!$B:$B,'副主任&amp;工艺组长及其他'!C83,记录巡查问题条数汇总!$E:$E)</f>
        <v>0</v>
      </c>
      <c r="I83" s="30"/>
      <c r="J83" s="54">
        <f>SUMIF(安全质量事故!$B:$B,'副主任&amp;工艺组长及其他'!C83,安全质量事故!$G:$G)</f>
        <v>0</v>
      </c>
      <c r="K83" s="55">
        <v>1</v>
      </c>
      <c r="L83" s="120">
        <f t="shared" si="7"/>
        <v>400</v>
      </c>
      <c r="M83" s="78" t="s">
        <v>14</v>
      </c>
      <c r="N83" s="235"/>
      <c r="O83" s="240"/>
      <c r="P83" s="235"/>
      <c r="Q83" s="173"/>
      <c r="R83" s="51" t="str">
        <f>VLOOKUP(D83,[1]生产部!$C:$C,1,0)</f>
        <v>ALS8427</v>
      </c>
    </row>
    <row r="84" spans="1:18" ht="19.5" customHeight="1" x14ac:dyDescent="0.3">
      <c r="A84" s="39" t="s">
        <v>542</v>
      </c>
      <c r="B84" s="39" t="s">
        <v>87</v>
      </c>
      <c r="C84" s="145" t="s">
        <v>1698</v>
      </c>
      <c r="D84" s="92" t="s">
        <v>1699</v>
      </c>
      <c r="E84" s="77">
        <v>46160</v>
      </c>
      <c r="F84" s="128">
        <f t="shared" si="0"/>
        <v>200</v>
      </c>
      <c r="G84" s="54">
        <f>SUMIF(积分汇总!$B:$B,'副主任&amp;工艺组长及其他'!C84,积分汇总!$E:$E)</f>
        <v>0</v>
      </c>
      <c r="H84" s="54">
        <f>SUMIF(记录巡查问题条数汇总!$B:$B,'副主任&amp;工艺组长及其他'!C84,记录巡查问题条数汇总!$E:$E)</f>
        <v>0</v>
      </c>
      <c r="I84" s="30"/>
      <c r="J84" s="54">
        <f>SUMIF(安全质量事故!$B:$B,'副主任&amp;工艺组长及其他'!C84,安全质量事故!$G:$G)</f>
        <v>0</v>
      </c>
      <c r="K84" s="55">
        <v>1</v>
      </c>
      <c r="L84" s="120">
        <f t="shared" si="7"/>
        <v>200</v>
      </c>
      <c r="M84" s="78" t="s">
        <v>18</v>
      </c>
      <c r="N84" s="235"/>
      <c r="O84" s="240"/>
      <c r="P84" s="235"/>
      <c r="Q84" s="173"/>
      <c r="R84" s="51" t="str">
        <f>VLOOKUP(D84,[1]生产部!$C:$C,1,0)</f>
        <v>ALS16859</v>
      </c>
    </row>
    <row r="85" spans="1:18" ht="19.5" customHeight="1" x14ac:dyDescent="0.3">
      <c r="A85" s="39" t="s">
        <v>542</v>
      </c>
      <c r="B85" s="39" t="s">
        <v>1200</v>
      </c>
      <c r="C85" s="163" t="s">
        <v>1209</v>
      </c>
      <c r="D85" s="27" t="s">
        <v>1210</v>
      </c>
      <c r="E85" s="29">
        <v>46111</v>
      </c>
      <c r="F85" s="128">
        <f t="shared" si="0"/>
        <v>400</v>
      </c>
      <c r="G85" s="54">
        <f>SUMIF(积分汇总!$B:$B,'副主任&amp;工艺组长及其他'!C85,积分汇总!$E:$E)</f>
        <v>0</v>
      </c>
      <c r="H85" s="54">
        <f>SUMIF(记录巡查问题条数汇总!$B:$B,'副主任&amp;工艺组长及其他'!C85,记录巡查问题条数汇总!$E:$E)</f>
        <v>0</v>
      </c>
      <c r="I85" s="30"/>
      <c r="J85" s="54">
        <f>SUMIF(安全质量事故!$B:$B,'副主任&amp;工艺组长及其他'!C85,安全质量事故!$G:$G)</f>
        <v>0</v>
      </c>
      <c r="K85" s="55">
        <v>1</v>
      </c>
      <c r="L85" s="120">
        <f t="shared" si="7"/>
        <v>400</v>
      </c>
      <c r="M85" s="78" t="s">
        <v>14</v>
      </c>
      <c r="N85" s="235"/>
      <c r="O85" s="240"/>
      <c r="P85" s="235"/>
      <c r="Q85" s="173"/>
      <c r="R85" s="51" t="str">
        <f>VLOOKUP(D85,[1]生产部!$C:$C,1,0)</f>
        <v>ALS16211</v>
      </c>
    </row>
    <row r="86" spans="1:18" ht="19.5" customHeight="1" x14ac:dyDescent="0.35">
      <c r="A86" s="39" t="s">
        <v>542</v>
      </c>
      <c r="B86" s="165" t="s">
        <v>1613</v>
      </c>
      <c r="C86" s="194" t="s">
        <v>1615</v>
      </c>
      <c r="D86" s="194" t="s">
        <v>1558</v>
      </c>
      <c r="E86" s="195">
        <v>46134</v>
      </c>
      <c r="F86" s="128">
        <f>(L86*K86+G86+H86+I86-J86)</f>
        <v>200</v>
      </c>
      <c r="G86" s="54">
        <f>SUMIF(积分汇总!$B:$B,'副主任&amp;工艺组长及其他'!C86,积分汇总!$E:$E)</f>
        <v>0</v>
      </c>
      <c r="H86" s="54">
        <f>SUMIF(记录巡查问题条数汇总!$B:$B,'副主任&amp;工艺组长及其他'!C86,记录巡查问题条数汇总!$E:$E)</f>
        <v>0</v>
      </c>
      <c r="I86" s="30"/>
      <c r="J86" s="54">
        <f>SUMIF(安全质量事故!$B:$B,'副主任&amp;工艺组长及其他'!C86,安全质量事故!$G:$G)</f>
        <v>0</v>
      </c>
      <c r="K86" s="55">
        <v>1</v>
      </c>
      <c r="L86" s="120">
        <f t="shared" si="7"/>
        <v>200</v>
      </c>
      <c r="M86" s="78" t="s">
        <v>18</v>
      </c>
      <c r="N86" s="235"/>
      <c r="O86" s="240"/>
      <c r="P86" s="235"/>
      <c r="Q86" s="223" t="s">
        <v>1815</v>
      </c>
      <c r="R86" s="51" t="str">
        <f>VLOOKUP(D86,[1]生产部!$C:$C,1,0)</f>
        <v>ALS16557</v>
      </c>
    </row>
    <row r="87" spans="1:18" ht="19.5" customHeight="1" x14ac:dyDescent="0.3">
      <c r="A87" s="39" t="s">
        <v>542</v>
      </c>
      <c r="B87" s="39" t="s">
        <v>1200</v>
      </c>
      <c r="C87" s="142" t="s">
        <v>827</v>
      </c>
      <c r="D87" s="143" t="s">
        <v>773</v>
      </c>
      <c r="E87" s="144">
        <v>45973</v>
      </c>
      <c r="F87" s="128">
        <f t="shared" si="0"/>
        <v>400</v>
      </c>
      <c r="G87" s="54">
        <f>SUMIF(积分汇总!$B:$B,'副主任&amp;工艺组长及其他'!C87,积分汇总!$E:$E)</f>
        <v>0</v>
      </c>
      <c r="H87" s="54">
        <f>SUMIF(记录巡查问题条数汇总!$B:$B,'副主任&amp;工艺组长及其他'!C87,记录巡查问题条数汇总!$E:$E)</f>
        <v>0</v>
      </c>
      <c r="I87" s="30"/>
      <c r="J87" s="54">
        <f>SUMIF(安全质量事故!$B:$B,'副主任&amp;工艺组长及其他'!C87,安全质量事故!$G:$G)</f>
        <v>0</v>
      </c>
      <c r="K87" s="55">
        <v>1</v>
      </c>
      <c r="L87" s="120">
        <f t="shared" si="7"/>
        <v>400</v>
      </c>
      <c r="M87" s="78" t="s">
        <v>14</v>
      </c>
      <c r="N87" s="236"/>
      <c r="O87" s="246"/>
      <c r="P87" s="236"/>
      <c r="Q87" s="154" t="s">
        <v>1402</v>
      </c>
      <c r="R87" s="51" t="str">
        <f>VLOOKUP(D87,[1]生产部!$C:$C,1,0)</f>
        <v>ALS15286</v>
      </c>
    </row>
    <row r="88" spans="1:18" ht="19.5" customHeight="1" x14ac:dyDescent="0.3">
      <c r="A88" s="93" t="s">
        <v>1544</v>
      </c>
      <c r="B88" s="39" t="s">
        <v>1543</v>
      </c>
      <c r="C88" s="163" t="s">
        <v>1539</v>
      </c>
      <c r="D88" s="27" t="s">
        <v>1540</v>
      </c>
      <c r="E88" s="164">
        <v>46134</v>
      </c>
      <c r="F88" s="128">
        <f t="shared" si="0"/>
        <v>400</v>
      </c>
      <c r="G88" s="54">
        <f>SUMIF(积分汇总!$B:$B,'副主任&amp;工艺组长及其他'!C88,积分汇总!$E:$E)</f>
        <v>0</v>
      </c>
      <c r="H88" s="54">
        <f>SUMIF(记录巡查问题条数汇总!$B:$B,'副主任&amp;工艺组长及其他'!C88,记录巡查问题条数汇总!$E:$E)</f>
        <v>0</v>
      </c>
      <c r="I88" s="30"/>
      <c r="J88" s="54">
        <f>SUMIF(安全质量事故!$B:$B,'副主任&amp;工艺组长及其他'!C88,安全质量事故!$G:$G)</f>
        <v>0</v>
      </c>
      <c r="K88" s="55">
        <v>1</v>
      </c>
      <c r="L88" s="120">
        <f t="shared" si="7"/>
        <v>400</v>
      </c>
      <c r="M88" s="78" t="s">
        <v>14</v>
      </c>
      <c r="N88" s="161"/>
      <c r="O88" s="162"/>
      <c r="P88" s="161"/>
      <c r="Q88" s="173"/>
      <c r="R88" s="51" t="str">
        <f>VLOOKUP(D88,[1]生产部!$C:$C,1,0)</f>
        <v>ALS16528</v>
      </c>
    </row>
    <row r="89" spans="1:18" ht="19.5" customHeight="1" x14ac:dyDescent="0.3">
      <c r="A89" s="93" t="s">
        <v>1544</v>
      </c>
      <c r="B89" s="165" t="s">
        <v>1543</v>
      </c>
      <c r="C89" s="165" t="s">
        <v>1541</v>
      </c>
      <c r="D89" s="165" t="s">
        <v>1542</v>
      </c>
      <c r="E89" s="164">
        <v>46148</v>
      </c>
      <c r="F89" s="128">
        <f t="shared" si="0"/>
        <v>200</v>
      </c>
      <c r="G89" s="54">
        <f>SUMIF(积分汇总!$B:$B,'副主任&amp;工艺组长及其他'!C89,积分汇总!$E:$E)</f>
        <v>0</v>
      </c>
      <c r="H89" s="54">
        <f>SUMIF(记录巡查问题条数汇总!$B:$B,'副主任&amp;工艺组长及其他'!C89,记录巡查问题条数汇总!$E:$E)</f>
        <v>0</v>
      </c>
      <c r="I89" s="30"/>
      <c r="J89" s="54">
        <f>SUMIF(安全质量事故!$B:$B,'副主任&amp;工艺组长及其他'!C89,安全质量事故!$G:$G)</f>
        <v>0</v>
      </c>
      <c r="K89" s="55">
        <v>1</v>
      </c>
      <c r="L89" s="120">
        <f t="shared" si="7"/>
        <v>200</v>
      </c>
      <c r="M89" s="78" t="s">
        <v>18</v>
      </c>
      <c r="N89" s="161"/>
      <c r="O89" s="162"/>
      <c r="P89" s="161"/>
      <c r="Q89" s="173"/>
      <c r="R89" s="51" t="str">
        <f>VLOOKUP(D89,[1]生产部!$C:$C,1,0)</f>
        <v>ALS16653</v>
      </c>
    </row>
    <row r="90" spans="1:18" ht="19.5" customHeight="1" x14ac:dyDescent="0.3">
      <c r="A90" s="93" t="s">
        <v>1544</v>
      </c>
      <c r="B90" s="39" t="s">
        <v>1712</v>
      </c>
      <c r="C90" s="146" t="s">
        <v>1710</v>
      </c>
      <c r="D90" s="171" t="s">
        <v>1711</v>
      </c>
      <c r="E90" s="172">
        <v>46176</v>
      </c>
      <c r="F90" s="128">
        <f t="shared" si="0"/>
        <v>400</v>
      </c>
      <c r="G90" s="54">
        <f>SUMIF(积分汇总!$B:$B,'副主任&amp;工艺组长及其他'!C90,积分汇总!$E:$E)</f>
        <v>0</v>
      </c>
      <c r="H90" s="54">
        <f>SUMIF(记录巡查问题条数汇总!$B:$B,'副主任&amp;工艺组长及其他'!C90,记录巡查问题条数汇总!$E:$E)</f>
        <v>0</v>
      </c>
      <c r="I90" s="30"/>
      <c r="J90" s="54">
        <f>SUMIF(安全质量事故!$B:$B,'副主任&amp;工艺组长及其他'!C90,安全质量事故!$G:$G)</f>
        <v>0</v>
      </c>
      <c r="K90" s="55">
        <v>1</v>
      </c>
      <c r="L90" s="120">
        <f t="shared" si="7"/>
        <v>400</v>
      </c>
      <c r="M90" s="78" t="s">
        <v>14</v>
      </c>
      <c r="N90" s="181"/>
      <c r="O90" s="182"/>
      <c r="P90" s="181"/>
      <c r="Q90" s="173"/>
      <c r="R90" s="51" t="str">
        <f>VLOOKUP(D90,[1]生产部!$C:$C,1,0)</f>
        <v>ALS17025</v>
      </c>
    </row>
    <row r="91" spans="1:18" ht="19.5" customHeight="1" x14ac:dyDescent="0.3">
      <c r="A91" s="93" t="s">
        <v>1544</v>
      </c>
      <c r="B91" s="165" t="s">
        <v>1200</v>
      </c>
      <c r="C91" s="165" t="s">
        <v>1547</v>
      </c>
      <c r="D91" s="165" t="s">
        <v>1548</v>
      </c>
      <c r="E91" s="164">
        <v>46155</v>
      </c>
      <c r="F91" s="128">
        <f t="shared" si="0"/>
        <v>200</v>
      </c>
      <c r="G91" s="54">
        <f>SUMIF(积分汇总!$B:$B,'副主任&amp;工艺组长及其他'!C91,积分汇总!$E:$E)</f>
        <v>0</v>
      </c>
      <c r="H91" s="54">
        <f>SUMIF(记录巡查问题条数汇总!$B:$B,'副主任&amp;工艺组长及其他'!C91,记录巡查问题条数汇总!$E:$E)</f>
        <v>0</v>
      </c>
      <c r="I91" s="30"/>
      <c r="J91" s="54">
        <f>SUMIF(安全质量事故!$B:$B,'副主任&amp;工艺组长及其他'!C91,安全质量事故!$G:$G)</f>
        <v>0</v>
      </c>
      <c r="K91" s="55">
        <v>1</v>
      </c>
      <c r="L91" s="120">
        <f t="shared" si="7"/>
        <v>200</v>
      </c>
      <c r="M91" s="78" t="s">
        <v>18</v>
      </c>
      <c r="N91" s="181"/>
      <c r="O91" s="182"/>
      <c r="P91" s="181"/>
      <c r="Q91" s="173"/>
      <c r="R91" s="51" t="str">
        <f>VLOOKUP(D91,[1]生产部!$C:$C,1,0)</f>
        <v>ALS16738</v>
      </c>
    </row>
    <row r="92" spans="1:18" ht="19.5" customHeight="1" x14ac:dyDescent="0.3">
      <c r="A92" s="93" t="s">
        <v>1544</v>
      </c>
      <c r="B92" s="39" t="s">
        <v>1709</v>
      </c>
      <c r="C92" s="146" t="s">
        <v>1705</v>
      </c>
      <c r="D92" s="171" t="s">
        <v>1706</v>
      </c>
      <c r="E92" s="172">
        <v>46169</v>
      </c>
      <c r="F92" s="128">
        <f t="shared" si="0"/>
        <v>400</v>
      </c>
      <c r="G92" s="54">
        <f>SUMIF(积分汇总!$B:$B,'副主任&amp;工艺组长及其他'!C92,积分汇总!$E:$E)</f>
        <v>0</v>
      </c>
      <c r="H92" s="54">
        <f>SUMIF(记录巡查问题条数汇总!$B:$B,'副主任&amp;工艺组长及其他'!C92,记录巡查问题条数汇总!$E:$E)</f>
        <v>0</v>
      </c>
      <c r="I92" s="30"/>
      <c r="J92" s="54">
        <f>SUMIF(安全质量事故!$B:$B,'副主任&amp;工艺组长及其他'!C92,安全质量事故!$G:$G)</f>
        <v>0</v>
      </c>
      <c r="K92" s="55">
        <v>1</v>
      </c>
      <c r="L92" s="120">
        <f t="shared" si="7"/>
        <v>400</v>
      </c>
      <c r="M92" s="78" t="s">
        <v>14</v>
      </c>
      <c r="N92" s="169"/>
      <c r="O92" s="170"/>
      <c r="P92" s="169"/>
      <c r="Q92" s="173"/>
      <c r="R92" s="51" t="str">
        <f>VLOOKUP(D92,[1]生产部!$C:$C,1,0)</f>
        <v>ALS16993</v>
      </c>
    </row>
    <row r="93" spans="1:18" ht="19.5" customHeight="1" x14ac:dyDescent="0.3">
      <c r="A93" s="93" t="s">
        <v>1544</v>
      </c>
      <c r="B93" s="39" t="s">
        <v>1709</v>
      </c>
      <c r="C93" s="146" t="s">
        <v>1707</v>
      </c>
      <c r="D93" s="146" t="s">
        <v>1708</v>
      </c>
      <c r="E93" s="147">
        <v>46174</v>
      </c>
      <c r="F93" s="128">
        <f t="shared" si="0"/>
        <v>200</v>
      </c>
      <c r="G93" s="54">
        <f>SUMIF(积分汇总!$B:$B,'副主任&amp;工艺组长及其他'!C93,积分汇总!$E:$E)</f>
        <v>0</v>
      </c>
      <c r="H93" s="54">
        <f>SUMIF(记录巡查问题条数汇总!$B:$B,'副主任&amp;工艺组长及其他'!C93,记录巡查问题条数汇总!$E:$E)</f>
        <v>0</v>
      </c>
      <c r="I93" s="30"/>
      <c r="J93" s="54">
        <f>SUMIF(安全质量事故!$B:$B,'副主任&amp;工艺组长及其他'!C93,安全质量事故!$G:$G)</f>
        <v>0</v>
      </c>
      <c r="K93" s="55">
        <v>1</v>
      </c>
      <c r="L93" s="120">
        <f t="shared" si="7"/>
        <v>200</v>
      </c>
      <c r="M93" s="78" t="s">
        <v>18</v>
      </c>
      <c r="N93" s="169"/>
      <c r="O93" s="170"/>
      <c r="P93" s="169"/>
      <c r="Q93" s="173"/>
      <c r="R93" s="51" t="str">
        <f>VLOOKUP(D93,[1]生产部!$C:$C,1,0)</f>
        <v>ALS17002</v>
      </c>
    </row>
    <row r="94" spans="1:18" ht="19.5" customHeight="1" x14ac:dyDescent="0.3">
      <c r="A94" s="93" t="s">
        <v>1544</v>
      </c>
      <c r="B94" s="165" t="s">
        <v>1200</v>
      </c>
      <c r="C94" s="165" t="s">
        <v>1549</v>
      </c>
      <c r="D94" s="166" t="s">
        <v>1550</v>
      </c>
      <c r="E94" s="167">
        <v>46155</v>
      </c>
      <c r="F94" s="128">
        <f t="shared" si="0"/>
        <v>200</v>
      </c>
      <c r="G94" s="54">
        <f>SUMIF(积分汇总!$B:$B,'副主任&amp;工艺组长及其他'!C94,积分汇总!$E:$E)</f>
        <v>0</v>
      </c>
      <c r="H94" s="54">
        <f>SUMIF(记录巡查问题条数汇总!$B:$B,'副主任&amp;工艺组长及其他'!C94,记录巡查问题条数汇总!$E:$E)</f>
        <v>0</v>
      </c>
      <c r="I94" s="30"/>
      <c r="J94" s="54">
        <f>SUMIF(安全质量事故!$B:$B,'副主任&amp;工艺组长及其他'!C94,安全质量事故!$G:$G)</f>
        <v>0</v>
      </c>
      <c r="K94" s="55">
        <v>1</v>
      </c>
      <c r="L94" s="120">
        <f t="shared" si="7"/>
        <v>200</v>
      </c>
      <c r="M94" s="78" t="s">
        <v>18</v>
      </c>
      <c r="N94" s="181"/>
      <c r="O94" s="182"/>
      <c r="P94" s="181"/>
      <c r="Q94" s="173"/>
      <c r="R94" s="51" t="str">
        <f>VLOOKUP(D94,[1]生产部!$C:$C,1,0)</f>
        <v>ALS16838</v>
      </c>
    </row>
    <row r="95" spans="1:18" ht="19.5" customHeight="1" x14ac:dyDescent="0.3">
      <c r="A95" s="93" t="s">
        <v>1544</v>
      </c>
      <c r="B95" s="165" t="s">
        <v>1200</v>
      </c>
      <c r="C95" s="165" t="s">
        <v>1551</v>
      </c>
      <c r="D95" s="165" t="s">
        <v>1552</v>
      </c>
      <c r="E95" s="164">
        <v>46155</v>
      </c>
      <c r="F95" s="128">
        <f t="shared" si="0"/>
        <v>200</v>
      </c>
      <c r="G95" s="54">
        <f>SUMIF(积分汇总!$B:$B,'副主任&amp;工艺组长及其他'!C95,积分汇总!$E:$E)</f>
        <v>0</v>
      </c>
      <c r="H95" s="54">
        <f>SUMIF(记录巡查问题条数汇总!$B:$B,'副主任&amp;工艺组长及其他'!C95,记录巡查问题条数汇总!$E:$E)</f>
        <v>0</v>
      </c>
      <c r="I95" s="30"/>
      <c r="J95" s="54">
        <f>SUMIF(安全质量事故!$B:$B,'副主任&amp;工艺组长及其他'!C95,安全质量事故!$G:$G)</f>
        <v>0</v>
      </c>
      <c r="K95" s="55">
        <v>1</v>
      </c>
      <c r="L95" s="120">
        <f t="shared" si="7"/>
        <v>200</v>
      </c>
      <c r="M95" s="78" t="s">
        <v>18</v>
      </c>
      <c r="N95" s="181"/>
      <c r="O95" s="182"/>
      <c r="P95" s="181"/>
      <c r="Q95" s="173"/>
      <c r="R95" s="51" t="str">
        <f>VLOOKUP(D95,[1]生产部!$C:$C,1,0)</f>
        <v>ALS16818</v>
      </c>
    </row>
    <row r="96" spans="1:18" ht="19.5" customHeight="1" x14ac:dyDescent="0.3">
      <c r="A96" s="93" t="s">
        <v>1544</v>
      </c>
      <c r="B96" s="165" t="s">
        <v>158</v>
      </c>
      <c r="C96" s="165" t="s">
        <v>1554</v>
      </c>
      <c r="D96" s="166" t="s">
        <v>1555</v>
      </c>
      <c r="E96" s="167">
        <v>46155</v>
      </c>
      <c r="F96" s="128">
        <f t="shared" si="0"/>
        <v>200</v>
      </c>
      <c r="G96" s="54">
        <f>SUMIF(积分汇总!$B:$B,'副主任&amp;工艺组长及其他'!C96,积分汇总!$E:$E)</f>
        <v>0</v>
      </c>
      <c r="H96" s="54">
        <f>SUMIF(记录巡查问题条数汇总!$B:$B,'副主任&amp;工艺组长及其他'!C96,记录巡查问题条数汇总!$E:$E)</f>
        <v>0</v>
      </c>
      <c r="I96" s="30"/>
      <c r="J96" s="54">
        <f>SUMIF(安全质量事故!$B:$B,'副主任&amp;工艺组长及其他'!C96,安全质量事故!$G:$G)</f>
        <v>0</v>
      </c>
      <c r="K96" s="55">
        <v>1</v>
      </c>
      <c r="L96" s="120">
        <f t="shared" ref="L96:L107" si="9">HLOOKUP(M96,$A$143:$H$144,2)</f>
        <v>200</v>
      </c>
      <c r="M96" s="78" t="s">
        <v>18</v>
      </c>
      <c r="N96" s="181"/>
      <c r="O96" s="182"/>
      <c r="P96" s="181"/>
      <c r="Q96" s="173"/>
      <c r="R96" s="51" t="str">
        <f>VLOOKUP(D96,[1]生产部!$C:$C,1,0)</f>
        <v>ALS16824</v>
      </c>
    </row>
    <row r="97" spans="1:18" ht="19.5" customHeight="1" x14ac:dyDescent="0.3">
      <c r="A97" s="93" t="s">
        <v>1544</v>
      </c>
      <c r="B97" s="165" t="s">
        <v>1200</v>
      </c>
      <c r="C97" s="146" t="s">
        <v>1713</v>
      </c>
      <c r="D97" s="171" t="s">
        <v>1714</v>
      </c>
      <c r="E97" s="172">
        <v>46181</v>
      </c>
      <c r="F97" s="180">
        <f>(L97*K97+G97+H97+I97-J97)/30*22</f>
        <v>146.66666666666669</v>
      </c>
      <c r="G97" s="54">
        <f>SUMIF(积分汇总!$B:$B,'副主任&amp;工艺组长及其他'!C97,积分汇总!$E:$E)</f>
        <v>0</v>
      </c>
      <c r="H97" s="54">
        <f>SUMIF(记录巡查问题条数汇总!$B:$B,'副主任&amp;工艺组长及其他'!C97,记录巡查问题条数汇总!$E:$E)</f>
        <v>0</v>
      </c>
      <c r="I97" s="30"/>
      <c r="J97" s="54">
        <f>SUMIF(安全质量事故!$B:$B,'副主任&amp;工艺组长及其他'!C97,安全质量事故!$G:$G)</f>
        <v>0</v>
      </c>
      <c r="K97" s="55">
        <v>1</v>
      </c>
      <c r="L97" s="120">
        <f t="shared" si="9"/>
        <v>200</v>
      </c>
      <c r="M97" s="78" t="s">
        <v>18</v>
      </c>
      <c r="N97" s="169"/>
      <c r="O97" s="170"/>
      <c r="P97" s="169"/>
      <c r="Q97" s="173"/>
      <c r="R97" s="51" t="str">
        <f>VLOOKUP(D97,[1]生产部!$C:$C,1,0)</f>
        <v>ALS17093</v>
      </c>
    </row>
    <row r="98" spans="1:18" ht="19.5" customHeight="1" x14ac:dyDescent="0.3">
      <c r="A98" s="93" t="s">
        <v>1544</v>
      </c>
      <c r="B98" s="165" t="s">
        <v>1200</v>
      </c>
      <c r="C98" s="146" t="s">
        <v>1715</v>
      </c>
      <c r="D98" s="146" t="s">
        <v>1716</v>
      </c>
      <c r="E98" s="147">
        <v>46183</v>
      </c>
      <c r="F98" s="180">
        <f>(L98*K98+G98+H98+I98-J98)/30*20</f>
        <v>133.33333333333334</v>
      </c>
      <c r="G98" s="54">
        <f>SUMIF(积分汇总!$B:$B,'副主任&amp;工艺组长及其他'!C98,积分汇总!$E:$E)</f>
        <v>0</v>
      </c>
      <c r="H98" s="54">
        <f>SUMIF(记录巡查问题条数汇总!$B:$B,'副主任&amp;工艺组长及其他'!C98,记录巡查问题条数汇总!$E:$E)</f>
        <v>0</v>
      </c>
      <c r="I98" s="30"/>
      <c r="J98" s="54">
        <f>SUMIF(安全质量事故!$B:$B,'副主任&amp;工艺组长及其他'!C98,安全质量事故!$G:$G)</f>
        <v>0</v>
      </c>
      <c r="K98" s="55">
        <v>1</v>
      </c>
      <c r="L98" s="120">
        <f t="shared" si="9"/>
        <v>200</v>
      </c>
      <c r="M98" s="78" t="s">
        <v>18</v>
      </c>
      <c r="N98" s="169"/>
      <c r="O98" s="170"/>
      <c r="P98" s="169"/>
      <c r="Q98" s="173"/>
      <c r="R98" s="51" t="str">
        <f>VLOOKUP(D98,[1]生产部!$C:$C,1,0)</f>
        <v>ALS17112</v>
      </c>
    </row>
    <row r="99" spans="1:18" ht="19.5" customHeight="1" x14ac:dyDescent="0.3">
      <c r="A99" s="93" t="s">
        <v>1544</v>
      </c>
      <c r="B99" s="165" t="s">
        <v>1200</v>
      </c>
      <c r="C99" s="146" t="s">
        <v>1717</v>
      </c>
      <c r="D99" s="146" t="s">
        <v>1718</v>
      </c>
      <c r="E99" s="147">
        <v>46183</v>
      </c>
      <c r="F99" s="180">
        <f t="shared" ref="F99:F100" si="10">(L99*K99+G99+H99+I99-J99)/30*20</f>
        <v>133.33333333333334</v>
      </c>
      <c r="G99" s="54">
        <f>SUMIF(积分汇总!$B:$B,'副主任&amp;工艺组长及其他'!C99,积分汇总!$E:$E)</f>
        <v>0</v>
      </c>
      <c r="H99" s="54">
        <f>SUMIF(记录巡查问题条数汇总!$B:$B,'副主任&amp;工艺组长及其他'!C99,记录巡查问题条数汇总!$E:$E)</f>
        <v>0</v>
      </c>
      <c r="I99" s="30"/>
      <c r="J99" s="54">
        <f>SUMIF(安全质量事故!$B:$B,'副主任&amp;工艺组长及其他'!C99,安全质量事故!$G:$G)</f>
        <v>0</v>
      </c>
      <c r="K99" s="55">
        <v>1</v>
      </c>
      <c r="L99" s="120">
        <f t="shared" si="9"/>
        <v>200</v>
      </c>
      <c r="M99" s="78" t="s">
        <v>18</v>
      </c>
      <c r="N99" s="169"/>
      <c r="O99" s="170"/>
      <c r="P99" s="169"/>
      <c r="Q99" s="173"/>
      <c r="R99" s="51" t="str">
        <f>VLOOKUP(D99,[1]生产部!$C:$C,1,0)</f>
        <v>ALS17115</v>
      </c>
    </row>
    <row r="100" spans="1:18" ht="19.5" customHeight="1" x14ac:dyDescent="0.3">
      <c r="A100" s="93" t="s">
        <v>1544</v>
      </c>
      <c r="B100" s="165" t="s">
        <v>1200</v>
      </c>
      <c r="C100" s="146" t="s">
        <v>1719</v>
      </c>
      <c r="D100" s="171" t="s">
        <v>1720</v>
      </c>
      <c r="E100" s="172">
        <v>46183</v>
      </c>
      <c r="F100" s="180">
        <f t="shared" si="10"/>
        <v>133.33333333333334</v>
      </c>
      <c r="G100" s="54">
        <f>SUMIF(积分汇总!$B:$B,'副主任&amp;工艺组长及其他'!C100,积分汇总!$E:$E)</f>
        <v>0</v>
      </c>
      <c r="H100" s="54">
        <f>SUMIF(记录巡查问题条数汇总!$B:$B,'副主任&amp;工艺组长及其他'!C100,记录巡查问题条数汇总!$E:$E)</f>
        <v>0</v>
      </c>
      <c r="I100" s="30"/>
      <c r="J100" s="54">
        <f>SUMIF(安全质量事故!$B:$B,'副主任&amp;工艺组长及其他'!C100,安全质量事故!$G:$G)</f>
        <v>0</v>
      </c>
      <c r="K100" s="55">
        <v>1</v>
      </c>
      <c r="L100" s="120">
        <f t="shared" si="9"/>
        <v>200</v>
      </c>
      <c r="M100" s="78" t="s">
        <v>18</v>
      </c>
      <c r="N100" s="161"/>
      <c r="O100" s="162"/>
      <c r="P100" s="161"/>
      <c r="Q100" s="173"/>
      <c r="R100" s="51" t="str">
        <f>VLOOKUP(D100,[1]生产部!$C:$C,1,0)</f>
        <v>ALS17117</v>
      </c>
    </row>
    <row r="101" spans="1:18" ht="19.5" customHeight="1" x14ac:dyDescent="0.3">
      <c r="A101" s="93" t="s">
        <v>1544</v>
      </c>
      <c r="B101" s="165" t="s">
        <v>1613</v>
      </c>
      <c r="C101" s="194" t="s">
        <v>1614</v>
      </c>
      <c r="D101" s="194" t="s">
        <v>1557</v>
      </c>
      <c r="E101" s="195">
        <v>46134</v>
      </c>
      <c r="F101" s="128">
        <f t="shared" si="0"/>
        <v>200</v>
      </c>
      <c r="G101" s="54">
        <f>SUMIF(积分汇总!$B:$B,'副主任&amp;工艺组长及其他'!C101,积分汇总!$E:$E)</f>
        <v>0</v>
      </c>
      <c r="H101" s="54">
        <f>SUMIF(记录巡查问题条数汇总!$B:$B,'副主任&amp;工艺组长及其他'!C101,记录巡查问题条数汇总!$E:$E)</f>
        <v>0</v>
      </c>
      <c r="I101" s="30"/>
      <c r="J101" s="54">
        <f>SUMIF(安全质量事故!$B:$B,'副主任&amp;工艺组长及其他'!C101,安全质量事故!$G:$G)</f>
        <v>0</v>
      </c>
      <c r="K101" s="55">
        <v>1</v>
      </c>
      <c r="L101" s="120">
        <f t="shared" si="9"/>
        <v>200</v>
      </c>
      <c r="M101" s="78" t="s">
        <v>18</v>
      </c>
      <c r="N101" s="169"/>
      <c r="O101" s="170"/>
      <c r="P101" s="169"/>
      <c r="Q101" s="154" t="s">
        <v>1560</v>
      </c>
      <c r="R101" s="51" t="str">
        <f>VLOOKUP(D101,[1]生产部!$C:$C,1,0)</f>
        <v>ALS16563</v>
      </c>
    </row>
    <row r="102" spans="1:18" ht="19.5" customHeight="1" x14ac:dyDescent="0.3">
      <c r="A102" s="93" t="s">
        <v>1544</v>
      </c>
      <c r="B102" s="165" t="s">
        <v>1613</v>
      </c>
      <c r="C102" s="194" t="s">
        <v>1616</v>
      </c>
      <c r="D102" s="194" t="s">
        <v>1559</v>
      </c>
      <c r="E102" s="195">
        <v>46134</v>
      </c>
      <c r="F102" s="128">
        <f t="shared" si="0"/>
        <v>200</v>
      </c>
      <c r="G102" s="54">
        <f>SUMIF(积分汇总!$B:$B,'副主任&amp;工艺组长及其他'!C102,积分汇总!$E:$E)</f>
        <v>0</v>
      </c>
      <c r="H102" s="54">
        <f>SUMIF(记录巡查问题条数汇总!$B:$B,'副主任&amp;工艺组长及其他'!C102,记录巡查问题条数汇总!$E:$E)</f>
        <v>0</v>
      </c>
      <c r="I102" s="30"/>
      <c r="J102" s="54">
        <f>SUMIF(安全质量事故!$B:$B,'副主任&amp;工艺组长及其他'!C102,安全质量事故!$G:$G)</f>
        <v>0</v>
      </c>
      <c r="K102" s="55">
        <v>1</v>
      </c>
      <c r="L102" s="120">
        <f t="shared" si="9"/>
        <v>200</v>
      </c>
      <c r="M102" s="78" t="s">
        <v>18</v>
      </c>
      <c r="N102" s="169"/>
      <c r="O102" s="170"/>
      <c r="P102" s="169"/>
      <c r="Q102" s="154" t="s">
        <v>1561</v>
      </c>
      <c r="R102" s="51" t="str">
        <f>VLOOKUP(D102,[1]生产部!$C:$C,1,0)</f>
        <v>ALS16567</v>
      </c>
    </row>
    <row r="103" spans="1:18" ht="19.5" customHeight="1" x14ac:dyDescent="0.3">
      <c r="A103" s="93" t="s">
        <v>1544</v>
      </c>
      <c r="B103" s="165" t="s">
        <v>1613</v>
      </c>
      <c r="C103" s="194" t="s">
        <v>1618</v>
      </c>
      <c r="D103" s="194" t="s">
        <v>1619</v>
      </c>
      <c r="E103" s="195">
        <v>46167</v>
      </c>
      <c r="F103" s="128">
        <f t="shared" si="0"/>
        <v>200</v>
      </c>
      <c r="G103" s="54">
        <f>SUMIF(积分汇总!$B:$B,'副主任&amp;工艺组长及其他'!C103,积分汇总!$E:$E)</f>
        <v>0</v>
      </c>
      <c r="H103" s="54">
        <f>SUMIF(记录巡查问题条数汇总!$B:$B,'副主任&amp;工艺组长及其他'!C103,记录巡查问题条数汇总!$E:$E)</f>
        <v>0</v>
      </c>
      <c r="I103" s="30"/>
      <c r="J103" s="54">
        <f>SUMIF(安全质量事故!$B:$B,'副主任&amp;工艺组长及其他'!C103,安全质量事故!$G:$G)</f>
        <v>0</v>
      </c>
      <c r="K103" s="55">
        <v>1</v>
      </c>
      <c r="L103" s="120">
        <f t="shared" si="9"/>
        <v>200</v>
      </c>
      <c r="M103" s="78" t="s">
        <v>18</v>
      </c>
      <c r="N103" s="161"/>
      <c r="O103" s="162"/>
      <c r="P103" s="161"/>
      <c r="Q103" s="154" t="s">
        <v>1620</v>
      </c>
      <c r="R103" s="51" t="str">
        <f>VLOOKUP(D103,[1]生产部!$C:$C,1,0)</f>
        <v>ALS16950</v>
      </c>
    </row>
    <row r="104" spans="1:18" ht="19.5" customHeight="1" x14ac:dyDescent="0.3">
      <c r="A104" s="39" t="s">
        <v>1201</v>
      </c>
      <c r="B104" s="165" t="s">
        <v>16</v>
      </c>
      <c r="C104" s="165" t="s">
        <v>719</v>
      </c>
      <c r="D104" s="165" t="s">
        <v>712</v>
      </c>
      <c r="E104" s="164">
        <v>45943</v>
      </c>
      <c r="F104" s="128">
        <f t="shared" si="0"/>
        <v>400</v>
      </c>
      <c r="G104" s="54">
        <f>SUMIF(积分汇总!$B:$B,'副主任&amp;工艺组长及其他'!C104,积分汇总!$E:$E)</f>
        <v>0</v>
      </c>
      <c r="H104" s="54">
        <f>SUMIF(记录巡查问题条数汇总!$B:$B,'副主任&amp;工艺组长及其他'!C104,记录巡查问题条数汇总!$E:$E)</f>
        <v>0</v>
      </c>
      <c r="I104" s="30"/>
      <c r="J104" s="54">
        <f>SUMIF(安全质量事故!$B:$B,'副主任&amp;工艺组长及其他'!C104,安全质量事故!$G:$G)</f>
        <v>0</v>
      </c>
      <c r="K104" s="55">
        <v>1</v>
      </c>
      <c r="L104" s="120">
        <f t="shared" si="9"/>
        <v>400</v>
      </c>
      <c r="M104" s="78" t="s">
        <v>14</v>
      </c>
      <c r="N104" s="139"/>
      <c r="O104" s="140"/>
      <c r="P104" s="139"/>
      <c r="Q104" s="173"/>
      <c r="R104" s="51" t="str">
        <f>VLOOKUP(D104,[1]生产部!$C:$C,1,0)</f>
        <v>ALS14984</v>
      </c>
    </row>
    <row r="105" spans="1:18" ht="19.5" customHeight="1" x14ac:dyDescent="0.3">
      <c r="A105" s="39" t="s">
        <v>1201</v>
      </c>
      <c r="B105" s="166" t="s">
        <v>16</v>
      </c>
      <c r="C105" s="165" t="s">
        <v>821</v>
      </c>
      <c r="D105" s="166" t="s">
        <v>771</v>
      </c>
      <c r="E105" s="167">
        <v>45957</v>
      </c>
      <c r="F105" s="128">
        <f t="shared" si="0"/>
        <v>400</v>
      </c>
      <c r="G105" s="54">
        <f>SUMIF(积分汇总!$B:$B,'副主任&amp;工艺组长及其他'!C105,积分汇总!$E:$E)</f>
        <v>0</v>
      </c>
      <c r="H105" s="54">
        <f>SUMIF(记录巡查问题条数汇总!$B:$B,'副主任&amp;工艺组长及其他'!C105,记录巡查问题条数汇总!$E:$E)</f>
        <v>0</v>
      </c>
      <c r="I105" s="30"/>
      <c r="J105" s="54">
        <f>SUMIF(安全质量事故!$B:$B,'副主任&amp;工艺组长及其他'!C105,安全质量事故!$G:$G)</f>
        <v>0</v>
      </c>
      <c r="K105" s="55">
        <v>1</v>
      </c>
      <c r="L105" s="120">
        <f t="shared" si="9"/>
        <v>400</v>
      </c>
      <c r="M105" s="78" t="s">
        <v>14</v>
      </c>
      <c r="N105" s="139"/>
      <c r="O105" s="140"/>
      <c r="P105" s="139"/>
      <c r="Q105" s="173"/>
      <c r="R105" s="51" t="str">
        <f>VLOOKUP(D105,[1]生产部!$C:$C,1,0)</f>
        <v>ALS15095</v>
      </c>
    </row>
    <row r="106" spans="1:18" ht="19.5" customHeight="1" x14ac:dyDescent="0.3">
      <c r="A106" s="39" t="s">
        <v>1201</v>
      </c>
      <c r="B106" s="165" t="s">
        <v>16</v>
      </c>
      <c r="C106" s="165" t="s">
        <v>822</v>
      </c>
      <c r="D106" s="165" t="s">
        <v>772</v>
      </c>
      <c r="E106" s="164">
        <v>45980</v>
      </c>
      <c r="F106" s="128">
        <f t="shared" si="0"/>
        <v>400</v>
      </c>
      <c r="G106" s="54">
        <f>SUMIF(积分汇总!$B:$B,'副主任&amp;工艺组长及其他'!C106,积分汇总!$E:$E)</f>
        <v>0</v>
      </c>
      <c r="H106" s="54">
        <f>SUMIF(记录巡查问题条数汇总!$B:$B,'副主任&amp;工艺组长及其他'!C106,记录巡查问题条数汇总!$E:$E)</f>
        <v>0</v>
      </c>
      <c r="I106" s="30"/>
      <c r="J106" s="54">
        <f>SUMIF(安全质量事故!$B:$B,'副主任&amp;工艺组长及其他'!C106,安全质量事故!$G:$G)</f>
        <v>0</v>
      </c>
      <c r="K106" s="55">
        <v>1</v>
      </c>
      <c r="L106" s="120">
        <f t="shared" si="9"/>
        <v>400</v>
      </c>
      <c r="M106" s="78" t="s">
        <v>14</v>
      </c>
      <c r="N106" s="139"/>
      <c r="O106" s="140"/>
      <c r="P106" s="139"/>
      <c r="Q106" s="173"/>
      <c r="R106" s="51" t="str">
        <f>VLOOKUP(D106,[1]生产部!$C:$C,1,0)</f>
        <v>ALS15335</v>
      </c>
    </row>
    <row r="107" spans="1:18" ht="19.5" customHeight="1" x14ac:dyDescent="0.3">
      <c r="A107" s="39" t="s">
        <v>1201</v>
      </c>
      <c r="B107" s="165" t="s">
        <v>16</v>
      </c>
      <c r="C107" s="146" t="s">
        <v>1813</v>
      </c>
      <c r="D107" s="146" t="s">
        <v>1814</v>
      </c>
      <c r="E107" s="147">
        <v>46183</v>
      </c>
      <c r="F107" s="180">
        <f>(L107*K107+G107+H107+I107-J107)/30*20</f>
        <v>266.66666666666669</v>
      </c>
      <c r="G107" s="54">
        <f>SUMIF(积分汇总!$B:$B,'副主任&amp;工艺组长及其他'!C107,积分汇总!$E:$E)</f>
        <v>0</v>
      </c>
      <c r="H107" s="54">
        <f>SUMIF(记录巡查问题条数汇总!$B:$B,'副主任&amp;工艺组长及其他'!C107,记录巡查问题条数汇总!$E:$E)</f>
        <v>0</v>
      </c>
      <c r="I107" s="30"/>
      <c r="J107" s="54">
        <f>SUMIF(安全质量事故!$B:$B,'副主任&amp;工艺组长及其他'!C107,安全质量事故!$G:$G)</f>
        <v>0</v>
      </c>
      <c r="K107" s="55">
        <v>1</v>
      </c>
      <c r="L107" s="120">
        <f t="shared" si="9"/>
        <v>400</v>
      </c>
      <c r="M107" s="78" t="s">
        <v>14</v>
      </c>
      <c r="N107" s="181"/>
      <c r="O107" s="182"/>
      <c r="P107" s="181"/>
      <c r="Q107" s="173"/>
      <c r="R107" s="51" t="str">
        <f>VLOOKUP(D107,[1]生产部!$C:$C,1,0)</f>
        <v>ALS17113</v>
      </c>
    </row>
    <row r="108" spans="1:18" ht="19.5" customHeight="1" x14ac:dyDescent="0.3">
      <c r="A108" s="39" t="s">
        <v>1202</v>
      </c>
      <c r="B108" s="165" t="s">
        <v>87</v>
      </c>
      <c r="C108" s="165" t="s">
        <v>378</v>
      </c>
      <c r="D108" s="165" t="s">
        <v>369</v>
      </c>
      <c r="E108" s="164">
        <v>44326</v>
      </c>
      <c r="F108" s="128">
        <f t="shared" si="0"/>
        <v>400</v>
      </c>
      <c r="G108" s="54">
        <f>SUMIF(积分汇总!$B:$B,'副主任&amp;工艺组长及其他'!C108,积分汇总!$E:$E)</f>
        <v>0</v>
      </c>
      <c r="H108" s="54">
        <f>SUMIF(记录巡查问题条数汇总!$B:$B,'副主任&amp;工艺组长及其他'!C108,记录巡查问题条数汇总!$E:$E)</f>
        <v>0</v>
      </c>
      <c r="I108" s="30"/>
      <c r="J108" s="54">
        <f>SUMIF(安全质量事故!$B:$B,'副主任&amp;工艺组长及其他'!C108,安全质量事故!$G:$G)</f>
        <v>0</v>
      </c>
      <c r="K108" s="55">
        <v>1</v>
      </c>
      <c r="L108" s="120">
        <f t="shared" ref="L108:L120" si="11">HLOOKUP(M108,$A$143:$H$144,2)</f>
        <v>400</v>
      </c>
      <c r="M108" s="78" t="s">
        <v>14</v>
      </c>
      <c r="N108" s="139"/>
      <c r="O108" s="140"/>
      <c r="P108" s="139"/>
      <c r="Q108" s="173"/>
      <c r="R108" s="51" t="str">
        <f>VLOOKUP(D108,[1]生产部!$C:$C,1,0)</f>
        <v>ALS7380</v>
      </c>
    </row>
    <row r="109" spans="1:18" ht="19.5" customHeight="1" x14ac:dyDescent="0.3">
      <c r="A109" s="39" t="s">
        <v>1202</v>
      </c>
      <c r="B109" s="165" t="s">
        <v>87</v>
      </c>
      <c r="C109" s="165" t="s">
        <v>1189</v>
      </c>
      <c r="D109" s="165" t="s">
        <v>1190</v>
      </c>
      <c r="E109" s="164">
        <v>44774</v>
      </c>
      <c r="F109" s="128">
        <f t="shared" si="0"/>
        <v>200</v>
      </c>
      <c r="G109" s="54">
        <f>SUMIF(积分汇总!$B:$B,'副主任&amp;工艺组长及其他'!C109,积分汇总!$E:$E)</f>
        <v>0</v>
      </c>
      <c r="H109" s="54">
        <f>SUMIF(记录巡查问题条数汇总!$B:$B,'副主任&amp;工艺组长及其他'!C109,记录巡查问题条数汇总!$E:$E)</f>
        <v>0</v>
      </c>
      <c r="I109" s="30"/>
      <c r="J109" s="54">
        <f>SUMIF(安全质量事故!$B:$B,'副主任&amp;工艺组长及其他'!C109,安全质量事故!$G:$G)</f>
        <v>0</v>
      </c>
      <c r="K109" s="55">
        <v>1</v>
      </c>
      <c r="L109" s="120">
        <f t="shared" si="11"/>
        <v>200</v>
      </c>
      <c r="M109" s="78" t="s">
        <v>18</v>
      </c>
      <c r="N109" s="139"/>
      <c r="O109" s="140"/>
      <c r="P109" s="139"/>
      <c r="Q109" s="173"/>
      <c r="R109" s="51" t="str">
        <f>VLOOKUP(D109,[1]生产部!$C:$C,1,0)</f>
        <v>ALS11096</v>
      </c>
    </row>
    <row r="110" spans="1:18" ht="19.5" customHeight="1" x14ac:dyDescent="0.3">
      <c r="A110" s="39" t="s">
        <v>1202</v>
      </c>
      <c r="B110" s="165" t="s">
        <v>87</v>
      </c>
      <c r="C110" s="165" t="s">
        <v>1191</v>
      </c>
      <c r="D110" s="165" t="s">
        <v>1188</v>
      </c>
      <c r="E110" s="164">
        <v>46090</v>
      </c>
      <c r="F110" s="128">
        <f t="shared" si="0"/>
        <v>400</v>
      </c>
      <c r="G110" s="54">
        <f>SUMIF(积分汇总!$B:$B,'副主任&amp;工艺组长及其他'!C110,积分汇总!$E:$E)</f>
        <v>0</v>
      </c>
      <c r="H110" s="54">
        <f>SUMIF(记录巡查问题条数汇总!$B:$B,'副主任&amp;工艺组长及其他'!C110,记录巡查问题条数汇总!$E:$E)</f>
        <v>0</v>
      </c>
      <c r="I110" s="30"/>
      <c r="J110" s="54">
        <f>SUMIF(安全质量事故!$B:$B,'副主任&amp;工艺组长及其他'!C110,安全质量事故!$G:$G)</f>
        <v>0</v>
      </c>
      <c r="K110" s="55">
        <v>1</v>
      </c>
      <c r="L110" s="120">
        <f t="shared" si="11"/>
        <v>400</v>
      </c>
      <c r="M110" s="78" t="s">
        <v>14</v>
      </c>
      <c r="N110" s="139"/>
      <c r="O110" s="140"/>
      <c r="P110" s="139"/>
      <c r="Q110" s="173"/>
      <c r="R110" s="51" t="str">
        <f>VLOOKUP(D110,[1]生产部!$C:$C,1,0)</f>
        <v>ALS16118</v>
      </c>
    </row>
    <row r="111" spans="1:18" ht="19.5" customHeight="1" x14ac:dyDescent="0.3">
      <c r="A111" s="39" t="s">
        <v>1202</v>
      </c>
      <c r="B111" s="39" t="s">
        <v>16</v>
      </c>
      <c r="C111" s="163" t="s">
        <v>1192</v>
      </c>
      <c r="D111" s="27" t="s">
        <v>1193</v>
      </c>
      <c r="E111" s="29">
        <v>42212</v>
      </c>
      <c r="F111" s="128">
        <f t="shared" si="0"/>
        <v>400</v>
      </c>
      <c r="G111" s="54">
        <f>SUMIF(积分汇总!$B:$B,'副主任&amp;工艺组长及其他'!C111,积分汇总!$E:$E)</f>
        <v>0</v>
      </c>
      <c r="H111" s="54">
        <f>SUMIF(记录巡查问题条数汇总!$B:$B,'副主任&amp;工艺组长及其他'!C111,记录巡查问题条数汇总!$E:$E)</f>
        <v>0</v>
      </c>
      <c r="I111" s="30"/>
      <c r="J111" s="54">
        <f>SUMIF(安全质量事故!$B:$B,'副主任&amp;工艺组长及其他'!C111,安全质量事故!$G:$G)</f>
        <v>0</v>
      </c>
      <c r="K111" s="55">
        <v>1</v>
      </c>
      <c r="L111" s="120">
        <f t="shared" si="11"/>
        <v>400</v>
      </c>
      <c r="M111" s="78" t="s">
        <v>14</v>
      </c>
      <c r="N111" s="139"/>
      <c r="O111" s="140"/>
      <c r="P111" s="139"/>
      <c r="Q111" s="173"/>
      <c r="R111" s="51" t="str">
        <f>VLOOKUP(D111,[1]生产部!$C:$C,1,0)</f>
        <v>ALS2305</v>
      </c>
    </row>
    <row r="112" spans="1:18" ht="19.5" customHeight="1" x14ac:dyDescent="0.3">
      <c r="A112" s="39" t="s">
        <v>1202</v>
      </c>
      <c r="B112" s="165" t="s">
        <v>16</v>
      </c>
      <c r="C112" s="165" t="s">
        <v>948</v>
      </c>
      <c r="D112" s="165" t="s">
        <v>882</v>
      </c>
      <c r="E112" s="164">
        <v>45138</v>
      </c>
      <c r="F112" s="128">
        <f t="shared" si="0"/>
        <v>400</v>
      </c>
      <c r="G112" s="54">
        <f>SUMIF(积分汇总!$B:$B,'副主任&amp;工艺组长及其他'!C112,积分汇总!$E:$E)</f>
        <v>0</v>
      </c>
      <c r="H112" s="54">
        <f>SUMIF(记录巡查问题条数汇总!$B:$B,'副主任&amp;工艺组长及其他'!C112,记录巡查问题条数汇总!$E:$E)</f>
        <v>0</v>
      </c>
      <c r="I112" s="30"/>
      <c r="J112" s="54">
        <f>SUMIF(安全质量事故!$B:$B,'副主任&amp;工艺组长及其他'!C112,安全质量事故!$G:$G)</f>
        <v>0</v>
      </c>
      <c r="K112" s="55">
        <v>1</v>
      </c>
      <c r="L112" s="120">
        <f t="shared" si="11"/>
        <v>400</v>
      </c>
      <c r="M112" s="78" t="s">
        <v>14</v>
      </c>
      <c r="N112" s="139"/>
      <c r="O112" s="140"/>
      <c r="P112" s="139"/>
      <c r="Q112" s="173"/>
      <c r="R112" s="51" t="str">
        <f>VLOOKUP(D112,[1]生产部!$C:$C,1,0)</f>
        <v>AMM3422</v>
      </c>
    </row>
    <row r="113" spans="1:23" ht="19.5" customHeight="1" x14ac:dyDescent="0.3">
      <c r="A113" s="39" t="s">
        <v>1202</v>
      </c>
      <c r="B113" s="165" t="s">
        <v>16</v>
      </c>
      <c r="C113" s="165" t="s">
        <v>1085</v>
      </c>
      <c r="D113" s="165" t="s">
        <v>1047</v>
      </c>
      <c r="E113" s="164">
        <v>45259</v>
      </c>
      <c r="F113" s="128">
        <f t="shared" si="0"/>
        <v>400</v>
      </c>
      <c r="G113" s="54">
        <f>SUMIF(积分汇总!$B:$B,'副主任&amp;工艺组长及其他'!C113,积分汇总!$E:$E)</f>
        <v>0</v>
      </c>
      <c r="H113" s="54">
        <f>SUMIF(记录巡查问题条数汇总!$B:$B,'副主任&amp;工艺组长及其他'!C113,记录巡查问题条数汇总!$E:$E)</f>
        <v>0</v>
      </c>
      <c r="I113" s="30"/>
      <c r="J113" s="54">
        <f>SUMIF(安全质量事故!$B:$B,'副主任&amp;工艺组长及其他'!C113,安全质量事故!$G:$G)</f>
        <v>0</v>
      </c>
      <c r="K113" s="55">
        <v>1</v>
      </c>
      <c r="L113" s="120">
        <f t="shared" si="11"/>
        <v>400</v>
      </c>
      <c r="M113" s="78" t="s">
        <v>14</v>
      </c>
      <c r="N113" s="139"/>
      <c r="O113" s="140"/>
      <c r="P113" s="139"/>
      <c r="Q113" s="173"/>
      <c r="R113" s="51" t="str">
        <f>VLOOKUP(D113,[1]生产部!$C:$C,1,0)</f>
        <v>ALS12838</v>
      </c>
    </row>
    <row r="114" spans="1:23" ht="19.5" customHeight="1" x14ac:dyDescent="0.3">
      <c r="A114" s="39" t="s">
        <v>1202</v>
      </c>
      <c r="B114" s="165" t="s">
        <v>16</v>
      </c>
      <c r="C114" s="165" t="s">
        <v>1194</v>
      </c>
      <c r="D114" s="165" t="s">
        <v>1195</v>
      </c>
      <c r="E114" s="164">
        <v>45448</v>
      </c>
      <c r="F114" s="128">
        <f t="shared" si="0"/>
        <v>600</v>
      </c>
      <c r="G114" s="54">
        <f>SUMIF(积分汇总!$B:$B,'副主任&amp;工艺组长及其他'!C114,积分汇总!$E:$E)</f>
        <v>0</v>
      </c>
      <c r="H114" s="54">
        <f>SUMIF(记录巡查问题条数汇总!$B:$B,'副主任&amp;工艺组长及其他'!C114,记录巡查问题条数汇总!$E:$E)</f>
        <v>0</v>
      </c>
      <c r="I114" s="30"/>
      <c r="J114" s="54">
        <f>SUMIF(安全质量事故!$B:$B,'副主任&amp;工艺组长及其他'!C114,安全质量事故!$G:$G)</f>
        <v>0</v>
      </c>
      <c r="K114" s="55">
        <v>1</v>
      </c>
      <c r="L114" s="120">
        <f t="shared" si="11"/>
        <v>600</v>
      </c>
      <c r="M114" s="78" t="s">
        <v>15</v>
      </c>
      <c r="N114" s="139"/>
      <c r="O114" s="140"/>
      <c r="P114" s="139"/>
      <c r="Q114" s="175"/>
      <c r="R114" s="51" t="str">
        <f>VLOOKUP(D114,[1]生产部!$C:$C,1,0)</f>
        <v>ALS12955</v>
      </c>
    </row>
    <row r="115" spans="1:23" ht="19.5" customHeight="1" x14ac:dyDescent="0.3">
      <c r="A115" s="39" t="s">
        <v>1202</v>
      </c>
      <c r="B115" s="165" t="s">
        <v>16</v>
      </c>
      <c r="C115" s="165" t="s">
        <v>1196</v>
      </c>
      <c r="D115" s="165" t="s">
        <v>1197</v>
      </c>
      <c r="E115" s="164">
        <v>46127</v>
      </c>
      <c r="F115" s="128">
        <f t="shared" si="0"/>
        <v>200</v>
      </c>
      <c r="G115" s="54">
        <f>SUMIF(积分汇总!$B:$B,'副主任&amp;工艺组长及其他'!C115,积分汇总!$E:$E)</f>
        <v>0</v>
      </c>
      <c r="H115" s="54">
        <f>SUMIF(记录巡查问题条数汇总!$B:$B,'副主任&amp;工艺组长及其他'!C115,记录巡查问题条数汇总!$E:$E)</f>
        <v>0</v>
      </c>
      <c r="I115" s="30"/>
      <c r="J115" s="54">
        <f>SUMIF(安全质量事故!$B:$B,'副主任&amp;工艺组长及其他'!C115,安全质量事故!$G:$G)</f>
        <v>0</v>
      </c>
      <c r="K115" s="55">
        <v>1</v>
      </c>
      <c r="L115" s="120">
        <f t="shared" si="11"/>
        <v>200</v>
      </c>
      <c r="M115" s="78" t="s">
        <v>18</v>
      </c>
      <c r="N115" s="139"/>
      <c r="O115" s="140"/>
      <c r="P115" s="139"/>
      <c r="Q115" s="175"/>
      <c r="R115" s="51" t="str">
        <f>VLOOKUP(D115,[1]生产部!$C:$C,1,0)</f>
        <v>ALS16339</v>
      </c>
    </row>
    <row r="116" spans="1:23" ht="19.5" customHeight="1" x14ac:dyDescent="0.3">
      <c r="A116" s="39" t="s">
        <v>1202</v>
      </c>
      <c r="B116" s="165" t="s">
        <v>1200</v>
      </c>
      <c r="C116" s="165" t="s">
        <v>721</v>
      </c>
      <c r="D116" s="165" t="s">
        <v>713</v>
      </c>
      <c r="E116" s="164">
        <v>45847</v>
      </c>
      <c r="F116" s="128">
        <f t="shared" si="0"/>
        <v>400</v>
      </c>
      <c r="G116" s="54">
        <f>SUMIF(积分汇总!$B:$B,'副主任&amp;工艺组长及其他'!C116,积分汇总!$E:$E)</f>
        <v>0</v>
      </c>
      <c r="H116" s="54">
        <f>SUMIF(记录巡查问题条数汇总!$B:$B,'副主任&amp;工艺组长及其他'!C116,记录巡查问题条数汇总!$E:$E)</f>
        <v>0</v>
      </c>
      <c r="I116" s="30"/>
      <c r="J116" s="54">
        <f>SUMIF(安全质量事故!$B:$B,'副主任&amp;工艺组长及其他'!C116,安全质量事故!$G:$G)</f>
        <v>0</v>
      </c>
      <c r="K116" s="55">
        <v>1</v>
      </c>
      <c r="L116" s="120">
        <f t="shared" si="11"/>
        <v>400</v>
      </c>
      <c r="M116" s="78" t="s">
        <v>14</v>
      </c>
      <c r="N116" s="139"/>
      <c r="O116" s="140"/>
      <c r="P116" s="139"/>
      <c r="Q116" s="175"/>
      <c r="R116" s="51" t="str">
        <f>VLOOKUP(D116,[1]生产部!$C:$C,1,0)</f>
        <v>ALS14337</v>
      </c>
    </row>
    <row r="117" spans="1:23" ht="19.5" customHeight="1" x14ac:dyDescent="0.3">
      <c r="A117" s="39" t="s">
        <v>1202</v>
      </c>
      <c r="B117" s="165" t="s">
        <v>1200</v>
      </c>
      <c r="C117" s="165" t="s">
        <v>722</v>
      </c>
      <c r="D117" s="165" t="s">
        <v>714</v>
      </c>
      <c r="E117" s="164">
        <v>45847</v>
      </c>
      <c r="F117" s="128">
        <f t="shared" si="0"/>
        <v>400</v>
      </c>
      <c r="G117" s="54">
        <f>SUMIF(积分汇总!$B:$B,'副主任&amp;工艺组长及其他'!C117,积分汇总!$E:$E)</f>
        <v>0</v>
      </c>
      <c r="H117" s="54">
        <f>SUMIF(记录巡查问题条数汇总!$B:$B,'副主任&amp;工艺组长及其他'!C117,记录巡查问题条数汇总!$E:$E)</f>
        <v>0</v>
      </c>
      <c r="I117" s="30"/>
      <c r="J117" s="54">
        <f>SUMIF(安全质量事故!$B:$B,'副主任&amp;工艺组长及其他'!C117,安全质量事故!$G:$G)</f>
        <v>0</v>
      </c>
      <c r="K117" s="55">
        <v>1</v>
      </c>
      <c r="L117" s="120">
        <f t="shared" si="11"/>
        <v>400</v>
      </c>
      <c r="M117" s="78" t="s">
        <v>14</v>
      </c>
      <c r="N117" s="139"/>
      <c r="O117" s="140"/>
      <c r="P117" s="139"/>
      <c r="Q117" s="175"/>
      <c r="R117" s="51" t="str">
        <f>VLOOKUP(D117,[1]生产部!$C:$C,1,0)</f>
        <v>ALS14338</v>
      </c>
    </row>
    <row r="118" spans="1:23" ht="19.5" customHeight="1" x14ac:dyDescent="0.3">
      <c r="A118" s="39" t="s">
        <v>1202</v>
      </c>
      <c r="B118" s="165" t="s">
        <v>1200</v>
      </c>
      <c r="C118" s="165" t="s">
        <v>1198</v>
      </c>
      <c r="D118" s="165" t="s">
        <v>1199</v>
      </c>
      <c r="E118" s="164">
        <v>46127</v>
      </c>
      <c r="F118" s="128">
        <f t="shared" si="0"/>
        <v>400</v>
      </c>
      <c r="G118" s="54">
        <f>SUMIF(积分汇总!$B:$B,'副主任&amp;工艺组长及其他'!C118,积分汇总!$E:$E)</f>
        <v>0</v>
      </c>
      <c r="H118" s="54">
        <f>SUMIF(记录巡查问题条数汇总!$B:$B,'副主任&amp;工艺组长及其他'!C118,记录巡查问题条数汇总!$E:$E)</f>
        <v>0</v>
      </c>
      <c r="I118" s="30"/>
      <c r="J118" s="54">
        <f>SUMIF(安全质量事故!$B:$B,'副主任&amp;工艺组长及其他'!C118,安全质量事故!$G:$G)</f>
        <v>0</v>
      </c>
      <c r="K118" s="55">
        <v>1</v>
      </c>
      <c r="L118" s="120">
        <f t="shared" si="11"/>
        <v>400</v>
      </c>
      <c r="M118" s="78" t="s">
        <v>14</v>
      </c>
      <c r="N118" s="152"/>
      <c r="O118" s="153"/>
      <c r="P118" s="152"/>
      <c r="Q118" s="175"/>
      <c r="R118" s="51" t="str">
        <f>VLOOKUP(D118,[1]生产部!$C:$C,1,0)</f>
        <v>ALS16461</v>
      </c>
    </row>
    <row r="119" spans="1:23" ht="19.149999999999999" customHeight="1" x14ac:dyDescent="0.3">
      <c r="A119" s="39" t="s">
        <v>361</v>
      </c>
      <c r="B119" s="163" t="s">
        <v>308</v>
      </c>
      <c r="C119" s="39" t="s">
        <v>175</v>
      </c>
      <c r="D119" s="27" t="s">
        <v>72</v>
      </c>
      <c r="E119" s="29">
        <v>44734</v>
      </c>
      <c r="F119" s="128">
        <f t="shared" si="0"/>
        <v>400</v>
      </c>
      <c r="G119" s="54">
        <f>SUMIF(积分汇总!$B:$B,'副主任&amp;工艺组长及其他'!C119,积分汇总!$E:$E)</f>
        <v>0</v>
      </c>
      <c r="H119" s="54">
        <f>SUMIF(记录巡查问题条数汇总!$B:$B,'副主任&amp;工艺组长及其他'!C119,记录巡查问题条数汇总!$E:$E)</f>
        <v>0</v>
      </c>
      <c r="I119" s="30"/>
      <c r="J119" s="54">
        <f>SUMIF(安全质量事故!$B:$B,'副主任&amp;工艺组长及其他'!C119,安全质量事故!$G:$G)</f>
        <v>0</v>
      </c>
      <c r="K119" s="55">
        <v>1</v>
      </c>
      <c r="L119" s="120">
        <f t="shared" si="11"/>
        <v>400</v>
      </c>
      <c r="M119" s="78" t="s">
        <v>14</v>
      </c>
      <c r="N119" s="80"/>
      <c r="O119" s="59"/>
      <c r="P119" s="58"/>
      <c r="Q119" s="173"/>
      <c r="R119" s="51" t="str">
        <f>VLOOKUP(D119,[1]生产部!$C:$C,1,0)</f>
        <v>ALS10334</v>
      </c>
    </row>
    <row r="120" spans="1:23" ht="19.149999999999999" customHeight="1" x14ac:dyDescent="0.3">
      <c r="A120" s="39" t="s">
        <v>361</v>
      </c>
      <c r="B120" s="163" t="s">
        <v>308</v>
      </c>
      <c r="C120" s="39" t="s">
        <v>705</v>
      </c>
      <c r="D120" s="27" t="s">
        <v>86</v>
      </c>
      <c r="E120" s="29">
        <v>44774</v>
      </c>
      <c r="F120" s="128">
        <f t="shared" si="0"/>
        <v>400</v>
      </c>
      <c r="G120" s="54">
        <f>SUMIF(积分汇总!$B:$B,'副主任&amp;工艺组长及其他'!C120,积分汇总!$E:$E)</f>
        <v>0</v>
      </c>
      <c r="H120" s="54">
        <f>SUMIF(记录巡查问题条数汇总!$B:$B,'副主任&amp;工艺组长及其他'!C120,记录巡查问题条数汇总!$E:$E)</f>
        <v>0</v>
      </c>
      <c r="I120" s="30"/>
      <c r="J120" s="54">
        <f>SUMIF(安全质量事故!$B:$B,'副主任&amp;工艺组长及其他'!C120,安全质量事故!$G:$G)</f>
        <v>0</v>
      </c>
      <c r="K120" s="55">
        <v>1</v>
      </c>
      <c r="L120" s="120">
        <f t="shared" si="11"/>
        <v>400</v>
      </c>
      <c r="M120" s="78" t="s">
        <v>14</v>
      </c>
      <c r="N120" s="90"/>
      <c r="O120" s="59"/>
      <c r="P120" s="58"/>
      <c r="Q120" s="173"/>
      <c r="R120" s="51" t="str">
        <f>VLOOKUP(D120,[1]生产部!$C:$C,1,0)</f>
        <v>ALS11237</v>
      </c>
    </row>
    <row r="121" spans="1:23" ht="19.149999999999999" customHeight="1" x14ac:dyDescent="0.3">
      <c r="A121" s="39" t="s">
        <v>361</v>
      </c>
      <c r="B121" s="163" t="s">
        <v>308</v>
      </c>
      <c r="C121" s="39" t="s">
        <v>162</v>
      </c>
      <c r="D121" s="27" t="s">
        <v>68</v>
      </c>
      <c r="E121" s="29">
        <v>44734</v>
      </c>
      <c r="F121" s="128">
        <f t="shared" si="0"/>
        <v>600</v>
      </c>
      <c r="G121" s="54">
        <f>SUMIF(积分汇总!$B:$B,'副主任&amp;工艺组长及其他'!C121,积分汇总!$E:$E)</f>
        <v>0</v>
      </c>
      <c r="H121" s="54">
        <f>SUMIF(记录巡查问题条数汇总!$B:$B,'副主任&amp;工艺组长及其他'!C121,记录巡查问题条数汇总!$E:$E)</f>
        <v>0</v>
      </c>
      <c r="I121" s="30"/>
      <c r="J121" s="54">
        <f>SUMIF(安全质量事故!$B:$B,'副主任&amp;工艺组长及其他'!C121,安全质量事故!$G:$G)</f>
        <v>0</v>
      </c>
      <c r="K121" s="55">
        <v>1</v>
      </c>
      <c r="L121" s="120">
        <f t="shared" ref="L121:L129" si="12">HLOOKUP(M121,$A$143:$H$144,2)</f>
        <v>600</v>
      </c>
      <c r="M121" s="78" t="s">
        <v>15</v>
      </c>
      <c r="N121" s="90"/>
      <c r="O121" s="59"/>
      <c r="P121" s="58"/>
      <c r="Q121" s="173"/>
      <c r="R121" s="51" t="str">
        <f>VLOOKUP(D121,[1]生产部!$C:$C,1,0)</f>
        <v>ALS10321</v>
      </c>
    </row>
    <row r="122" spans="1:23" ht="19.149999999999999" customHeight="1" x14ac:dyDescent="0.3">
      <c r="A122" s="39" t="s">
        <v>361</v>
      </c>
      <c r="B122" s="163" t="s">
        <v>308</v>
      </c>
      <c r="C122" s="39" t="s">
        <v>1039</v>
      </c>
      <c r="D122" s="27" t="s">
        <v>83</v>
      </c>
      <c r="E122" s="29">
        <v>44774</v>
      </c>
      <c r="F122" s="128">
        <f t="shared" si="0"/>
        <v>400</v>
      </c>
      <c r="G122" s="54">
        <f>SUMIF(积分汇总!$B:$B,'副主任&amp;工艺组长及其他'!C122,积分汇总!$E:$E)</f>
        <v>0</v>
      </c>
      <c r="H122" s="54">
        <f>SUMIF(记录巡查问题条数汇总!$B:$B,'副主任&amp;工艺组长及其他'!C122,记录巡查问题条数汇总!$E:$E)</f>
        <v>0</v>
      </c>
      <c r="I122" s="30"/>
      <c r="J122" s="54">
        <f>SUMIF(安全质量事故!$B:$B,'副主任&amp;工艺组长及其他'!C122,安全质量事故!$G:$G)</f>
        <v>0</v>
      </c>
      <c r="K122" s="55">
        <v>1</v>
      </c>
      <c r="L122" s="120">
        <f t="shared" si="12"/>
        <v>400</v>
      </c>
      <c r="M122" s="78" t="s">
        <v>14</v>
      </c>
      <c r="N122" s="90"/>
      <c r="O122" s="59"/>
      <c r="P122" s="58"/>
      <c r="Q122" s="173"/>
      <c r="R122" s="51" t="str">
        <f>VLOOKUP(D122,[1]生产部!$C:$C,1,0)</f>
        <v>ALS11230</v>
      </c>
    </row>
    <row r="123" spans="1:23" ht="19.5" customHeight="1" x14ac:dyDescent="0.3">
      <c r="A123" s="39" t="s">
        <v>320</v>
      </c>
      <c r="B123" s="39" t="s">
        <v>62</v>
      </c>
      <c r="C123" s="163" t="s">
        <v>157</v>
      </c>
      <c r="D123" s="27" t="s">
        <v>27</v>
      </c>
      <c r="E123" s="29">
        <v>41576</v>
      </c>
      <c r="F123" s="128">
        <f t="shared" si="0"/>
        <v>400</v>
      </c>
      <c r="G123" s="54">
        <f>SUMIF(积分汇总!$B:$B,'副主任&amp;工艺组长及其他'!C123,积分汇总!$E:$E)</f>
        <v>0</v>
      </c>
      <c r="H123" s="54">
        <f>SUMIF(记录巡查问题条数汇总!$B:$B,'副主任&amp;工艺组长及其他'!C123,记录巡查问题条数汇总!$E:$E)</f>
        <v>0</v>
      </c>
      <c r="I123" s="30"/>
      <c r="J123" s="54">
        <f>SUMIF(安全质量事故!$B:$B,'副主任&amp;工艺组长及其他'!C123,安全质量事故!$G:$G)</f>
        <v>0</v>
      </c>
      <c r="K123" s="55">
        <v>1</v>
      </c>
      <c r="L123" s="120">
        <f t="shared" si="12"/>
        <v>400</v>
      </c>
      <c r="M123" s="78" t="s">
        <v>14</v>
      </c>
      <c r="N123" s="90"/>
      <c r="O123" s="59"/>
      <c r="P123" s="58"/>
      <c r="Q123" s="173"/>
      <c r="R123" s="51" t="str">
        <f>VLOOKUP(D123,[1]生产部!$C:$C,1,0)</f>
        <v>ACT2196</v>
      </c>
      <c r="W123" s="50"/>
    </row>
    <row r="124" spans="1:23" ht="19.5" customHeight="1" x14ac:dyDescent="0.3">
      <c r="A124" s="39" t="s">
        <v>320</v>
      </c>
      <c r="B124" s="163" t="s">
        <v>308</v>
      </c>
      <c r="C124" s="39" t="s">
        <v>345</v>
      </c>
      <c r="D124" s="27" t="s">
        <v>344</v>
      </c>
      <c r="E124" s="29">
        <v>45630</v>
      </c>
      <c r="F124" s="128">
        <f t="shared" si="0"/>
        <v>400</v>
      </c>
      <c r="G124" s="54">
        <f>SUMIF(积分汇总!$B:$B,'副主任&amp;工艺组长及其他'!C124,积分汇总!$E:$E)</f>
        <v>0</v>
      </c>
      <c r="H124" s="54">
        <f>SUMIF(记录巡查问题条数汇总!$B:$B,'副主任&amp;工艺组长及其他'!C124,记录巡查问题条数汇总!$E:$E)</f>
        <v>0</v>
      </c>
      <c r="I124" s="30"/>
      <c r="J124" s="54">
        <f>SUMIF(安全质量事故!$B:$B,'副主任&amp;工艺组长及其他'!C124,安全质量事故!$G:$G)</f>
        <v>0</v>
      </c>
      <c r="K124" s="55">
        <v>1</v>
      </c>
      <c r="L124" s="120">
        <f t="shared" si="12"/>
        <v>400</v>
      </c>
      <c r="M124" s="78" t="s">
        <v>14</v>
      </c>
      <c r="N124" s="80"/>
      <c r="O124" s="57"/>
      <c r="P124" s="56"/>
      <c r="Q124" s="173"/>
      <c r="R124" s="51" t="str">
        <f>VLOOKUP(D124,[1]生产部!$C:$C,1,0)</f>
        <v>ALS13677</v>
      </c>
    </row>
    <row r="125" spans="1:23" ht="19.5" customHeight="1" x14ac:dyDescent="0.3">
      <c r="A125" s="39" t="s">
        <v>320</v>
      </c>
      <c r="B125" s="163" t="s">
        <v>308</v>
      </c>
      <c r="C125" s="39" t="s">
        <v>544</v>
      </c>
      <c r="D125" s="27" t="s">
        <v>501</v>
      </c>
      <c r="E125" s="29">
        <v>45168</v>
      </c>
      <c r="F125" s="128">
        <f t="shared" si="0"/>
        <v>400</v>
      </c>
      <c r="G125" s="54">
        <f>SUMIF(积分汇总!$B:$B,'副主任&amp;工艺组长及其他'!C125,积分汇总!$E:$E)</f>
        <v>0</v>
      </c>
      <c r="H125" s="54">
        <f>SUMIF(记录巡查问题条数汇总!$B:$B,'副主任&amp;工艺组长及其他'!C125,记录巡查问题条数汇总!$E:$E)</f>
        <v>0</v>
      </c>
      <c r="I125" s="30"/>
      <c r="J125" s="54">
        <f>SUMIF(安全质量事故!$B:$B,'副主任&amp;工艺组长及其他'!C125,安全质量事故!$G:$G)</f>
        <v>0</v>
      </c>
      <c r="K125" s="55">
        <v>1</v>
      </c>
      <c r="L125" s="120">
        <f t="shared" si="12"/>
        <v>400</v>
      </c>
      <c r="M125" s="78" t="s">
        <v>14</v>
      </c>
      <c r="N125" s="65"/>
      <c r="O125" s="57"/>
      <c r="P125" s="56"/>
      <c r="Q125" s="173"/>
      <c r="R125" s="51" t="str">
        <f>VLOOKUP(D125,[1]生产部!$C:$C,1,0)</f>
        <v>ALS12471</v>
      </c>
    </row>
    <row r="126" spans="1:23" ht="19.149999999999999" customHeight="1" x14ac:dyDescent="0.3">
      <c r="A126" s="39" t="s">
        <v>321</v>
      </c>
      <c r="B126" s="39" t="s">
        <v>89</v>
      </c>
      <c r="C126" s="39" t="s">
        <v>90</v>
      </c>
      <c r="D126" s="27" t="s">
        <v>91</v>
      </c>
      <c r="E126" s="29">
        <v>38411</v>
      </c>
      <c r="F126" s="128">
        <f t="shared" si="0"/>
        <v>400</v>
      </c>
      <c r="G126" s="54">
        <f>SUMIF(积分汇总!$B:$B,'副主任&amp;工艺组长及其他'!C126,积分汇总!$E:$E)</f>
        <v>0</v>
      </c>
      <c r="H126" s="54">
        <f>SUMIF(记录巡查问题条数汇总!$B:$B,'副主任&amp;工艺组长及其他'!C126,记录巡查问题条数汇总!$E:$E)</f>
        <v>0</v>
      </c>
      <c r="I126" s="30"/>
      <c r="J126" s="54">
        <f>SUMIF(安全质量事故!$B:$B,'副主任&amp;工艺组长及其他'!C126,安全质量事故!$G:$G)</f>
        <v>0</v>
      </c>
      <c r="K126" s="55">
        <v>1</v>
      </c>
      <c r="L126" s="120">
        <f t="shared" si="12"/>
        <v>400</v>
      </c>
      <c r="M126" s="78" t="s">
        <v>14</v>
      </c>
      <c r="N126" s="90"/>
      <c r="O126" s="29"/>
      <c r="P126" s="29"/>
      <c r="Q126" s="173"/>
      <c r="R126" s="51" t="str">
        <f>VLOOKUP(D126,[1]生产部!$C:$C,1,0)</f>
        <v>ACT2667</v>
      </c>
    </row>
    <row r="127" spans="1:23" ht="19.149999999999999" customHeight="1" x14ac:dyDescent="0.3">
      <c r="A127" s="39" t="s">
        <v>321</v>
      </c>
      <c r="B127" s="39" t="s">
        <v>95</v>
      </c>
      <c r="C127" s="39" t="s">
        <v>1017</v>
      </c>
      <c r="D127" s="27" t="s">
        <v>989</v>
      </c>
      <c r="E127" s="29">
        <v>46043</v>
      </c>
      <c r="F127" s="128">
        <f t="shared" si="0"/>
        <v>400</v>
      </c>
      <c r="G127" s="54">
        <f>SUMIF(积分汇总!$B:$B,'副主任&amp;工艺组长及其他'!C127,积分汇总!$E:$E)</f>
        <v>0</v>
      </c>
      <c r="H127" s="54">
        <f>SUMIF(记录巡查问题条数汇总!$B:$B,'副主任&amp;工艺组长及其他'!C127,记录巡查问题条数汇总!$E:$E)</f>
        <v>0</v>
      </c>
      <c r="I127" s="30"/>
      <c r="J127" s="54">
        <f>SUMIF(安全质量事故!$B:$B,'副主任&amp;工艺组长及其他'!C127,安全质量事故!$G:$G)</f>
        <v>0</v>
      </c>
      <c r="K127" s="55">
        <v>1</v>
      </c>
      <c r="L127" s="120">
        <f t="shared" ref="L127:L128" si="13">HLOOKUP(M127,$A$143:$H$144,2)</f>
        <v>400</v>
      </c>
      <c r="M127" s="78" t="s">
        <v>14</v>
      </c>
      <c r="N127" s="91"/>
      <c r="O127" s="29"/>
      <c r="P127" s="29"/>
      <c r="Q127" s="173"/>
      <c r="R127" s="51" t="str">
        <f>VLOOKUP(D127,[1]生产部!$C:$C,1,0)</f>
        <v>ALS16004</v>
      </c>
    </row>
    <row r="128" spans="1:23" ht="19.149999999999999" customHeight="1" x14ac:dyDescent="0.3">
      <c r="A128" s="39" t="s">
        <v>321</v>
      </c>
      <c r="B128" s="39" t="s">
        <v>95</v>
      </c>
      <c r="C128" s="39" t="s">
        <v>1120</v>
      </c>
      <c r="D128" s="27" t="s">
        <v>1121</v>
      </c>
      <c r="E128" s="29">
        <v>46085</v>
      </c>
      <c r="F128" s="128">
        <f t="shared" si="0"/>
        <v>200</v>
      </c>
      <c r="G128" s="54">
        <f>SUMIF(积分汇总!$B:$B,'副主任&amp;工艺组长及其他'!C128,积分汇总!$E:$E)</f>
        <v>0</v>
      </c>
      <c r="H128" s="54">
        <f>SUMIF(记录巡查问题条数汇总!$B:$B,'副主任&amp;工艺组长及其他'!C128,记录巡查问题条数汇总!$E:$E)</f>
        <v>0</v>
      </c>
      <c r="I128" s="30"/>
      <c r="J128" s="54">
        <f>SUMIF(安全质量事故!$B:$B,'副主任&amp;工艺组长及其他'!C128,安全质量事故!$G:$G)</f>
        <v>0</v>
      </c>
      <c r="K128" s="55">
        <v>1</v>
      </c>
      <c r="L128" s="120">
        <f t="shared" si="13"/>
        <v>200</v>
      </c>
      <c r="M128" s="78" t="s">
        <v>18</v>
      </c>
      <c r="N128" s="91"/>
      <c r="O128" s="29"/>
      <c r="P128" s="29"/>
      <c r="Q128" s="173"/>
      <c r="R128" s="51" t="str">
        <f>VLOOKUP(D128,[1]生产部!$C:$C,1,0)</f>
        <v>ALS16090</v>
      </c>
    </row>
    <row r="129" spans="1:18" ht="19.149999999999999" customHeight="1" x14ac:dyDescent="0.3">
      <c r="A129" s="39" t="s">
        <v>321</v>
      </c>
      <c r="B129" s="39" t="s">
        <v>95</v>
      </c>
      <c r="C129" s="39" t="s">
        <v>1122</v>
      </c>
      <c r="D129" s="27" t="s">
        <v>1123</v>
      </c>
      <c r="E129" s="29">
        <v>46092</v>
      </c>
      <c r="F129" s="128">
        <f t="shared" ref="F129" si="14">(L129*K129+G129+H129+I129-J129)</f>
        <v>200</v>
      </c>
      <c r="G129" s="54">
        <f>SUMIF(积分汇总!$B:$B,'副主任&amp;工艺组长及其他'!C129,积分汇总!$E:$E)</f>
        <v>0</v>
      </c>
      <c r="H129" s="54">
        <f>SUMIF(记录巡查问题条数汇总!$B:$B,'副主任&amp;工艺组长及其他'!C129,记录巡查问题条数汇总!$E:$E)</f>
        <v>0</v>
      </c>
      <c r="I129" s="30"/>
      <c r="J129" s="54">
        <f>SUMIF(安全质量事故!$B:$B,'副主任&amp;工艺组长及其他'!C129,安全质量事故!$G:$G)</f>
        <v>0</v>
      </c>
      <c r="K129" s="55">
        <v>1</v>
      </c>
      <c r="L129" s="120">
        <f t="shared" si="12"/>
        <v>200</v>
      </c>
      <c r="M129" s="78" t="s">
        <v>18</v>
      </c>
      <c r="N129" s="65"/>
      <c r="O129" s="29"/>
      <c r="P129" s="29"/>
      <c r="Q129" s="173"/>
      <c r="R129" s="51" t="str">
        <f>VLOOKUP(D129,[1]生产部!$C:$C,1,0)</f>
        <v>ALS16123</v>
      </c>
    </row>
    <row r="130" spans="1:18" x14ac:dyDescent="0.3">
      <c r="C130" s="82"/>
      <c r="D130" s="82"/>
      <c r="E130" s="82"/>
      <c r="F130" s="129">
        <f>SUM(F2:F129)</f>
        <v>45880.000000000007</v>
      </c>
      <c r="G130" s="33"/>
      <c r="H130" s="33"/>
      <c r="I130" s="33"/>
      <c r="J130" s="33"/>
      <c r="K130" s="33"/>
      <c r="L130" s="121"/>
      <c r="M130" s="79"/>
      <c r="N130" s="33"/>
      <c r="O130" s="35">
        <f>SUM(O2:O129)</f>
        <v>319.68</v>
      </c>
      <c r="P130" s="62">
        <f>AVERAGE(P2:P87)</f>
        <v>0.45250000000000001</v>
      </c>
    </row>
    <row r="131" spans="1:18" x14ac:dyDescent="0.3">
      <c r="F131" s="130">
        <f>一线人员!F676</f>
        <v>0</v>
      </c>
      <c r="G131" s="34">
        <f>SUM(G2:G129)</f>
        <v>0</v>
      </c>
      <c r="P131" s="36"/>
    </row>
    <row r="132" spans="1:18" ht="14.5" x14ac:dyDescent="0.3">
      <c r="B132" s="89"/>
      <c r="F132" s="130">
        <f>F131+F130</f>
        <v>45880.000000000007</v>
      </c>
      <c r="G132" s="34"/>
    </row>
    <row r="133" spans="1:18" ht="14.5" x14ac:dyDescent="0.3">
      <c r="B133" s="89"/>
    </row>
    <row r="134" spans="1:18" ht="14.5" thickBot="1" x14ac:dyDescent="0.35">
      <c r="P134" s="48"/>
    </row>
    <row r="135" spans="1:18" x14ac:dyDescent="0.3">
      <c r="A135" s="74" t="s">
        <v>20</v>
      </c>
      <c r="B135" s="196"/>
      <c r="C135" s="197" t="s">
        <v>21</v>
      </c>
    </row>
    <row r="136" spans="1:18" x14ac:dyDescent="0.3">
      <c r="A136" s="31">
        <v>0</v>
      </c>
      <c r="B136" s="198">
        <v>0.3</v>
      </c>
      <c r="C136" s="199" t="s">
        <v>19</v>
      </c>
      <c r="I136" s="26"/>
      <c r="J136" s="26"/>
      <c r="K136" s="26"/>
      <c r="L136" s="123"/>
      <c r="M136" s="26"/>
      <c r="N136" s="26"/>
      <c r="O136" s="26"/>
      <c r="P136" s="26"/>
    </row>
    <row r="137" spans="1:18" x14ac:dyDescent="0.3">
      <c r="A137" s="31">
        <v>0.3</v>
      </c>
      <c r="B137" s="198">
        <v>0.45</v>
      </c>
      <c r="C137" s="200" t="s">
        <v>18</v>
      </c>
      <c r="I137" s="26"/>
      <c r="J137" s="26"/>
      <c r="K137" s="26"/>
      <c r="L137" s="123"/>
      <c r="M137" s="26"/>
      <c r="N137" s="26"/>
      <c r="O137" s="26"/>
      <c r="P137" s="26"/>
    </row>
    <row r="138" spans="1:18" x14ac:dyDescent="0.3">
      <c r="A138" s="31">
        <v>0.45</v>
      </c>
      <c r="B138" s="198">
        <v>0.7</v>
      </c>
      <c r="C138" s="200" t="s">
        <v>14</v>
      </c>
      <c r="I138" s="26"/>
      <c r="J138" s="26"/>
      <c r="K138" s="26"/>
      <c r="L138" s="123"/>
      <c r="M138" s="26"/>
      <c r="N138" s="26"/>
      <c r="O138" s="26"/>
      <c r="P138" s="26"/>
    </row>
    <row r="139" spans="1:18" ht="14.5" thickBot="1" x14ac:dyDescent="0.35">
      <c r="A139" s="32">
        <v>0.7</v>
      </c>
      <c r="B139" s="201">
        <v>1</v>
      </c>
      <c r="C139" s="202" t="s">
        <v>15</v>
      </c>
      <c r="I139" s="26"/>
      <c r="J139" s="26"/>
      <c r="K139" s="26"/>
      <c r="L139" s="123"/>
      <c r="M139" s="26"/>
      <c r="N139" s="26"/>
      <c r="O139" s="26"/>
      <c r="P139" s="26"/>
    </row>
    <row r="142" spans="1:18" ht="14.5" thickBot="1" x14ac:dyDescent="0.35"/>
    <row r="143" spans="1:18" x14ac:dyDescent="0.3">
      <c r="A143" s="73" t="s">
        <v>15</v>
      </c>
      <c r="B143" s="203"/>
      <c r="C143" s="84" t="s">
        <v>14</v>
      </c>
      <c r="D143" s="203"/>
      <c r="E143" s="84" t="s">
        <v>18</v>
      </c>
      <c r="F143" s="131"/>
      <c r="G143" s="241" t="s">
        <v>19</v>
      </c>
      <c r="H143" s="242"/>
      <c r="I143" s="26"/>
      <c r="J143" s="26"/>
      <c r="K143" s="26"/>
      <c r="L143" s="123"/>
      <c r="M143" s="26"/>
      <c r="N143" s="26"/>
      <c r="O143" s="26"/>
      <c r="P143" s="26"/>
    </row>
    <row r="144" spans="1:18" ht="14.5" thickBot="1" x14ac:dyDescent="0.35">
      <c r="A144" s="124">
        <v>600</v>
      </c>
      <c r="B144" s="204"/>
      <c r="C144" s="126">
        <v>400</v>
      </c>
      <c r="D144" s="204"/>
      <c r="E144" s="126">
        <v>200</v>
      </c>
      <c r="F144" s="125"/>
      <c r="G144" s="237">
        <v>0</v>
      </c>
      <c r="H144" s="238"/>
      <c r="I144" s="26"/>
      <c r="J144" s="26"/>
      <c r="K144" s="26"/>
      <c r="L144" s="123"/>
      <c r="M144" s="26"/>
      <c r="N144" s="26"/>
      <c r="O144" s="26"/>
      <c r="P144" s="26"/>
    </row>
    <row r="146" spans="1:16" ht="14.5" thickBot="1" x14ac:dyDescent="0.35"/>
    <row r="147" spans="1:16" x14ac:dyDescent="0.3">
      <c r="A147" s="76" t="s">
        <v>22</v>
      </c>
      <c r="B147" s="85" t="s">
        <v>1617</v>
      </c>
      <c r="C147" s="85"/>
      <c r="D147" s="85"/>
      <c r="E147" s="85"/>
    </row>
    <row r="148" spans="1:16" ht="15.75" customHeight="1" x14ac:dyDescent="0.3">
      <c r="A148" s="75"/>
      <c r="B148" s="205" t="s">
        <v>15</v>
      </c>
      <c r="C148" s="206" t="s">
        <v>14</v>
      </c>
      <c r="D148" s="206" t="s">
        <v>18</v>
      </c>
      <c r="E148" s="86" t="s">
        <v>19</v>
      </c>
      <c r="I148" s="26"/>
      <c r="J148" s="26"/>
      <c r="K148" s="26"/>
      <c r="L148" s="123"/>
      <c r="M148" s="26"/>
      <c r="N148" s="26"/>
      <c r="O148" s="26"/>
      <c r="P148" s="26"/>
    </row>
    <row r="149" spans="1:16" x14ac:dyDescent="0.3">
      <c r="A149" s="61" t="s">
        <v>19</v>
      </c>
      <c r="B149" s="207">
        <v>0</v>
      </c>
      <c r="C149" s="208">
        <v>0.05</v>
      </c>
      <c r="D149" s="208">
        <v>0.95</v>
      </c>
      <c r="E149" s="87">
        <v>0</v>
      </c>
      <c r="I149" s="26"/>
      <c r="J149" s="26"/>
      <c r="K149" s="26"/>
      <c r="L149" s="123"/>
      <c r="M149" s="26"/>
      <c r="N149" s="26"/>
      <c r="O149" s="26"/>
      <c r="P149" s="26"/>
    </row>
    <row r="150" spans="1:16" x14ac:dyDescent="0.3">
      <c r="A150" s="61" t="s">
        <v>18</v>
      </c>
      <c r="B150" s="207">
        <v>0</v>
      </c>
      <c r="C150" s="208">
        <v>0.25</v>
      </c>
      <c r="D150" s="208">
        <v>0.75</v>
      </c>
      <c r="E150" s="87">
        <v>0</v>
      </c>
      <c r="I150" s="26"/>
      <c r="J150" s="26"/>
      <c r="K150" s="26"/>
      <c r="L150" s="123"/>
      <c r="M150" s="26"/>
      <c r="N150" s="26"/>
      <c r="O150" s="26"/>
      <c r="P150" s="26"/>
    </row>
    <row r="151" spans="1:16" x14ac:dyDescent="0.3">
      <c r="A151" s="227" t="s">
        <v>14</v>
      </c>
      <c r="B151" s="228">
        <v>0.05</v>
      </c>
      <c r="C151" s="229">
        <v>0.85</v>
      </c>
      <c r="D151" s="229">
        <v>0.1</v>
      </c>
      <c r="E151" s="230">
        <v>0</v>
      </c>
      <c r="I151" s="26"/>
      <c r="J151" s="26"/>
      <c r="K151" s="26"/>
      <c r="L151" s="123"/>
      <c r="M151" s="26"/>
      <c r="N151" s="26"/>
      <c r="O151" s="26"/>
      <c r="P151" s="26"/>
    </row>
    <row r="152" spans="1:16" ht="14.5" thickBot="1" x14ac:dyDescent="0.35">
      <c r="A152" s="1" t="s">
        <v>15</v>
      </c>
      <c r="B152" s="209">
        <v>0.15</v>
      </c>
      <c r="C152" s="210">
        <v>0.8</v>
      </c>
      <c r="D152" s="210">
        <v>0.05</v>
      </c>
      <c r="E152" s="88">
        <v>0</v>
      </c>
      <c r="F152" s="132"/>
      <c r="G152" s="26"/>
      <c r="H152" s="26"/>
      <c r="I152" s="26"/>
      <c r="J152" s="26"/>
      <c r="K152" s="26"/>
      <c r="L152" s="123"/>
      <c r="M152" s="26"/>
      <c r="N152" s="26"/>
      <c r="O152" s="26"/>
      <c r="P152" s="26"/>
    </row>
    <row r="154" spans="1:16" ht="14.5" x14ac:dyDescent="0.3">
      <c r="A154" s="26" t="s">
        <v>23</v>
      </c>
    </row>
    <row r="156" spans="1:16" x14ac:dyDescent="0.3">
      <c r="D156" s="211"/>
    </row>
    <row r="157" spans="1:16" x14ac:dyDescent="0.3">
      <c r="D157" s="211"/>
    </row>
    <row r="158" spans="1:16" x14ac:dyDescent="0.3">
      <c r="D158" s="211"/>
    </row>
    <row r="159" spans="1:16" x14ac:dyDescent="0.3">
      <c r="D159" s="211"/>
    </row>
    <row r="160" spans="1:16" x14ac:dyDescent="0.3">
      <c r="D160" s="211"/>
    </row>
    <row r="161" spans="4:5" x14ac:dyDescent="0.3">
      <c r="D161" s="211"/>
    </row>
    <row r="162" spans="4:5" x14ac:dyDescent="0.3">
      <c r="D162" s="211"/>
    </row>
    <row r="163" spans="4:5" x14ac:dyDescent="0.3">
      <c r="D163" s="211"/>
    </row>
    <row r="164" spans="4:5" x14ac:dyDescent="0.3">
      <c r="D164" s="211"/>
    </row>
    <row r="165" spans="4:5" ht="14.5" x14ac:dyDescent="0.3">
      <c r="D165" s="211"/>
      <c r="E165" s="89"/>
    </row>
    <row r="166" spans="4:5" ht="14.5" x14ac:dyDescent="0.3">
      <c r="D166" s="211"/>
      <c r="E166" s="89"/>
    </row>
    <row r="167" spans="4:5" ht="14.5" x14ac:dyDescent="0.3">
      <c r="D167" s="211"/>
      <c r="E167" s="89"/>
    </row>
    <row r="168" spans="4:5" ht="14.5" x14ac:dyDescent="0.3">
      <c r="D168" s="211"/>
      <c r="E168" s="89"/>
    </row>
    <row r="169" spans="4:5" ht="14.5" x14ac:dyDescent="0.3">
      <c r="D169" s="211"/>
      <c r="E169" s="89"/>
    </row>
    <row r="170" spans="4:5" ht="14.5" x14ac:dyDescent="0.3">
      <c r="D170" s="211"/>
      <c r="E170" s="89"/>
    </row>
    <row r="171" spans="4:5" ht="14.5" x14ac:dyDescent="0.3">
      <c r="D171" s="211"/>
      <c r="E171" s="89"/>
    </row>
    <row r="172" spans="4:5" x14ac:dyDescent="0.3">
      <c r="D172" s="211"/>
    </row>
    <row r="173" spans="4:5" x14ac:dyDescent="0.3">
      <c r="D173" s="211"/>
    </row>
    <row r="174" spans="4:5" x14ac:dyDescent="0.3">
      <c r="D174" s="211"/>
    </row>
    <row r="175" spans="4:5" x14ac:dyDescent="0.3">
      <c r="D175" s="211"/>
    </row>
    <row r="176" spans="4:5" x14ac:dyDescent="0.3">
      <c r="D176" s="211"/>
    </row>
    <row r="177" spans="4:4" x14ac:dyDescent="0.3">
      <c r="D177" s="211"/>
    </row>
    <row r="178" spans="4:4" x14ac:dyDescent="0.3">
      <c r="D178" s="211"/>
    </row>
    <row r="179" spans="4:4" x14ac:dyDescent="0.3">
      <c r="D179" s="211"/>
    </row>
    <row r="180" spans="4:4" x14ac:dyDescent="0.3">
      <c r="D180" s="211"/>
    </row>
    <row r="181" spans="4:4" x14ac:dyDescent="0.3">
      <c r="D181" s="211"/>
    </row>
    <row r="182" spans="4:4" x14ac:dyDescent="0.3">
      <c r="D182" s="211"/>
    </row>
    <row r="183" spans="4:4" x14ac:dyDescent="0.3">
      <c r="D183" s="211"/>
    </row>
    <row r="184" spans="4:4" x14ac:dyDescent="0.3">
      <c r="D184" s="211"/>
    </row>
    <row r="185" spans="4:4" x14ac:dyDescent="0.3">
      <c r="D185" s="211"/>
    </row>
    <row r="186" spans="4:4" x14ac:dyDescent="0.3">
      <c r="D186" s="211"/>
    </row>
    <row r="187" spans="4:4" x14ac:dyDescent="0.3">
      <c r="D187" s="211"/>
    </row>
    <row r="188" spans="4:4" x14ac:dyDescent="0.3">
      <c r="D188" s="211"/>
    </row>
    <row r="203" spans="10:10" x14ac:dyDescent="0.3">
      <c r="J203" s="64"/>
    </row>
    <row r="204" spans="10:10" x14ac:dyDescent="0.3">
      <c r="J204" s="64"/>
    </row>
    <row r="205" spans="10:10" x14ac:dyDescent="0.3">
      <c r="J205" s="64"/>
    </row>
    <row r="206" spans="10:10" x14ac:dyDescent="0.3">
      <c r="J206" s="64"/>
    </row>
  </sheetData>
  <sheetProtection formatCells="0" insertHyperlinks="0" autoFilter="0"/>
  <autoFilter ref="A1:R132"/>
  <mergeCells count="14">
    <mergeCell ref="N68:N87"/>
    <mergeCell ref="N44:N63"/>
    <mergeCell ref="G144:H144"/>
    <mergeCell ref="P2:P43"/>
    <mergeCell ref="O2:O43"/>
    <mergeCell ref="G143:H143"/>
    <mergeCell ref="N2:N43"/>
    <mergeCell ref="P44:P63"/>
    <mergeCell ref="O44:O63"/>
    <mergeCell ref="P64:P67"/>
    <mergeCell ref="O64:O67"/>
    <mergeCell ref="N64:N67"/>
    <mergeCell ref="P68:P87"/>
    <mergeCell ref="O68:O87"/>
  </mergeCells>
  <phoneticPr fontId="64" type="noConversion"/>
  <conditionalFormatting sqref="D129:D1048576 D1:D8 D111 D119:D126 D53 D64:D66 D77:D83 D24:D32 D44:D45 D68:D75">
    <cfRule type="duplicateValues" dxfId="682" priority="210"/>
  </conditionalFormatting>
  <conditionalFormatting sqref="D127">
    <cfRule type="duplicateValues" dxfId="681" priority="208"/>
  </conditionalFormatting>
  <conditionalFormatting sqref="D128">
    <cfRule type="duplicateValues" dxfId="680" priority="206"/>
  </conditionalFormatting>
  <conditionalFormatting sqref="D104:D106 D112:D117 D108:D110">
    <cfRule type="duplicateValues" dxfId="679" priority="198"/>
  </conditionalFormatting>
  <conditionalFormatting sqref="D9">
    <cfRule type="duplicateValues" dxfId="678" priority="191"/>
  </conditionalFormatting>
  <conditionalFormatting sqref="D9">
    <cfRule type="duplicateValues" dxfId="677" priority="190"/>
  </conditionalFormatting>
  <conditionalFormatting sqref="D33">
    <cfRule type="duplicateValues" dxfId="676" priority="25229"/>
  </conditionalFormatting>
  <conditionalFormatting sqref="D21:D23">
    <cfRule type="duplicateValues" dxfId="675" priority="188"/>
  </conditionalFormatting>
  <conditionalFormatting sqref="D21:D23">
    <cfRule type="duplicateValues" dxfId="674" priority="187"/>
  </conditionalFormatting>
  <conditionalFormatting sqref="D10">
    <cfRule type="duplicateValues" dxfId="673" priority="185"/>
  </conditionalFormatting>
  <conditionalFormatting sqref="D10">
    <cfRule type="duplicateValues" dxfId="672" priority="184"/>
  </conditionalFormatting>
  <conditionalFormatting sqref="D118">
    <cfRule type="duplicateValues" dxfId="671" priority="162"/>
  </conditionalFormatting>
  <conditionalFormatting sqref="D118">
    <cfRule type="duplicateValues" dxfId="670" priority="161"/>
  </conditionalFormatting>
  <conditionalFormatting sqref="D119:D1048576 D1:D8 D53 D64:D66 D77:D83 D104:D106 D24:D32 D44:D45 D68:D75 D108:D117">
    <cfRule type="duplicateValues" dxfId="669" priority="25663"/>
  </conditionalFormatting>
  <conditionalFormatting sqref="D76">
    <cfRule type="duplicateValues" dxfId="668" priority="157"/>
  </conditionalFormatting>
  <conditionalFormatting sqref="D76">
    <cfRule type="duplicateValues" dxfId="667" priority="156"/>
  </conditionalFormatting>
  <conditionalFormatting sqref="D51">
    <cfRule type="duplicateValues" dxfId="666" priority="154"/>
  </conditionalFormatting>
  <conditionalFormatting sqref="D51">
    <cfRule type="duplicateValues" dxfId="665" priority="153"/>
  </conditionalFormatting>
  <conditionalFormatting sqref="D88">
    <cfRule type="duplicateValues" dxfId="664" priority="144"/>
  </conditionalFormatting>
  <conditionalFormatting sqref="D103 D100 D89">
    <cfRule type="duplicateValues" dxfId="663" priority="143"/>
  </conditionalFormatting>
  <conditionalFormatting sqref="D103 D100 D88:D89">
    <cfRule type="duplicateValues" dxfId="662" priority="146"/>
  </conditionalFormatting>
  <conditionalFormatting sqref="D97:D98">
    <cfRule type="duplicateValues" dxfId="661" priority="139"/>
  </conditionalFormatting>
  <conditionalFormatting sqref="D97:D98">
    <cfRule type="duplicateValues" dxfId="660" priority="140"/>
  </conditionalFormatting>
  <conditionalFormatting sqref="D92:D93">
    <cfRule type="duplicateValues" dxfId="659" priority="137"/>
  </conditionalFormatting>
  <conditionalFormatting sqref="D92:D93">
    <cfRule type="duplicateValues" dxfId="658" priority="138"/>
  </conditionalFormatting>
  <conditionalFormatting sqref="D102">
    <cfRule type="duplicateValues" dxfId="657" priority="135"/>
  </conditionalFormatting>
  <conditionalFormatting sqref="D102">
    <cfRule type="duplicateValues" dxfId="656" priority="136"/>
  </conditionalFormatting>
  <conditionalFormatting sqref="D86">
    <cfRule type="duplicateValues" dxfId="655" priority="133"/>
  </conditionalFormatting>
  <conditionalFormatting sqref="D86">
    <cfRule type="duplicateValues" dxfId="654" priority="134"/>
  </conditionalFormatting>
  <conditionalFormatting sqref="D101">
    <cfRule type="duplicateValues" dxfId="653" priority="131"/>
  </conditionalFormatting>
  <conditionalFormatting sqref="D101">
    <cfRule type="duplicateValues" dxfId="652" priority="132"/>
  </conditionalFormatting>
  <conditionalFormatting sqref="D16:D18">
    <cfRule type="duplicateValues" dxfId="651" priority="124"/>
  </conditionalFormatting>
  <conditionalFormatting sqref="D16:D18">
    <cfRule type="duplicateValues" dxfId="650" priority="123"/>
  </conditionalFormatting>
  <conditionalFormatting sqref="D16:D18">
    <cfRule type="duplicateValues" dxfId="649" priority="125"/>
    <cfRule type="duplicateValues" dxfId="648" priority="126"/>
  </conditionalFormatting>
  <conditionalFormatting sqref="D16:D18">
    <cfRule type="duplicateValues" dxfId="647" priority="127"/>
  </conditionalFormatting>
  <conditionalFormatting sqref="D15">
    <cfRule type="duplicateValues" dxfId="646" priority="119"/>
  </conditionalFormatting>
  <conditionalFormatting sqref="D15">
    <cfRule type="duplicateValues" dxfId="645" priority="118"/>
  </conditionalFormatting>
  <conditionalFormatting sqref="D15">
    <cfRule type="duplicateValues" dxfId="644" priority="120"/>
    <cfRule type="duplicateValues" dxfId="643" priority="121"/>
  </conditionalFormatting>
  <conditionalFormatting sqref="D15">
    <cfRule type="duplicateValues" dxfId="642" priority="122"/>
  </conditionalFormatting>
  <conditionalFormatting sqref="D36">
    <cfRule type="duplicateValues" dxfId="641" priority="102"/>
  </conditionalFormatting>
  <conditionalFormatting sqref="D36">
    <cfRule type="duplicateValues" dxfId="640" priority="104"/>
  </conditionalFormatting>
  <conditionalFormatting sqref="D38">
    <cfRule type="duplicateValues" dxfId="639" priority="97"/>
  </conditionalFormatting>
  <conditionalFormatting sqref="D59 D54 D56">
    <cfRule type="duplicateValues" dxfId="638" priority="92"/>
  </conditionalFormatting>
  <conditionalFormatting sqref="D57">
    <cfRule type="duplicateValues" dxfId="637" priority="90"/>
  </conditionalFormatting>
  <conditionalFormatting sqref="D57">
    <cfRule type="duplicateValues" dxfId="636" priority="89"/>
  </conditionalFormatting>
  <conditionalFormatting sqref="D59">
    <cfRule type="duplicateValues" dxfId="635" priority="94"/>
  </conditionalFormatting>
  <conditionalFormatting sqref="D58">
    <cfRule type="duplicateValues" dxfId="634" priority="86"/>
  </conditionalFormatting>
  <conditionalFormatting sqref="D58">
    <cfRule type="duplicateValues" dxfId="633" priority="88"/>
  </conditionalFormatting>
  <conditionalFormatting sqref="D61">
    <cfRule type="duplicateValues" dxfId="632" priority="77"/>
  </conditionalFormatting>
  <conditionalFormatting sqref="D61">
    <cfRule type="duplicateValues" dxfId="631" priority="76"/>
  </conditionalFormatting>
  <conditionalFormatting sqref="D61">
    <cfRule type="duplicateValues" dxfId="630" priority="78"/>
    <cfRule type="duplicateValues" dxfId="629" priority="79"/>
  </conditionalFormatting>
  <conditionalFormatting sqref="D61">
    <cfRule type="duplicateValues" dxfId="628" priority="80"/>
  </conditionalFormatting>
  <conditionalFormatting sqref="D85">
    <cfRule type="duplicateValues" dxfId="627" priority="73"/>
  </conditionalFormatting>
  <conditionalFormatting sqref="D85">
    <cfRule type="duplicateValues" dxfId="626" priority="75"/>
  </conditionalFormatting>
  <conditionalFormatting sqref="D87">
    <cfRule type="duplicateValues" dxfId="625" priority="68"/>
  </conditionalFormatting>
  <conditionalFormatting sqref="D87">
    <cfRule type="duplicateValues" dxfId="624" priority="69"/>
  </conditionalFormatting>
  <conditionalFormatting sqref="D87">
    <cfRule type="duplicateValues" dxfId="623" priority="70"/>
    <cfRule type="duplicateValues" dxfId="622" priority="71"/>
  </conditionalFormatting>
  <conditionalFormatting sqref="D87">
    <cfRule type="duplicateValues" dxfId="621" priority="72"/>
  </conditionalFormatting>
  <conditionalFormatting sqref="D20">
    <cfRule type="duplicateValues" dxfId="620" priority="64"/>
  </conditionalFormatting>
  <conditionalFormatting sqref="D20">
    <cfRule type="duplicateValues" dxfId="619" priority="63"/>
  </conditionalFormatting>
  <conditionalFormatting sqref="D20">
    <cfRule type="duplicateValues" dxfId="618" priority="65"/>
    <cfRule type="duplicateValues" dxfId="617" priority="66"/>
  </conditionalFormatting>
  <conditionalFormatting sqref="D20">
    <cfRule type="duplicateValues" dxfId="616" priority="67"/>
  </conditionalFormatting>
  <conditionalFormatting sqref="D19">
    <cfRule type="duplicateValues" dxfId="615" priority="59"/>
  </conditionalFormatting>
  <conditionalFormatting sqref="D19">
    <cfRule type="duplicateValues" dxfId="614" priority="58"/>
  </conditionalFormatting>
  <conditionalFormatting sqref="D19">
    <cfRule type="duplicateValues" dxfId="613" priority="60"/>
    <cfRule type="duplicateValues" dxfId="612" priority="61"/>
  </conditionalFormatting>
  <conditionalFormatting sqref="D19">
    <cfRule type="duplicateValues" dxfId="611" priority="62"/>
  </conditionalFormatting>
  <conditionalFormatting sqref="D12">
    <cfRule type="duplicateValues" dxfId="610" priority="56"/>
  </conditionalFormatting>
  <conditionalFormatting sqref="D12">
    <cfRule type="duplicateValues" dxfId="609" priority="55"/>
  </conditionalFormatting>
  <conditionalFormatting sqref="D49">
    <cfRule type="duplicateValues" dxfId="608" priority="27187"/>
  </conditionalFormatting>
  <conditionalFormatting sqref="D39:D43 D37">
    <cfRule type="duplicateValues" dxfId="607" priority="28594"/>
  </conditionalFormatting>
  <conditionalFormatting sqref="D50">
    <cfRule type="duplicateValues" dxfId="606" priority="28619"/>
  </conditionalFormatting>
  <conditionalFormatting sqref="D62:D63">
    <cfRule type="duplicateValues" dxfId="605" priority="28652"/>
  </conditionalFormatting>
  <conditionalFormatting sqref="D62:D63">
    <cfRule type="duplicateValues" dxfId="604" priority="28687"/>
    <cfRule type="duplicateValues" dxfId="603" priority="28688"/>
  </conditionalFormatting>
  <conditionalFormatting sqref="D99">
    <cfRule type="duplicateValues" dxfId="602" priority="28720"/>
  </conditionalFormatting>
  <conditionalFormatting sqref="D99">
    <cfRule type="duplicateValues" dxfId="601" priority="28721"/>
  </conditionalFormatting>
  <conditionalFormatting sqref="D46">
    <cfRule type="duplicateValues" dxfId="600" priority="49"/>
  </conditionalFormatting>
  <conditionalFormatting sqref="D46">
    <cfRule type="duplicateValues" dxfId="599" priority="51"/>
  </conditionalFormatting>
  <conditionalFormatting sqref="D52">
    <cfRule type="duplicateValues" dxfId="598" priority="47"/>
  </conditionalFormatting>
  <conditionalFormatting sqref="D52">
    <cfRule type="duplicateValues" dxfId="597" priority="46"/>
  </conditionalFormatting>
  <conditionalFormatting sqref="D55">
    <cfRule type="duplicateValues" dxfId="596" priority="44"/>
  </conditionalFormatting>
  <conditionalFormatting sqref="D60">
    <cfRule type="duplicateValues" dxfId="595" priority="41"/>
  </conditionalFormatting>
  <conditionalFormatting sqref="D60">
    <cfRule type="duplicateValues" dxfId="594" priority="43"/>
  </conditionalFormatting>
  <conditionalFormatting sqref="D84">
    <cfRule type="duplicateValues" dxfId="593" priority="39"/>
  </conditionalFormatting>
  <conditionalFormatting sqref="D84">
    <cfRule type="duplicateValues" dxfId="592" priority="38"/>
  </conditionalFormatting>
  <conditionalFormatting sqref="D90">
    <cfRule type="duplicateValues" dxfId="591" priority="34"/>
  </conditionalFormatting>
  <conditionalFormatting sqref="D90">
    <cfRule type="duplicateValues" dxfId="590" priority="35"/>
  </conditionalFormatting>
  <conditionalFormatting sqref="D96">
    <cfRule type="duplicateValues" dxfId="589" priority="30"/>
  </conditionalFormatting>
  <conditionalFormatting sqref="D96">
    <cfRule type="duplicateValues" dxfId="588" priority="31"/>
  </conditionalFormatting>
  <conditionalFormatting sqref="D94:D95">
    <cfRule type="duplicateValues" dxfId="587" priority="28"/>
  </conditionalFormatting>
  <conditionalFormatting sqref="D94:D95">
    <cfRule type="duplicateValues" dxfId="586" priority="29"/>
  </conditionalFormatting>
  <conditionalFormatting sqref="D13">
    <cfRule type="duplicateValues" dxfId="585" priority="22"/>
  </conditionalFormatting>
  <conditionalFormatting sqref="D13">
    <cfRule type="duplicateValues" dxfId="584" priority="24"/>
  </conditionalFormatting>
  <conditionalFormatting sqref="D14">
    <cfRule type="duplicateValues" dxfId="583" priority="21"/>
  </conditionalFormatting>
  <conditionalFormatting sqref="D11">
    <cfRule type="duplicateValues" dxfId="582" priority="18"/>
  </conditionalFormatting>
  <conditionalFormatting sqref="D11">
    <cfRule type="duplicateValues" dxfId="581" priority="17"/>
  </conditionalFormatting>
  <conditionalFormatting sqref="D34">
    <cfRule type="duplicateValues" dxfId="580" priority="14"/>
  </conditionalFormatting>
  <conditionalFormatting sqref="D34">
    <cfRule type="duplicateValues" dxfId="579" priority="16"/>
  </conditionalFormatting>
  <conditionalFormatting sqref="D35">
    <cfRule type="duplicateValues" dxfId="578" priority="11"/>
  </conditionalFormatting>
  <conditionalFormatting sqref="D35">
    <cfRule type="duplicateValues" dxfId="577" priority="13"/>
  </conditionalFormatting>
  <conditionalFormatting sqref="D67">
    <cfRule type="duplicateValues" dxfId="576" priority="8"/>
  </conditionalFormatting>
  <conditionalFormatting sqref="D67">
    <cfRule type="duplicateValues" dxfId="575" priority="10"/>
  </conditionalFormatting>
  <conditionalFormatting sqref="D107">
    <cfRule type="duplicateValues" dxfId="574" priority="6"/>
  </conditionalFormatting>
  <conditionalFormatting sqref="D107">
    <cfRule type="duplicateValues" dxfId="573" priority="7"/>
  </conditionalFormatting>
  <conditionalFormatting sqref="D91">
    <cfRule type="duplicateValues" dxfId="572" priority="29014"/>
  </conditionalFormatting>
  <conditionalFormatting sqref="D91">
    <cfRule type="duplicateValues" dxfId="571" priority="29015"/>
  </conditionalFormatting>
  <conditionalFormatting sqref="D47">
    <cfRule type="duplicateValues" dxfId="570" priority="4"/>
  </conditionalFormatting>
  <conditionalFormatting sqref="D47">
    <cfRule type="duplicateValues" dxfId="569" priority="5"/>
  </conditionalFormatting>
  <conditionalFormatting sqref="D48">
    <cfRule type="duplicateValues" dxfId="568" priority="2"/>
  </conditionalFormatting>
  <conditionalFormatting sqref="D48">
    <cfRule type="duplicateValues" dxfId="567" priority="3"/>
  </conditionalFormatting>
  <conditionalFormatting sqref="D1:D1048576">
    <cfRule type="duplicateValues" dxfId="566" priority="1"/>
  </conditionalFormatting>
  <conditionalFormatting sqref="D37:D43">
    <cfRule type="duplicateValues" dxfId="565" priority="29564"/>
  </conditionalFormatting>
  <conditionalFormatting sqref="D37:D43">
    <cfRule type="duplicateValues" dxfId="564" priority="29565"/>
    <cfRule type="duplicateValues" dxfId="563" priority="29566"/>
  </conditionalFormatting>
  <dataValidations count="3">
    <dataValidation type="list" allowBlank="1" showInputMessage="1" showErrorMessage="1" sqref="B126:B129 B111 B35:B43 B49:B52 B4:B18 B87:B88 B24:B33 B56:B85">
      <formula1>"主管,副主管,主任,副主任,工艺组长,工程师,助工"</formula1>
    </dataValidation>
    <dataValidation type="list" allowBlank="1" showInputMessage="1" showErrorMessage="1" sqref="B2:B3 B21:B23 B123 B53:B55 B44:B48">
      <formula1>"主管,副主管,主任,工艺组长,副主任,工程师,助工"</formula1>
    </dataValidation>
    <dataValidation type="list" allowBlank="1" showInputMessage="1" showErrorMessage="1" sqref="M2:M129">
      <formula1>"A,B,C,D,取消"</formula1>
    </dataValidation>
  </dataValidations>
  <pageMargins left="0.7" right="0.7" top="0.75" bottom="0.75" header="0.3" footer="0.3"/>
  <pageSetup paperSize="9" scale="51" orientation="portrait" r:id="rId1"/>
  <customProperties>
    <customPr name="BudgetSheetCodeName" r:id="rId2"/>
  </customProperties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AU676"/>
  <sheetViews>
    <sheetView tabSelected="1" zoomScale="80" zoomScaleNormal="80" workbookViewId="0">
      <pane xSplit="11" ySplit="2" topLeftCell="Z3" activePane="bottomRight" state="frozen"/>
      <selection pane="topRight" activeCell="L1" sqref="L1"/>
      <selection pane="bottomLeft" activeCell="A3" sqref="A3"/>
      <selection pane="bottomRight" activeCell="AO6" sqref="AO6"/>
    </sheetView>
  </sheetViews>
  <sheetFormatPr defaultColWidth="9" defaultRowHeight="21" customHeight="1" outlineLevelCol="1" x14ac:dyDescent="0.35"/>
  <cols>
    <col min="1" max="1" width="24.7265625" style="94" customWidth="1"/>
    <col min="2" max="2" width="10.90625" style="115" customWidth="1"/>
    <col min="3" max="3" width="10.26953125" style="116" customWidth="1"/>
    <col min="4" max="4" width="10.6328125" style="116" customWidth="1"/>
    <col min="5" max="5" width="10.453125" style="116" customWidth="1"/>
    <col min="6" max="6" width="9.7265625" style="192" customWidth="1"/>
    <col min="7" max="7" width="8.36328125" style="191" hidden="1" customWidth="1" outlineLevel="1"/>
    <col min="8" max="10" width="6.7265625" style="191" hidden="1" customWidth="1" outlineLevel="1"/>
    <col min="11" max="11" width="9.7265625" style="192" customWidth="1" collapsed="1"/>
    <col min="12" max="42" width="4.7265625" style="106" customWidth="1"/>
    <col min="43" max="43" width="14.90625" style="104" customWidth="1"/>
    <col min="44" max="45" width="12.6328125" style="104" customWidth="1"/>
    <col min="46" max="46" width="30.6328125" style="149" customWidth="1" outlineLevel="1"/>
    <col min="47" max="47" width="33.90625" style="94" customWidth="1" outlineLevel="1"/>
    <col min="48" max="16384" width="9" style="94"/>
  </cols>
  <sheetData>
    <row r="1" spans="1:47" ht="21" customHeight="1" x14ac:dyDescent="0.35">
      <c r="A1" s="256" t="s">
        <v>1125</v>
      </c>
      <c r="B1" s="258" t="s">
        <v>726</v>
      </c>
      <c r="C1" s="257" t="s">
        <v>1126</v>
      </c>
      <c r="D1" s="255" t="s">
        <v>3</v>
      </c>
      <c r="E1" s="257" t="s">
        <v>1127</v>
      </c>
      <c r="F1" s="255" t="s">
        <v>1128</v>
      </c>
      <c r="G1" s="254" t="s">
        <v>1129</v>
      </c>
      <c r="H1" s="254" t="s">
        <v>6</v>
      </c>
      <c r="I1" s="254" t="s">
        <v>1130</v>
      </c>
      <c r="J1" s="254" t="s">
        <v>1131</v>
      </c>
      <c r="K1" s="255" t="s">
        <v>1132</v>
      </c>
      <c r="L1" s="249" t="s">
        <v>1864</v>
      </c>
      <c r="M1" s="249"/>
      <c r="N1" s="249"/>
      <c r="O1" s="249"/>
      <c r="P1" s="249"/>
      <c r="Q1" s="249"/>
      <c r="R1" s="249"/>
      <c r="S1" s="249"/>
      <c r="T1" s="249"/>
      <c r="U1" s="249"/>
      <c r="V1" s="249"/>
      <c r="W1" s="249"/>
      <c r="X1" s="249"/>
      <c r="Y1" s="249"/>
      <c r="Z1" s="249"/>
      <c r="AA1" s="249"/>
      <c r="AB1" s="249"/>
      <c r="AC1" s="249"/>
      <c r="AD1" s="249"/>
      <c r="AE1" s="249"/>
      <c r="AF1" s="249"/>
      <c r="AG1" s="249"/>
      <c r="AH1" s="249"/>
      <c r="AI1" s="249"/>
      <c r="AJ1" s="249"/>
      <c r="AK1" s="249"/>
      <c r="AL1" s="249"/>
      <c r="AM1" s="249"/>
      <c r="AN1" s="249"/>
      <c r="AO1" s="249"/>
      <c r="AP1" s="249"/>
      <c r="AQ1" s="252" t="s">
        <v>390</v>
      </c>
      <c r="AR1" s="253"/>
      <c r="AS1" s="253"/>
    </row>
    <row r="2" spans="1:47" ht="24.75" customHeight="1" x14ac:dyDescent="0.35">
      <c r="A2" s="256"/>
      <c r="B2" s="258"/>
      <c r="C2" s="257"/>
      <c r="D2" s="255"/>
      <c r="E2" s="257"/>
      <c r="F2" s="255"/>
      <c r="G2" s="254"/>
      <c r="H2" s="254"/>
      <c r="I2" s="254"/>
      <c r="J2" s="254"/>
      <c r="K2" s="255"/>
      <c r="L2" s="95">
        <v>46204</v>
      </c>
      <c r="M2" s="95">
        <v>46205</v>
      </c>
      <c r="N2" s="95">
        <v>46206</v>
      </c>
      <c r="O2" s="95">
        <v>46207</v>
      </c>
      <c r="P2" s="95">
        <v>46208</v>
      </c>
      <c r="Q2" s="95">
        <v>46209</v>
      </c>
      <c r="R2" s="95">
        <v>46210</v>
      </c>
      <c r="S2" s="95">
        <v>46211</v>
      </c>
      <c r="T2" s="95">
        <v>46212</v>
      </c>
      <c r="U2" s="95">
        <v>46213</v>
      </c>
      <c r="V2" s="95">
        <v>46214</v>
      </c>
      <c r="W2" s="95">
        <v>46215</v>
      </c>
      <c r="X2" s="95">
        <v>46216</v>
      </c>
      <c r="Y2" s="95">
        <v>46217</v>
      </c>
      <c r="Z2" s="95">
        <v>46218</v>
      </c>
      <c r="AA2" s="95">
        <v>46219</v>
      </c>
      <c r="AB2" s="95">
        <v>46220</v>
      </c>
      <c r="AC2" s="95">
        <v>46221</v>
      </c>
      <c r="AD2" s="95">
        <v>46222</v>
      </c>
      <c r="AE2" s="95">
        <v>46223</v>
      </c>
      <c r="AF2" s="95">
        <v>46224</v>
      </c>
      <c r="AG2" s="95">
        <v>46225</v>
      </c>
      <c r="AH2" s="95">
        <v>46226</v>
      </c>
      <c r="AI2" s="95">
        <v>46227</v>
      </c>
      <c r="AJ2" s="95">
        <v>46228</v>
      </c>
      <c r="AK2" s="95">
        <v>46229</v>
      </c>
      <c r="AL2" s="95">
        <v>46230</v>
      </c>
      <c r="AM2" s="95">
        <v>46231</v>
      </c>
      <c r="AN2" s="95">
        <v>46232</v>
      </c>
      <c r="AO2" s="95">
        <v>46233</v>
      </c>
      <c r="AP2" s="95">
        <v>46234</v>
      </c>
      <c r="AQ2" s="96" t="s">
        <v>1133</v>
      </c>
      <c r="AR2" s="97" t="s">
        <v>1134</v>
      </c>
      <c r="AS2" s="97" t="s">
        <v>1135</v>
      </c>
      <c r="AT2" s="149" t="s">
        <v>1404</v>
      </c>
      <c r="AU2" s="149" t="s">
        <v>1403</v>
      </c>
    </row>
    <row r="3" spans="1:47" ht="21" customHeight="1" x14ac:dyDescent="0.35">
      <c r="A3" s="259" t="s">
        <v>1136</v>
      </c>
      <c r="B3" s="98" t="s">
        <v>16</v>
      </c>
      <c r="C3" s="99" t="s">
        <v>218</v>
      </c>
      <c r="D3" s="100" t="s">
        <v>270</v>
      </c>
      <c r="E3" s="101">
        <v>45462</v>
      </c>
      <c r="F3" s="102">
        <f t="shared" ref="F3" si="0">(K3+G3+H3+I3-J3)</f>
        <v>0</v>
      </c>
      <c r="G3" s="150">
        <f>SUMIF(积分汇总!$B:$B,C3,积分汇总!$E:$E)</f>
        <v>0</v>
      </c>
      <c r="H3" s="150">
        <f>SUMIF(记录巡查问题条数汇总!$B:$B,C3,记录巡查问题条数汇总!$E:$E)</f>
        <v>0</v>
      </c>
      <c r="I3" s="150"/>
      <c r="J3" s="150">
        <f>SUMIF(安全质量事故!$B:$B,C3,安全质量事故!$G:$G)</f>
        <v>0</v>
      </c>
      <c r="K3" s="141">
        <f>COUNTIF(L3:AP3,标准数据!$A$2)*标准数据!$B$2+COUNTIF(L3:AP3,标准数据!$A$3)*标准数据!$B$3+COUNTIF(L3:AP3,标准数据!$A$4)*标准数据!$B$4</f>
        <v>0</v>
      </c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17">
        <f>COUNTIF($L$3:$AP$73,"a")</f>
        <v>0</v>
      </c>
      <c r="AR3" s="117">
        <f>COUNTIF($L$3:$AP$73,"b")</f>
        <v>0</v>
      </c>
      <c r="AS3" s="117">
        <f>COUNTIF($L$3:$AP$73,"c")</f>
        <v>0</v>
      </c>
      <c r="AT3" s="149" t="s">
        <v>1816</v>
      </c>
      <c r="AU3" s="94" t="s">
        <v>1817</v>
      </c>
    </row>
    <row r="4" spans="1:47" ht="21" customHeight="1" x14ac:dyDescent="0.35">
      <c r="A4" s="259"/>
      <c r="B4" s="98" t="s">
        <v>16</v>
      </c>
      <c r="C4" s="99" t="s">
        <v>504</v>
      </c>
      <c r="D4" s="100" t="s">
        <v>475</v>
      </c>
      <c r="E4" s="101">
        <v>45840</v>
      </c>
      <c r="F4" s="102">
        <f t="shared" ref="F4:F74" si="1">(K4+G4+H4+I4-J4)</f>
        <v>0</v>
      </c>
      <c r="G4" s="150">
        <f>SUMIF(积分汇总!$B:$B,C4,积分汇总!$E:$E)</f>
        <v>0</v>
      </c>
      <c r="H4" s="150">
        <f>SUMIF(记录巡查问题条数汇总!$B:$B,C4,记录巡查问题条数汇总!$E:$E)</f>
        <v>0</v>
      </c>
      <c r="I4" s="150"/>
      <c r="J4" s="150">
        <f>SUMIF(安全质量事故!$B:$B,C4,安全质量事故!$G:$G)</f>
        <v>0</v>
      </c>
      <c r="K4" s="141">
        <f>COUNTIF(L4:AP4,标准数据!$A$2)*标准数据!$B$2+COUNTIF(L4:AP4,标准数据!$A$3)*标准数据!$B$3+COUNTIF(L4:AP4,标准数据!$A$4)*标准数据!$B$4</f>
        <v>0</v>
      </c>
      <c r="L4" s="183"/>
      <c r="M4" s="183"/>
      <c r="N4" s="183"/>
      <c r="O4" s="183"/>
      <c r="P4" s="183"/>
      <c r="Q4" s="183"/>
      <c r="R4" s="183"/>
      <c r="S4" s="183"/>
      <c r="T4" s="183"/>
      <c r="U4" s="183"/>
      <c r="V4" s="183"/>
      <c r="W4" s="183"/>
      <c r="X4" s="183"/>
      <c r="Y4" s="183"/>
      <c r="Z4" s="183"/>
      <c r="AA4" s="183"/>
      <c r="AB4" s="183"/>
      <c r="AC4" s="183"/>
      <c r="AD4" s="183"/>
      <c r="AE4" s="183"/>
      <c r="AF4" s="183"/>
      <c r="AG4" s="183"/>
      <c r="AH4" s="183"/>
      <c r="AI4" s="183"/>
      <c r="AJ4" s="183"/>
      <c r="AK4" s="183"/>
      <c r="AL4" s="183"/>
      <c r="AM4" s="183"/>
      <c r="AN4" s="183"/>
      <c r="AO4" s="183"/>
      <c r="AP4" s="183"/>
      <c r="AQ4" s="103" t="e">
        <f>AQ3/($AQ$3+$AR$3+$AS$3)</f>
        <v>#DIV/0!</v>
      </c>
      <c r="AR4" s="103" t="e">
        <f>AR3/($AQ$3+$AR$3+$AS$3)</f>
        <v>#DIV/0!</v>
      </c>
      <c r="AS4" s="103" t="e">
        <f>AS3/($AQ$3+$AR$3+$AS$3)</f>
        <v>#DIV/0!</v>
      </c>
      <c r="AT4" s="149" t="s">
        <v>475</v>
      </c>
      <c r="AU4" s="94" t="s">
        <v>318</v>
      </c>
    </row>
    <row r="5" spans="1:47" ht="21" customHeight="1" x14ac:dyDescent="0.35">
      <c r="A5" s="259"/>
      <c r="B5" s="98" t="s">
        <v>16</v>
      </c>
      <c r="C5" s="99" t="s">
        <v>814</v>
      </c>
      <c r="D5" s="100" t="s">
        <v>734</v>
      </c>
      <c r="E5" s="101">
        <v>45980</v>
      </c>
      <c r="F5" s="102">
        <f t="shared" si="1"/>
        <v>0</v>
      </c>
      <c r="G5" s="150">
        <f>SUMIF(积分汇总!$B:$B,C5,积分汇总!$E:$E)</f>
        <v>0</v>
      </c>
      <c r="H5" s="150">
        <f>SUMIF(记录巡查问题条数汇总!$B:$B,C5,记录巡查问题条数汇总!$E:$E)</f>
        <v>0</v>
      </c>
      <c r="I5" s="150"/>
      <c r="J5" s="150">
        <f>SUMIF(安全质量事故!$B:$B,C5,安全质量事故!$G:$G)</f>
        <v>0</v>
      </c>
      <c r="K5" s="141">
        <f>COUNTIF(L5:AP5,标准数据!$A$2)*标准数据!$B$2+COUNTIF(L5:AP5,标准数据!$A$3)*标准数据!$B$3+COUNTIF(L5:AP5,标准数据!$A$4)*标准数据!$B$4</f>
        <v>0</v>
      </c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  <c r="Y5" s="183"/>
      <c r="Z5" s="183"/>
      <c r="AA5" s="183"/>
      <c r="AB5" s="183"/>
      <c r="AC5" s="183"/>
      <c r="AD5" s="183"/>
      <c r="AE5" s="183"/>
      <c r="AF5" s="183"/>
      <c r="AG5" s="183"/>
      <c r="AH5" s="183"/>
      <c r="AI5" s="183"/>
      <c r="AJ5" s="183"/>
      <c r="AK5" s="183"/>
      <c r="AL5" s="183"/>
      <c r="AM5" s="183"/>
      <c r="AN5" s="183"/>
      <c r="AO5" s="183"/>
      <c r="AP5" s="183"/>
      <c r="AT5" s="149" t="s">
        <v>734</v>
      </c>
      <c r="AU5" s="94" t="s">
        <v>318</v>
      </c>
    </row>
    <row r="6" spans="1:47" ht="21" customHeight="1" x14ac:dyDescent="0.35">
      <c r="A6" s="259"/>
      <c r="B6" s="98" t="s">
        <v>16</v>
      </c>
      <c r="C6" s="99" t="s">
        <v>1070</v>
      </c>
      <c r="D6" s="100" t="s">
        <v>1043</v>
      </c>
      <c r="E6" s="101">
        <v>46050</v>
      </c>
      <c r="F6" s="102">
        <f t="shared" si="1"/>
        <v>0</v>
      </c>
      <c r="G6" s="150">
        <f>SUMIF(积分汇总!$B:$B,C6,积分汇总!$E:$E)</f>
        <v>0</v>
      </c>
      <c r="H6" s="150">
        <f>SUMIF(记录巡查问题条数汇总!$B:$B,C6,记录巡查问题条数汇总!$E:$E)</f>
        <v>0</v>
      </c>
      <c r="I6" s="150"/>
      <c r="J6" s="150">
        <f>SUMIF(安全质量事故!$B:$B,C6,安全质量事故!$G:$G)</f>
        <v>0</v>
      </c>
      <c r="K6" s="141">
        <f>COUNTIF(L6:AP6,标准数据!$A$2)*标准数据!$B$2+COUNTIF(L6:AP6,标准数据!$A$3)*标准数据!$B$3+COUNTIF(L6:AP6,标准数据!$A$4)*标准数据!$B$4</f>
        <v>0</v>
      </c>
      <c r="L6" s="183"/>
      <c r="M6" s="183"/>
      <c r="N6" s="183"/>
      <c r="O6" s="183"/>
      <c r="P6" s="183"/>
      <c r="Q6" s="183"/>
      <c r="R6" s="183"/>
      <c r="S6" s="183"/>
      <c r="T6" s="183"/>
      <c r="U6" s="183"/>
      <c r="V6" s="183"/>
      <c r="W6" s="183"/>
      <c r="X6" s="183"/>
      <c r="Y6" s="183"/>
      <c r="Z6" s="183"/>
      <c r="AA6" s="183"/>
      <c r="AB6" s="183"/>
      <c r="AC6" s="183"/>
      <c r="AD6" s="183"/>
      <c r="AE6" s="183"/>
      <c r="AF6" s="183"/>
      <c r="AG6" s="183"/>
      <c r="AH6" s="183"/>
      <c r="AI6" s="183"/>
      <c r="AJ6" s="183"/>
      <c r="AK6" s="183"/>
      <c r="AL6" s="183"/>
      <c r="AM6" s="183"/>
      <c r="AN6" s="183"/>
      <c r="AO6" s="183"/>
      <c r="AP6" s="183"/>
      <c r="AT6" s="149" t="s">
        <v>1043</v>
      </c>
      <c r="AU6" s="94" t="s">
        <v>318</v>
      </c>
    </row>
    <row r="7" spans="1:47" ht="21" customHeight="1" x14ac:dyDescent="0.35">
      <c r="A7" s="259"/>
      <c r="B7" s="98" t="s">
        <v>16</v>
      </c>
      <c r="C7" s="99" t="s">
        <v>1583</v>
      </c>
      <c r="D7" s="100" t="s">
        <v>1584</v>
      </c>
      <c r="E7" s="101">
        <v>46153</v>
      </c>
      <c r="F7" s="102">
        <f t="shared" si="1"/>
        <v>0</v>
      </c>
      <c r="G7" s="150">
        <f>SUMIF(积分汇总!$B:$B,C7,积分汇总!$E:$E)</f>
        <v>0</v>
      </c>
      <c r="H7" s="150">
        <f>SUMIF(记录巡查问题条数汇总!$B:$B,C7,记录巡查问题条数汇总!$E:$E)</f>
        <v>0</v>
      </c>
      <c r="I7" s="150"/>
      <c r="J7" s="150">
        <f>SUMIF(安全质量事故!$B:$B,C7,安全质量事故!$G:$G)</f>
        <v>0</v>
      </c>
      <c r="K7" s="141">
        <f>COUNTIF(L7:AP7,标准数据!$A$2)*标准数据!$B$2+COUNTIF(L7:AP7,标准数据!$A$3)*标准数据!$B$3+COUNTIF(L7:AP7,标准数据!$A$4)*标准数据!$B$4</f>
        <v>0</v>
      </c>
      <c r="L7" s="183"/>
      <c r="M7" s="183"/>
      <c r="N7" s="183"/>
      <c r="O7" s="183"/>
      <c r="P7" s="183"/>
      <c r="Q7" s="183"/>
      <c r="R7" s="183"/>
      <c r="S7" s="183"/>
      <c r="T7" s="183"/>
      <c r="U7" s="183"/>
      <c r="V7" s="183"/>
      <c r="W7" s="183"/>
      <c r="X7" s="183"/>
      <c r="Y7" s="183"/>
      <c r="Z7" s="183"/>
      <c r="AA7" s="183"/>
      <c r="AB7" s="183"/>
      <c r="AC7" s="183"/>
      <c r="AD7" s="183"/>
      <c r="AE7" s="183"/>
      <c r="AF7" s="183"/>
      <c r="AG7" s="183"/>
      <c r="AH7" s="183"/>
      <c r="AI7" s="183"/>
      <c r="AJ7" s="183"/>
      <c r="AK7" s="183"/>
      <c r="AL7" s="183"/>
      <c r="AM7" s="183"/>
      <c r="AN7" s="183"/>
      <c r="AO7" s="183"/>
      <c r="AP7" s="183"/>
      <c r="AT7" s="149" t="s">
        <v>1584</v>
      </c>
      <c r="AU7" s="94" t="s">
        <v>318</v>
      </c>
    </row>
    <row r="8" spans="1:47" ht="21" customHeight="1" x14ac:dyDescent="0.35">
      <c r="A8" s="259"/>
      <c r="B8" s="98" t="s">
        <v>16</v>
      </c>
      <c r="C8" s="99" t="s">
        <v>192</v>
      </c>
      <c r="D8" s="100" t="s">
        <v>108</v>
      </c>
      <c r="E8" s="101">
        <v>45019</v>
      </c>
      <c r="F8" s="102">
        <f t="shared" si="1"/>
        <v>0</v>
      </c>
      <c r="G8" s="150">
        <f>SUMIF(积分汇总!$B:$B,C8,积分汇总!$E:$E)</f>
        <v>0</v>
      </c>
      <c r="H8" s="150">
        <f>SUMIF(记录巡查问题条数汇总!$B:$B,C8,记录巡查问题条数汇总!$E:$E)</f>
        <v>0</v>
      </c>
      <c r="I8" s="150"/>
      <c r="J8" s="150">
        <f>SUMIF(安全质量事故!$B:$B,C8,安全质量事故!$G:$G)</f>
        <v>0</v>
      </c>
      <c r="K8" s="141">
        <f>COUNTIF(L8:AP8,标准数据!$A$2)*标准数据!$B$2+COUNTIF(L8:AP8,标准数据!$A$3)*标准数据!$B$3+COUNTIF(L8:AP8,标准数据!$A$4)*标准数据!$B$4</f>
        <v>0</v>
      </c>
      <c r="L8" s="183"/>
      <c r="M8" s="183"/>
      <c r="N8" s="183"/>
      <c r="O8" s="183"/>
      <c r="P8" s="183"/>
      <c r="Q8" s="183"/>
      <c r="R8" s="183"/>
      <c r="S8" s="183"/>
      <c r="T8" s="183"/>
      <c r="U8" s="183"/>
      <c r="V8" s="183"/>
      <c r="W8" s="183"/>
      <c r="X8" s="183"/>
      <c r="Y8" s="183"/>
      <c r="Z8" s="183"/>
      <c r="AA8" s="183"/>
      <c r="AB8" s="183"/>
      <c r="AC8" s="183"/>
      <c r="AD8" s="183"/>
      <c r="AE8" s="183"/>
      <c r="AF8" s="183"/>
      <c r="AG8" s="183"/>
      <c r="AH8" s="183"/>
      <c r="AI8" s="183"/>
      <c r="AJ8" s="183"/>
      <c r="AK8" s="183"/>
      <c r="AL8" s="183"/>
      <c r="AM8" s="183"/>
      <c r="AN8" s="183"/>
      <c r="AO8" s="183"/>
      <c r="AP8" s="183"/>
      <c r="AQ8" s="94"/>
      <c r="AR8" s="94"/>
      <c r="AS8" s="94"/>
      <c r="AT8" s="149" t="s">
        <v>108</v>
      </c>
      <c r="AU8" s="94" t="s">
        <v>318</v>
      </c>
    </row>
    <row r="9" spans="1:47" ht="21" customHeight="1" x14ac:dyDescent="0.35">
      <c r="A9" s="259"/>
      <c r="B9" s="98" t="s">
        <v>140</v>
      </c>
      <c r="C9" s="99" t="s">
        <v>171</v>
      </c>
      <c r="D9" s="105" t="s">
        <v>92</v>
      </c>
      <c r="E9" s="99">
        <v>44732</v>
      </c>
      <c r="F9" s="102">
        <f t="shared" si="1"/>
        <v>0</v>
      </c>
      <c r="G9" s="150">
        <f>SUMIF(积分汇总!$B:$B,C9,积分汇总!$E:$E)</f>
        <v>0</v>
      </c>
      <c r="H9" s="150">
        <f>SUMIF(记录巡查问题条数汇总!$B:$B,C9,记录巡查问题条数汇总!$E:$E)</f>
        <v>0</v>
      </c>
      <c r="I9" s="150"/>
      <c r="J9" s="150">
        <f>SUMIF(安全质量事故!$B:$B,C9,安全质量事故!$G:$G)</f>
        <v>0</v>
      </c>
      <c r="K9" s="141">
        <f>COUNTIF(L9:AP9,标准数据!$A$2)*标准数据!$B$2+COUNTIF(L9:AP9,标准数据!$A$3)*标准数据!$B$3+COUNTIF(L9:AP9,标准数据!$A$4)*标准数据!$B$4</f>
        <v>0</v>
      </c>
      <c r="L9" s="184"/>
      <c r="M9" s="184"/>
      <c r="N9" s="183"/>
      <c r="O9" s="183"/>
      <c r="P9" s="183"/>
      <c r="Q9" s="183"/>
      <c r="R9" s="183"/>
      <c r="S9" s="183"/>
      <c r="T9" s="183"/>
      <c r="U9" s="183"/>
      <c r="V9" s="183"/>
      <c r="W9" s="183"/>
      <c r="X9" s="183"/>
      <c r="Y9" s="183"/>
      <c r="Z9" s="183"/>
      <c r="AA9" s="183"/>
      <c r="AB9" s="183"/>
      <c r="AC9" s="183"/>
      <c r="AD9" s="183"/>
      <c r="AE9" s="183"/>
      <c r="AF9" s="183"/>
      <c r="AG9" s="183"/>
      <c r="AH9" s="183"/>
      <c r="AI9" s="183"/>
      <c r="AJ9" s="183"/>
      <c r="AK9" s="183"/>
      <c r="AL9" s="183"/>
      <c r="AM9" s="183"/>
      <c r="AN9" s="183"/>
      <c r="AO9" s="183"/>
      <c r="AP9" s="183"/>
      <c r="AT9" s="149" t="s">
        <v>92</v>
      </c>
      <c r="AU9" s="94" t="s">
        <v>318</v>
      </c>
    </row>
    <row r="10" spans="1:47" ht="21" customHeight="1" x14ac:dyDescent="0.35">
      <c r="A10" s="259"/>
      <c r="B10" s="98" t="s">
        <v>305</v>
      </c>
      <c r="C10" s="99" t="s">
        <v>161</v>
      </c>
      <c r="D10" s="100" t="s">
        <v>79</v>
      </c>
      <c r="E10" s="101">
        <v>44755</v>
      </c>
      <c r="F10" s="102">
        <f t="shared" si="1"/>
        <v>0</v>
      </c>
      <c r="G10" s="150">
        <f>SUMIF(积分汇总!$B:$B,C10,积分汇总!$E:$E)</f>
        <v>0</v>
      </c>
      <c r="H10" s="150">
        <f>SUMIF(记录巡查问题条数汇总!$B:$B,C10,记录巡查问题条数汇总!$E:$E)</f>
        <v>0</v>
      </c>
      <c r="I10" s="150"/>
      <c r="J10" s="150">
        <f>SUMIF(安全质量事故!$B:$B,C10,安全质量事故!$G:$G)</f>
        <v>0</v>
      </c>
      <c r="K10" s="141">
        <f>COUNTIF(L10:AP10,标准数据!$A$2)*标准数据!$B$2+COUNTIF(L10:AP10,标准数据!$A$3)*标准数据!$B$3+COUNTIF(L10:AP10,标准数据!$A$4)*标准数据!$B$4</f>
        <v>0</v>
      </c>
      <c r="L10" s="100"/>
      <c r="M10" s="185"/>
      <c r="N10" s="186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  <c r="AA10" s="183"/>
      <c r="AB10" s="183"/>
      <c r="AC10" s="183"/>
      <c r="AD10" s="183"/>
      <c r="AE10" s="183"/>
      <c r="AF10" s="183"/>
      <c r="AG10" s="183"/>
      <c r="AH10" s="183"/>
      <c r="AI10" s="183"/>
      <c r="AJ10" s="183"/>
      <c r="AK10" s="183"/>
      <c r="AL10" s="183"/>
      <c r="AM10" s="183"/>
      <c r="AN10" s="183"/>
      <c r="AO10" s="183"/>
      <c r="AP10" s="183"/>
      <c r="AT10" s="149" t="s">
        <v>79</v>
      </c>
      <c r="AU10" s="94" t="s">
        <v>318</v>
      </c>
    </row>
    <row r="11" spans="1:47" ht="21" customHeight="1" x14ac:dyDescent="0.35">
      <c r="A11" s="259"/>
      <c r="B11" s="98" t="s">
        <v>140</v>
      </c>
      <c r="C11" s="99" t="s">
        <v>169</v>
      </c>
      <c r="D11" s="100" t="s">
        <v>84</v>
      </c>
      <c r="E11" s="101">
        <v>44774</v>
      </c>
      <c r="F11" s="102">
        <f t="shared" si="1"/>
        <v>0</v>
      </c>
      <c r="G11" s="150">
        <f>SUMIF(积分汇总!$B:$B,C11,积分汇总!$E:$E)</f>
        <v>0</v>
      </c>
      <c r="H11" s="150">
        <f>SUMIF(记录巡查问题条数汇总!$B:$B,C11,记录巡查问题条数汇总!$E:$E)</f>
        <v>0</v>
      </c>
      <c r="I11" s="150"/>
      <c r="J11" s="150">
        <f>SUMIF(安全质量事故!$B:$B,C11,安全质量事故!$G:$G)</f>
        <v>0</v>
      </c>
      <c r="K11" s="141">
        <f>COUNTIF(L11:AP11,标准数据!$A$2)*标准数据!$B$2+COUNTIF(L11:AP11,标准数据!$A$3)*标准数据!$B$3+COUNTIF(L11:AP11,标准数据!$A$4)*标准数据!$B$4</f>
        <v>0</v>
      </c>
      <c r="L11" s="100"/>
      <c r="M11" s="185"/>
      <c r="N11" s="186"/>
      <c r="O11" s="183"/>
      <c r="P11" s="183"/>
      <c r="Q11" s="183"/>
      <c r="R11" s="183"/>
      <c r="S11" s="183"/>
      <c r="T11" s="183"/>
      <c r="U11" s="183"/>
      <c r="V11" s="183"/>
      <c r="W11" s="183"/>
      <c r="X11" s="183"/>
      <c r="Y11" s="183"/>
      <c r="Z11" s="183"/>
      <c r="AA11" s="183"/>
      <c r="AB11" s="183"/>
      <c r="AC11" s="183"/>
      <c r="AD11" s="183"/>
      <c r="AE11" s="183"/>
      <c r="AF11" s="183"/>
      <c r="AG11" s="183"/>
      <c r="AH11" s="183"/>
      <c r="AI11" s="183"/>
      <c r="AJ11" s="183"/>
      <c r="AK11" s="183"/>
      <c r="AL11" s="183"/>
      <c r="AM11" s="183"/>
      <c r="AN11" s="183"/>
      <c r="AO11" s="183"/>
      <c r="AP11" s="183"/>
      <c r="AT11" s="149" t="s">
        <v>84</v>
      </c>
      <c r="AU11" s="94" t="s">
        <v>318</v>
      </c>
    </row>
    <row r="12" spans="1:47" ht="21" customHeight="1" x14ac:dyDescent="0.35">
      <c r="A12" s="259"/>
      <c r="B12" s="98" t="s">
        <v>17</v>
      </c>
      <c r="C12" s="99" t="s">
        <v>168</v>
      </c>
      <c r="D12" s="100" t="s">
        <v>82</v>
      </c>
      <c r="E12" s="101">
        <v>44774</v>
      </c>
      <c r="F12" s="102">
        <f t="shared" si="1"/>
        <v>0</v>
      </c>
      <c r="G12" s="150">
        <f>SUMIF(积分汇总!$B:$B,C12,积分汇总!$E:$E)</f>
        <v>0</v>
      </c>
      <c r="H12" s="150">
        <f>SUMIF(记录巡查问题条数汇总!$B:$B,C12,记录巡查问题条数汇总!$E:$E)</f>
        <v>0</v>
      </c>
      <c r="I12" s="150"/>
      <c r="J12" s="150">
        <f>SUMIF(安全质量事故!$B:$B,C12,安全质量事故!$G:$G)</f>
        <v>0</v>
      </c>
      <c r="K12" s="141">
        <f>COUNTIF(L12:AP12,标准数据!$A$2)*标准数据!$B$2+COUNTIF(L12:AP12,标准数据!$A$3)*标准数据!$B$3+COUNTIF(L12:AP12,标准数据!$A$4)*标准数据!$B$4</f>
        <v>0</v>
      </c>
      <c r="L12" s="185"/>
      <c r="M12" s="185"/>
      <c r="N12" s="186"/>
      <c r="O12" s="183"/>
      <c r="P12" s="183"/>
      <c r="Q12" s="183"/>
      <c r="R12" s="183"/>
      <c r="S12" s="183"/>
      <c r="T12" s="183"/>
      <c r="U12" s="183"/>
      <c r="V12" s="183"/>
      <c r="W12" s="183"/>
      <c r="X12" s="183"/>
      <c r="Y12" s="183"/>
      <c r="Z12" s="183"/>
      <c r="AA12" s="183"/>
      <c r="AB12" s="183"/>
      <c r="AC12" s="183"/>
      <c r="AD12" s="183"/>
      <c r="AE12" s="183"/>
      <c r="AF12" s="183"/>
      <c r="AG12" s="183"/>
      <c r="AH12" s="183"/>
      <c r="AI12" s="183"/>
      <c r="AJ12" s="183"/>
      <c r="AK12" s="183"/>
      <c r="AL12" s="183"/>
      <c r="AM12" s="183"/>
      <c r="AN12" s="183"/>
      <c r="AO12" s="183"/>
      <c r="AP12" s="183"/>
      <c r="AR12" s="94"/>
      <c r="AS12" s="94"/>
      <c r="AT12" s="149" t="s">
        <v>82</v>
      </c>
      <c r="AU12" s="94" t="s">
        <v>318</v>
      </c>
    </row>
    <row r="13" spans="1:47" ht="21" customHeight="1" x14ac:dyDescent="0.35">
      <c r="A13" s="259"/>
      <c r="B13" s="98" t="s">
        <v>95</v>
      </c>
      <c r="C13" s="99" t="s">
        <v>952</v>
      </c>
      <c r="D13" s="105" t="s">
        <v>102</v>
      </c>
      <c r="E13" s="99">
        <v>44998</v>
      </c>
      <c r="F13" s="102">
        <f t="shared" si="1"/>
        <v>0</v>
      </c>
      <c r="G13" s="150">
        <f>SUMIF(积分汇总!$B:$B,C13,积分汇总!$E:$E)</f>
        <v>0</v>
      </c>
      <c r="H13" s="150">
        <f>SUMIF(记录巡查问题条数汇总!$B:$B,C13,记录巡查问题条数汇总!$E:$E)</f>
        <v>0</v>
      </c>
      <c r="I13" s="150"/>
      <c r="J13" s="150">
        <f>SUMIF(安全质量事故!$B:$B,C13,安全质量事故!$G:$G)</f>
        <v>0</v>
      </c>
      <c r="K13" s="141">
        <f>COUNTIF(L13:AP13,标准数据!$A$2)*标准数据!$B$2+COUNTIF(L13:AP13,标准数据!$A$3)*标准数据!$B$3+COUNTIF(L13:AP13,标准数据!$A$4)*标准数据!$B$4</f>
        <v>0</v>
      </c>
      <c r="L13" s="187"/>
      <c r="M13" s="187"/>
      <c r="N13" s="183"/>
      <c r="O13" s="183"/>
      <c r="P13" s="183"/>
      <c r="Q13" s="183"/>
      <c r="R13" s="183"/>
      <c r="S13" s="183"/>
      <c r="T13" s="183"/>
      <c r="U13" s="183"/>
      <c r="V13" s="183"/>
      <c r="W13" s="183"/>
      <c r="X13" s="183"/>
      <c r="Y13" s="183"/>
      <c r="Z13" s="183"/>
      <c r="AA13" s="183"/>
      <c r="AB13" s="183"/>
      <c r="AC13" s="183"/>
      <c r="AD13" s="183"/>
      <c r="AE13" s="183"/>
      <c r="AF13" s="183"/>
      <c r="AG13" s="183"/>
      <c r="AH13" s="183"/>
      <c r="AI13" s="183"/>
      <c r="AJ13" s="183"/>
      <c r="AK13" s="183"/>
      <c r="AL13" s="183"/>
      <c r="AM13" s="183"/>
      <c r="AN13" s="183"/>
      <c r="AO13" s="183"/>
      <c r="AP13" s="183"/>
      <c r="AR13" s="94"/>
      <c r="AS13" s="94"/>
      <c r="AT13" s="149" t="s">
        <v>102</v>
      </c>
      <c r="AU13" s="94" t="s">
        <v>318</v>
      </c>
    </row>
    <row r="14" spans="1:47" ht="21" customHeight="1" x14ac:dyDescent="0.35">
      <c r="A14" s="259"/>
      <c r="B14" s="98" t="s">
        <v>95</v>
      </c>
      <c r="C14" s="99" t="s">
        <v>115</v>
      </c>
      <c r="D14" s="100" t="s">
        <v>107</v>
      </c>
      <c r="E14" s="101">
        <v>45019</v>
      </c>
      <c r="F14" s="102">
        <f t="shared" si="1"/>
        <v>0</v>
      </c>
      <c r="G14" s="150">
        <f>SUMIF(积分汇总!$B:$B,C14,积分汇总!$E:$E)</f>
        <v>0</v>
      </c>
      <c r="H14" s="150">
        <f>SUMIF(记录巡查问题条数汇总!$B:$B,C14,记录巡查问题条数汇总!$E:$E)</f>
        <v>0</v>
      </c>
      <c r="I14" s="150"/>
      <c r="J14" s="150">
        <f>SUMIF(安全质量事故!$B:$B,C14,安全质量事故!$G:$G)</f>
        <v>0</v>
      </c>
      <c r="K14" s="141">
        <f>COUNTIF(L14:AP14,标准数据!$A$2)*标准数据!$B$2+COUNTIF(L14:AP14,标准数据!$A$3)*标准数据!$B$3+COUNTIF(L14:AP14,标准数据!$A$4)*标准数据!$B$4</f>
        <v>0</v>
      </c>
      <c r="L14" s="183"/>
      <c r="M14" s="183"/>
      <c r="N14" s="183"/>
      <c r="O14" s="183"/>
      <c r="P14" s="183"/>
      <c r="Q14" s="183"/>
      <c r="R14" s="183"/>
      <c r="S14" s="183"/>
      <c r="T14" s="183"/>
      <c r="U14" s="183"/>
      <c r="V14" s="183"/>
      <c r="W14" s="183"/>
      <c r="X14" s="183"/>
      <c r="Y14" s="183"/>
      <c r="Z14" s="183"/>
      <c r="AA14" s="183"/>
      <c r="AB14" s="183"/>
      <c r="AC14" s="183"/>
      <c r="AD14" s="183"/>
      <c r="AE14" s="183"/>
      <c r="AF14" s="183"/>
      <c r="AG14" s="183"/>
      <c r="AH14" s="183"/>
      <c r="AI14" s="183"/>
      <c r="AJ14" s="183"/>
      <c r="AK14" s="183"/>
      <c r="AL14" s="183"/>
      <c r="AM14" s="183"/>
      <c r="AN14" s="183"/>
      <c r="AO14" s="183"/>
      <c r="AP14" s="183"/>
      <c r="AR14" s="94"/>
      <c r="AS14" s="94"/>
      <c r="AT14" s="149" t="s">
        <v>107</v>
      </c>
      <c r="AU14" s="94" t="s">
        <v>318</v>
      </c>
    </row>
    <row r="15" spans="1:47" ht="21" customHeight="1" x14ac:dyDescent="0.35">
      <c r="A15" s="259"/>
      <c r="B15" s="98" t="s">
        <v>95</v>
      </c>
      <c r="C15" s="99" t="s">
        <v>121</v>
      </c>
      <c r="D15" s="100" t="s">
        <v>120</v>
      </c>
      <c r="E15" s="101">
        <v>45138</v>
      </c>
      <c r="F15" s="102">
        <f t="shared" si="1"/>
        <v>0</v>
      </c>
      <c r="G15" s="150">
        <f>SUMIF(积分汇总!$B:$B,C15,积分汇总!$E:$E)</f>
        <v>0</v>
      </c>
      <c r="H15" s="150">
        <f>SUMIF(记录巡查问题条数汇总!$B:$B,C15,记录巡查问题条数汇总!$E:$E)</f>
        <v>0</v>
      </c>
      <c r="I15" s="150"/>
      <c r="J15" s="150">
        <f>SUMIF(安全质量事故!$B:$B,C15,安全质量事故!$G:$G)</f>
        <v>0</v>
      </c>
      <c r="K15" s="141">
        <f>COUNTIF(L15:AP15,标准数据!$A$2)*标准数据!$B$2+COUNTIF(L15:AP15,标准数据!$A$3)*标准数据!$B$3+COUNTIF(L15:AP15,标准数据!$A$4)*标准数据!$B$4</f>
        <v>0</v>
      </c>
      <c r="L15" s="183"/>
      <c r="M15" s="183"/>
      <c r="N15" s="183"/>
      <c r="O15" s="183"/>
      <c r="P15" s="183"/>
      <c r="Q15" s="183"/>
      <c r="R15" s="183"/>
      <c r="S15" s="183"/>
      <c r="T15" s="183"/>
      <c r="U15" s="183"/>
      <c r="V15" s="183"/>
      <c r="W15" s="183"/>
      <c r="X15" s="183"/>
      <c r="Y15" s="183"/>
      <c r="Z15" s="183"/>
      <c r="AA15" s="183"/>
      <c r="AB15" s="183"/>
      <c r="AC15" s="183"/>
      <c r="AD15" s="183"/>
      <c r="AE15" s="183"/>
      <c r="AF15" s="183"/>
      <c r="AG15" s="183"/>
      <c r="AH15" s="183"/>
      <c r="AI15" s="183"/>
      <c r="AJ15" s="183"/>
      <c r="AK15" s="183"/>
      <c r="AL15" s="183"/>
      <c r="AM15" s="183"/>
      <c r="AN15" s="183"/>
      <c r="AO15" s="183"/>
      <c r="AP15" s="183"/>
      <c r="AT15" s="149" t="s">
        <v>120</v>
      </c>
      <c r="AU15" s="94" t="s">
        <v>318</v>
      </c>
    </row>
    <row r="16" spans="1:47" ht="21" customHeight="1" x14ac:dyDescent="0.35">
      <c r="A16" s="259"/>
      <c r="B16" s="98" t="s">
        <v>95</v>
      </c>
      <c r="C16" s="99" t="s">
        <v>119</v>
      </c>
      <c r="D16" s="105" t="s">
        <v>101</v>
      </c>
      <c r="E16" s="99">
        <v>44998</v>
      </c>
      <c r="F16" s="102">
        <f t="shared" si="1"/>
        <v>0</v>
      </c>
      <c r="G16" s="150">
        <f>SUMIF(积分汇总!$B:$B,C16,积分汇总!$E:$E)</f>
        <v>0</v>
      </c>
      <c r="H16" s="150">
        <f>SUMIF(记录巡查问题条数汇总!$B:$B,C16,记录巡查问题条数汇总!$E:$E)</f>
        <v>0</v>
      </c>
      <c r="I16" s="150"/>
      <c r="J16" s="150">
        <f>SUMIF(安全质量事故!$B:$B,C16,安全质量事故!$G:$G)</f>
        <v>0</v>
      </c>
      <c r="K16" s="141">
        <f>COUNTIF(L16:AP16,标准数据!$A$2)*标准数据!$B$2+COUNTIF(L16:AP16,标准数据!$A$3)*标准数据!$B$3+COUNTIF(L16:AP16,标准数据!$A$4)*标准数据!$B$4</f>
        <v>0</v>
      </c>
      <c r="L16" s="183"/>
      <c r="M16" s="183"/>
      <c r="N16" s="183"/>
      <c r="O16" s="183"/>
      <c r="P16" s="183"/>
      <c r="Q16" s="183"/>
      <c r="R16" s="183"/>
      <c r="S16" s="183"/>
      <c r="T16" s="183"/>
      <c r="U16" s="183"/>
      <c r="V16" s="183"/>
      <c r="W16" s="183"/>
      <c r="X16" s="183"/>
      <c r="Y16" s="183"/>
      <c r="Z16" s="183"/>
      <c r="AA16" s="183"/>
      <c r="AB16" s="183"/>
      <c r="AC16" s="183"/>
      <c r="AD16" s="183"/>
      <c r="AE16" s="183"/>
      <c r="AF16" s="183"/>
      <c r="AG16" s="183"/>
      <c r="AH16" s="183"/>
      <c r="AI16" s="183"/>
      <c r="AJ16" s="183"/>
      <c r="AK16" s="183"/>
      <c r="AL16" s="183"/>
      <c r="AM16" s="183"/>
      <c r="AN16" s="183"/>
      <c r="AO16" s="183"/>
      <c r="AP16" s="183"/>
      <c r="AT16" s="149" t="s">
        <v>101</v>
      </c>
      <c r="AU16" s="94" t="s">
        <v>318</v>
      </c>
    </row>
    <row r="17" spans="1:47" ht="21" customHeight="1" x14ac:dyDescent="0.35">
      <c r="A17" s="259"/>
      <c r="B17" s="98" t="s">
        <v>95</v>
      </c>
      <c r="C17" s="99" t="s">
        <v>129</v>
      </c>
      <c r="D17" s="100" t="s">
        <v>131</v>
      </c>
      <c r="E17" s="101">
        <v>45231</v>
      </c>
      <c r="F17" s="102">
        <f t="shared" si="1"/>
        <v>0</v>
      </c>
      <c r="G17" s="150">
        <f>SUMIF(积分汇总!$B:$B,C17,积分汇总!$E:$E)</f>
        <v>0</v>
      </c>
      <c r="H17" s="150">
        <f>SUMIF(记录巡查问题条数汇总!$B:$B,C17,记录巡查问题条数汇总!$E:$E)</f>
        <v>0</v>
      </c>
      <c r="I17" s="150"/>
      <c r="J17" s="150">
        <f>SUMIF(安全质量事故!$B:$B,C17,安全质量事故!$G:$G)</f>
        <v>0</v>
      </c>
      <c r="K17" s="141">
        <f>COUNTIF(L17:AP17,标准数据!$A$2)*标准数据!$B$2+COUNTIF(L17:AP17,标准数据!$A$3)*标准数据!$B$3+COUNTIF(L17:AP17,标准数据!$A$4)*标准数据!$B$4</f>
        <v>0</v>
      </c>
      <c r="L17" s="183"/>
      <c r="M17" s="183"/>
      <c r="N17" s="183"/>
      <c r="O17" s="183"/>
      <c r="P17" s="183"/>
      <c r="Q17" s="183"/>
      <c r="R17" s="183"/>
      <c r="S17" s="183"/>
      <c r="T17" s="183"/>
      <c r="U17" s="183"/>
      <c r="V17" s="183"/>
      <c r="W17" s="183"/>
      <c r="X17" s="183"/>
      <c r="Y17" s="183"/>
      <c r="Z17" s="183"/>
      <c r="AA17" s="183"/>
      <c r="AB17" s="183"/>
      <c r="AC17" s="183"/>
      <c r="AD17" s="183"/>
      <c r="AE17" s="183"/>
      <c r="AF17" s="183"/>
      <c r="AG17" s="183"/>
      <c r="AH17" s="183"/>
      <c r="AI17" s="183"/>
      <c r="AJ17" s="183"/>
      <c r="AK17" s="183"/>
      <c r="AL17" s="183"/>
      <c r="AM17" s="183"/>
      <c r="AN17" s="183"/>
      <c r="AO17" s="183"/>
      <c r="AP17" s="183"/>
      <c r="AT17" s="149" t="s">
        <v>131</v>
      </c>
      <c r="AU17" s="94" t="s">
        <v>318</v>
      </c>
    </row>
    <row r="18" spans="1:47" ht="21" customHeight="1" x14ac:dyDescent="0.35">
      <c r="A18" s="259"/>
      <c r="B18" s="98" t="s">
        <v>17</v>
      </c>
      <c r="C18" s="99" t="s">
        <v>251</v>
      </c>
      <c r="D18" s="100" t="s">
        <v>252</v>
      </c>
      <c r="E18" s="101">
        <v>45476</v>
      </c>
      <c r="F18" s="102">
        <f t="shared" si="1"/>
        <v>0</v>
      </c>
      <c r="G18" s="150">
        <f>SUMIF(积分汇总!$B:$B,C18,积分汇总!$E:$E)</f>
        <v>0</v>
      </c>
      <c r="H18" s="150">
        <f>SUMIF(记录巡查问题条数汇总!$B:$B,C18,记录巡查问题条数汇总!$E:$E)</f>
        <v>0</v>
      </c>
      <c r="I18" s="150"/>
      <c r="J18" s="150">
        <f>SUMIF(安全质量事故!$B:$B,C18,安全质量事故!$G:$G)</f>
        <v>0</v>
      </c>
      <c r="K18" s="141">
        <f>COUNTIF(L18:AP18,标准数据!$A$2)*标准数据!$B$2+COUNTIF(L18:AP18,标准数据!$A$3)*标准数据!$B$3+COUNTIF(L18:AP18,标准数据!$A$4)*标准数据!$B$4</f>
        <v>0</v>
      </c>
      <c r="L18" s="183"/>
      <c r="M18" s="183"/>
      <c r="N18" s="183"/>
      <c r="O18" s="183"/>
      <c r="P18" s="183"/>
      <c r="Q18" s="183"/>
      <c r="R18" s="183"/>
      <c r="S18" s="183"/>
      <c r="T18" s="183"/>
      <c r="U18" s="183"/>
      <c r="V18" s="183"/>
      <c r="W18" s="183"/>
      <c r="X18" s="183"/>
      <c r="Y18" s="183"/>
      <c r="Z18" s="183"/>
      <c r="AA18" s="183"/>
      <c r="AB18" s="183"/>
      <c r="AC18" s="183"/>
      <c r="AD18" s="183"/>
      <c r="AE18" s="183"/>
      <c r="AF18" s="183"/>
      <c r="AG18" s="183"/>
      <c r="AH18" s="183"/>
      <c r="AI18" s="183"/>
      <c r="AJ18" s="183"/>
      <c r="AK18" s="183"/>
      <c r="AL18" s="183"/>
      <c r="AM18" s="183"/>
      <c r="AN18" s="183"/>
      <c r="AO18" s="183"/>
      <c r="AP18" s="183"/>
      <c r="AT18" s="149" t="s">
        <v>252</v>
      </c>
      <c r="AU18" s="94" t="s">
        <v>318</v>
      </c>
    </row>
    <row r="19" spans="1:47" ht="21" customHeight="1" x14ac:dyDescent="0.35">
      <c r="A19" s="259"/>
      <c r="B19" s="98" t="s">
        <v>17</v>
      </c>
      <c r="C19" s="99" t="s">
        <v>253</v>
      </c>
      <c r="D19" s="100" t="s">
        <v>254</v>
      </c>
      <c r="E19" s="101">
        <v>45497</v>
      </c>
      <c r="F19" s="102">
        <f t="shared" si="1"/>
        <v>0</v>
      </c>
      <c r="G19" s="150">
        <f>SUMIF(积分汇总!$B:$B,C19,积分汇总!$E:$E)</f>
        <v>0</v>
      </c>
      <c r="H19" s="150">
        <f>SUMIF(记录巡查问题条数汇总!$B:$B,C19,记录巡查问题条数汇总!$E:$E)</f>
        <v>0</v>
      </c>
      <c r="I19" s="150"/>
      <c r="J19" s="150">
        <f>SUMIF(安全质量事故!$B:$B,C19,安全质量事故!$G:$G)</f>
        <v>0</v>
      </c>
      <c r="K19" s="141">
        <f>COUNTIF(L19:AP19,标准数据!$A$2)*标准数据!$B$2+COUNTIF(L19:AP19,标准数据!$A$3)*标准数据!$B$3+COUNTIF(L19:AP19,标准数据!$A$4)*标准数据!$B$4</f>
        <v>0</v>
      </c>
      <c r="L19" s="183"/>
      <c r="M19" s="183"/>
      <c r="N19" s="183"/>
      <c r="O19" s="183"/>
      <c r="P19" s="183"/>
      <c r="Q19" s="183"/>
      <c r="R19" s="183"/>
      <c r="S19" s="183"/>
      <c r="T19" s="183"/>
      <c r="U19" s="183"/>
      <c r="V19" s="183"/>
      <c r="W19" s="183"/>
      <c r="X19" s="183"/>
      <c r="Y19" s="183"/>
      <c r="Z19" s="183"/>
      <c r="AA19" s="183"/>
      <c r="AB19" s="183"/>
      <c r="AC19" s="183"/>
      <c r="AD19" s="183"/>
      <c r="AE19" s="183"/>
      <c r="AF19" s="183"/>
      <c r="AG19" s="183"/>
      <c r="AH19" s="183"/>
      <c r="AI19" s="183"/>
      <c r="AJ19" s="183"/>
      <c r="AK19" s="183"/>
      <c r="AL19" s="183"/>
      <c r="AM19" s="183"/>
      <c r="AN19" s="183"/>
      <c r="AO19" s="183"/>
      <c r="AP19" s="183"/>
      <c r="AT19" s="149" t="s">
        <v>254</v>
      </c>
      <c r="AU19" s="94" t="s">
        <v>318</v>
      </c>
    </row>
    <row r="20" spans="1:47" ht="21" customHeight="1" x14ac:dyDescent="0.35">
      <c r="A20" s="259"/>
      <c r="B20" s="98" t="s">
        <v>17</v>
      </c>
      <c r="C20" s="99" t="s">
        <v>255</v>
      </c>
      <c r="D20" s="100" t="s">
        <v>256</v>
      </c>
      <c r="E20" s="101">
        <v>45476</v>
      </c>
      <c r="F20" s="102">
        <f t="shared" si="1"/>
        <v>0</v>
      </c>
      <c r="G20" s="150">
        <f>SUMIF(积分汇总!$B:$B,C20,积分汇总!$E:$E)</f>
        <v>0</v>
      </c>
      <c r="H20" s="150">
        <f>SUMIF(记录巡查问题条数汇总!$B:$B,C20,记录巡查问题条数汇总!$E:$E)</f>
        <v>0</v>
      </c>
      <c r="I20" s="150"/>
      <c r="J20" s="150">
        <f>SUMIF(安全质量事故!$B:$B,C20,安全质量事故!$G:$G)</f>
        <v>0</v>
      </c>
      <c r="K20" s="141">
        <f>COUNTIF(L20:AP20,标准数据!$A$2)*标准数据!$B$2+COUNTIF(L20:AP20,标准数据!$A$3)*标准数据!$B$3+COUNTIF(L20:AP20,标准数据!$A$4)*标准数据!$B$4</f>
        <v>0</v>
      </c>
      <c r="L20" s="183"/>
      <c r="M20" s="183"/>
      <c r="N20" s="183"/>
      <c r="O20" s="183"/>
      <c r="P20" s="183"/>
      <c r="Q20" s="183"/>
      <c r="R20" s="183"/>
      <c r="S20" s="183"/>
      <c r="T20" s="183"/>
      <c r="U20" s="183"/>
      <c r="V20" s="183"/>
      <c r="W20" s="183"/>
      <c r="X20" s="183"/>
      <c r="Y20" s="183"/>
      <c r="Z20" s="183"/>
      <c r="AA20" s="183"/>
      <c r="AB20" s="183"/>
      <c r="AC20" s="183"/>
      <c r="AD20" s="183"/>
      <c r="AE20" s="183"/>
      <c r="AF20" s="183"/>
      <c r="AG20" s="183"/>
      <c r="AH20" s="183"/>
      <c r="AI20" s="183"/>
      <c r="AJ20" s="183"/>
      <c r="AK20" s="183"/>
      <c r="AL20" s="183"/>
      <c r="AM20" s="183"/>
      <c r="AN20" s="183"/>
      <c r="AO20" s="183"/>
      <c r="AP20" s="183"/>
      <c r="AT20" s="149" t="s">
        <v>256</v>
      </c>
      <c r="AU20" s="94" t="s">
        <v>318</v>
      </c>
    </row>
    <row r="21" spans="1:47" ht="21" customHeight="1" x14ac:dyDescent="0.35">
      <c r="A21" s="259"/>
      <c r="B21" s="98" t="s">
        <v>17</v>
      </c>
      <c r="C21" s="99" t="s">
        <v>257</v>
      </c>
      <c r="D21" s="100" t="s">
        <v>258</v>
      </c>
      <c r="E21" s="101">
        <v>45490</v>
      </c>
      <c r="F21" s="102">
        <f t="shared" si="1"/>
        <v>0</v>
      </c>
      <c r="G21" s="150">
        <f>SUMIF(积分汇总!$B:$B,C21,积分汇总!$E:$E)</f>
        <v>0</v>
      </c>
      <c r="H21" s="150">
        <f>SUMIF(记录巡查问题条数汇总!$B:$B,C21,记录巡查问题条数汇总!$E:$E)</f>
        <v>0</v>
      </c>
      <c r="I21" s="150"/>
      <c r="J21" s="150">
        <f>SUMIF(安全质量事故!$B:$B,C21,安全质量事故!$G:$G)</f>
        <v>0</v>
      </c>
      <c r="K21" s="141">
        <f>COUNTIF(L21:AP21,标准数据!$A$2)*标准数据!$B$2+COUNTIF(L21:AP21,标准数据!$A$3)*标准数据!$B$3+COUNTIF(L21:AP21,标准数据!$A$4)*标准数据!$B$4</f>
        <v>0</v>
      </c>
      <c r="L21" s="183"/>
      <c r="M21" s="183"/>
      <c r="N21" s="183"/>
      <c r="O21" s="183"/>
      <c r="P21" s="183"/>
      <c r="Q21" s="183"/>
      <c r="R21" s="183"/>
      <c r="S21" s="183"/>
      <c r="T21" s="183"/>
      <c r="U21" s="183"/>
      <c r="V21" s="183"/>
      <c r="W21" s="183"/>
      <c r="X21" s="183"/>
      <c r="Y21" s="183"/>
      <c r="Z21" s="183"/>
      <c r="AA21" s="183"/>
      <c r="AB21" s="183"/>
      <c r="AC21" s="183"/>
      <c r="AD21" s="183"/>
      <c r="AE21" s="183"/>
      <c r="AF21" s="183"/>
      <c r="AG21" s="183"/>
      <c r="AH21" s="183"/>
      <c r="AI21" s="183"/>
      <c r="AJ21" s="183"/>
      <c r="AK21" s="183"/>
      <c r="AL21" s="183"/>
      <c r="AM21" s="183"/>
      <c r="AN21" s="183"/>
      <c r="AO21" s="183"/>
      <c r="AP21" s="183"/>
      <c r="AT21" s="149" t="s">
        <v>258</v>
      </c>
      <c r="AU21" s="94" t="s">
        <v>318</v>
      </c>
    </row>
    <row r="22" spans="1:47" ht="21" customHeight="1" x14ac:dyDescent="0.35">
      <c r="A22" s="259"/>
      <c r="B22" s="98" t="s">
        <v>95</v>
      </c>
      <c r="C22" s="99" t="s">
        <v>213</v>
      </c>
      <c r="D22" s="100" t="s">
        <v>214</v>
      </c>
      <c r="E22" s="101">
        <v>44396</v>
      </c>
      <c r="F22" s="102">
        <f t="shared" si="1"/>
        <v>0</v>
      </c>
      <c r="G22" s="150">
        <f>SUMIF(积分汇总!$B:$B,C22,积分汇总!$E:$E)</f>
        <v>0</v>
      </c>
      <c r="H22" s="150">
        <f>SUMIF(记录巡查问题条数汇总!$B:$B,C22,记录巡查问题条数汇总!$E:$E)</f>
        <v>0</v>
      </c>
      <c r="I22" s="150"/>
      <c r="J22" s="150">
        <f>SUMIF(安全质量事故!$B:$B,C22,安全质量事故!$G:$G)</f>
        <v>0</v>
      </c>
      <c r="K22" s="141">
        <f>COUNTIF(L22:AP22,标准数据!$A$2)*标准数据!$B$2+COUNTIF(L22:AP22,标准数据!$A$3)*标准数据!$B$3+COUNTIF(L22:AP22,标准数据!$A$4)*标准数据!$B$4</f>
        <v>0</v>
      </c>
      <c r="L22" s="183"/>
      <c r="M22" s="183"/>
      <c r="N22" s="183"/>
      <c r="O22" s="183"/>
      <c r="P22" s="183"/>
      <c r="Q22" s="183"/>
      <c r="R22" s="183"/>
      <c r="S22" s="183"/>
      <c r="T22" s="183"/>
      <c r="U22" s="183"/>
      <c r="V22" s="183"/>
      <c r="W22" s="183"/>
      <c r="X22" s="183"/>
      <c r="Y22" s="183"/>
      <c r="Z22" s="183"/>
      <c r="AA22" s="183"/>
      <c r="AB22" s="183"/>
      <c r="AC22" s="183"/>
      <c r="AD22" s="183"/>
      <c r="AE22" s="183"/>
      <c r="AF22" s="183"/>
      <c r="AG22" s="183"/>
      <c r="AH22" s="183"/>
      <c r="AI22" s="183"/>
      <c r="AJ22" s="183"/>
      <c r="AK22" s="183"/>
      <c r="AL22" s="183"/>
      <c r="AM22" s="183"/>
      <c r="AN22" s="183"/>
      <c r="AO22" s="183"/>
      <c r="AP22" s="183"/>
      <c r="AT22" s="149" t="s">
        <v>214</v>
      </c>
      <c r="AU22" s="94" t="s">
        <v>318</v>
      </c>
    </row>
    <row r="23" spans="1:47" ht="21" customHeight="1" x14ac:dyDescent="0.35">
      <c r="A23" s="259"/>
      <c r="B23" s="98" t="s">
        <v>95</v>
      </c>
      <c r="C23" s="99" t="s">
        <v>351</v>
      </c>
      <c r="D23" s="100" t="s">
        <v>342</v>
      </c>
      <c r="E23" s="101">
        <v>45602</v>
      </c>
      <c r="F23" s="102">
        <f t="shared" si="1"/>
        <v>0</v>
      </c>
      <c r="G23" s="150">
        <f>SUMIF(积分汇总!$B:$B,C23,积分汇总!$E:$E)</f>
        <v>0</v>
      </c>
      <c r="H23" s="150">
        <f>SUMIF(记录巡查问题条数汇总!$B:$B,C23,记录巡查问题条数汇总!$E:$E)</f>
        <v>0</v>
      </c>
      <c r="I23" s="150"/>
      <c r="J23" s="150">
        <f>SUMIF(安全质量事故!$B:$B,C23,安全质量事故!$G:$G)</f>
        <v>0</v>
      </c>
      <c r="K23" s="141">
        <f>COUNTIF(L23:AP23,标准数据!$A$2)*标准数据!$B$2+COUNTIF(L23:AP23,标准数据!$A$3)*标准数据!$B$3+COUNTIF(L23:AP23,标准数据!$A$4)*标准数据!$B$4</f>
        <v>0</v>
      </c>
      <c r="L23" s="183"/>
      <c r="M23" s="183"/>
      <c r="N23" s="183"/>
      <c r="O23" s="183"/>
      <c r="P23" s="183"/>
      <c r="Q23" s="183"/>
      <c r="R23" s="183"/>
      <c r="S23" s="183"/>
      <c r="T23" s="183"/>
      <c r="U23" s="183"/>
      <c r="V23" s="183"/>
      <c r="W23" s="183"/>
      <c r="X23" s="183"/>
      <c r="Y23" s="183"/>
      <c r="Z23" s="183"/>
      <c r="AA23" s="183"/>
      <c r="AB23" s="183"/>
      <c r="AC23" s="183"/>
      <c r="AD23" s="183"/>
      <c r="AE23" s="183"/>
      <c r="AF23" s="183"/>
      <c r="AG23" s="183"/>
      <c r="AH23" s="183"/>
      <c r="AI23" s="183"/>
      <c r="AJ23" s="183"/>
      <c r="AK23" s="183"/>
      <c r="AL23" s="183"/>
      <c r="AM23" s="183"/>
      <c r="AN23" s="183"/>
      <c r="AO23" s="183"/>
      <c r="AP23" s="183"/>
      <c r="AT23" s="149" t="s">
        <v>342</v>
      </c>
      <c r="AU23" s="94" t="s">
        <v>318</v>
      </c>
    </row>
    <row r="24" spans="1:47" ht="21" customHeight="1" x14ac:dyDescent="0.35">
      <c r="A24" s="259"/>
      <c r="B24" s="98" t="s">
        <v>17</v>
      </c>
      <c r="C24" s="99" t="s">
        <v>429</v>
      </c>
      <c r="D24" s="105" t="s">
        <v>419</v>
      </c>
      <c r="E24" s="101">
        <v>45756</v>
      </c>
      <c r="F24" s="102">
        <f t="shared" si="1"/>
        <v>0</v>
      </c>
      <c r="G24" s="150">
        <f>SUMIF(积分汇总!$B:$B,C24,积分汇总!$E:$E)</f>
        <v>0</v>
      </c>
      <c r="H24" s="150">
        <f>SUMIF(记录巡查问题条数汇总!$B:$B,C24,记录巡查问题条数汇总!$E:$E)</f>
        <v>0</v>
      </c>
      <c r="I24" s="150"/>
      <c r="J24" s="150">
        <f>SUMIF(安全质量事故!$B:$B,C24,安全质量事故!$G:$G)</f>
        <v>0</v>
      </c>
      <c r="K24" s="141">
        <f>COUNTIF(L24:AP24,标准数据!$A$2)*标准数据!$B$2+COUNTIF(L24:AP24,标准数据!$A$3)*标准数据!$B$3+COUNTIF(L24:AP24,标准数据!$A$4)*标准数据!$B$4</f>
        <v>0</v>
      </c>
      <c r="L24" s="183"/>
      <c r="M24" s="183"/>
      <c r="N24" s="183"/>
      <c r="O24" s="183"/>
      <c r="P24" s="183"/>
      <c r="Q24" s="183"/>
      <c r="R24" s="183"/>
      <c r="S24" s="183"/>
      <c r="T24" s="183"/>
      <c r="U24" s="183"/>
      <c r="V24" s="183"/>
      <c r="W24" s="183"/>
      <c r="X24" s="183"/>
      <c r="Y24" s="183"/>
      <c r="Z24" s="183"/>
      <c r="AA24" s="183"/>
      <c r="AB24" s="183"/>
      <c r="AC24" s="183"/>
      <c r="AD24" s="183"/>
      <c r="AE24" s="183"/>
      <c r="AF24" s="183"/>
      <c r="AG24" s="183"/>
      <c r="AH24" s="183"/>
      <c r="AI24" s="183"/>
      <c r="AJ24" s="183"/>
      <c r="AK24" s="183"/>
      <c r="AL24" s="183"/>
      <c r="AM24" s="183"/>
      <c r="AN24" s="183"/>
      <c r="AO24" s="183"/>
      <c r="AP24" s="183"/>
      <c r="AT24" s="149" t="s">
        <v>419</v>
      </c>
      <c r="AU24" s="94" t="s">
        <v>318</v>
      </c>
    </row>
    <row r="25" spans="1:47" ht="21" customHeight="1" x14ac:dyDescent="0.35">
      <c r="A25" s="259"/>
      <c r="B25" s="98" t="s">
        <v>95</v>
      </c>
      <c r="C25" s="99" t="s">
        <v>195</v>
      </c>
      <c r="D25" s="105" t="s">
        <v>194</v>
      </c>
      <c r="E25" s="99">
        <v>44397</v>
      </c>
      <c r="F25" s="102">
        <f t="shared" si="1"/>
        <v>0</v>
      </c>
      <c r="G25" s="150">
        <f>SUMIF(积分汇总!$B:$B,C25,积分汇总!$E:$E)</f>
        <v>0</v>
      </c>
      <c r="H25" s="150">
        <f>SUMIF(记录巡查问题条数汇总!$B:$B,C25,记录巡查问题条数汇总!$E:$E)</f>
        <v>0</v>
      </c>
      <c r="I25" s="150"/>
      <c r="J25" s="150">
        <f>SUMIF(安全质量事故!$B:$B,C25,安全质量事故!$G:$G)</f>
        <v>0</v>
      </c>
      <c r="K25" s="141">
        <f>COUNTIF(L25:AP25,标准数据!$A$2)*标准数据!$B$2+COUNTIF(L25:AP25,标准数据!$A$3)*标准数据!$B$3+COUNTIF(L25:AP25,标准数据!$A$4)*标准数据!$B$4</f>
        <v>0</v>
      </c>
      <c r="L25" s="183"/>
      <c r="M25" s="183"/>
      <c r="N25" s="183"/>
      <c r="O25" s="183"/>
      <c r="P25" s="183"/>
      <c r="Q25" s="183"/>
      <c r="R25" s="183"/>
      <c r="S25" s="183"/>
      <c r="T25" s="183"/>
      <c r="U25" s="183"/>
      <c r="V25" s="183"/>
      <c r="W25" s="183"/>
      <c r="X25" s="183"/>
      <c r="Y25" s="183"/>
      <c r="Z25" s="183"/>
      <c r="AA25" s="183"/>
      <c r="AB25" s="183"/>
      <c r="AC25" s="183"/>
      <c r="AD25" s="183"/>
      <c r="AE25" s="183"/>
      <c r="AF25" s="183"/>
      <c r="AG25" s="183"/>
      <c r="AH25" s="183"/>
      <c r="AI25" s="183"/>
      <c r="AJ25" s="183"/>
      <c r="AK25" s="183"/>
      <c r="AL25" s="183"/>
      <c r="AM25" s="183"/>
      <c r="AN25" s="183"/>
      <c r="AO25" s="183"/>
      <c r="AP25" s="183"/>
      <c r="AT25" s="149" t="s">
        <v>194</v>
      </c>
      <c r="AU25" s="94" t="s">
        <v>318</v>
      </c>
    </row>
    <row r="26" spans="1:47" ht="21" customHeight="1" x14ac:dyDescent="0.35">
      <c r="A26" s="259"/>
      <c r="B26" s="98" t="s">
        <v>95</v>
      </c>
      <c r="C26" s="99" t="s">
        <v>450</v>
      </c>
      <c r="D26" s="105" t="s">
        <v>445</v>
      </c>
      <c r="E26" s="99">
        <v>45798</v>
      </c>
      <c r="F26" s="102">
        <f t="shared" si="1"/>
        <v>0</v>
      </c>
      <c r="G26" s="150">
        <f>SUMIF(积分汇总!$B:$B,C26,积分汇总!$E:$E)</f>
        <v>0</v>
      </c>
      <c r="H26" s="150">
        <f>SUMIF(记录巡查问题条数汇总!$B:$B,C26,记录巡查问题条数汇总!$E:$E)</f>
        <v>0</v>
      </c>
      <c r="I26" s="150"/>
      <c r="J26" s="150">
        <f>SUMIF(安全质量事故!$B:$B,C26,安全质量事故!$G:$G)</f>
        <v>0</v>
      </c>
      <c r="K26" s="141">
        <f>COUNTIF(L26:AP26,标准数据!$A$2)*标准数据!$B$2+COUNTIF(L26:AP26,标准数据!$A$3)*标准数据!$B$3+COUNTIF(L26:AP26,标准数据!$A$4)*标准数据!$B$4</f>
        <v>0</v>
      </c>
      <c r="L26" s="183"/>
      <c r="M26" s="183"/>
      <c r="N26" s="183"/>
      <c r="O26" s="183"/>
      <c r="P26" s="183"/>
      <c r="Q26" s="183"/>
      <c r="R26" s="183"/>
      <c r="S26" s="183"/>
      <c r="T26" s="183"/>
      <c r="U26" s="183"/>
      <c r="V26" s="183"/>
      <c r="W26" s="183"/>
      <c r="X26" s="183"/>
      <c r="Y26" s="183"/>
      <c r="Z26" s="183"/>
      <c r="AA26" s="183"/>
      <c r="AB26" s="183"/>
      <c r="AC26" s="183"/>
      <c r="AD26" s="183"/>
      <c r="AE26" s="183"/>
      <c r="AF26" s="183"/>
      <c r="AG26" s="183"/>
      <c r="AH26" s="183"/>
      <c r="AI26" s="183"/>
      <c r="AJ26" s="183"/>
      <c r="AK26" s="183"/>
      <c r="AL26" s="183"/>
      <c r="AM26" s="183"/>
      <c r="AN26" s="183"/>
      <c r="AO26" s="183"/>
      <c r="AP26" s="183"/>
      <c r="AT26" s="149" t="s">
        <v>445</v>
      </c>
      <c r="AU26" s="94" t="s">
        <v>318</v>
      </c>
    </row>
    <row r="27" spans="1:47" ht="21" customHeight="1" x14ac:dyDescent="0.35">
      <c r="A27" s="259"/>
      <c r="B27" s="98" t="s">
        <v>17</v>
      </c>
      <c r="C27" s="99" t="s">
        <v>460</v>
      </c>
      <c r="D27" s="105" t="s">
        <v>454</v>
      </c>
      <c r="E27" s="99">
        <v>45826</v>
      </c>
      <c r="F27" s="102">
        <f t="shared" si="1"/>
        <v>0</v>
      </c>
      <c r="G27" s="150">
        <f>SUMIF(积分汇总!$B:$B,C27,积分汇总!$E:$E)</f>
        <v>0</v>
      </c>
      <c r="H27" s="150">
        <f>SUMIF(记录巡查问题条数汇总!$B:$B,C27,记录巡查问题条数汇总!$E:$E)</f>
        <v>0</v>
      </c>
      <c r="I27" s="150"/>
      <c r="J27" s="150">
        <f>SUMIF(安全质量事故!$B:$B,C27,安全质量事故!$G:$G)</f>
        <v>0</v>
      </c>
      <c r="K27" s="141">
        <f>COUNTIF(L27:AP27,标准数据!$A$2)*标准数据!$B$2+COUNTIF(L27:AP27,标准数据!$A$3)*标准数据!$B$3+COUNTIF(L27:AP27,标准数据!$A$4)*标准数据!$B$4</f>
        <v>0</v>
      </c>
      <c r="L27" s="183"/>
      <c r="M27" s="183"/>
      <c r="N27" s="183"/>
      <c r="O27" s="183"/>
      <c r="P27" s="183"/>
      <c r="Q27" s="183"/>
      <c r="R27" s="183"/>
      <c r="S27" s="183"/>
      <c r="T27" s="183"/>
      <c r="U27" s="183"/>
      <c r="V27" s="183"/>
      <c r="W27" s="183"/>
      <c r="X27" s="183"/>
      <c r="Y27" s="183"/>
      <c r="Z27" s="183"/>
      <c r="AA27" s="183"/>
      <c r="AB27" s="183"/>
      <c r="AC27" s="183"/>
      <c r="AD27" s="183"/>
      <c r="AE27" s="183"/>
      <c r="AF27" s="183"/>
      <c r="AG27" s="183"/>
      <c r="AH27" s="183"/>
      <c r="AI27" s="183"/>
      <c r="AJ27" s="183"/>
      <c r="AK27" s="183"/>
      <c r="AL27" s="183"/>
      <c r="AM27" s="183"/>
      <c r="AN27" s="183"/>
      <c r="AO27" s="183"/>
      <c r="AP27" s="183"/>
      <c r="AT27" s="149" t="s">
        <v>454</v>
      </c>
      <c r="AU27" s="94" t="s">
        <v>318</v>
      </c>
    </row>
    <row r="28" spans="1:47" ht="21" customHeight="1" x14ac:dyDescent="0.35">
      <c r="A28" s="259"/>
      <c r="B28" s="98" t="s">
        <v>17</v>
      </c>
      <c r="C28" s="99" t="s">
        <v>581</v>
      </c>
      <c r="D28" s="105" t="s">
        <v>553</v>
      </c>
      <c r="E28" s="99">
        <v>45889</v>
      </c>
      <c r="F28" s="102">
        <f t="shared" si="1"/>
        <v>0</v>
      </c>
      <c r="G28" s="150">
        <f>SUMIF(积分汇总!$B:$B,C28,积分汇总!$E:$E)</f>
        <v>0</v>
      </c>
      <c r="H28" s="150">
        <f>SUMIF(记录巡查问题条数汇总!$B:$B,C28,记录巡查问题条数汇总!$E:$E)</f>
        <v>0</v>
      </c>
      <c r="I28" s="150"/>
      <c r="J28" s="150">
        <f>SUMIF(安全质量事故!$B:$B,C28,安全质量事故!$G:$G)</f>
        <v>0</v>
      </c>
      <c r="K28" s="141">
        <f>COUNTIF(L28:AP28,标准数据!$A$2)*标准数据!$B$2+COUNTIF(L28:AP28,标准数据!$A$3)*标准数据!$B$3+COUNTIF(L28:AP28,标准数据!$A$4)*标准数据!$B$4</f>
        <v>0</v>
      </c>
      <c r="L28" s="183"/>
      <c r="M28" s="183"/>
      <c r="N28" s="183"/>
      <c r="O28" s="183"/>
      <c r="P28" s="183"/>
      <c r="Q28" s="183"/>
      <c r="R28" s="183"/>
      <c r="S28" s="183"/>
      <c r="T28" s="183"/>
      <c r="U28" s="183"/>
      <c r="V28" s="183"/>
      <c r="W28" s="183"/>
      <c r="X28" s="183"/>
      <c r="Y28" s="183"/>
      <c r="Z28" s="183"/>
      <c r="AA28" s="183"/>
      <c r="AB28" s="183"/>
      <c r="AC28" s="183"/>
      <c r="AD28" s="183"/>
      <c r="AE28" s="183"/>
      <c r="AF28" s="183"/>
      <c r="AG28" s="183"/>
      <c r="AH28" s="183"/>
      <c r="AI28" s="183"/>
      <c r="AJ28" s="183"/>
      <c r="AK28" s="183"/>
      <c r="AL28" s="183"/>
      <c r="AM28" s="183"/>
      <c r="AN28" s="183"/>
      <c r="AO28" s="183"/>
      <c r="AP28" s="183"/>
      <c r="AT28" s="149" t="s">
        <v>553</v>
      </c>
      <c r="AU28" s="94" t="s">
        <v>318</v>
      </c>
    </row>
    <row r="29" spans="1:47" ht="21" customHeight="1" x14ac:dyDescent="0.35">
      <c r="A29" s="259"/>
      <c r="B29" s="98" t="s">
        <v>17</v>
      </c>
      <c r="C29" s="99" t="s">
        <v>664</v>
      </c>
      <c r="D29" s="105" t="s">
        <v>620</v>
      </c>
      <c r="E29" s="99">
        <v>45896</v>
      </c>
      <c r="F29" s="102">
        <f t="shared" si="1"/>
        <v>0</v>
      </c>
      <c r="G29" s="150">
        <f>SUMIF(积分汇总!$B:$B,C29,积分汇总!$E:$E)</f>
        <v>0</v>
      </c>
      <c r="H29" s="150">
        <f>SUMIF(记录巡查问题条数汇总!$B:$B,C29,记录巡查问题条数汇总!$E:$E)</f>
        <v>0</v>
      </c>
      <c r="I29" s="150"/>
      <c r="J29" s="150">
        <f>SUMIF(安全质量事故!$B:$B,C29,安全质量事故!$G:$G)</f>
        <v>0</v>
      </c>
      <c r="K29" s="141">
        <f>COUNTIF(L29:AP29,标准数据!$A$2)*标准数据!$B$2+COUNTIF(L29:AP29,标准数据!$A$3)*标准数据!$B$3+COUNTIF(L29:AP29,标准数据!$A$4)*标准数据!$B$4</f>
        <v>0</v>
      </c>
      <c r="L29" s="183"/>
      <c r="M29" s="183"/>
      <c r="N29" s="183"/>
      <c r="O29" s="183"/>
      <c r="P29" s="183"/>
      <c r="Q29" s="183"/>
      <c r="R29" s="183"/>
      <c r="S29" s="183"/>
      <c r="T29" s="183"/>
      <c r="U29" s="183"/>
      <c r="V29" s="183"/>
      <c r="W29" s="183"/>
      <c r="X29" s="183"/>
      <c r="Y29" s="183"/>
      <c r="Z29" s="183"/>
      <c r="AA29" s="183"/>
      <c r="AB29" s="183"/>
      <c r="AC29" s="183"/>
      <c r="AD29" s="183"/>
      <c r="AE29" s="183"/>
      <c r="AF29" s="183"/>
      <c r="AG29" s="183"/>
      <c r="AH29" s="183"/>
      <c r="AI29" s="183"/>
      <c r="AJ29" s="183"/>
      <c r="AK29" s="183"/>
      <c r="AL29" s="183"/>
      <c r="AM29" s="183"/>
      <c r="AN29" s="183"/>
      <c r="AO29" s="183"/>
      <c r="AP29" s="183"/>
      <c r="AT29" s="149" t="s">
        <v>620</v>
      </c>
      <c r="AU29" s="94" t="s">
        <v>318</v>
      </c>
    </row>
    <row r="30" spans="1:47" ht="21" customHeight="1" x14ac:dyDescent="0.35">
      <c r="A30" s="259"/>
      <c r="B30" s="98" t="s">
        <v>17</v>
      </c>
      <c r="C30" s="99" t="s">
        <v>665</v>
      </c>
      <c r="D30" s="105" t="s">
        <v>621</v>
      </c>
      <c r="E30" s="99">
        <v>45917</v>
      </c>
      <c r="F30" s="102">
        <f t="shared" si="1"/>
        <v>0</v>
      </c>
      <c r="G30" s="150">
        <f>SUMIF(积分汇总!$B:$B,C30,积分汇总!$E:$E)</f>
        <v>0</v>
      </c>
      <c r="H30" s="150">
        <f>SUMIF(记录巡查问题条数汇总!$B:$B,C30,记录巡查问题条数汇总!$E:$E)</f>
        <v>0</v>
      </c>
      <c r="I30" s="150"/>
      <c r="J30" s="150">
        <f>SUMIF(安全质量事故!$B:$B,C30,安全质量事故!$G:$G)</f>
        <v>0</v>
      </c>
      <c r="K30" s="141">
        <f>COUNTIF(L30:AP30,标准数据!$A$2)*标准数据!$B$2+COUNTIF(L30:AP30,标准数据!$A$3)*标准数据!$B$3+COUNTIF(L30:AP30,标准数据!$A$4)*标准数据!$B$4</f>
        <v>0</v>
      </c>
      <c r="L30" s="183"/>
      <c r="M30" s="183"/>
      <c r="N30" s="183"/>
      <c r="O30" s="183"/>
      <c r="P30" s="183"/>
      <c r="Q30" s="183"/>
      <c r="R30" s="183"/>
      <c r="S30" s="183"/>
      <c r="T30" s="183"/>
      <c r="U30" s="183"/>
      <c r="V30" s="183"/>
      <c r="W30" s="183"/>
      <c r="X30" s="183"/>
      <c r="Y30" s="183"/>
      <c r="Z30" s="183"/>
      <c r="AA30" s="183"/>
      <c r="AB30" s="183"/>
      <c r="AC30" s="183"/>
      <c r="AD30" s="183"/>
      <c r="AE30" s="183"/>
      <c r="AF30" s="183"/>
      <c r="AG30" s="183"/>
      <c r="AH30" s="183"/>
      <c r="AI30" s="183"/>
      <c r="AJ30" s="183"/>
      <c r="AK30" s="183"/>
      <c r="AL30" s="183"/>
      <c r="AM30" s="183"/>
      <c r="AN30" s="183"/>
      <c r="AO30" s="183"/>
      <c r="AP30" s="183"/>
      <c r="AT30" s="149" t="s">
        <v>621</v>
      </c>
      <c r="AU30" s="94" t="s">
        <v>318</v>
      </c>
    </row>
    <row r="31" spans="1:47" ht="21" customHeight="1" x14ac:dyDescent="0.35">
      <c r="A31" s="259"/>
      <c r="B31" s="98" t="s">
        <v>17</v>
      </c>
      <c r="C31" s="99" t="s">
        <v>666</v>
      </c>
      <c r="D31" s="105" t="s">
        <v>622</v>
      </c>
      <c r="E31" s="99">
        <v>45917</v>
      </c>
      <c r="F31" s="102">
        <f t="shared" si="1"/>
        <v>0</v>
      </c>
      <c r="G31" s="150">
        <f>SUMIF(积分汇总!$B:$B,C31,积分汇总!$E:$E)</f>
        <v>0</v>
      </c>
      <c r="H31" s="150">
        <f>SUMIF(记录巡查问题条数汇总!$B:$B,C31,记录巡查问题条数汇总!$E:$E)</f>
        <v>0</v>
      </c>
      <c r="I31" s="150"/>
      <c r="J31" s="150">
        <f>SUMIF(安全质量事故!$B:$B,C31,安全质量事故!$G:$G)</f>
        <v>0</v>
      </c>
      <c r="K31" s="141">
        <f>COUNTIF(L31:AP31,标准数据!$A$2)*标准数据!$B$2+COUNTIF(L31:AP31,标准数据!$A$3)*标准数据!$B$3+COUNTIF(L31:AP31,标准数据!$A$4)*标准数据!$B$4</f>
        <v>0</v>
      </c>
      <c r="L31" s="183"/>
      <c r="M31" s="183"/>
      <c r="N31" s="183"/>
      <c r="O31" s="183"/>
      <c r="P31" s="183"/>
      <c r="Q31" s="183"/>
      <c r="R31" s="183"/>
      <c r="S31" s="183"/>
      <c r="T31" s="183"/>
      <c r="U31" s="183"/>
      <c r="V31" s="183"/>
      <c r="W31" s="183"/>
      <c r="X31" s="183"/>
      <c r="Y31" s="183"/>
      <c r="Z31" s="183"/>
      <c r="AA31" s="183"/>
      <c r="AB31" s="183"/>
      <c r="AC31" s="183"/>
      <c r="AD31" s="183"/>
      <c r="AE31" s="183"/>
      <c r="AF31" s="183"/>
      <c r="AG31" s="183"/>
      <c r="AH31" s="183"/>
      <c r="AI31" s="183"/>
      <c r="AJ31" s="183"/>
      <c r="AK31" s="183"/>
      <c r="AL31" s="183"/>
      <c r="AM31" s="183"/>
      <c r="AN31" s="183"/>
      <c r="AO31" s="183"/>
      <c r="AP31" s="183"/>
      <c r="AT31" s="149" t="s">
        <v>622</v>
      </c>
      <c r="AU31" s="94" t="s">
        <v>318</v>
      </c>
    </row>
    <row r="32" spans="1:47" ht="21" customHeight="1" x14ac:dyDescent="0.35">
      <c r="A32" s="259"/>
      <c r="B32" s="98" t="s">
        <v>17</v>
      </c>
      <c r="C32" s="99" t="s">
        <v>812</v>
      </c>
      <c r="D32" s="105" t="s">
        <v>736</v>
      </c>
      <c r="E32" s="99">
        <v>45971</v>
      </c>
      <c r="F32" s="102">
        <f t="shared" si="1"/>
        <v>0</v>
      </c>
      <c r="G32" s="150">
        <f>SUMIF(积分汇总!$B:$B,C32,积分汇总!$E:$E)</f>
        <v>0</v>
      </c>
      <c r="H32" s="150">
        <f>SUMIF(记录巡查问题条数汇总!$B:$B,C32,记录巡查问题条数汇总!$E:$E)</f>
        <v>0</v>
      </c>
      <c r="I32" s="150"/>
      <c r="J32" s="150">
        <f>SUMIF(安全质量事故!$B:$B,C32,安全质量事故!$G:$G)</f>
        <v>0</v>
      </c>
      <c r="K32" s="141">
        <f>COUNTIF(L32:AP32,标准数据!$A$2)*标准数据!$B$2+COUNTIF(L32:AP32,标准数据!$A$3)*标准数据!$B$3+COUNTIF(L32:AP32,标准数据!$A$4)*标准数据!$B$4</f>
        <v>0</v>
      </c>
      <c r="L32" s="183"/>
      <c r="M32" s="183"/>
      <c r="N32" s="183"/>
      <c r="O32" s="183"/>
      <c r="P32" s="183"/>
      <c r="Q32" s="183"/>
      <c r="R32" s="183"/>
      <c r="S32" s="183"/>
      <c r="T32" s="183"/>
      <c r="U32" s="183"/>
      <c r="V32" s="183"/>
      <c r="W32" s="183"/>
      <c r="X32" s="183"/>
      <c r="Y32" s="183"/>
      <c r="Z32" s="183"/>
      <c r="AA32" s="183"/>
      <c r="AB32" s="183"/>
      <c r="AC32" s="183"/>
      <c r="AD32" s="183"/>
      <c r="AE32" s="183"/>
      <c r="AF32" s="183"/>
      <c r="AG32" s="183"/>
      <c r="AH32" s="183"/>
      <c r="AI32" s="183"/>
      <c r="AJ32" s="183"/>
      <c r="AK32" s="183"/>
      <c r="AL32" s="183"/>
      <c r="AM32" s="183"/>
      <c r="AN32" s="183"/>
      <c r="AO32" s="183"/>
      <c r="AP32" s="183"/>
      <c r="AT32" s="149" t="s">
        <v>736</v>
      </c>
      <c r="AU32" s="94" t="s">
        <v>318</v>
      </c>
    </row>
    <row r="33" spans="1:47" ht="21" customHeight="1" x14ac:dyDescent="0.35">
      <c r="A33" s="259"/>
      <c r="B33" s="98" t="s">
        <v>17</v>
      </c>
      <c r="C33" s="99" t="s">
        <v>813</v>
      </c>
      <c r="D33" s="105" t="s">
        <v>737</v>
      </c>
      <c r="E33" s="99">
        <v>45973</v>
      </c>
      <c r="F33" s="102">
        <f t="shared" si="1"/>
        <v>0</v>
      </c>
      <c r="G33" s="150">
        <f>SUMIF(积分汇总!$B:$B,C33,积分汇总!$E:$E)</f>
        <v>0</v>
      </c>
      <c r="H33" s="150">
        <f>SUMIF(记录巡查问题条数汇总!$B:$B,C33,记录巡查问题条数汇总!$E:$E)</f>
        <v>0</v>
      </c>
      <c r="I33" s="150"/>
      <c r="J33" s="150">
        <f>SUMIF(安全质量事故!$B:$B,C33,安全质量事故!$G:$G)</f>
        <v>0</v>
      </c>
      <c r="K33" s="141">
        <f>COUNTIF(L33:AP33,标准数据!$A$2)*标准数据!$B$2+COUNTIF(L33:AP33,标准数据!$A$3)*标准数据!$B$3+COUNTIF(L33:AP33,标准数据!$A$4)*标准数据!$B$4</f>
        <v>0</v>
      </c>
      <c r="L33" s="183"/>
      <c r="M33" s="183"/>
      <c r="N33" s="183"/>
      <c r="O33" s="183"/>
      <c r="P33" s="183"/>
      <c r="Q33" s="183"/>
      <c r="R33" s="183"/>
      <c r="S33" s="183"/>
      <c r="T33" s="183"/>
      <c r="U33" s="183"/>
      <c r="V33" s="183"/>
      <c r="W33" s="183"/>
      <c r="X33" s="183"/>
      <c r="Y33" s="183"/>
      <c r="Z33" s="183"/>
      <c r="AA33" s="183"/>
      <c r="AB33" s="183"/>
      <c r="AC33" s="183"/>
      <c r="AD33" s="183"/>
      <c r="AE33" s="183"/>
      <c r="AF33" s="183"/>
      <c r="AG33" s="183"/>
      <c r="AH33" s="183"/>
      <c r="AI33" s="183"/>
      <c r="AJ33" s="183"/>
      <c r="AK33" s="183"/>
      <c r="AL33" s="183"/>
      <c r="AM33" s="183"/>
      <c r="AN33" s="183"/>
      <c r="AO33" s="183"/>
      <c r="AP33" s="183"/>
      <c r="AT33" s="149" t="s">
        <v>737</v>
      </c>
      <c r="AU33" s="94" t="s">
        <v>318</v>
      </c>
    </row>
    <row r="34" spans="1:47" ht="21" customHeight="1" x14ac:dyDescent="0.35">
      <c r="A34" s="259"/>
      <c r="B34" s="98" t="s">
        <v>17</v>
      </c>
      <c r="C34" s="99" t="s">
        <v>1007</v>
      </c>
      <c r="D34" s="105" t="s">
        <v>965</v>
      </c>
      <c r="E34" s="99">
        <v>46036</v>
      </c>
      <c r="F34" s="102">
        <f t="shared" si="1"/>
        <v>0</v>
      </c>
      <c r="G34" s="150">
        <f>SUMIF(积分汇总!$B:$B,C34,积分汇总!$E:$E)</f>
        <v>0</v>
      </c>
      <c r="H34" s="150">
        <f>SUMIF(记录巡查问题条数汇总!$B:$B,C34,记录巡查问题条数汇总!$E:$E)</f>
        <v>0</v>
      </c>
      <c r="I34" s="150"/>
      <c r="J34" s="150">
        <f>SUMIF(安全质量事故!$B:$B,C34,安全质量事故!$G:$G)</f>
        <v>0</v>
      </c>
      <c r="K34" s="141">
        <f>COUNTIF(L34:AP34,标准数据!$A$2)*标准数据!$B$2+COUNTIF(L34:AP34,标准数据!$A$3)*标准数据!$B$3+COUNTIF(L34:AP34,标准数据!$A$4)*标准数据!$B$4</f>
        <v>0</v>
      </c>
      <c r="L34" s="183"/>
      <c r="M34" s="183"/>
      <c r="N34" s="183"/>
      <c r="O34" s="183"/>
      <c r="P34" s="183"/>
      <c r="Q34" s="183"/>
      <c r="R34" s="183"/>
      <c r="S34" s="183"/>
      <c r="T34" s="183"/>
      <c r="U34" s="183"/>
      <c r="V34" s="183"/>
      <c r="W34" s="183"/>
      <c r="X34" s="183"/>
      <c r="Y34" s="183"/>
      <c r="Z34" s="183"/>
      <c r="AA34" s="183"/>
      <c r="AB34" s="183"/>
      <c r="AC34" s="183"/>
      <c r="AD34" s="183"/>
      <c r="AE34" s="183"/>
      <c r="AF34" s="183"/>
      <c r="AG34" s="183"/>
      <c r="AH34" s="183"/>
      <c r="AI34" s="183"/>
      <c r="AJ34" s="183"/>
      <c r="AK34" s="183"/>
      <c r="AL34" s="183"/>
      <c r="AM34" s="183"/>
      <c r="AN34" s="183"/>
      <c r="AO34" s="183"/>
      <c r="AP34" s="183"/>
      <c r="AT34" s="149" t="s">
        <v>965</v>
      </c>
      <c r="AU34" s="94" t="s">
        <v>318</v>
      </c>
    </row>
    <row r="35" spans="1:47" ht="21" customHeight="1" x14ac:dyDescent="0.35">
      <c r="A35" s="259"/>
      <c r="B35" s="98" t="s">
        <v>17</v>
      </c>
      <c r="C35" s="99" t="s">
        <v>1076</v>
      </c>
      <c r="D35" s="105" t="s">
        <v>1044</v>
      </c>
      <c r="E35" s="99">
        <v>45728</v>
      </c>
      <c r="F35" s="102">
        <f t="shared" si="1"/>
        <v>0</v>
      </c>
      <c r="G35" s="150">
        <f>SUMIF(积分汇总!$B:$B,C35,积分汇总!$E:$E)</f>
        <v>0</v>
      </c>
      <c r="H35" s="150">
        <f>SUMIF(记录巡查问题条数汇总!$B:$B,C35,记录巡查问题条数汇总!$E:$E)</f>
        <v>0</v>
      </c>
      <c r="I35" s="150"/>
      <c r="J35" s="150">
        <f>SUMIF(安全质量事故!$B:$B,C35,安全质量事故!$G:$G)</f>
        <v>0</v>
      </c>
      <c r="K35" s="141">
        <f>COUNTIF(L35:AP35,标准数据!$A$2)*标准数据!$B$2+COUNTIF(L35:AP35,标准数据!$A$3)*标准数据!$B$3+COUNTIF(L35:AP35,标准数据!$A$4)*标准数据!$B$4</f>
        <v>0</v>
      </c>
      <c r="L35" s="183"/>
      <c r="M35" s="183"/>
      <c r="N35" s="183"/>
      <c r="O35" s="183"/>
      <c r="P35" s="183"/>
      <c r="Q35" s="183"/>
      <c r="R35" s="183"/>
      <c r="S35" s="183"/>
      <c r="T35" s="183"/>
      <c r="U35" s="183"/>
      <c r="V35" s="183"/>
      <c r="W35" s="183"/>
      <c r="X35" s="183"/>
      <c r="Y35" s="183"/>
      <c r="Z35" s="183"/>
      <c r="AA35" s="183"/>
      <c r="AB35" s="183"/>
      <c r="AC35" s="183"/>
      <c r="AD35" s="183"/>
      <c r="AE35" s="183"/>
      <c r="AF35" s="183"/>
      <c r="AG35" s="183"/>
      <c r="AH35" s="183"/>
      <c r="AI35" s="183"/>
      <c r="AJ35" s="183"/>
      <c r="AK35" s="183"/>
      <c r="AL35" s="183"/>
      <c r="AM35" s="183"/>
      <c r="AN35" s="183"/>
      <c r="AO35" s="183"/>
      <c r="AP35" s="183"/>
      <c r="AT35" s="149" t="s">
        <v>1044</v>
      </c>
      <c r="AU35" s="94" t="s">
        <v>318</v>
      </c>
    </row>
    <row r="36" spans="1:47" ht="21" customHeight="1" x14ac:dyDescent="0.35">
      <c r="A36" s="259"/>
      <c r="B36" s="98" t="s">
        <v>17</v>
      </c>
      <c r="C36" s="99" t="s">
        <v>1077</v>
      </c>
      <c r="D36" s="105" t="s">
        <v>1045</v>
      </c>
      <c r="E36" s="99">
        <v>41828</v>
      </c>
      <c r="F36" s="102">
        <f t="shared" si="1"/>
        <v>0</v>
      </c>
      <c r="G36" s="150">
        <f>SUMIF(积分汇总!$B:$B,C36,积分汇总!$E:$E)</f>
        <v>0</v>
      </c>
      <c r="H36" s="150">
        <f>SUMIF(记录巡查问题条数汇总!$B:$B,C36,记录巡查问题条数汇总!$E:$E)</f>
        <v>0</v>
      </c>
      <c r="I36" s="150"/>
      <c r="J36" s="150">
        <f>SUMIF(安全质量事故!$B:$B,C36,安全质量事故!$G:$G)</f>
        <v>0</v>
      </c>
      <c r="K36" s="141">
        <f>COUNTIF(L36:AP36,标准数据!$A$2)*标准数据!$B$2+COUNTIF(L36:AP36,标准数据!$A$3)*标准数据!$B$3+COUNTIF(L36:AP36,标准数据!$A$4)*标准数据!$B$4</f>
        <v>0</v>
      </c>
      <c r="L36" s="183"/>
      <c r="M36" s="183"/>
      <c r="N36" s="183"/>
      <c r="O36" s="183"/>
      <c r="P36" s="183"/>
      <c r="Q36" s="183"/>
      <c r="R36" s="183"/>
      <c r="S36" s="183"/>
      <c r="T36" s="183"/>
      <c r="U36" s="183"/>
      <c r="V36" s="183"/>
      <c r="W36" s="183"/>
      <c r="X36" s="183"/>
      <c r="Y36" s="183"/>
      <c r="Z36" s="183"/>
      <c r="AA36" s="183"/>
      <c r="AB36" s="183"/>
      <c r="AC36" s="183"/>
      <c r="AD36" s="183"/>
      <c r="AE36" s="183"/>
      <c r="AF36" s="183"/>
      <c r="AG36" s="183"/>
      <c r="AH36" s="183"/>
      <c r="AI36" s="183"/>
      <c r="AJ36" s="183"/>
      <c r="AK36" s="183"/>
      <c r="AL36" s="183"/>
      <c r="AM36" s="183"/>
      <c r="AN36" s="183"/>
      <c r="AO36" s="183"/>
      <c r="AP36" s="183"/>
      <c r="AT36" s="149" t="s">
        <v>1045</v>
      </c>
      <c r="AU36" s="94" t="s">
        <v>318</v>
      </c>
    </row>
    <row r="37" spans="1:47" ht="21" customHeight="1" x14ac:dyDescent="0.35">
      <c r="A37" s="259"/>
      <c r="B37" s="98" t="s">
        <v>17</v>
      </c>
      <c r="C37" s="99" t="s">
        <v>1078</v>
      </c>
      <c r="D37" s="105" t="s">
        <v>1060</v>
      </c>
      <c r="E37" s="99">
        <v>45980</v>
      </c>
      <c r="F37" s="102">
        <f t="shared" si="1"/>
        <v>0</v>
      </c>
      <c r="G37" s="150">
        <f>SUMIF(积分汇总!$B:$B,C37,积分汇总!$E:$E)</f>
        <v>0</v>
      </c>
      <c r="H37" s="150">
        <f>SUMIF(记录巡查问题条数汇总!$B:$B,C37,记录巡查问题条数汇总!$E:$E)</f>
        <v>0</v>
      </c>
      <c r="I37" s="150"/>
      <c r="J37" s="150">
        <f>SUMIF(安全质量事故!$B:$B,C37,安全质量事故!$G:$G)</f>
        <v>0</v>
      </c>
      <c r="K37" s="141">
        <f>COUNTIF(L37:AP37,标准数据!$A$2)*标准数据!$B$2+COUNTIF(L37:AP37,标准数据!$A$3)*标准数据!$B$3+COUNTIF(L37:AP37,标准数据!$A$4)*标准数据!$B$4</f>
        <v>0</v>
      </c>
      <c r="L37" s="183"/>
      <c r="M37" s="183"/>
      <c r="N37" s="183"/>
      <c r="O37" s="183"/>
      <c r="P37" s="183"/>
      <c r="Q37" s="183"/>
      <c r="R37" s="183"/>
      <c r="S37" s="183"/>
      <c r="T37" s="183"/>
      <c r="U37" s="183"/>
      <c r="V37" s="183"/>
      <c r="W37" s="183"/>
      <c r="X37" s="183"/>
      <c r="Y37" s="183"/>
      <c r="Z37" s="183"/>
      <c r="AA37" s="183"/>
      <c r="AB37" s="183"/>
      <c r="AC37" s="183"/>
      <c r="AD37" s="183"/>
      <c r="AE37" s="183"/>
      <c r="AF37" s="183"/>
      <c r="AG37" s="183"/>
      <c r="AH37" s="183"/>
      <c r="AI37" s="183"/>
      <c r="AJ37" s="183"/>
      <c r="AK37" s="183"/>
      <c r="AL37" s="183"/>
      <c r="AM37" s="183"/>
      <c r="AN37" s="183"/>
      <c r="AO37" s="183"/>
      <c r="AP37" s="183"/>
      <c r="AT37" s="149" t="s">
        <v>1060</v>
      </c>
      <c r="AU37" s="94" t="s">
        <v>318</v>
      </c>
    </row>
    <row r="38" spans="1:47" ht="21" customHeight="1" x14ac:dyDescent="0.35">
      <c r="A38" s="259"/>
      <c r="B38" s="98" t="s">
        <v>17</v>
      </c>
      <c r="C38" s="99" t="s">
        <v>1079</v>
      </c>
      <c r="D38" s="105" t="s">
        <v>1061</v>
      </c>
      <c r="E38" s="99">
        <v>45980</v>
      </c>
      <c r="F38" s="102">
        <f t="shared" si="1"/>
        <v>0</v>
      </c>
      <c r="G38" s="150">
        <f>SUMIF(积分汇总!$B:$B,C38,积分汇总!$E:$E)</f>
        <v>0</v>
      </c>
      <c r="H38" s="150">
        <f>SUMIF(记录巡查问题条数汇总!$B:$B,C38,记录巡查问题条数汇总!$E:$E)</f>
        <v>0</v>
      </c>
      <c r="I38" s="150"/>
      <c r="J38" s="150">
        <f>SUMIF(安全质量事故!$B:$B,C38,安全质量事故!$G:$G)</f>
        <v>0</v>
      </c>
      <c r="K38" s="141">
        <f>COUNTIF(L38:AP38,标准数据!$A$2)*标准数据!$B$2+COUNTIF(L38:AP38,标准数据!$A$3)*标准数据!$B$3+COUNTIF(L38:AP38,标准数据!$A$4)*标准数据!$B$4</f>
        <v>0</v>
      </c>
      <c r="L38" s="183"/>
      <c r="M38" s="183"/>
      <c r="N38" s="183"/>
      <c r="O38" s="183"/>
      <c r="P38" s="183"/>
      <c r="Q38" s="183"/>
      <c r="R38" s="183"/>
      <c r="S38" s="183"/>
      <c r="T38" s="183"/>
      <c r="U38" s="183"/>
      <c r="V38" s="183"/>
      <c r="W38" s="183"/>
      <c r="X38" s="183"/>
      <c r="Y38" s="183"/>
      <c r="Z38" s="183"/>
      <c r="AA38" s="183"/>
      <c r="AB38" s="183"/>
      <c r="AC38" s="183"/>
      <c r="AD38" s="183"/>
      <c r="AE38" s="183"/>
      <c r="AF38" s="183"/>
      <c r="AG38" s="183"/>
      <c r="AH38" s="183"/>
      <c r="AI38" s="183"/>
      <c r="AJ38" s="183"/>
      <c r="AK38" s="183"/>
      <c r="AL38" s="183"/>
      <c r="AM38" s="183"/>
      <c r="AN38" s="183"/>
      <c r="AO38" s="183"/>
      <c r="AP38" s="183"/>
      <c r="AT38" s="149" t="s">
        <v>1061</v>
      </c>
      <c r="AU38" s="94" t="s">
        <v>318</v>
      </c>
    </row>
    <row r="39" spans="1:47" ht="21" customHeight="1" x14ac:dyDescent="0.35">
      <c r="A39" s="259"/>
      <c r="B39" s="98" t="s">
        <v>17</v>
      </c>
      <c r="C39" s="99" t="s">
        <v>1080</v>
      </c>
      <c r="D39" s="105" t="s">
        <v>1062</v>
      </c>
      <c r="E39" s="99">
        <v>45980</v>
      </c>
      <c r="F39" s="102">
        <f t="shared" si="1"/>
        <v>0</v>
      </c>
      <c r="G39" s="150">
        <f>SUMIF(积分汇总!$B:$B,C39,积分汇总!$E:$E)</f>
        <v>0</v>
      </c>
      <c r="H39" s="150">
        <f>SUMIF(记录巡查问题条数汇总!$B:$B,C39,记录巡查问题条数汇总!$E:$E)</f>
        <v>0</v>
      </c>
      <c r="I39" s="150"/>
      <c r="J39" s="150">
        <f>SUMIF(安全质量事故!$B:$B,C39,安全质量事故!$G:$G)</f>
        <v>0</v>
      </c>
      <c r="K39" s="141">
        <f>COUNTIF(L39:AP39,标准数据!$A$2)*标准数据!$B$2+COUNTIF(L39:AP39,标准数据!$A$3)*标准数据!$B$3+COUNTIF(L39:AP39,标准数据!$A$4)*标准数据!$B$4</f>
        <v>0</v>
      </c>
      <c r="L39" s="183"/>
      <c r="M39" s="183"/>
      <c r="N39" s="183"/>
      <c r="O39" s="183"/>
      <c r="P39" s="183"/>
      <c r="Q39" s="183"/>
      <c r="R39" s="183"/>
      <c r="S39" s="183"/>
      <c r="T39" s="183"/>
      <c r="U39" s="183"/>
      <c r="V39" s="183"/>
      <c r="W39" s="183"/>
      <c r="X39" s="183"/>
      <c r="Y39" s="183"/>
      <c r="Z39" s="183"/>
      <c r="AA39" s="183"/>
      <c r="AB39" s="183"/>
      <c r="AC39" s="183"/>
      <c r="AD39" s="183"/>
      <c r="AE39" s="183"/>
      <c r="AF39" s="183"/>
      <c r="AG39" s="183"/>
      <c r="AH39" s="183"/>
      <c r="AI39" s="183"/>
      <c r="AJ39" s="183"/>
      <c r="AK39" s="183"/>
      <c r="AL39" s="183"/>
      <c r="AM39" s="183"/>
      <c r="AN39" s="183"/>
      <c r="AO39" s="183"/>
      <c r="AP39" s="183"/>
      <c r="AT39" s="149" t="s">
        <v>1062</v>
      </c>
      <c r="AU39" s="94" t="s">
        <v>318</v>
      </c>
    </row>
    <row r="40" spans="1:47" ht="21" customHeight="1" x14ac:dyDescent="0.35">
      <c r="A40" s="259"/>
      <c r="B40" s="98" t="s">
        <v>17</v>
      </c>
      <c r="C40" s="99" t="s">
        <v>1072</v>
      </c>
      <c r="D40" s="105" t="s">
        <v>1049</v>
      </c>
      <c r="E40" s="99">
        <v>46006</v>
      </c>
      <c r="F40" s="102">
        <f t="shared" si="1"/>
        <v>0</v>
      </c>
      <c r="G40" s="150">
        <f>SUMIF(积分汇总!$B:$B,C40,积分汇总!$E:$E)</f>
        <v>0</v>
      </c>
      <c r="H40" s="150">
        <f>SUMIF(记录巡查问题条数汇总!$B:$B,C40,记录巡查问题条数汇总!$E:$E)</f>
        <v>0</v>
      </c>
      <c r="I40" s="150"/>
      <c r="J40" s="150">
        <f>SUMIF(安全质量事故!$B:$B,C40,安全质量事故!$G:$G)</f>
        <v>0</v>
      </c>
      <c r="K40" s="141">
        <f>COUNTIF(L40:AP40,标准数据!$A$2)*标准数据!$B$2+COUNTIF(L40:AP40,标准数据!$A$3)*标准数据!$B$3+COUNTIF(L40:AP40,标准数据!$A$4)*标准数据!$B$4</f>
        <v>0</v>
      </c>
      <c r="L40" s="183"/>
      <c r="M40" s="183"/>
      <c r="N40" s="183"/>
      <c r="O40" s="183"/>
      <c r="P40" s="183"/>
      <c r="Q40" s="183"/>
      <c r="R40" s="183"/>
      <c r="S40" s="183"/>
      <c r="T40" s="183"/>
      <c r="U40" s="183"/>
      <c r="V40" s="183"/>
      <c r="W40" s="183"/>
      <c r="X40" s="183"/>
      <c r="Y40" s="183"/>
      <c r="Z40" s="183"/>
      <c r="AA40" s="183"/>
      <c r="AB40" s="183"/>
      <c r="AC40" s="183"/>
      <c r="AD40" s="183"/>
      <c r="AE40" s="183"/>
      <c r="AF40" s="183"/>
      <c r="AG40" s="183"/>
      <c r="AH40" s="183"/>
      <c r="AI40" s="183"/>
      <c r="AJ40" s="183"/>
      <c r="AK40" s="183"/>
      <c r="AL40" s="183"/>
      <c r="AM40" s="183"/>
      <c r="AN40" s="183"/>
      <c r="AO40" s="183"/>
      <c r="AP40" s="183"/>
      <c r="AT40" s="149" t="s">
        <v>1049</v>
      </c>
      <c r="AU40" s="94" t="s">
        <v>318</v>
      </c>
    </row>
    <row r="41" spans="1:47" ht="21" customHeight="1" x14ac:dyDescent="0.35">
      <c r="A41" s="259"/>
      <c r="B41" s="98" t="s">
        <v>17</v>
      </c>
      <c r="C41" s="99" t="s">
        <v>1101</v>
      </c>
      <c r="D41" s="100" t="s">
        <v>1102</v>
      </c>
      <c r="E41" s="101">
        <v>46085</v>
      </c>
      <c r="F41" s="102">
        <f t="shared" si="1"/>
        <v>0</v>
      </c>
      <c r="G41" s="150">
        <f>SUMIF(积分汇总!$B:$B,C41,积分汇总!$E:$E)</f>
        <v>0</v>
      </c>
      <c r="H41" s="150">
        <f>SUMIF(记录巡查问题条数汇总!$B:$B,C41,记录巡查问题条数汇总!$E:$E)</f>
        <v>0</v>
      </c>
      <c r="I41" s="150"/>
      <c r="J41" s="150">
        <f>SUMIF(安全质量事故!$B:$B,C41,安全质量事故!$G:$G)</f>
        <v>0</v>
      </c>
      <c r="K41" s="141">
        <f>COUNTIF(L41:AP41,标准数据!$A$2)*标准数据!$B$2+COUNTIF(L41:AP41,标准数据!$A$3)*标准数据!$B$3+COUNTIF(L41:AP41,标准数据!$A$4)*标准数据!$B$4</f>
        <v>0</v>
      </c>
      <c r="L41" s="183"/>
      <c r="M41" s="183"/>
      <c r="N41" s="183"/>
      <c r="O41" s="183"/>
      <c r="P41" s="183"/>
      <c r="Q41" s="183"/>
      <c r="R41" s="183"/>
      <c r="S41" s="183"/>
      <c r="T41" s="183"/>
      <c r="U41" s="183"/>
      <c r="V41" s="183"/>
      <c r="W41" s="183"/>
      <c r="X41" s="183"/>
      <c r="Y41" s="183"/>
      <c r="Z41" s="183"/>
      <c r="AA41" s="183"/>
      <c r="AB41" s="183"/>
      <c r="AC41" s="183"/>
      <c r="AD41" s="183"/>
      <c r="AE41" s="183"/>
      <c r="AF41" s="183"/>
      <c r="AG41" s="183"/>
      <c r="AH41" s="183"/>
      <c r="AI41" s="183"/>
      <c r="AJ41" s="183"/>
      <c r="AK41" s="183"/>
      <c r="AL41" s="183"/>
      <c r="AM41" s="183"/>
      <c r="AN41" s="183"/>
      <c r="AO41" s="183"/>
      <c r="AP41" s="183"/>
      <c r="AT41" s="149" t="s">
        <v>1102</v>
      </c>
      <c r="AU41" s="94" t="s">
        <v>318</v>
      </c>
    </row>
    <row r="42" spans="1:47" ht="21" customHeight="1" x14ac:dyDescent="0.35">
      <c r="A42" s="259"/>
      <c r="B42" s="98" t="s">
        <v>17</v>
      </c>
      <c r="C42" s="99" t="s">
        <v>1103</v>
      </c>
      <c r="D42" s="100" t="s">
        <v>1104</v>
      </c>
      <c r="E42" s="101">
        <v>46097</v>
      </c>
      <c r="F42" s="102">
        <f t="shared" si="1"/>
        <v>0</v>
      </c>
      <c r="G42" s="150">
        <f>SUMIF(积分汇总!$B:$B,C42,积分汇总!$E:$E)</f>
        <v>0</v>
      </c>
      <c r="H42" s="150">
        <f>SUMIF(记录巡查问题条数汇总!$B:$B,C42,记录巡查问题条数汇总!$E:$E)</f>
        <v>0</v>
      </c>
      <c r="I42" s="150"/>
      <c r="J42" s="150">
        <f>SUMIF(安全质量事故!$B:$B,C42,安全质量事故!$G:$G)</f>
        <v>0</v>
      </c>
      <c r="K42" s="141">
        <f>COUNTIF(L42:AP42,标准数据!$A$2)*标准数据!$B$2+COUNTIF(L42:AP42,标准数据!$A$3)*标准数据!$B$3+COUNTIF(L42:AP42,标准数据!$A$4)*标准数据!$B$4</f>
        <v>0</v>
      </c>
      <c r="L42" s="183"/>
      <c r="M42" s="183"/>
      <c r="N42" s="183"/>
      <c r="O42" s="183"/>
      <c r="P42" s="183"/>
      <c r="Q42" s="183"/>
      <c r="R42" s="183"/>
      <c r="S42" s="183"/>
      <c r="T42" s="183"/>
      <c r="U42" s="183"/>
      <c r="V42" s="183"/>
      <c r="W42" s="183"/>
      <c r="X42" s="183"/>
      <c r="Y42" s="183"/>
      <c r="Z42" s="183"/>
      <c r="AA42" s="183"/>
      <c r="AB42" s="183"/>
      <c r="AC42" s="183"/>
      <c r="AD42" s="183"/>
      <c r="AE42" s="183"/>
      <c r="AF42" s="183"/>
      <c r="AG42" s="183"/>
      <c r="AH42" s="183"/>
      <c r="AI42" s="183"/>
      <c r="AJ42" s="183"/>
      <c r="AK42" s="183"/>
      <c r="AL42" s="183"/>
      <c r="AM42" s="183"/>
      <c r="AN42" s="183"/>
      <c r="AO42" s="183"/>
      <c r="AP42" s="183"/>
      <c r="AT42" s="149" t="s">
        <v>1104</v>
      </c>
      <c r="AU42" s="94" t="s">
        <v>318</v>
      </c>
    </row>
    <row r="43" spans="1:47" ht="21" customHeight="1" x14ac:dyDescent="0.35">
      <c r="A43" s="259"/>
      <c r="B43" s="98" t="s">
        <v>17</v>
      </c>
      <c r="C43" s="99" t="s">
        <v>1338</v>
      </c>
      <c r="D43" s="105" t="s">
        <v>1339</v>
      </c>
      <c r="E43" s="99">
        <v>46120</v>
      </c>
      <c r="F43" s="102">
        <f t="shared" si="1"/>
        <v>0</v>
      </c>
      <c r="G43" s="150">
        <f>SUMIF(积分汇总!$B:$B,C43,积分汇总!$E:$E)</f>
        <v>0</v>
      </c>
      <c r="H43" s="150">
        <f>SUMIF(记录巡查问题条数汇总!$B:$B,C43,记录巡查问题条数汇总!$E:$E)</f>
        <v>0</v>
      </c>
      <c r="I43" s="150"/>
      <c r="J43" s="150">
        <f>SUMIF(安全质量事故!$B:$B,C43,安全质量事故!$G:$G)</f>
        <v>0</v>
      </c>
      <c r="K43" s="141">
        <f>COUNTIF(L43:AP43,标准数据!$A$2)*标准数据!$B$2+COUNTIF(L43:AP43,标准数据!$A$3)*标准数据!$B$3+COUNTIF(L43:AP43,标准数据!$A$4)*标准数据!$B$4</f>
        <v>0</v>
      </c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Z43" s="183"/>
      <c r="AA43" s="183"/>
      <c r="AB43" s="183"/>
      <c r="AC43" s="183"/>
      <c r="AD43" s="183"/>
      <c r="AE43" s="183"/>
      <c r="AF43" s="183"/>
      <c r="AG43" s="183"/>
      <c r="AH43" s="183"/>
      <c r="AI43" s="183"/>
      <c r="AJ43" s="183"/>
      <c r="AK43" s="183"/>
      <c r="AL43" s="183"/>
      <c r="AM43" s="183"/>
      <c r="AN43" s="183"/>
      <c r="AO43" s="183"/>
      <c r="AP43" s="183"/>
      <c r="AT43" s="149" t="s">
        <v>1339</v>
      </c>
      <c r="AU43" s="94" t="s">
        <v>318</v>
      </c>
    </row>
    <row r="44" spans="1:47" ht="21" customHeight="1" x14ac:dyDescent="0.35">
      <c r="A44" s="259"/>
      <c r="B44" s="98" t="s">
        <v>17</v>
      </c>
      <c r="C44" s="99" t="s">
        <v>1340</v>
      </c>
      <c r="D44" s="105" t="s">
        <v>1341</v>
      </c>
      <c r="E44" s="99">
        <v>46120</v>
      </c>
      <c r="F44" s="102">
        <f t="shared" si="1"/>
        <v>0</v>
      </c>
      <c r="G44" s="150">
        <f>SUMIF(积分汇总!$B:$B,C44,积分汇总!$E:$E)</f>
        <v>0</v>
      </c>
      <c r="H44" s="150">
        <f>SUMIF(记录巡查问题条数汇总!$B:$B,C44,记录巡查问题条数汇总!$E:$E)</f>
        <v>0</v>
      </c>
      <c r="I44" s="150"/>
      <c r="J44" s="150">
        <f>SUMIF(安全质量事故!$B:$B,C44,安全质量事故!$G:$G)</f>
        <v>0</v>
      </c>
      <c r="K44" s="141">
        <f>COUNTIF(L44:AP44,标准数据!$A$2)*标准数据!$B$2+COUNTIF(L44:AP44,标准数据!$A$3)*标准数据!$B$3+COUNTIF(L44:AP44,标准数据!$A$4)*标准数据!$B$4</f>
        <v>0</v>
      </c>
      <c r="L44" s="183"/>
      <c r="M44" s="183"/>
      <c r="N44" s="183"/>
      <c r="O44" s="183"/>
      <c r="P44" s="183"/>
      <c r="Q44" s="183"/>
      <c r="R44" s="183"/>
      <c r="S44" s="183"/>
      <c r="T44" s="183"/>
      <c r="U44" s="183"/>
      <c r="V44" s="183"/>
      <c r="W44" s="183"/>
      <c r="X44" s="183"/>
      <c r="Y44" s="183"/>
      <c r="Z44" s="183"/>
      <c r="AA44" s="183"/>
      <c r="AB44" s="183"/>
      <c r="AC44" s="183"/>
      <c r="AD44" s="183"/>
      <c r="AE44" s="183"/>
      <c r="AF44" s="183"/>
      <c r="AG44" s="183"/>
      <c r="AH44" s="183"/>
      <c r="AI44" s="183"/>
      <c r="AJ44" s="183"/>
      <c r="AK44" s="183"/>
      <c r="AL44" s="183"/>
      <c r="AM44" s="183"/>
      <c r="AN44" s="183"/>
      <c r="AO44" s="183"/>
      <c r="AP44" s="183"/>
      <c r="AT44" s="149" t="s">
        <v>1341</v>
      </c>
      <c r="AU44" s="94" t="s">
        <v>318</v>
      </c>
    </row>
    <row r="45" spans="1:47" ht="21" customHeight="1" x14ac:dyDescent="0.35">
      <c r="A45" s="259"/>
      <c r="B45" s="98" t="s">
        <v>17</v>
      </c>
      <c r="C45" s="99" t="s">
        <v>1342</v>
      </c>
      <c r="D45" s="105" t="s">
        <v>1343</v>
      </c>
      <c r="E45" s="99">
        <v>46120</v>
      </c>
      <c r="F45" s="102">
        <f t="shared" si="1"/>
        <v>0</v>
      </c>
      <c r="G45" s="150">
        <f>SUMIF(积分汇总!$B:$B,C45,积分汇总!$E:$E)</f>
        <v>0</v>
      </c>
      <c r="H45" s="150">
        <f>SUMIF(记录巡查问题条数汇总!$B:$B,C45,记录巡查问题条数汇总!$E:$E)</f>
        <v>0</v>
      </c>
      <c r="I45" s="150"/>
      <c r="J45" s="150">
        <f>SUMIF(安全质量事故!$B:$B,C45,安全质量事故!$G:$G)</f>
        <v>0</v>
      </c>
      <c r="K45" s="141">
        <f>COUNTIF(L45:AP45,标准数据!$A$2)*标准数据!$B$2+COUNTIF(L45:AP45,标准数据!$A$3)*标准数据!$B$3+COUNTIF(L45:AP45,标准数据!$A$4)*标准数据!$B$4</f>
        <v>0</v>
      </c>
      <c r="L45" s="183"/>
      <c r="M45" s="183"/>
      <c r="N45" s="183"/>
      <c r="O45" s="183"/>
      <c r="P45" s="183"/>
      <c r="Q45" s="183"/>
      <c r="R45" s="183"/>
      <c r="S45" s="183"/>
      <c r="T45" s="183"/>
      <c r="U45" s="183"/>
      <c r="V45" s="183"/>
      <c r="W45" s="183"/>
      <c r="X45" s="183"/>
      <c r="Y45" s="183"/>
      <c r="Z45" s="183"/>
      <c r="AA45" s="183"/>
      <c r="AB45" s="183"/>
      <c r="AC45" s="183"/>
      <c r="AD45" s="183"/>
      <c r="AE45" s="183"/>
      <c r="AF45" s="183"/>
      <c r="AG45" s="183"/>
      <c r="AH45" s="183"/>
      <c r="AI45" s="183"/>
      <c r="AJ45" s="183"/>
      <c r="AK45" s="183"/>
      <c r="AL45" s="183"/>
      <c r="AM45" s="183"/>
      <c r="AN45" s="183"/>
      <c r="AO45" s="183"/>
      <c r="AP45" s="183"/>
      <c r="AT45" s="149" t="s">
        <v>1343</v>
      </c>
      <c r="AU45" s="94" t="s">
        <v>318</v>
      </c>
    </row>
    <row r="46" spans="1:47" ht="21" customHeight="1" x14ac:dyDescent="0.35">
      <c r="A46" s="259"/>
      <c r="B46" s="98" t="s">
        <v>17</v>
      </c>
      <c r="C46" s="99" t="s">
        <v>1344</v>
      </c>
      <c r="D46" s="105" t="s">
        <v>1345</v>
      </c>
      <c r="E46" s="99">
        <v>46120</v>
      </c>
      <c r="F46" s="102">
        <f t="shared" si="1"/>
        <v>0</v>
      </c>
      <c r="G46" s="150">
        <f>SUMIF(积分汇总!$B:$B,C46,积分汇总!$E:$E)</f>
        <v>0</v>
      </c>
      <c r="H46" s="150">
        <f>SUMIF(记录巡查问题条数汇总!$B:$B,C46,记录巡查问题条数汇总!$E:$E)</f>
        <v>0</v>
      </c>
      <c r="I46" s="150"/>
      <c r="J46" s="150">
        <f>SUMIF(安全质量事故!$B:$B,C46,安全质量事故!$G:$G)</f>
        <v>0</v>
      </c>
      <c r="K46" s="141">
        <f>COUNTIF(L46:AP46,标准数据!$A$2)*标准数据!$B$2+COUNTIF(L46:AP46,标准数据!$A$3)*标准数据!$B$3+COUNTIF(L46:AP46,标准数据!$A$4)*标准数据!$B$4</f>
        <v>0</v>
      </c>
      <c r="L46" s="183"/>
      <c r="M46" s="183"/>
      <c r="N46" s="183"/>
      <c r="O46" s="183"/>
      <c r="P46" s="183"/>
      <c r="Q46" s="183"/>
      <c r="R46" s="183"/>
      <c r="S46" s="183"/>
      <c r="T46" s="183"/>
      <c r="U46" s="183"/>
      <c r="V46" s="183"/>
      <c r="W46" s="183"/>
      <c r="X46" s="183"/>
      <c r="Y46" s="183"/>
      <c r="Z46" s="183"/>
      <c r="AA46" s="183"/>
      <c r="AB46" s="183"/>
      <c r="AC46" s="183"/>
      <c r="AD46" s="183"/>
      <c r="AE46" s="183"/>
      <c r="AF46" s="183"/>
      <c r="AG46" s="183"/>
      <c r="AH46" s="183"/>
      <c r="AI46" s="183"/>
      <c r="AJ46" s="183"/>
      <c r="AK46" s="183"/>
      <c r="AL46" s="183"/>
      <c r="AM46" s="183"/>
      <c r="AN46" s="183"/>
      <c r="AO46" s="183"/>
      <c r="AP46" s="183"/>
      <c r="AT46" s="149" t="s">
        <v>1345</v>
      </c>
      <c r="AU46" s="94" t="s">
        <v>318</v>
      </c>
    </row>
    <row r="47" spans="1:47" ht="21" customHeight="1" x14ac:dyDescent="0.35">
      <c r="A47" s="259"/>
      <c r="B47" s="98" t="s">
        <v>17</v>
      </c>
      <c r="C47" s="99" t="s">
        <v>1346</v>
      </c>
      <c r="D47" s="105" t="s">
        <v>1347</v>
      </c>
      <c r="E47" s="99">
        <v>46125</v>
      </c>
      <c r="F47" s="102">
        <f t="shared" si="1"/>
        <v>0</v>
      </c>
      <c r="G47" s="150">
        <f>SUMIF(积分汇总!$B:$B,C47,积分汇总!$E:$E)</f>
        <v>0</v>
      </c>
      <c r="H47" s="150">
        <f>SUMIF(记录巡查问题条数汇总!$B:$B,C47,记录巡查问题条数汇总!$E:$E)</f>
        <v>0</v>
      </c>
      <c r="I47" s="150"/>
      <c r="J47" s="150">
        <f>SUMIF(安全质量事故!$B:$B,C47,安全质量事故!$G:$G)</f>
        <v>0</v>
      </c>
      <c r="K47" s="141">
        <f>COUNTIF(L47:AP47,标准数据!$A$2)*标准数据!$B$2+COUNTIF(L47:AP47,标准数据!$A$3)*标准数据!$B$3+COUNTIF(L47:AP47,标准数据!$A$4)*标准数据!$B$4</f>
        <v>0</v>
      </c>
      <c r="L47" s="183"/>
      <c r="M47" s="183"/>
      <c r="N47" s="183"/>
      <c r="O47" s="183"/>
      <c r="P47" s="183"/>
      <c r="Q47" s="183"/>
      <c r="R47" s="183"/>
      <c r="S47" s="183"/>
      <c r="T47" s="183"/>
      <c r="U47" s="183"/>
      <c r="V47" s="183"/>
      <c r="W47" s="183"/>
      <c r="X47" s="183"/>
      <c r="Y47" s="183"/>
      <c r="Z47" s="183"/>
      <c r="AA47" s="183"/>
      <c r="AB47" s="183"/>
      <c r="AC47" s="183"/>
      <c r="AD47" s="183"/>
      <c r="AE47" s="183"/>
      <c r="AF47" s="183"/>
      <c r="AG47" s="183"/>
      <c r="AH47" s="183"/>
      <c r="AI47" s="183"/>
      <c r="AJ47" s="183"/>
      <c r="AK47" s="183"/>
      <c r="AL47" s="183"/>
      <c r="AM47" s="183"/>
      <c r="AN47" s="183"/>
      <c r="AO47" s="183"/>
      <c r="AP47" s="183"/>
      <c r="AT47" s="149" t="s">
        <v>1347</v>
      </c>
      <c r="AU47" s="94" t="s">
        <v>318</v>
      </c>
    </row>
    <row r="48" spans="1:47" ht="21" customHeight="1" x14ac:dyDescent="0.35">
      <c r="A48" s="259"/>
      <c r="B48" s="98" t="s">
        <v>17</v>
      </c>
      <c r="C48" s="99" t="s">
        <v>1350</v>
      </c>
      <c r="D48" s="105" t="s">
        <v>1351</v>
      </c>
      <c r="E48" s="99">
        <v>46125</v>
      </c>
      <c r="F48" s="102">
        <f t="shared" si="1"/>
        <v>0</v>
      </c>
      <c r="G48" s="150">
        <f>SUMIF(积分汇总!$B:$B,C48,积分汇总!$E:$E)</f>
        <v>0</v>
      </c>
      <c r="H48" s="150">
        <f>SUMIF(记录巡查问题条数汇总!$B:$B,C48,记录巡查问题条数汇总!$E:$E)</f>
        <v>0</v>
      </c>
      <c r="I48" s="150"/>
      <c r="J48" s="150">
        <f>SUMIF(安全质量事故!$B:$B,C48,安全质量事故!$G:$G)</f>
        <v>0</v>
      </c>
      <c r="K48" s="141">
        <f>COUNTIF(L48:AP48,标准数据!$A$2)*标准数据!$B$2+COUNTIF(L48:AP48,标准数据!$A$3)*标准数据!$B$3+COUNTIF(L48:AP48,标准数据!$A$4)*标准数据!$B$4</f>
        <v>0</v>
      </c>
      <c r="L48" s="183"/>
      <c r="M48" s="183"/>
      <c r="N48" s="183"/>
      <c r="O48" s="183"/>
      <c r="P48" s="183"/>
      <c r="Q48" s="183"/>
      <c r="R48" s="183"/>
      <c r="S48" s="183"/>
      <c r="T48" s="183"/>
      <c r="U48" s="183"/>
      <c r="V48" s="183"/>
      <c r="W48" s="183"/>
      <c r="X48" s="183"/>
      <c r="Y48" s="183"/>
      <c r="Z48" s="183"/>
      <c r="AA48" s="183"/>
      <c r="AB48" s="183"/>
      <c r="AC48" s="183"/>
      <c r="AD48" s="183"/>
      <c r="AE48" s="183"/>
      <c r="AF48" s="183"/>
      <c r="AG48" s="183"/>
      <c r="AH48" s="183"/>
      <c r="AI48" s="183"/>
      <c r="AJ48" s="183"/>
      <c r="AK48" s="183"/>
      <c r="AL48" s="183"/>
      <c r="AM48" s="183"/>
      <c r="AN48" s="183"/>
      <c r="AO48" s="183"/>
      <c r="AP48" s="183"/>
      <c r="AT48" s="149" t="s">
        <v>1351</v>
      </c>
      <c r="AU48" s="94" t="s">
        <v>318</v>
      </c>
    </row>
    <row r="49" spans="1:47" ht="21" customHeight="1" x14ac:dyDescent="0.35">
      <c r="A49" s="259"/>
      <c r="B49" s="98" t="s">
        <v>17</v>
      </c>
      <c r="C49" s="99" t="s">
        <v>1352</v>
      </c>
      <c r="D49" s="100" t="s">
        <v>1353</v>
      </c>
      <c r="E49" s="101">
        <v>46127</v>
      </c>
      <c r="F49" s="102">
        <f t="shared" si="1"/>
        <v>0</v>
      </c>
      <c r="G49" s="150">
        <f>SUMIF(积分汇总!$B:$B,C49,积分汇总!$E:$E)</f>
        <v>0</v>
      </c>
      <c r="H49" s="150">
        <f>SUMIF(记录巡查问题条数汇总!$B:$B,C49,记录巡查问题条数汇总!$E:$E)</f>
        <v>0</v>
      </c>
      <c r="I49" s="150"/>
      <c r="J49" s="150">
        <f>SUMIF(安全质量事故!$B:$B,C49,安全质量事故!$G:$G)</f>
        <v>0</v>
      </c>
      <c r="K49" s="141">
        <f>COUNTIF(L49:AP49,标准数据!$A$2)*标准数据!$B$2+COUNTIF(L49:AP49,标准数据!$A$3)*标准数据!$B$3+COUNTIF(L49:AP49,标准数据!$A$4)*标准数据!$B$4</f>
        <v>0</v>
      </c>
      <c r="L49" s="183"/>
      <c r="M49" s="183"/>
      <c r="N49" s="183"/>
      <c r="O49" s="183"/>
      <c r="P49" s="183"/>
      <c r="Q49" s="183"/>
      <c r="R49" s="183"/>
      <c r="S49" s="183"/>
      <c r="T49" s="183"/>
      <c r="U49" s="183"/>
      <c r="V49" s="183"/>
      <c r="W49" s="183"/>
      <c r="X49" s="183"/>
      <c r="Y49" s="183"/>
      <c r="Z49" s="183"/>
      <c r="AA49" s="183"/>
      <c r="AB49" s="183"/>
      <c r="AC49" s="183"/>
      <c r="AD49" s="183"/>
      <c r="AE49" s="183"/>
      <c r="AF49" s="183"/>
      <c r="AG49" s="183"/>
      <c r="AH49" s="183"/>
      <c r="AI49" s="183"/>
      <c r="AJ49" s="183"/>
      <c r="AK49" s="183"/>
      <c r="AL49" s="183"/>
      <c r="AM49" s="183"/>
      <c r="AN49" s="183"/>
      <c r="AO49" s="183"/>
      <c r="AP49" s="183"/>
      <c r="AT49" s="149" t="s">
        <v>1353</v>
      </c>
      <c r="AU49" s="94" t="s">
        <v>318</v>
      </c>
    </row>
    <row r="50" spans="1:47" ht="21" customHeight="1" x14ac:dyDescent="0.35">
      <c r="A50" s="259"/>
      <c r="B50" s="98" t="s">
        <v>17</v>
      </c>
      <c r="C50" s="99" t="s">
        <v>1354</v>
      </c>
      <c r="D50" s="100" t="s">
        <v>1355</v>
      </c>
      <c r="E50" s="101">
        <v>46127</v>
      </c>
      <c r="F50" s="102">
        <f t="shared" si="1"/>
        <v>0</v>
      </c>
      <c r="G50" s="150">
        <f>SUMIF(积分汇总!$B:$B,C50,积分汇总!$E:$E)</f>
        <v>0</v>
      </c>
      <c r="H50" s="150">
        <f>SUMIF(记录巡查问题条数汇总!$B:$B,C50,记录巡查问题条数汇总!$E:$E)</f>
        <v>0</v>
      </c>
      <c r="I50" s="150"/>
      <c r="J50" s="150">
        <f>SUMIF(安全质量事故!$B:$B,C50,安全质量事故!$G:$G)</f>
        <v>0</v>
      </c>
      <c r="K50" s="141">
        <f>COUNTIF(L50:AP50,标准数据!$A$2)*标准数据!$B$2+COUNTIF(L50:AP50,标准数据!$A$3)*标准数据!$B$3+COUNTIF(L50:AP50,标准数据!$A$4)*标准数据!$B$4</f>
        <v>0</v>
      </c>
      <c r="L50" s="183"/>
      <c r="M50" s="183"/>
      <c r="N50" s="183"/>
      <c r="O50" s="183"/>
      <c r="P50" s="183"/>
      <c r="Q50" s="183"/>
      <c r="R50" s="183"/>
      <c r="S50" s="183"/>
      <c r="T50" s="183"/>
      <c r="U50" s="183"/>
      <c r="V50" s="183"/>
      <c r="W50" s="183"/>
      <c r="X50" s="183"/>
      <c r="Y50" s="183"/>
      <c r="Z50" s="183"/>
      <c r="AA50" s="183"/>
      <c r="AB50" s="183"/>
      <c r="AC50" s="183"/>
      <c r="AD50" s="183"/>
      <c r="AE50" s="183"/>
      <c r="AF50" s="183"/>
      <c r="AG50" s="183"/>
      <c r="AH50" s="183"/>
      <c r="AI50" s="183"/>
      <c r="AJ50" s="183"/>
      <c r="AK50" s="183"/>
      <c r="AL50" s="183"/>
      <c r="AM50" s="183"/>
      <c r="AN50" s="183"/>
      <c r="AO50" s="183"/>
      <c r="AP50" s="183"/>
      <c r="AT50" s="149" t="s">
        <v>1355</v>
      </c>
      <c r="AU50" s="94" t="s">
        <v>318</v>
      </c>
    </row>
    <row r="51" spans="1:47" ht="21" customHeight="1" x14ac:dyDescent="0.35">
      <c r="A51" s="259"/>
      <c r="B51" s="98" t="s">
        <v>17</v>
      </c>
      <c r="C51" s="214" t="s">
        <v>1731</v>
      </c>
      <c r="D51" s="216" t="s">
        <v>1732</v>
      </c>
      <c r="E51" s="217">
        <v>46162</v>
      </c>
      <c r="F51" s="102">
        <f t="shared" ref="F51:F52" si="2">(K51+G51+H51+I51-J51)</f>
        <v>0</v>
      </c>
      <c r="G51" s="150">
        <f>SUMIF(积分汇总!$B:$B,C51,积分汇总!$E:$E)</f>
        <v>0</v>
      </c>
      <c r="H51" s="150">
        <f>SUMIF(记录巡查问题条数汇总!$B:$B,C51,记录巡查问题条数汇总!$E:$E)</f>
        <v>0</v>
      </c>
      <c r="I51" s="150"/>
      <c r="J51" s="150">
        <f>SUMIF(安全质量事故!$B:$B,C51,安全质量事故!$G:$G)</f>
        <v>0</v>
      </c>
      <c r="K51" s="141">
        <f>COUNTIF(L51:AP51,标准数据!$A$2)*标准数据!$B$2+COUNTIF(L51:AP51,标准数据!$A$3)*标准数据!$B$3+COUNTIF(L51:AP51,标准数据!$A$4)*标准数据!$B$4</f>
        <v>0</v>
      </c>
      <c r="L51" s="183"/>
      <c r="M51" s="183"/>
      <c r="N51" s="183"/>
      <c r="O51" s="183"/>
      <c r="P51" s="183"/>
      <c r="Q51" s="183"/>
      <c r="R51" s="183"/>
      <c r="S51" s="183"/>
      <c r="T51" s="183"/>
      <c r="U51" s="183"/>
      <c r="V51" s="183"/>
      <c r="W51" s="183"/>
      <c r="X51" s="183"/>
      <c r="Y51" s="183"/>
      <c r="Z51" s="183"/>
      <c r="AA51" s="183"/>
      <c r="AB51" s="183"/>
      <c r="AC51" s="183"/>
      <c r="AD51" s="183"/>
      <c r="AE51" s="183"/>
      <c r="AF51" s="183"/>
      <c r="AG51" s="183"/>
      <c r="AH51" s="183"/>
      <c r="AI51" s="183"/>
      <c r="AJ51" s="183"/>
      <c r="AK51" s="183"/>
      <c r="AL51" s="183"/>
      <c r="AM51" s="183"/>
      <c r="AN51" s="183"/>
      <c r="AO51" s="183"/>
      <c r="AP51" s="183"/>
      <c r="AT51" s="149" t="s">
        <v>1732</v>
      </c>
      <c r="AU51" s="94" t="s">
        <v>318</v>
      </c>
    </row>
    <row r="52" spans="1:47" ht="21" customHeight="1" x14ac:dyDescent="0.35">
      <c r="A52" s="259"/>
      <c r="B52" s="98" t="s">
        <v>17</v>
      </c>
      <c r="C52" s="214" t="s">
        <v>1733</v>
      </c>
      <c r="D52" s="216" t="s">
        <v>1734</v>
      </c>
      <c r="E52" s="217">
        <v>46169</v>
      </c>
      <c r="F52" s="102">
        <f t="shared" si="2"/>
        <v>0</v>
      </c>
      <c r="G52" s="150">
        <f>SUMIF(积分汇总!$B:$B,C52,积分汇总!$E:$E)</f>
        <v>0</v>
      </c>
      <c r="H52" s="150">
        <f>SUMIF(记录巡查问题条数汇总!$B:$B,C52,记录巡查问题条数汇总!$E:$E)</f>
        <v>0</v>
      </c>
      <c r="I52" s="150"/>
      <c r="J52" s="150">
        <f>SUMIF(安全质量事故!$B:$B,C52,安全质量事故!$G:$G)</f>
        <v>0</v>
      </c>
      <c r="K52" s="141">
        <f>COUNTIF(L52:AP52,标准数据!$A$2)*标准数据!$B$2+COUNTIF(L52:AP52,标准数据!$A$3)*标准数据!$B$3+COUNTIF(L52:AP52,标准数据!$A$4)*标准数据!$B$4</f>
        <v>0</v>
      </c>
      <c r="L52" s="183"/>
      <c r="M52" s="183"/>
      <c r="N52" s="183"/>
      <c r="O52" s="183"/>
      <c r="P52" s="183"/>
      <c r="Q52" s="183"/>
      <c r="R52" s="183"/>
      <c r="S52" s="183"/>
      <c r="T52" s="183"/>
      <c r="U52" s="183"/>
      <c r="V52" s="183"/>
      <c r="W52" s="183"/>
      <c r="X52" s="183"/>
      <c r="Y52" s="183"/>
      <c r="Z52" s="183"/>
      <c r="AA52" s="183"/>
      <c r="AB52" s="183"/>
      <c r="AC52" s="183"/>
      <c r="AD52" s="183"/>
      <c r="AE52" s="183"/>
      <c r="AF52" s="183"/>
      <c r="AG52" s="183"/>
      <c r="AH52" s="183"/>
      <c r="AI52" s="183"/>
      <c r="AJ52" s="183"/>
      <c r="AK52" s="183"/>
      <c r="AL52" s="183"/>
      <c r="AM52" s="183"/>
      <c r="AN52" s="183"/>
      <c r="AO52" s="183"/>
      <c r="AP52" s="183"/>
      <c r="AT52" s="149" t="s">
        <v>1734</v>
      </c>
      <c r="AU52" s="94" t="s">
        <v>318</v>
      </c>
    </row>
    <row r="53" spans="1:47" ht="21" customHeight="1" x14ac:dyDescent="0.35">
      <c r="A53" s="259"/>
      <c r="B53" s="98" t="s">
        <v>17</v>
      </c>
      <c r="C53" s="214" t="s">
        <v>1735</v>
      </c>
      <c r="D53" s="216" t="s">
        <v>1736</v>
      </c>
      <c r="E53" s="217">
        <v>46169</v>
      </c>
      <c r="F53" s="102">
        <f t="shared" ref="F53:F54" si="3">(K53+G53+H53+I53-J53)</f>
        <v>0</v>
      </c>
      <c r="G53" s="150">
        <f>SUMIF(积分汇总!$B:$B,C53,积分汇总!$E:$E)</f>
        <v>0</v>
      </c>
      <c r="H53" s="150">
        <f>SUMIF(记录巡查问题条数汇总!$B:$B,C53,记录巡查问题条数汇总!$E:$E)</f>
        <v>0</v>
      </c>
      <c r="I53" s="150"/>
      <c r="J53" s="150">
        <f>SUMIF(安全质量事故!$B:$B,C53,安全质量事故!$G:$G)</f>
        <v>0</v>
      </c>
      <c r="K53" s="141">
        <f>COUNTIF(L53:AP53,标准数据!$A$2)*标准数据!$B$2+COUNTIF(L53:AP53,标准数据!$A$3)*标准数据!$B$3+COUNTIF(L53:AP53,标准数据!$A$4)*标准数据!$B$4</f>
        <v>0</v>
      </c>
      <c r="L53" s="183"/>
      <c r="M53" s="183"/>
      <c r="N53" s="183"/>
      <c r="O53" s="183"/>
      <c r="P53" s="183"/>
      <c r="Q53" s="183"/>
      <c r="R53" s="183"/>
      <c r="S53" s="183"/>
      <c r="T53" s="183"/>
      <c r="U53" s="183"/>
      <c r="V53" s="183"/>
      <c r="W53" s="183"/>
      <c r="X53" s="183"/>
      <c r="Y53" s="183"/>
      <c r="Z53" s="183"/>
      <c r="AA53" s="183"/>
      <c r="AB53" s="183"/>
      <c r="AC53" s="183"/>
      <c r="AD53" s="183"/>
      <c r="AE53" s="183"/>
      <c r="AF53" s="183"/>
      <c r="AG53" s="183"/>
      <c r="AH53" s="183"/>
      <c r="AI53" s="183"/>
      <c r="AJ53" s="183"/>
      <c r="AK53" s="183"/>
      <c r="AL53" s="183"/>
      <c r="AM53" s="183"/>
      <c r="AN53" s="183"/>
      <c r="AO53" s="183"/>
      <c r="AP53" s="183"/>
      <c r="AT53" s="149" t="s">
        <v>1736</v>
      </c>
      <c r="AU53" s="94" t="s">
        <v>318</v>
      </c>
    </row>
    <row r="54" spans="1:47" ht="21" customHeight="1" x14ac:dyDescent="0.35">
      <c r="A54" s="259"/>
      <c r="B54" s="98" t="s">
        <v>17</v>
      </c>
      <c r="C54" s="214" t="s">
        <v>1737</v>
      </c>
      <c r="D54" s="216" t="s">
        <v>1738</v>
      </c>
      <c r="E54" s="217">
        <v>46169</v>
      </c>
      <c r="F54" s="102">
        <f t="shared" si="3"/>
        <v>0</v>
      </c>
      <c r="G54" s="150">
        <f>SUMIF(积分汇总!$B:$B,C54,积分汇总!$E:$E)</f>
        <v>0</v>
      </c>
      <c r="H54" s="150">
        <f>SUMIF(记录巡查问题条数汇总!$B:$B,C54,记录巡查问题条数汇总!$E:$E)</f>
        <v>0</v>
      </c>
      <c r="I54" s="150"/>
      <c r="J54" s="150">
        <f>SUMIF(安全质量事故!$B:$B,C54,安全质量事故!$G:$G)</f>
        <v>0</v>
      </c>
      <c r="K54" s="141">
        <f>COUNTIF(L54:AP54,标准数据!$A$2)*标准数据!$B$2+COUNTIF(L54:AP54,标准数据!$A$3)*标准数据!$B$3+COUNTIF(L54:AP54,标准数据!$A$4)*标准数据!$B$4</f>
        <v>0</v>
      </c>
      <c r="L54" s="183"/>
      <c r="M54" s="183"/>
      <c r="N54" s="183"/>
      <c r="O54" s="183"/>
      <c r="P54" s="183"/>
      <c r="Q54" s="183"/>
      <c r="R54" s="183"/>
      <c r="S54" s="183"/>
      <c r="T54" s="183"/>
      <c r="U54" s="183"/>
      <c r="V54" s="183"/>
      <c r="W54" s="183"/>
      <c r="X54" s="183"/>
      <c r="Y54" s="183"/>
      <c r="Z54" s="183"/>
      <c r="AA54" s="183"/>
      <c r="AB54" s="183"/>
      <c r="AC54" s="183"/>
      <c r="AD54" s="183"/>
      <c r="AE54" s="183"/>
      <c r="AF54" s="183"/>
      <c r="AG54" s="183"/>
      <c r="AH54" s="183"/>
      <c r="AI54" s="183"/>
      <c r="AJ54" s="183"/>
      <c r="AK54" s="183"/>
      <c r="AL54" s="183"/>
      <c r="AM54" s="183"/>
      <c r="AN54" s="183"/>
      <c r="AO54" s="183"/>
      <c r="AP54" s="183"/>
      <c r="AT54" s="149" t="s">
        <v>1738</v>
      </c>
      <c r="AU54" s="94" t="s">
        <v>318</v>
      </c>
    </row>
    <row r="55" spans="1:47" ht="21" customHeight="1" x14ac:dyDescent="0.35">
      <c r="A55" s="259"/>
      <c r="B55" s="98" t="s">
        <v>17</v>
      </c>
      <c r="C55" s="214" t="s">
        <v>1721</v>
      </c>
      <c r="D55" s="216" t="s">
        <v>1722</v>
      </c>
      <c r="E55" s="217">
        <v>46174</v>
      </c>
      <c r="F55" s="102">
        <f t="shared" si="1"/>
        <v>0</v>
      </c>
      <c r="G55" s="150">
        <f>SUMIF(积分汇总!$B:$B,C55,积分汇总!$E:$E)</f>
        <v>0</v>
      </c>
      <c r="H55" s="150">
        <f>SUMIF(记录巡查问题条数汇总!$B:$B,C55,记录巡查问题条数汇总!$E:$E)</f>
        <v>0</v>
      </c>
      <c r="I55" s="150"/>
      <c r="J55" s="150">
        <f>SUMIF(安全质量事故!$B:$B,C55,安全质量事故!$G:$G)</f>
        <v>0</v>
      </c>
      <c r="K55" s="141">
        <f>COUNTIF(L55:AP55,标准数据!$A$2)*标准数据!$B$2+COUNTIF(L55:AP55,标准数据!$A$3)*标准数据!$B$3+COUNTIF(L55:AP55,标准数据!$A$4)*标准数据!$B$4</f>
        <v>0</v>
      </c>
      <c r="L55" s="183"/>
      <c r="M55" s="183"/>
      <c r="N55" s="183"/>
      <c r="O55" s="183"/>
      <c r="P55" s="183"/>
      <c r="Q55" s="183"/>
      <c r="R55" s="183"/>
      <c r="S55" s="183"/>
      <c r="T55" s="183"/>
      <c r="U55" s="183"/>
      <c r="V55" s="183"/>
      <c r="W55" s="183"/>
      <c r="X55" s="183"/>
      <c r="Y55" s="183"/>
      <c r="Z55" s="183"/>
      <c r="AA55" s="183"/>
      <c r="AB55" s="183"/>
      <c r="AC55" s="183"/>
      <c r="AD55" s="183"/>
      <c r="AE55" s="183"/>
      <c r="AF55" s="183"/>
      <c r="AG55" s="183"/>
      <c r="AH55" s="183"/>
      <c r="AI55" s="183"/>
      <c r="AJ55" s="183"/>
      <c r="AK55" s="183"/>
      <c r="AL55" s="183"/>
      <c r="AM55" s="183"/>
      <c r="AN55" s="183"/>
      <c r="AO55" s="183"/>
      <c r="AP55" s="183"/>
      <c r="AT55" s="149" t="s">
        <v>1722</v>
      </c>
      <c r="AU55" s="94" t="s">
        <v>1817</v>
      </c>
    </row>
    <row r="56" spans="1:47" ht="21" customHeight="1" x14ac:dyDescent="0.35">
      <c r="A56" s="259"/>
      <c r="B56" s="98" t="s">
        <v>17</v>
      </c>
      <c r="C56" s="214" t="s">
        <v>1725</v>
      </c>
      <c r="D56" s="216" t="s">
        <v>1726</v>
      </c>
      <c r="E56" s="217">
        <v>46176</v>
      </c>
      <c r="F56" s="102">
        <f t="shared" si="1"/>
        <v>0</v>
      </c>
      <c r="G56" s="150">
        <f>SUMIF(积分汇总!$B:$B,C56,积分汇总!$E:$E)</f>
        <v>0</v>
      </c>
      <c r="H56" s="150">
        <f>SUMIF(记录巡查问题条数汇总!$B:$B,C56,记录巡查问题条数汇总!$E:$E)</f>
        <v>0</v>
      </c>
      <c r="I56" s="150"/>
      <c r="J56" s="150">
        <f>SUMIF(安全质量事故!$B:$B,C56,安全质量事故!$G:$G)</f>
        <v>0</v>
      </c>
      <c r="K56" s="141">
        <f>COUNTIF(L56:AP56,标准数据!$A$2)*标准数据!$B$2+COUNTIF(L56:AP56,标准数据!$A$3)*标准数据!$B$3+COUNTIF(L56:AP56,标准数据!$A$4)*标准数据!$B$4</f>
        <v>0</v>
      </c>
      <c r="L56" s="183"/>
      <c r="M56" s="183"/>
      <c r="N56" s="183"/>
      <c r="O56" s="183"/>
      <c r="P56" s="183"/>
      <c r="Q56" s="183"/>
      <c r="R56" s="183"/>
      <c r="S56" s="183"/>
      <c r="T56" s="183"/>
      <c r="U56" s="183"/>
      <c r="V56" s="183"/>
      <c r="W56" s="183"/>
      <c r="X56" s="183"/>
      <c r="Y56" s="183"/>
      <c r="Z56" s="183"/>
      <c r="AA56" s="183"/>
      <c r="AB56" s="183"/>
      <c r="AC56" s="183"/>
      <c r="AD56" s="183"/>
      <c r="AE56" s="183"/>
      <c r="AF56" s="183"/>
      <c r="AG56" s="183"/>
      <c r="AH56" s="183"/>
      <c r="AI56" s="183"/>
      <c r="AJ56" s="183"/>
      <c r="AK56" s="183"/>
      <c r="AL56" s="183"/>
      <c r="AM56" s="183"/>
      <c r="AN56" s="183"/>
      <c r="AO56" s="183"/>
      <c r="AP56" s="183"/>
      <c r="AT56" s="149" t="s">
        <v>1726</v>
      </c>
      <c r="AU56" s="94" t="s">
        <v>1817</v>
      </c>
    </row>
    <row r="57" spans="1:47" ht="21" customHeight="1" x14ac:dyDescent="0.35">
      <c r="A57" s="259"/>
      <c r="B57" s="98" t="s">
        <v>138</v>
      </c>
      <c r="C57" s="99" t="s">
        <v>215</v>
      </c>
      <c r="D57" s="100" t="s">
        <v>216</v>
      </c>
      <c r="E57" s="101">
        <v>44979</v>
      </c>
      <c r="F57" s="102">
        <f t="shared" si="1"/>
        <v>0</v>
      </c>
      <c r="G57" s="150">
        <f>SUMIF(积分汇总!$B:$B,C57,积分汇总!$E:$E)</f>
        <v>0</v>
      </c>
      <c r="H57" s="150">
        <f>SUMIF(记录巡查问题条数汇总!$B:$B,C57,记录巡查问题条数汇总!$E:$E)</f>
        <v>0</v>
      </c>
      <c r="I57" s="150"/>
      <c r="J57" s="150">
        <f>SUMIF(安全质量事故!$B:$B,C57,安全质量事故!$G:$G)</f>
        <v>0</v>
      </c>
      <c r="K57" s="141">
        <f>COUNTIF(L57:AP57,标准数据!$A$2)*标准数据!$B$2+COUNTIF(L57:AP57,标准数据!$A$3)*标准数据!$B$3+COUNTIF(L57:AP57,标准数据!$A$4)*标准数据!$B$4</f>
        <v>0</v>
      </c>
      <c r="L57" s="183"/>
      <c r="M57" s="183"/>
      <c r="N57" s="183"/>
      <c r="O57" s="183"/>
      <c r="P57" s="183"/>
      <c r="Q57" s="183"/>
      <c r="R57" s="183"/>
      <c r="S57" s="183"/>
      <c r="T57" s="183"/>
      <c r="U57" s="183"/>
      <c r="V57" s="183"/>
      <c r="W57" s="183"/>
      <c r="X57" s="183"/>
      <c r="Y57" s="183"/>
      <c r="Z57" s="183"/>
      <c r="AA57" s="183"/>
      <c r="AB57" s="183"/>
      <c r="AC57" s="183"/>
      <c r="AD57" s="183"/>
      <c r="AE57" s="183"/>
      <c r="AF57" s="183"/>
      <c r="AG57" s="183"/>
      <c r="AH57" s="183"/>
      <c r="AI57" s="183"/>
      <c r="AJ57" s="183"/>
      <c r="AK57" s="183"/>
      <c r="AL57" s="183"/>
      <c r="AM57" s="183"/>
      <c r="AN57" s="183"/>
      <c r="AO57" s="183"/>
      <c r="AP57" s="183"/>
      <c r="AT57" s="149" t="s">
        <v>216</v>
      </c>
      <c r="AU57" s="94" t="s">
        <v>318</v>
      </c>
    </row>
    <row r="58" spans="1:47" ht="21" customHeight="1" x14ac:dyDescent="0.35">
      <c r="A58" s="259"/>
      <c r="B58" s="98" t="s">
        <v>138</v>
      </c>
      <c r="C58" s="99" t="s">
        <v>1096</v>
      </c>
      <c r="D58" s="100" t="s">
        <v>1095</v>
      </c>
      <c r="E58" s="101">
        <v>45609</v>
      </c>
      <c r="F58" s="102">
        <f t="shared" si="1"/>
        <v>0</v>
      </c>
      <c r="G58" s="150">
        <f>SUMIF(积分汇总!$B:$B,C58,积分汇总!$E:$E)</f>
        <v>0</v>
      </c>
      <c r="H58" s="150">
        <f>SUMIF(记录巡查问题条数汇总!$B:$B,C58,记录巡查问题条数汇总!$E:$E)</f>
        <v>0</v>
      </c>
      <c r="I58" s="150"/>
      <c r="J58" s="150">
        <f>SUMIF(安全质量事故!$B:$B,C58,安全质量事故!$G:$G)</f>
        <v>0</v>
      </c>
      <c r="K58" s="141">
        <f>COUNTIF(L58:AP58,标准数据!$A$2)*标准数据!$B$2+COUNTIF(L58:AP58,标准数据!$A$3)*标准数据!$B$3+COUNTIF(L58:AP58,标准数据!$A$4)*标准数据!$B$4</f>
        <v>0</v>
      </c>
      <c r="L58" s="183"/>
      <c r="M58" s="183"/>
      <c r="N58" s="183"/>
      <c r="O58" s="183"/>
      <c r="P58" s="183"/>
      <c r="Q58" s="183"/>
      <c r="R58" s="183"/>
      <c r="S58" s="183"/>
      <c r="T58" s="183"/>
      <c r="U58" s="183"/>
      <c r="V58" s="183"/>
      <c r="W58" s="183"/>
      <c r="X58" s="183"/>
      <c r="Y58" s="183"/>
      <c r="Z58" s="183"/>
      <c r="AA58" s="183"/>
      <c r="AB58" s="183"/>
      <c r="AC58" s="183"/>
      <c r="AD58" s="183"/>
      <c r="AE58" s="183"/>
      <c r="AF58" s="183"/>
      <c r="AG58" s="183"/>
      <c r="AH58" s="183"/>
      <c r="AI58" s="183"/>
      <c r="AJ58" s="183"/>
      <c r="AK58" s="183"/>
      <c r="AL58" s="183"/>
      <c r="AM58" s="183"/>
      <c r="AN58" s="183"/>
      <c r="AO58" s="183"/>
      <c r="AP58" s="183"/>
      <c r="AT58" s="149" t="s">
        <v>1818</v>
      </c>
      <c r="AU58" s="94" t="s">
        <v>318</v>
      </c>
    </row>
    <row r="59" spans="1:47" ht="21" customHeight="1" x14ac:dyDescent="0.35">
      <c r="A59" s="259"/>
      <c r="B59" s="98" t="s">
        <v>138</v>
      </c>
      <c r="C59" s="99" t="s">
        <v>412</v>
      </c>
      <c r="D59" s="100" t="s">
        <v>410</v>
      </c>
      <c r="E59" s="101">
        <v>45742</v>
      </c>
      <c r="F59" s="102">
        <f t="shared" si="1"/>
        <v>0</v>
      </c>
      <c r="G59" s="150">
        <f>SUMIF(积分汇总!$B:$B,C59,积分汇总!$E:$E)</f>
        <v>0</v>
      </c>
      <c r="H59" s="150">
        <f>SUMIF(记录巡查问题条数汇总!$B:$B,C59,记录巡查问题条数汇总!$E:$E)</f>
        <v>0</v>
      </c>
      <c r="I59" s="150"/>
      <c r="J59" s="150">
        <f>SUMIF(安全质量事故!$B:$B,C59,安全质量事故!$G:$G)</f>
        <v>0</v>
      </c>
      <c r="K59" s="141">
        <f>COUNTIF(L59:AP59,标准数据!$A$2)*标准数据!$B$2+COUNTIF(L59:AP59,标准数据!$A$3)*标准数据!$B$3+COUNTIF(L59:AP59,标准数据!$A$4)*标准数据!$B$4</f>
        <v>0</v>
      </c>
      <c r="L59" s="183"/>
      <c r="M59" s="183"/>
      <c r="N59" s="183"/>
      <c r="O59" s="183"/>
      <c r="P59" s="183"/>
      <c r="Q59" s="183"/>
      <c r="R59" s="183"/>
      <c r="S59" s="183"/>
      <c r="T59" s="183"/>
      <c r="U59" s="183"/>
      <c r="V59" s="183"/>
      <c r="W59" s="183"/>
      <c r="X59" s="183"/>
      <c r="Y59" s="183"/>
      <c r="Z59" s="183"/>
      <c r="AA59" s="183"/>
      <c r="AB59" s="183"/>
      <c r="AC59" s="183"/>
      <c r="AD59" s="183"/>
      <c r="AE59" s="183"/>
      <c r="AF59" s="183"/>
      <c r="AG59" s="183"/>
      <c r="AH59" s="183"/>
      <c r="AI59" s="183"/>
      <c r="AJ59" s="183"/>
      <c r="AK59" s="183"/>
      <c r="AL59" s="183"/>
      <c r="AM59" s="183"/>
      <c r="AN59" s="183"/>
      <c r="AO59" s="183"/>
      <c r="AP59" s="183"/>
      <c r="AT59" s="149" t="s">
        <v>410</v>
      </c>
      <c r="AU59" s="94" t="s">
        <v>318</v>
      </c>
    </row>
    <row r="60" spans="1:47" ht="21" customHeight="1" x14ac:dyDescent="0.35">
      <c r="A60" s="259"/>
      <c r="B60" s="98" t="s">
        <v>138</v>
      </c>
      <c r="C60" s="99" t="s">
        <v>430</v>
      </c>
      <c r="D60" s="100" t="s">
        <v>420</v>
      </c>
      <c r="E60" s="101">
        <v>45756</v>
      </c>
      <c r="F60" s="102">
        <f t="shared" si="1"/>
        <v>0</v>
      </c>
      <c r="G60" s="150">
        <f>SUMIF(积分汇总!$B:$B,C60,积分汇总!$E:$E)</f>
        <v>0</v>
      </c>
      <c r="H60" s="150">
        <f>SUMIF(记录巡查问题条数汇总!$B:$B,C60,记录巡查问题条数汇总!$E:$E)</f>
        <v>0</v>
      </c>
      <c r="I60" s="150"/>
      <c r="J60" s="150">
        <f>SUMIF(安全质量事故!$B:$B,C60,安全质量事故!$G:$G)</f>
        <v>0</v>
      </c>
      <c r="K60" s="141">
        <f>COUNTIF(L60:AP60,标准数据!$A$2)*标准数据!$B$2+COUNTIF(L60:AP60,标准数据!$A$3)*标准数据!$B$3+COUNTIF(L60:AP60,标准数据!$A$4)*标准数据!$B$4</f>
        <v>0</v>
      </c>
      <c r="L60" s="183"/>
      <c r="M60" s="183"/>
      <c r="N60" s="183"/>
      <c r="O60" s="183"/>
      <c r="P60" s="183"/>
      <c r="Q60" s="183"/>
      <c r="R60" s="183"/>
      <c r="S60" s="183"/>
      <c r="T60" s="183"/>
      <c r="U60" s="183"/>
      <c r="V60" s="183"/>
      <c r="W60" s="183"/>
      <c r="X60" s="183"/>
      <c r="Y60" s="183"/>
      <c r="Z60" s="183"/>
      <c r="AA60" s="183"/>
      <c r="AB60" s="183"/>
      <c r="AC60" s="183"/>
      <c r="AD60" s="183"/>
      <c r="AE60" s="183"/>
      <c r="AF60" s="183"/>
      <c r="AG60" s="183"/>
      <c r="AH60" s="183"/>
      <c r="AI60" s="183"/>
      <c r="AJ60" s="183"/>
      <c r="AK60" s="183"/>
      <c r="AL60" s="183"/>
      <c r="AM60" s="183"/>
      <c r="AN60" s="183"/>
      <c r="AO60" s="183"/>
      <c r="AP60" s="183"/>
      <c r="AT60" s="149" t="s">
        <v>420</v>
      </c>
      <c r="AU60" s="94" t="s">
        <v>318</v>
      </c>
    </row>
    <row r="61" spans="1:47" ht="21" customHeight="1" x14ac:dyDescent="0.35">
      <c r="A61" s="259"/>
      <c r="B61" s="98" t="s">
        <v>138</v>
      </c>
      <c r="C61" s="99" t="s">
        <v>451</v>
      </c>
      <c r="D61" s="100" t="s">
        <v>446</v>
      </c>
      <c r="E61" s="101">
        <v>45798</v>
      </c>
      <c r="F61" s="102">
        <f t="shared" si="1"/>
        <v>0</v>
      </c>
      <c r="G61" s="150">
        <f>SUMIF(积分汇总!$B:$B,C61,积分汇总!$E:$E)</f>
        <v>0</v>
      </c>
      <c r="H61" s="150">
        <f>SUMIF(记录巡查问题条数汇总!$B:$B,C61,记录巡查问题条数汇总!$E:$E)</f>
        <v>0</v>
      </c>
      <c r="I61" s="150"/>
      <c r="J61" s="150">
        <f>SUMIF(安全质量事故!$B:$B,C61,安全质量事故!$G:$G)</f>
        <v>0</v>
      </c>
      <c r="K61" s="141">
        <f>COUNTIF(L61:AP61,标准数据!$A$2)*标准数据!$B$2+COUNTIF(L61:AP61,标准数据!$A$3)*标准数据!$B$3+COUNTIF(L61:AP61,标准数据!$A$4)*标准数据!$B$4</f>
        <v>0</v>
      </c>
      <c r="L61" s="183"/>
      <c r="M61" s="183"/>
      <c r="N61" s="183"/>
      <c r="O61" s="183"/>
      <c r="P61" s="183"/>
      <c r="Q61" s="183"/>
      <c r="R61" s="183"/>
      <c r="S61" s="183"/>
      <c r="T61" s="183"/>
      <c r="U61" s="183"/>
      <c r="V61" s="183"/>
      <c r="W61" s="183"/>
      <c r="X61" s="183"/>
      <c r="Y61" s="183"/>
      <c r="Z61" s="183"/>
      <c r="AA61" s="183"/>
      <c r="AB61" s="183"/>
      <c r="AC61" s="183"/>
      <c r="AD61" s="183"/>
      <c r="AE61" s="183"/>
      <c r="AF61" s="183"/>
      <c r="AG61" s="183"/>
      <c r="AH61" s="183"/>
      <c r="AI61" s="183"/>
      <c r="AJ61" s="183"/>
      <c r="AK61" s="183"/>
      <c r="AL61" s="183"/>
      <c r="AM61" s="183"/>
      <c r="AN61" s="183"/>
      <c r="AO61" s="183"/>
      <c r="AP61" s="183"/>
      <c r="AT61" s="149" t="s">
        <v>446</v>
      </c>
      <c r="AU61" s="94" t="s">
        <v>318</v>
      </c>
    </row>
    <row r="62" spans="1:47" ht="21" customHeight="1" x14ac:dyDescent="0.35">
      <c r="A62" s="259"/>
      <c r="B62" s="98" t="s">
        <v>138</v>
      </c>
      <c r="C62" s="99" t="s">
        <v>505</v>
      </c>
      <c r="D62" s="100" t="s">
        <v>474</v>
      </c>
      <c r="E62" s="101">
        <v>45854</v>
      </c>
      <c r="F62" s="102">
        <f t="shared" si="1"/>
        <v>0</v>
      </c>
      <c r="G62" s="150">
        <f>SUMIF(积分汇总!$B:$B,C62,积分汇总!$E:$E)</f>
        <v>0</v>
      </c>
      <c r="H62" s="150">
        <f>SUMIF(记录巡查问题条数汇总!$B:$B,C62,记录巡查问题条数汇总!$E:$E)</f>
        <v>0</v>
      </c>
      <c r="I62" s="150"/>
      <c r="J62" s="150">
        <f>SUMIF(安全质量事故!$B:$B,C62,安全质量事故!$G:$G)</f>
        <v>0</v>
      </c>
      <c r="K62" s="141">
        <f>COUNTIF(L62:AP62,标准数据!$A$2)*标准数据!$B$2+COUNTIF(L62:AP62,标准数据!$A$3)*标准数据!$B$3+COUNTIF(L62:AP62,标准数据!$A$4)*标准数据!$B$4</f>
        <v>0</v>
      </c>
      <c r="L62" s="183"/>
      <c r="M62" s="183"/>
      <c r="N62" s="183"/>
      <c r="O62" s="183"/>
      <c r="P62" s="183"/>
      <c r="Q62" s="183"/>
      <c r="R62" s="183"/>
      <c r="S62" s="183"/>
      <c r="T62" s="183"/>
      <c r="U62" s="183"/>
      <c r="V62" s="183"/>
      <c r="W62" s="183"/>
      <c r="X62" s="183"/>
      <c r="Y62" s="183"/>
      <c r="Z62" s="183"/>
      <c r="AA62" s="183"/>
      <c r="AB62" s="183"/>
      <c r="AC62" s="183"/>
      <c r="AD62" s="183"/>
      <c r="AE62" s="183"/>
      <c r="AF62" s="183"/>
      <c r="AG62" s="183"/>
      <c r="AH62" s="183"/>
      <c r="AI62" s="183"/>
      <c r="AJ62" s="183"/>
      <c r="AK62" s="183"/>
      <c r="AL62" s="183"/>
      <c r="AM62" s="183"/>
      <c r="AN62" s="183"/>
      <c r="AO62" s="183"/>
      <c r="AP62" s="183"/>
      <c r="AT62" s="149" t="s">
        <v>474</v>
      </c>
      <c r="AU62" s="94" t="s">
        <v>318</v>
      </c>
    </row>
    <row r="63" spans="1:47" ht="21" customHeight="1" x14ac:dyDescent="0.35">
      <c r="A63" s="259"/>
      <c r="B63" s="98" t="s">
        <v>138</v>
      </c>
      <c r="C63" s="99" t="s">
        <v>582</v>
      </c>
      <c r="D63" s="100" t="s">
        <v>554</v>
      </c>
      <c r="E63" s="101">
        <v>45889</v>
      </c>
      <c r="F63" s="102">
        <f t="shared" si="1"/>
        <v>0</v>
      </c>
      <c r="G63" s="150">
        <f>SUMIF(积分汇总!$B:$B,C63,积分汇总!$E:$E)</f>
        <v>0</v>
      </c>
      <c r="H63" s="150">
        <f>SUMIF(记录巡查问题条数汇总!$B:$B,C63,记录巡查问题条数汇总!$E:$E)</f>
        <v>0</v>
      </c>
      <c r="I63" s="150"/>
      <c r="J63" s="150">
        <f>SUMIF(安全质量事故!$B:$B,C63,安全质量事故!$G:$G)</f>
        <v>0</v>
      </c>
      <c r="K63" s="141">
        <f>COUNTIF(L63:AP63,标准数据!$A$2)*标准数据!$B$2+COUNTIF(L63:AP63,标准数据!$A$3)*标准数据!$B$3+COUNTIF(L63:AP63,标准数据!$A$4)*标准数据!$B$4</f>
        <v>0</v>
      </c>
      <c r="L63" s="183"/>
      <c r="M63" s="183"/>
      <c r="N63" s="183"/>
      <c r="O63" s="183"/>
      <c r="P63" s="183"/>
      <c r="Q63" s="183"/>
      <c r="R63" s="183"/>
      <c r="S63" s="183"/>
      <c r="T63" s="183"/>
      <c r="U63" s="183"/>
      <c r="V63" s="183"/>
      <c r="W63" s="183"/>
      <c r="X63" s="183"/>
      <c r="Y63" s="183"/>
      <c r="Z63" s="183"/>
      <c r="AA63" s="183"/>
      <c r="AB63" s="183"/>
      <c r="AC63" s="183"/>
      <c r="AD63" s="183"/>
      <c r="AE63" s="183"/>
      <c r="AF63" s="183"/>
      <c r="AG63" s="183"/>
      <c r="AH63" s="183"/>
      <c r="AI63" s="183"/>
      <c r="AJ63" s="183"/>
      <c r="AK63" s="183"/>
      <c r="AL63" s="183"/>
      <c r="AM63" s="183"/>
      <c r="AN63" s="183"/>
      <c r="AO63" s="183"/>
      <c r="AP63" s="183"/>
      <c r="AT63" s="149" t="s">
        <v>554</v>
      </c>
      <c r="AU63" s="94" t="s">
        <v>318</v>
      </c>
    </row>
    <row r="64" spans="1:47" ht="21" customHeight="1" x14ac:dyDescent="0.35">
      <c r="A64" s="259"/>
      <c r="B64" s="98" t="s">
        <v>138</v>
      </c>
      <c r="C64" s="99" t="s">
        <v>583</v>
      </c>
      <c r="D64" s="100" t="s">
        <v>555</v>
      </c>
      <c r="E64" s="101">
        <v>45882</v>
      </c>
      <c r="F64" s="102">
        <f t="shared" si="1"/>
        <v>0</v>
      </c>
      <c r="G64" s="150">
        <f>SUMIF(积分汇总!$B:$B,C64,积分汇总!$E:$E)</f>
        <v>0</v>
      </c>
      <c r="H64" s="150">
        <f>SUMIF(记录巡查问题条数汇总!$B:$B,C64,记录巡查问题条数汇总!$E:$E)</f>
        <v>0</v>
      </c>
      <c r="I64" s="150"/>
      <c r="J64" s="150">
        <f>SUMIF(安全质量事故!$B:$B,C64,安全质量事故!$G:$G)</f>
        <v>0</v>
      </c>
      <c r="K64" s="141">
        <f>COUNTIF(L64:AP64,标准数据!$A$2)*标准数据!$B$2+COUNTIF(L64:AP64,标准数据!$A$3)*标准数据!$B$3+COUNTIF(L64:AP64,标准数据!$A$4)*标准数据!$B$4</f>
        <v>0</v>
      </c>
      <c r="L64" s="183"/>
      <c r="M64" s="183"/>
      <c r="N64" s="183"/>
      <c r="O64" s="183"/>
      <c r="P64" s="183"/>
      <c r="Q64" s="183"/>
      <c r="R64" s="183"/>
      <c r="S64" s="183"/>
      <c r="T64" s="183"/>
      <c r="U64" s="183"/>
      <c r="V64" s="183"/>
      <c r="W64" s="183"/>
      <c r="X64" s="183"/>
      <c r="Y64" s="183"/>
      <c r="Z64" s="183"/>
      <c r="AA64" s="183"/>
      <c r="AB64" s="183"/>
      <c r="AC64" s="183"/>
      <c r="AD64" s="183"/>
      <c r="AE64" s="183"/>
      <c r="AF64" s="183"/>
      <c r="AG64" s="183"/>
      <c r="AH64" s="183"/>
      <c r="AI64" s="183"/>
      <c r="AJ64" s="183"/>
      <c r="AK64" s="183"/>
      <c r="AL64" s="183"/>
      <c r="AM64" s="183"/>
      <c r="AN64" s="183"/>
      <c r="AO64" s="183"/>
      <c r="AP64" s="183"/>
      <c r="AT64" s="149" t="s">
        <v>555</v>
      </c>
      <c r="AU64" s="94" t="s">
        <v>318</v>
      </c>
    </row>
    <row r="65" spans="1:47" ht="21" customHeight="1" x14ac:dyDescent="0.35">
      <c r="A65" s="259"/>
      <c r="B65" s="98" t="s">
        <v>138</v>
      </c>
      <c r="C65" s="99" t="s">
        <v>667</v>
      </c>
      <c r="D65" s="100" t="s">
        <v>623</v>
      </c>
      <c r="E65" s="101">
        <v>45910</v>
      </c>
      <c r="F65" s="102">
        <f t="shared" si="1"/>
        <v>0</v>
      </c>
      <c r="G65" s="150">
        <f>SUMIF(积分汇总!$B:$B,C65,积分汇总!$E:$E)</f>
        <v>0</v>
      </c>
      <c r="H65" s="150">
        <f>SUMIF(记录巡查问题条数汇总!$B:$B,C65,记录巡查问题条数汇总!$E:$E)</f>
        <v>0</v>
      </c>
      <c r="I65" s="150"/>
      <c r="J65" s="150">
        <f>SUMIF(安全质量事故!$B:$B,C65,安全质量事故!$G:$G)</f>
        <v>0</v>
      </c>
      <c r="K65" s="141">
        <f>COUNTIF(L65:AP65,标准数据!$A$2)*标准数据!$B$2+COUNTIF(L65:AP65,标准数据!$A$3)*标准数据!$B$3+COUNTIF(L65:AP65,标准数据!$A$4)*标准数据!$B$4</f>
        <v>0</v>
      </c>
      <c r="L65" s="183"/>
      <c r="M65" s="183"/>
      <c r="N65" s="183"/>
      <c r="O65" s="183"/>
      <c r="P65" s="183"/>
      <c r="Q65" s="183"/>
      <c r="R65" s="183"/>
      <c r="S65" s="183"/>
      <c r="T65" s="183"/>
      <c r="U65" s="183"/>
      <c r="V65" s="183"/>
      <c r="W65" s="183"/>
      <c r="X65" s="183"/>
      <c r="Y65" s="183"/>
      <c r="Z65" s="183"/>
      <c r="AA65" s="183"/>
      <c r="AB65" s="183"/>
      <c r="AC65" s="183"/>
      <c r="AD65" s="183"/>
      <c r="AE65" s="183"/>
      <c r="AF65" s="183"/>
      <c r="AG65" s="183"/>
      <c r="AH65" s="183"/>
      <c r="AI65" s="183"/>
      <c r="AJ65" s="183"/>
      <c r="AK65" s="183"/>
      <c r="AL65" s="183"/>
      <c r="AM65" s="183"/>
      <c r="AN65" s="183"/>
      <c r="AO65" s="183"/>
      <c r="AP65" s="183"/>
      <c r="AT65" s="149" t="s">
        <v>623</v>
      </c>
      <c r="AU65" s="94" t="s">
        <v>318</v>
      </c>
    </row>
    <row r="66" spans="1:47" ht="21" customHeight="1" x14ac:dyDescent="0.35">
      <c r="A66" s="259"/>
      <c r="B66" s="98" t="s">
        <v>138</v>
      </c>
      <c r="C66" s="99" t="s">
        <v>727</v>
      </c>
      <c r="D66" s="100" t="s">
        <v>728</v>
      </c>
      <c r="E66" s="101">
        <v>45854</v>
      </c>
      <c r="F66" s="102">
        <f t="shared" si="1"/>
        <v>0</v>
      </c>
      <c r="G66" s="150">
        <f>SUMIF(积分汇总!$B:$B,C66,积分汇总!$E:$E)</f>
        <v>0</v>
      </c>
      <c r="H66" s="150">
        <f>SUMIF(记录巡查问题条数汇总!$B:$B,C66,记录巡查问题条数汇总!$E:$E)</f>
        <v>0</v>
      </c>
      <c r="I66" s="150"/>
      <c r="J66" s="150">
        <f>SUMIF(安全质量事故!$B:$B,C66,安全质量事故!$G:$G)</f>
        <v>0</v>
      </c>
      <c r="K66" s="141">
        <f>COUNTIF(L66:AP66,标准数据!$A$2)*标准数据!$B$2+COUNTIF(L66:AP66,标准数据!$A$3)*标准数据!$B$3+COUNTIF(L66:AP66,标准数据!$A$4)*标准数据!$B$4</f>
        <v>0</v>
      </c>
      <c r="L66" s="183"/>
      <c r="M66" s="183"/>
      <c r="N66" s="183"/>
      <c r="O66" s="183"/>
      <c r="P66" s="183"/>
      <c r="Q66" s="183"/>
      <c r="R66" s="183"/>
      <c r="S66" s="183"/>
      <c r="T66" s="183"/>
      <c r="U66" s="183"/>
      <c r="V66" s="183"/>
      <c r="W66" s="183"/>
      <c r="X66" s="183"/>
      <c r="Y66" s="183"/>
      <c r="Z66" s="183"/>
      <c r="AA66" s="183"/>
      <c r="AB66" s="183"/>
      <c r="AC66" s="183"/>
      <c r="AD66" s="183"/>
      <c r="AE66" s="183"/>
      <c r="AF66" s="183"/>
      <c r="AG66" s="183"/>
      <c r="AH66" s="183"/>
      <c r="AI66" s="183"/>
      <c r="AJ66" s="183"/>
      <c r="AK66" s="183"/>
      <c r="AL66" s="183"/>
      <c r="AM66" s="183"/>
      <c r="AN66" s="183"/>
      <c r="AO66" s="183"/>
      <c r="AP66" s="183"/>
      <c r="AT66" s="149" t="s">
        <v>728</v>
      </c>
      <c r="AU66" s="94" t="s">
        <v>318</v>
      </c>
    </row>
    <row r="67" spans="1:47" ht="21" customHeight="1" x14ac:dyDescent="0.35">
      <c r="A67" s="259"/>
      <c r="B67" s="98" t="s">
        <v>138</v>
      </c>
      <c r="C67" s="99" t="s">
        <v>815</v>
      </c>
      <c r="D67" s="100" t="s">
        <v>738</v>
      </c>
      <c r="E67" s="101">
        <v>45973</v>
      </c>
      <c r="F67" s="102">
        <f t="shared" si="1"/>
        <v>0</v>
      </c>
      <c r="G67" s="150">
        <f>SUMIF(积分汇总!$B:$B,C67,积分汇总!$E:$E)</f>
        <v>0</v>
      </c>
      <c r="H67" s="150">
        <f>SUMIF(记录巡查问题条数汇总!$B:$B,C67,记录巡查问题条数汇总!$E:$E)</f>
        <v>0</v>
      </c>
      <c r="I67" s="150"/>
      <c r="J67" s="150">
        <f>SUMIF(安全质量事故!$B:$B,C67,安全质量事故!$G:$G)</f>
        <v>0</v>
      </c>
      <c r="K67" s="141">
        <f>COUNTIF(L67:AP67,标准数据!$A$2)*标准数据!$B$2+COUNTIF(L67:AP67,标准数据!$A$3)*标准数据!$B$3+COUNTIF(L67:AP67,标准数据!$A$4)*标准数据!$B$4</f>
        <v>0</v>
      </c>
      <c r="L67" s="183"/>
      <c r="M67" s="183"/>
      <c r="N67" s="183"/>
      <c r="O67" s="183"/>
      <c r="P67" s="183"/>
      <c r="Q67" s="183"/>
      <c r="R67" s="183"/>
      <c r="S67" s="183"/>
      <c r="T67" s="183"/>
      <c r="U67" s="183"/>
      <c r="V67" s="183"/>
      <c r="W67" s="183"/>
      <c r="X67" s="183"/>
      <c r="Y67" s="183"/>
      <c r="Z67" s="183"/>
      <c r="AA67" s="183"/>
      <c r="AB67" s="183"/>
      <c r="AC67" s="183"/>
      <c r="AD67" s="183"/>
      <c r="AE67" s="183"/>
      <c r="AF67" s="183"/>
      <c r="AG67" s="183"/>
      <c r="AH67" s="183"/>
      <c r="AI67" s="183"/>
      <c r="AJ67" s="183"/>
      <c r="AK67" s="183"/>
      <c r="AL67" s="183"/>
      <c r="AM67" s="183"/>
      <c r="AN67" s="183"/>
      <c r="AO67" s="183"/>
      <c r="AP67" s="183"/>
      <c r="AT67" s="149" t="s">
        <v>738</v>
      </c>
      <c r="AU67" s="94" t="s">
        <v>318</v>
      </c>
    </row>
    <row r="68" spans="1:47" ht="21" customHeight="1" x14ac:dyDescent="0.35">
      <c r="A68" s="259"/>
      <c r="B68" s="98" t="s">
        <v>138</v>
      </c>
      <c r="C68" s="99" t="s">
        <v>1098</v>
      </c>
      <c r="D68" s="100" t="s">
        <v>1097</v>
      </c>
      <c r="E68" s="101">
        <v>46057</v>
      </c>
      <c r="F68" s="102">
        <f t="shared" si="1"/>
        <v>0</v>
      </c>
      <c r="G68" s="150">
        <f>SUMIF(积分汇总!$B:$B,C68,积分汇总!$E:$E)</f>
        <v>0</v>
      </c>
      <c r="H68" s="150">
        <f>SUMIF(记录巡查问题条数汇总!$B:$B,C68,记录巡查问题条数汇总!$E:$E)</f>
        <v>0</v>
      </c>
      <c r="I68" s="150"/>
      <c r="J68" s="150">
        <f>SUMIF(安全质量事故!$B:$B,C68,安全质量事故!$G:$G)</f>
        <v>0</v>
      </c>
      <c r="K68" s="141">
        <f>COUNTIF(L68:AP68,标准数据!$A$2)*标准数据!$B$2+COUNTIF(L68:AP68,标准数据!$A$3)*标准数据!$B$3+COUNTIF(L68:AP68,标准数据!$A$4)*标准数据!$B$4</f>
        <v>0</v>
      </c>
      <c r="L68" s="183"/>
      <c r="M68" s="183"/>
      <c r="N68" s="183"/>
      <c r="O68" s="183"/>
      <c r="P68" s="183"/>
      <c r="Q68" s="183"/>
      <c r="R68" s="183"/>
      <c r="S68" s="183"/>
      <c r="T68" s="183"/>
      <c r="U68" s="183"/>
      <c r="V68" s="183"/>
      <c r="W68" s="183"/>
      <c r="X68" s="183"/>
      <c r="Y68" s="183"/>
      <c r="Z68" s="183"/>
      <c r="AA68" s="183"/>
      <c r="AB68" s="183"/>
      <c r="AC68" s="183"/>
      <c r="AD68" s="183"/>
      <c r="AE68" s="183"/>
      <c r="AF68" s="183"/>
      <c r="AG68" s="183"/>
      <c r="AH68" s="183"/>
      <c r="AI68" s="183"/>
      <c r="AJ68" s="183"/>
      <c r="AK68" s="183"/>
      <c r="AL68" s="183"/>
      <c r="AM68" s="183"/>
      <c r="AN68" s="183"/>
      <c r="AO68" s="183"/>
      <c r="AP68" s="183"/>
      <c r="AT68" s="149" t="s">
        <v>1819</v>
      </c>
      <c r="AU68" s="94" t="s">
        <v>318</v>
      </c>
    </row>
    <row r="69" spans="1:47" ht="21" customHeight="1" x14ac:dyDescent="0.35">
      <c r="A69" s="259"/>
      <c r="B69" s="98" t="s">
        <v>138</v>
      </c>
      <c r="C69" s="99" t="s">
        <v>1090</v>
      </c>
      <c r="D69" s="100" t="s">
        <v>1063</v>
      </c>
      <c r="E69" s="101">
        <v>45980</v>
      </c>
      <c r="F69" s="102">
        <f t="shared" si="1"/>
        <v>0</v>
      </c>
      <c r="G69" s="150">
        <f>SUMIF(积分汇总!$B:$B,C69,积分汇总!$E:$E)</f>
        <v>0</v>
      </c>
      <c r="H69" s="150">
        <f>SUMIF(记录巡查问题条数汇总!$B:$B,C69,记录巡查问题条数汇总!$E:$E)</f>
        <v>0</v>
      </c>
      <c r="I69" s="150"/>
      <c r="J69" s="150">
        <f>SUMIF(安全质量事故!$B:$B,C69,安全质量事故!$G:$G)</f>
        <v>0</v>
      </c>
      <c r="K69" s="141">
        <f>COUNTIF(L69:AP69,标准数据!$A$2)*标准数据!$B$2+COUNTIF(L69:AP69,标准数据!$A$3)*标准数据!$B$3+COUNTIF(L69:AP69,标准数据!$A$4)*标准数据!$B$4</f>
        <v>0</v>
      </c>
      <c r="L69" s="183"/>
      <c r="M69" s="183"/>
      <c r="N69" s="183"/>
      <c r="O69" s="183"/>
      <c r="P69" s="183"/>
      <c r="Q69" s="183"/>
      <c r="R69" s="183"/>
      <c r="S69" s="183"/>
      <c r="T69" s="183"/>
      <c r="U69" s="183"/>
      <c r="V69" s="183"/>
      <c r="W69" s="183"/>
      <c r="X69" s="183"/>
      <c r="Y69" s="183"/>
      <c r="Z69" s="183"/>
      <c r="AA69" s="183"/>
      <c r="AB69" s="183"/>
      <c r="AC69" s="183"/>
      <c r="AD69" s="183"/>
      <c r="AE69" s="183"/>
      <c r="AF69" s="183"/>
      <c r="AG69" s="183"/>
      <c r="AH69" s="183"/>
      <c r="AI69" s="183"/>
      <c r="AJ69" s="183"/>
      <c r="AK69" s="183"/>
      <c r="AL69" s="183"/>
      <c r="AM69" s="183"/>
      <c r="AN69" s="183"/>
      <c r="AO69" s="183"/>
      <c r="AP69" s="183"/>
      <c r="AT69" s="149" t="s">
        <v>1063</v>
      </c>
      <c r="AU69" s="94" t="s">
        <v>318</v>
      </c>
    </row>
    <row r="70" spans="1:47" ht="21" customHeight="1" x14ac:dyDescent="0.35">
      <c r="A70" s="259"/>
      <c r="B70" s="98" t="s">
        <v>138</v>
      </c>
      <c r="C70" s="99" t="s">
        <v>1091</v>
      </c>
      <c r="D70" s="100" t="s">
        <v>1064</v>
      </c>
      <c r="E70" s="101">
        <v>45980</v>
      </c>
      <c r="F70" s="102">
        <f t="shared" si="1"/>
        <v>0</v>
      </c>
      <c r="G70" s="150">
        <f>SUMIF(积分汇总!$B:$B,C70,积分汇总!$E:$E)</f>
        <v>0</v>
      </c>
      <c r="H70" s="150">
        <f>SUMIF(记录巡查问题条数汇总!$B:$B,C70,记录巡查问题条数汇总!$E:$E)</f>
        <v>0</v>
      </c>
      <c r="I70" s="150"/>
      <c r="J70" s="150">
        <f>SUMIF(安全质量事故!$B:$B,C70,安全质量事故!$G:$G)</f>
        <v>0</v>
      </c>
      <c r="K70" s="141">
        <f>COUNTIF(L70:AP70,标准数据!$A$2)*标准数据!$B$2+COUNTIF(L70:AP70,标准数据!$A$3)*标准数据!$B$3+COUNTIF(L70:AP70,标准数据!$A$4)*标准数据!$B$4</f>
        <v>0</v>
      </c>
      <c r="L70" s="183"/>
      <c r="M70" s="183"/>
      <c r="N70" s="183"/>
      <c r="O70" s="183"/>
      <c r="P70" s="183"/>
      <c r="Q70" s="183"/>
      <c r="R70" s="183"/>
      <c r="S70" s="183"/>
      <c r="T70" s="183"/>
      <c r="U70" s="183"/>
      <c r="V70" s="183"/>
      <c r="W70" s="183"/>
      <c r="X70" s="183"/>
      <c r="Y70" s="183"/>
      <c r="Z70" s="183"/>
      <c r="AA70" s="183"/>
      <c r="AB70" s="183"/>
      <c r="AC70" s="183"/>
      <c r="AD70" s="183"/>
      <c r="AE70" s="183"/>
      <c r="AF70" s="183"/>
      <c r="AG70" s="183"/>
      <c r="AH70" s="183"/>
      <c r="AI70" s="183"/>
      <c r="AJ70" s="183"/>
      <c r="AK70" s="183"/>
      <c r="AL70" s="183"/>
      <c r="AM70" s="183"/>
      <c r="AN70" s="183"/>
      <c r="AO70" s="183"/>
      <c r="AP70" s="183"/>
      <c r="AT70" s="149" t="s">
        <v>1064</v>
      </c>
      <c r="AU70" s="94" t="s">
        <v>318</v>
      </c>
    </row>
    <row r="71" spans="1:47" ht="21" customHeight="1" x14ac:dyDescent="0.35">
      <c r="A71" s="259"/>
      <c r="B71" s="98" t="s">
        <v>138</v>
      </c>
      <c r="C71" s="99" t="s">
        <v>1092</v>
      </c>
      <c r="D71" s="100" t="s">
        <v>1065</v>
      </c>
      <c r="E71" s="101">
        <v>45987</v>
      </c>
      <c r="F71" s="102">
        <f t="shared" si="1"/>
        <v>0</v>
      </c>
      <c r="G71" s="150">
        <f>SUMIF(积分汇总!$B:$B,C71,积分汇总!$E:$E)</f>
        <v>0</v>
      </c>
      <c r="H71" s="150">
        <f>SUMIF(记录巡查问题条数汇总!$B:$B,C71,记录巡查问题条数汇总!$E:$E)</f>
        <v>0</v>
      </c>
      <c r="I71" s="150"/>
      <c r="J71" s="150">
        <f>SUMIF(安全质量事故!$B:$B,C71,安全质量事故!$G:$G)</f>
        <v>0</v>
      </c>
      <c r="K71" s="141">
        <f>COUNTIF(L71:AP71,标准数据!$A$2)*标准数据!$B$2+COUNTIF(L71:AP71,标准数据!$A$3)*标准数据!$B$3+COUNTIF(L71:AP71,标准数据!$A$4)*标准数据!$B$4</f>
        <v>0</v>
      </c>
      <c r="L71" s="183"/>
      <c r="M71" s="183"/>
      <c r="N71" s="183"/>
      <c r="O71" s="183"/>
      <c r="P71" s="183"/>
      <c r="Q71" s="183"/>
      <c r="R71" s="183"/>
      <c r="S71" s="183"/>
      <c r="T71" s="183"/>
      <c r="U71" s="183"/>
      <c r="V71" s="183"/>
      <c r="W71" s="183"/>
      <c r="X71" s="183"/>
      <c r="Y71" s="183"/>
      <c r="Z71" s="183"/>
      <c r="AA71" s="183"/>
      <c r="AB71" s="183"/>
      <c r="AC71" s="183"/>
      <c r="AD71" s="183"/>
      <c r="AE71" s="183"/>
      <c r="AF71" s="183"/>
      <c r="AG71" s="183"/>
      <c r="AH71" s="183"/>
      <c r="AI71" s="183"/>
      <c r="AJ71" s="183"/>
      <c r="AK71" s="183"/>
      <c r="AL71" s="183"/>
      <c r="AM71" s="183"/>
      <c r="AN71" s="183"/>
      <c r="AO71" s="183"/>
      <c r="AP71" s="183"/>
      <c r="AT71" s="149" t="s">
        <v>1065</v>
      </c>
      <c r="AU71" s="94" t="s">
        <v>318</v>
      </c>
    </row>
    <row r="72" spans="1:47" ht="21" customHeight="1" x14ac:dyDescent="0.35">
      <c r="A72" s="259"/>
      <c r="B72" s="98" t="s">
        <v>138</v>
      </c>
      <c r="C72" s="99" t="s">
        <v>1356</v>
      </c>
      <c r="D72" s="100" t="s">
        <v>1357</v>
      </c>
      <c r="E72" s="101">
        <v>46127</v>
      </c>
      <c r="F72" s="102">
        <f t="shared" si="1"/>
        <v>0</v>
      </c>
      <c r="G72" s="150">
        <f>SUMIF(积分汇总!$B:$B,C72,积分汇总!$E:$E)</f>
        <v>0</v>
      </c>
      <c r="H72" s="150">
        <f>SUMIF(记录巡查问题条数汇总!$B:$B,C72,记录巡查问题条数汇总!$E:$E)</f>
        <v>0</v>
      </c>
      <c r="I72" s="150"/>
      <c r="J72" s="150">
        <f>SUMIF(安全质量事故!$B:$B,C72,安全质量事故!$G:$G)</f>
        <v>0</v>
      </c>
      <c r="K72" s="141">
        <f>COUNTIF(L72:AP72,标准数据!$A$2)*标准数据!$B$2+COUNTIF(L72:AP72,标准数据!$A$3)*标准数据!$B$3+COUNTIF(L72:AP72,标准数据!$A$4)*标准数据!$B$4</f>
        <v>0</v>
      </c>
      <c r="L72" s="183"/>
      <c r="M72" s="183"/>
      <c r="N72" s="183"/>
      <c r="O72" s="183"/>
      <c r="P72" s="183"/>
      <c r="Q72" s="183"/>
      <c r="R72" s="183"/>
      <c r="S72" s="183"/>
      <c r="T72" s="183"/>
      <c r="U72" s="183"/>
      <c r="V72" s="183"/>
      <c r="W72" s="183"/>
      <c r="X72" s="183"/>
      <c r="Y72" s="183"/>
      <c r="Z72" s="183"/>
      <c r="AA72" s="183"/>
      <c r="AB72" s="183"/>
      <c r="AC72" s="183"/>
      <c r="AD72" s="183"/>
      <c r="AE72" s="183"/>
      <c r="AF72" s="183"/>
      <c r="AG72" s="183"/>
      <c r="AH72" s="183"/>
      <c r="AI72" s="183"/>
      <c r="AJ72" s="183"/>
      <c r="AK72" s="183"/>
      <c r="AL72" s="183"/>
      <c r="AM72" s="183"/>
      <c r="AN72" s="183"/>
      <c r="AO72" s="183"/>
      <c r="AP72" s="183"/>
      <c r="AT72" s="149" t="s">
        <v>1357</v>
      </c>
      <c r="AU72" s="94" t="s">
        <v>319</v>
      </c>
    </row>
    <row r="73" spans="1:47" ht="21" customHeight="1" x14ac:dyDescent="0.35">
      <c r="A73" s="259"/>
      <c r="B73" s="98" t="s">
        <v>158</v>
      </c>
      <c r="C73" s="107" t="s">
        <v>1105</v>
      </c>
      <c r="D73" s="100" t="s">
        <v>1106</v>
      </c>
      <c r="E73" s="101">
        <v>45980</v>
      </c>
      <c r="F73" s="102">
        <f t="shared" si="1"/>
        <v>0</v>
      </c>
      <c r="G73" s="150">
        <f>SUMIF(积分汇总!$B:$B,C73,积分汇总!$E:$E)</f>
        <v>0</v>
      </c>
      <c r="H73" s="150">
        <f>SUMIF(记录巡查问题条数汇总!$B:$B,C73,记录巡查问题条数汇总!$E:$E)</f>
        <v>0</v>
      </c>
      <c r="I73" s="150"/>
      <c r="J73" s="150">
        <f>SUMIF(安全质量事故!$B:$B,C73,安全质量事故!$G:$G)</f>
        <v>0</v>
      </c>
      <c r="K73" s="141">
        <f>COUNTIF(L73:AP73,标准数据!$A$2)*标准数据!$B$2+COUNTIF(L73:AP73,标准数据!$A$3)*标准数据!$B$3+COUNTIF(L73:AP73,标准数据!$A$4)*标准数据!$B$4</f>
        <v>0</v>
      </c>
      <c r="L73" s="183"/>
      <c r="M73" s="183"/>
      <c r="N73" s="183"/>
      <c r="O73" s="183"/>
      <c r="P73" s="183"/>
      <c r="Q73" s="183"/>
      <c r="R73" s="183"/>
      <c r="S73" s="183"/>
      <c r="T73" s="183"/>
      <c r="U73" s="183"/>
      <c r="V73" s="183"/>
      <c r="W73" s="183"/>
      <c r="X73" s="183"/>
      <c r="Y73" s="183"/>
      <c r="Z73" s="183"/>
      <c r="AA73" s="183"/>
      <c r="AB73" s="183"/>
      <c r="AC73" s="183"/>
      <c r="AD73" s="183"/>
      <c r="AE73" s="183"/>
      <c r="AF73" s="183"/>
      <c r="AG73" s="183"/>
      <c r="AH73" s="183"/>
      <c r="AI73" s="183"/>
      <c r="AJ73" s="183"/>
      <c r="AK73" s="183"/>
      <c r="AL73" s="183"/>
      <c r="AM73" s="183"/>
      <c r="AN73" s="183"/>
      <c r="AO73" s="183"/>
      <c r="AP73" s="183"/>
      <c r="AT73" s="149" t="s">
        <v>1106</v>
      </c>
      <c r="AU73" s="94" t="s">
        <v>318</v>
      </c>
    </row>
    <row r="74" spans="1:47" ht="21" customHeight="1" x14ac:dyDescent="0.35">
      <c r="A74" s="260" t="s">
        <v>1137</v>
      </c>
      <c r="B74" s="98" t="s">
        <v>16</v>
      </c>
      <c r="C74" s="99" t="s">
        <v>260</v>
      </c>
      <c r="D74" s="100" t="s">
        <v>248</v>
      </c>
      <c r="E74" s="99">
        <v>44752</v>
      </c>
      <c r="F74" s="102">
        <f t="shared" si="1"/>
        <v>0</v>
      </c>
      <c r="G74" s="150">
        <f>SUMIF(积分汇总!$B:$B,C74,积分汇总!$E:$E)</f>
        <v>0</v>
      </c>
      <c r="H74" s="150">
        <f>SUMIF(记录巡查问题条数汇总!$B:$B,C74,记录巡查问题条数汇总!$E:$E)</f>
        <v>0</v>
      </c>
      <c r="I74" s="150"/>
      <c r="J74" s="150">
        <f>SUMIF(安全质量事故!$B:$B,C74,安全质量事故!$G:$G)</f>
        <v>0</v>
      </c>
      <c r="K74" s="141">
        <f>COUNTIF(L74:AP74,标准数据!$A$2)*标准数据!$B$2+COUNTIF(L74:AP74,标准数据!$A$3)*标准数据!$B$3+COUNTIF(L74:AP74,标准数据!$A$4)*标准数据!$B$4</f>
        <v>0</v>
      </c>
      <c r="L74" s="183"/>
      <c r="M74" s="183"/>
      <c r="N74" s="183"/>
      <c r="O74" s="183"/>
      <c r="P74" s="183"/>
      <c r="Q74" s="183"/>
      <c r="R74" s="183"/>
      <c r="S74" s="183"/>
      <c r="T74" s="183"/>
      <c r="U74" s="183"/>
      <c r="V74" s="183"/>
      <c r="W74" s="183"/>
      <c r="X74" s="183"/>
      <c r="Y74" s="183"/>
      <c r="Z74" s="183"/>
      <c r="AA74" s="183"/>
      <c r="AB74" s="183"/>
      <c r="AC74" s="183"/>
      <c r="AD74" s="183"/>
      <c r="AE74" s="183"/>
      <c r="AF74" s="183"/>
      <c r="AG74" s="183"/>
      <c r="AH74" s="183"/>
      <c r="AI74" s="183"/>
      <c r="AJ74" s="183"/>
      <c r="AK74" s="183"/>
      <c r="AL74" s="183"/>
      <c r="AM74" s="183"/>
      <c r="AN74" s="183"/>
      <c r="AO74" s="183"/>
      <c r="AP74" s="183"/>
      <c r="AQ74" s="252" t="s">
        <v>391</v>
      </c>
      <c r="AR74" s="253"/>
      <c r="AS74" s="253"/>
      <c r="AT74" s="149" t="s">
        <v>248</v>
      </c>
      <c r="AU74" s="94" t="s">
        <v>319</v>
      </c>
    </row>
    <row r="75" spans="1:47" ht="21" customHeight="1" x14ac:dyDescent="0.35">
      <c r="A75" s="260"/>
      <c r="B75" s="98" t="s">
        <v>16</v>
      </c>
      <c r="C75" s="99" t="s">
        <v>219</v>
      </c>
      <c r="D75" s="100" t="s">
        <v>220</v>
      </c>
      <c r="E75" s="101">
        <v>43677</v>
      </c>
      <c r="F75" s="102">
        <f t="shared" ref="F75:F136" si="4">(K75+G75+H75+I75-J75)</f>
        <v>0</v>
      </c>
      <c r="G75" s="150">
        <f>SUMIF(积分汇总!$B:$B,C75,积分汇总!$E:$E)</f>
        <v>0</v>
      </c>
      <c r="H75" s="150">
        <f>SUMIF(记录巡查问题条数汇总!$B:$B,C75,记录巡查问题条数汇总!$E:$E)</f>
        <v>0</v>
      </c>
      <c r="I75" s="150"/>
      <c r="J75" s="150">
        <f>SUMIF(安全质量事故!$B:$B,C75,安全质量事故!$G:$G)</f>
        <v>0</v>
      </c>
      <c r="K75" s="141">
        <f>COUNTIF(L75:AP75,标准数据!$A$2)*标准数据!$B$2+COUNTIF(L75:AP75,标准数据!$A$3)*标准数据!$B$3+COUNTIF(L75:AP75,标准数据!$A$4)*标准数据!$B$4</f>
        <v>0</v>
      </c>
      <c r="L75" s="183"/>
      <c r="M75" s="183"/>
      <c r="N75" s="183"/>
      <c r="O75" s="183"/>
      <c r="P75" s="183"/>
      <c r="Q75" s="183"/>
      <c r="R75" s="183"/>
      <c r="S75" s="183"/>
      <c r="T75" s="183"/>
      <c r="U75" s="183"/>
      <c r="V75" s="183"/>
      <c r="W75" s="183"/>
      <c r="X75" s="183"/>
      <c r="Y75" s="183"/>
      <c r="Z75" s="183"/>
      <c r="AA75" s="183"/>
      <c r="AB75" s="183"/>
      <c r="AC75" s="183"/>
      <c r="AD75" s="183"/>
      <c r="AE75" s="183"/>
      <c r="AF75" s="183"/>
      <c r="AG75" s="183"/>
      <c r="AH75" s="183"/>
      <c r="AI75" s="183"/>
      <c r="AJ75" s="183"/>
      <c r="AK75" s="183"/>
      <c r="AL75" s="183"/>
      <c r="AM75" s="183"/>
      <c r="AN75" s="183"/>
      <c r="AO75" s="183"/>
      <c r="AP75" s="183"/>
      <c r="AQ75" s="96" t="s">
        <v>1138</v>
      </c>
      <c r="AR75" s="97" t="s">
        <v>1134</v>
      </c>
      <c r="AS75" s="97" t="s">
        <v>1135</v>
      </c>
      <c r="AT75" s="149" t="s">
        <v>220</v>
      </c>
      <c r="AU75" s="94" t="s">
        <v>319</v>
      </c>
    </row>
    <row r="76" spans="1:47" ht="21" customHeight="1" x14ac:dyDescent="0.35">
      <c r="A76" s="260"/>
      <c r="B76" s="98" t="s">
        <v>16</v>
      </c>
      <c r="C76" s="99" t="s">
        <v>401</v>
      </c>
      <c r="D76" s="100" t="s">
        <v>392</v>
      </c>
      <c r="E76" s="101">
        <v>43977</v>
      </c>
      <c r="F76" s="102">
        <f t="shared" si="4"/>
        <v>0</v>
      </c>
      <c r="G76" s="150">
        <f>SUMIF(积分汇总!$B:$B,C76,积分汇总!$E:$E)</f>
        <v>0</v>
      </c>
      <c r="H76" s="150">
        <f>SUMIF(记录巡查问题条数汇总!$B:$B,C76,记录巡查问题条数汇总!$E:$E)</f>
        <v>0</v>
      </c>
      <c r="I76" s="150"/>
      <c r="J76" s="150">
        <f>SUMIF(安全质量事故!$B:$B,C76,安全质量事故!$G:$G)</f>
        <v>0</v>
      </c>
      <c r="K76" s="141">
        <f>COUNTIF(L76:AP76,标准数据!$A$2)*标准数据!$B$2+COUNTIF(L76:AP76,标准数据!$A$3)*标准数据!$B$3+COUNTIF(L76:AP76,标准数据!$A$4)*标准数据!$B$4</f>
        <v>0</v>
      </c>
      <c r="L76" s="183"/>
      <c r="M76" s="183"/>
      <c r="N76" s="183"/>
      <c r="O76" s="183"/>
      <c r="P76" s="183"/>
      <c r="Q76" s="183"/>
      <c r="R76" s="183"/>
      <c r="S76" s="183"/>
      <c r="T76" s="183"/>
      <c r="U76" s="183"/>
      <c r="V76" s="183"/>
      <c r="W76" s="183"/>
      <c r="X76" s="183"/>
      <c r="Y76" s="183"/>
      <c r="Z76" s="183"/>
      <c r="AA76" s="183"/>
      <c r="AB76" s="183"/>
      <c r="AC76" s="183"/>
      <c r="AD76" s="183"/>
      <c r="AE76" s="183"/>
      <c r="AF76" s="183"/>
      <c r="AG76" s="183"/>
      <c r="AH76" s="183"/>
      <c r="AI76" s="183"/>
      <c r="AJ76" s="183"/>
      <c r="AK76" s="183"/>
      <c r="AL76" s="183"/>
      <c r="AM76" s="183"/>
      <c r="AN76" s="183"/>
      <c r="AO76" s="183"/>
      <c r="AP76" s="183"/>
      <c r="AQ76" s="117">
        <f>COUNTIF($L$74:$AP$164,"a")</f>
        <v>0</v>
      </c>
      <c r="AR76" s="117">
        <f>COUNTIF($L$74:$AP$164,"b")</f>
        <v>0</v>
      </c>
      <c r="AS76" s="117">
        <f>COUNTIF($L$74:$AP$164,"c")</f>
        <v>0</v>
      </c>
      <c r="AT76" s="149" t="s">
        <v>392</v>
      </c>
      <c r="AU76" s="94" t="s">
        <v>319</v>
      </c>
    </row>
    <row r="77" spans="1:47" ht="21" customHeight="1" x14ac:dyDescent="0.35">
      <c r="A77" s="260"/>
      <c r="B77" s="98" t="s">
        <v>16</v>
      </c>
      <c r="C77" s="99" t="s">
        <v>426</v>
      </c>
      <c r="D77" s="100" t="s">
        <v>417</v>
      </c>
      <c r="E77" s="101">
        <v>44389</v>
      </c>
      <c r="F77" s="102">
        <f t="shared" si="4"/>
        <v>0</v>
      </c>
      <c r="G77" s="150">
        <f>SUMIF(积分汇总!$B:$B,C77,积分汇总!$E:$E)</f>
        <v>0</v>
      </c>
      <c r="H77" s="150">
        <f>SUMIF(记录巡查问题条数汇总!$B:$B,C77,记录巡查问题条数汇总!$E:$E)</f>
        <v>0</v>
      </c>
      <c r="I77" s="150"/>
      <c r="J77" s="150">
        <f>SUMIF(安全质量事故!$B:$B,C77,安全质量事故!$G:$G)</f>
        <v>0</v>
      </c>
      <c r="K77" s="141">
        <f>COUNTIF(L77:AP77,标准数据!$A$2)*标准数据!$B$2+COUNTIF(L77:AP77,标准数据!$A$3)*标准数据!$B$3+COUNTIF(L77:AP77,标准数据!$A$4)*标准数据!$B$4</f>
        <v>0</v>
      </c>
      <c r="L77" s="183"/>
      <c r="M77" s="183"/>
      <c r="N77" s="183"/>
      <c r="O77" s="183"/>
      <c r="P77" s="183"/>
      <c r="Q77" s="183"/>
      <c r="R77" s="183"/>
      <c r="S77" s="183"/>
      <c r="T77" s="183"/>
      <c r="U77" s="183"/>
      <c r="V77" s="183"/>
      <c r="W77" s="183"/>
      <c r="X77" s="183"/>
      <c r="Y77" s="183"/>
      <c r="Z77" s="183"/>
      <c r="AA77" s="183"/>
      <c r="AB77" s="183"/>
      <c r="AC77" s="183"/>
      <c r="AD77" s="183"/>
      <c r="AE77" s="183"/>
      <c r="AF77" s="183"/>
      <c r="AG77" s="183"/>
      <c r="AH77" s="183"/>
      <c r="AI77" s="183"/>
      <c r="AJ77" s="183"/>
      <c r="AK77" s="183"/>
      <c r="AL77" s="183"/>
      <c r="AM77" s="183"/>
      <c r="AN77" s="183"/>
      <c r="AO77" s="183"/>
      <c r="AP77" s="183"/>
      <c r="AQ77" s="103" t="e">
        <f>AQ76/($AQ$76+$AR$76+$AS$76)</f>
        <v>#DIV/0!</v>
      </c>
      <c r="AR77" s="103" t="e">
        <f>AR76/($AQ$76+$AR$76+$AS$76)</f>
        <v>#DIV/0!</v>
      </c>
      <c r="AS77" s="103" t="e">
        <f>AS76/($AQ$76+$AR$76+$AS$76)</f>
        <v>#DIV/0!</v>
      </c>
      <c r="AT77" s="149" t="s">
        <v>417</v>
      </c>
      <c r="AU77" s="94" t="s">
        <v>319</v>
      </c>
    </row>
    <row r="78" spans="1:47" ht="21" customHeight="1" x14ac:dyDescent="0.35">
      <c r="A78" s="260"/>
      <c r="B78" s="98" t="s">
        <v>16</v>
      </c>
      <c r="C78" s="99" t="s">
        <v>507</v>
      </c>
      <c r="D78" s="100" t="s">
        <v>471</v>
      </c>
      <c r="E78" s="101">
        <v>45847</v>
      </c>
      <c r="F78" s="102">
        <f t="shared" si="4"/>
        <v>0</v>
      </c>
      <c r="G78" s="150">
        <f>SUMIF(积分汇总!$B:$B,C78,积分汇总!$E:$E)</f>
        <v>0</v>
      </c>
      <c r="H78" s="150">
        <f>SUMIF(记录巡查问题条数汇总!$B:$B,C78,记录巡查问题条数汇总!$E:$E)</f>
        <v>0</v>
      </c>
      <c r="I78" s="150"/>
      <c r="J78" s="150">
        <f>SUMIF(安全质量事故!$B:$B,C78,安全质量事故!$G:$G)</f>
        <v>0</v>
      </c>
      <c r="K78" s="141">
        <f>COUNTIF(L78:AP78,标准数据!$A$2)*标准数据!$B$2+COUNTIF(L78:AP78,标准数据!$A$3)*标准数据!$B$3+COUNTIF(L78:AP78,标准数据!$A$4)*标准数据!$B$4</f>
        <v>0</v>
      </c>
      <c r="L78" s="183"/>
      <c r="M78" s="183"/>
      <c r="N78" s="183"/>
      <c r="O78" s="183"/>
      <c r="P78" s="183"/>
      <c r="Q78" s="183"/>
      <c r="R78" s="183"/>
      <c r="S78" s="183"/>
      <c r="T78" s="183"/>
      <c r="U78" s="183"/>
      <c r="V78" s="183"/>
      <c r="W78" s="183"/>
      <c r="X78" s="183"/>
      <c r="Y78" s="183"/>
      <c r="Z78" s="183"/>
      <c r="AA78" s="183"/>
      <c r="AB78" s="183"/>
      <c r="AC78" s="183"/>
      <c r="AD78" s="183"/>
      <c r="AE78" s="183"/>
      <c r="AF78" s="183"/>
      <c r="AG78" s="183"/>
      <c r="AH78" s="183"/>
      <c r="AI78" s="183"/>
      <c r="AJ78" s="183"/>
      <c r="AK78" s="183"/>
      <c r="AL78" s="183"/>
      <c r="AM78" s="183"/>
      <c r="AN78" s="183"/>
      <c r="AO78" s="183"/>
      <c r="AP78" s="183"/>
      <c r="AT78" s="149" t="s">
        <v>471</v>
      </c>
      <c r="AU78" s="94" t="s">
        <v>319</v>
      </c>
    </row>
    <row r="79" spans="1:47" ht="21" customHeight="1" x14ac:dyDescent="0.35">
      <c r="A79" s="260"/>
      <c r="B79" s="98" t="s">
        <v>166</v>
      </c>
      <c r="C79" s="98" t="s">
        <v>165</v>
      </c>
      <c r="D79" s="105" t="s">
        <v>49</v>
      </c>
      <c r="E79" s="99">
        <v>43817</v>
      </c>
      <c r="F79" s="102">
        <f t="shared" si="4"/>
        <v>0</v>
      </c>
      <c r="G79" s="150">
        <f>SUMIF(积分汇总!$B:$B,C79,积分汇总!$E:$E)</f>
        <v>0</v>
      </c>
      <c r="H79" s="150">
        <f>SUMIF(记录巡查问题条数汇总!$B:$B,C79,记录巡查问题条数汇总!$E:$E)</f>
        <v>0</v>
      </c>
      <c r="I79" s="150"/>
      <c r="J79" s="150">
        <f>SUMIF(安全质量事故!$B:$B,C79,安全质量事故!$G:$G)</f>
        <v>0</v>
      </c>
      <c r="K79" s="141">
        <f>COUNTIF(L79:AP79,标准数据!$A$2)*标准数据!$B$2+COUNTIF(L79:AP79,标准数据!$A$3)*标准数据!$B$3+COUNTIF(L79:AP79,标准数据!$A$4)*标准数据!$B$4</f>
        <v>0</v>
      </c>
      <c r="L79" s="183"/>
      <c r="M79" s="183"/>
      <c r="N79" s="183"/>
      <c r="O79" s="183"/>
      <c r="P79" s="183"/>
      <c r="Q79" s="183"/>
      <c r="R79" s="183"/>
      <c r="S79" s="183"/>
      <c r="T79" s="183"/>
      <c r="U79" s="183"/>
      <c r="V79" s="183"/>
      <c r="W79" s="183"/>
      <c r="X79" s="183"/>
      <c r="Y79" s="183"/>
      <c r="Z79" s="183"/>
      <c r="AA79" s="183"/>
      <c r="AB79" s="183"/>
      <c r="AC79" s="183"/>
      <c r="AD79" s="183"/>
      <c r="AE79" s="183"/>
      <c r="AF79" s="183"/>
      <c r="AG79" s="183"/>
      <c r="AH79" s="183"/>
      <c r="AI79" s="183"/>
      <c r="AJ79" s="183"/>
      <c r="AK79" s="183"/>
      <c r="AL79" s="183"/>
      <c r="AM79" s="183"/>
      <c r="AN79" s="183"/>
      <c r="AO79" s="183"/>
      <c r="AP79" s="183"/>
      <c r="AT79" s="149" t="s">
        <v>49</v>
      </c>
      <c r="AU79" s="94" t="s">
        <v>319</v>
      </c>
    </row>
    <row r="80" spans="1:47" ht="21" customHeight="1" x14ac:dyDescent="0.35">
      <c r="A80" s="260"/>
      <c r="B80" s="98" t="s">
        <v>140</v>
      </c>
      <c r="C80" s="99" t="s">
        <v>143</v>
      </c>
      <c r="D80" s="100" t="s">
        <v>69</v>
      </c>
      <c r="E80" s="101">
        <v>44734</v>
      </c>
      <c r="F80" s="102">
        <f t="shared" si="4"/>
        <v>0</v>
      </c>
      <c r="G80" s="150">
        <f>SUMIF(积分汇总!$B:$B,C80,积分汇总!$E:$E)</f>
        <v>0</v>
      </c>
      <c r="H80" s="150">
        <f>SUMIF(记录巡查问题条数汇总!$B:$B,C80,记录巡查问题条数汇总!$E:$E)</f>
        <v>0</v>
      </c>
      <c r="I80" s="150"/>
      <c r="J80" s="150">
        <f>SUMIF(安全质量事故!$B:$B,C80,安全质量事故!$G:$G)</f>
        <v>0</v>
      </c>
      <c r="K80" s="141">
        <f>COUNTIF(L80:AP80,标准数据!$A$2)*标准数据!$B$2+COUNTIF(L80:AP80,标准数据!$A$3)*标准数据!$B$3+COUNTIF(L80:AP80,标准数据!$A$4)*标准数据!$B$4</f>
        <v>0</v>
      </c>
      <c r="L80" s="183"/>
      <c r="M80" s="183"/>
      <c r="N80" s="183"/>
      <c r="O80" s="183"/>
      <c r="P80" s="183"/>
      <c r="Q80" s="183"/>
      <c r="R80" s="183"/>
      <c r="S80" s="183"/>
      <c r="T80" s="183"/>
      <c r="U80" s="183"/>
      <c r="V80" s="183"/>
      <c r="W80" s="183"/>
      <c r="X80" s="183"/>
      <c r="Y80" s="183"/>
      <c r="Z80" s="183"/>
      <c r="AA80" s="183"/>
      <c r="AB80" s="183"/>
      <c r="AC80" s="183"/>
      <c r="AD80" s="183"/>
      <c r="AE80" s="183"/>
      <c r="AF80" s="183"/>
      <c r="AG80" s="183"/>
      <c r="AH80" s="183"/>
      <c r="AI80" s="183"/>
      <c r="AJ80" s="183"/>
      <c r="AK80" s="183"/>
      <c r="AL80" s="183"/>
      <c r="AM80" s="183"/>
      <c r="AN80" s="183"/>
      <c r="AO80" s="183"/>
      <c r="AP80" s="183"/>
      <c r="AT80" s="149" t="s">
        <v>69</v>
      </c>
      <c r="AU80" s="94" t="s">
        <v>319</v>
      </c>
    </row>
    <row r="81" spans="1:47" ht="21" customHeight="1" x14ac:dyDescent="0.35">
      <c r="A81" s="260"/>
      <c r="B81" s="98" t="s">
        <v>140</v>
      </c>
      <c r="C81" s="99" t="s">
        <v>147</v>
      </c>
      <c r="D81" s="100" t="s">
        <v>77</v>
      </c>
      <c r="E81" s="101">
        <v>44755</v>
      </c>
      <c r="F81" s="102">
        <f t="shared" si="4"/>
        <v>0</v>
      </c>
      <c r="G81" s="150">
        <f>SUMIF(积分汇总!$B:$B,C81,积分汇总!$E:$E)</f>
        <v>0</v>
      </c>
      <c r="H81" s="150">
        <f>SUMIF(记录巡查问题条数汇总!$B:$B,C81,记录巡查问题条数汇总!$E:$E)</f>
        <v>0</v>
      </c>
      <c r="I81" s="150"/>
      <c r="J81" s="150">
        <f>SUMIF(安全质量事故!$B:$B,C81,安全质量事故!$G:$G)</f>
        <v>0</v>
      </c>
      <c r="K81" s="141">
        <f>COUNTIF(L81:AP81,标准数据!$A$2)*标准数据!$B$2+COUNTIF(L81:AP81,标准数据!$A$3)*标准数据!$B$3+COUNTIF(L81:AP81,标准数据!$A$4)*标准数据!$B$4</f>
        <v>0</v>
      </c>
      <c r="L81" s="183"/>
      <c r="M81" s="183"/>
      <c r="N81" s="183"/>
      <c r="O81" s="183"/>
      <c r="P81" s="183"/>
      <c r="Q81" s="183"/>
      <c r="R81" s="183"/>
      <c r="S81" s="183"/>
      <c r="T81" s="183"/>
      <c r="U81" s="183"/>
      <c r="V81" s="183"/>
      <c r="W81" s="183"/>
      <c r="X81" s="183"/>
      <c r="Y81" s="183"/>
      <c r="Z81" s="183"/>
      <c r="AA81" s="183"/>
      <c r="AB81" s="183"/>
      <c r="AC81" s="183"/>
      <c r="AD81" s="183"/>
      <c r="AE81" s="183"/>
      <c r="AF81" s="183"/>
      <c r="AG81" s="183"/>
      <c r="AH81" s="183"/>
      <c r="AI81" s="183"/>
      <c r="AJ81" s="183"/>
      <c r="AK81" s="183"/>
      <c r="AL81" s="183"/>
      <c r="AM81" s="183"/>
      <c r="AN81" s="183"/>
      <c r="AO81" s="183"/>
      <c r="AP81" s="183"/>
      <c r="AT81" s="149" t="s">
        <v>77</v>
      </c>
      <c r="AU81" s="94" t="s">
        <v>319</v>
      </c>
    </row>
    <row r="82" spans="1:47" ht="21" customHeight="1" x14ac:dyDescent="0.35">
      <c r="A82" s="260"/>
      <c r="B82" s="98" t="s">
        <v>140</v>
      </c>
      <c r="C82" s="99" t="s">
        <v>149</v>
      </c>
      <c r="D82" s="105" t="s">
        <v>109</v>
      </c>
      <c r="E82" s="99">
        <v>45056</v>
      </c>
      <c r="F82" s="102">
        <f t="shared" si="4"/>
        <v>0</v>
      </c>
      <c r="G82" s="150">
        <f>SUMIF(积分汇总!$B:$B,C82,积分汇总!$E:$E)</f>
        <v>0</v>
      </c>
      <c r="H82" s="150">
        <f>SUMIF(记录巡查问题条数汇总!$B:$B,C82,记录巡查问题条数汇总!$E:$E)</f>
        <v>0</v>
      </c>
      <c r="I82" s="150"/>
      <c r="J82" s="150">
        <f>SUMIF(安全质量事故!$B:$B,C82,安全质量事故!$G:$G)</f>
        <v>0</v>
      </c>
      <c r="K82" s="141">
        <f>COUNTIF(L82:AP82,标准数据!$A$2)*标准数据!$B$2+COUNTIF(L82:AP82,标准数据!$A$3)*标准数据!$B$3+COUNTIF(L82:AP82,标准数据!$A$4)*标准数据!$B$4</f>
        <v>0</v>
      </c>
      <c r="L82" s="183"/>
      <c r="M82" s="183"/>
      <c r="N82" s="183"/>
      <c r="O82" s="183"/>
      <c r="P82" s="183"/>
      <c r="Q82" s="183"/>
      <c r="R82" s="183"/>
      <c r="S82" s="183"/>
      <c r="T82" s="183"/>
      <c r="U82" s="183"/>
      <c r="V82" s="183"/>
      <c r="W82" s="183"/>
      <c r="X82" s="183"/>
      <c r="Y82" s="183"/>
      <c r="Z82" s="183"/>
      <c r="AA82" s="183"/>
      <c r="AB82" s="183"/>
      <c r="AC82" s="183"/>
      <c r="AD82" s="183"/>
      <c r="AE82" s="183"/>
      <c r="AF82" s="183"/>
      <c r="AG82" s="183"/>
      <c r="AH82" s="183"/>
      <c r="AI82" s="183"/>
      <c r="AJ82" s="183"/>
      <c r="AK82" s="183"/>
      <c r="AL82" s="183"/>
      <c r="AM82" s="183"/>
      <c r="AN82" s="183"/>
      <c r="AO82" s="183"/>
      <c r="AP82" s="183"/>
      <c r="AT82" s="149" t="s">
        <v>109</v>
      </c>
      <c r="AU82" s="94" t="s">
        <v>319</v>
      </c>
    </row>
    <row r="83" spans="1:47" ht="21" customHeight="1" x14ac:dyDescent="0.35">
      <c r="A83" s="260"/>
      <c r="B83" s="98" t="s">
        <v>140</v>
      </c>
      <c r="C83" s="99" t="s">
        <v>225</v>
      </c>
      <c r="D83" s="105" t="s">
        <v>226</v>
      </c>
      <c r="E83" s="101">
        <v>44755</v>
      </c>
      <c r="F83" s="102">
        <f t="shared" si="4"/>
        <v>0</v>
      </c>
      <c r="G83" s="150">
        <f>SUMIF(积分汇总!$B:$B,C83,积分汇总!$E:$E)</f>
        <v>0</v>
      </c>
      <c r="H83" s="150">
        <f>SUMIF(记录巡查问题条数汇总!$B:$B,C83,记录巡查问题条数汇总!$E:$E)</f>
        <v>0</v>
      </c>
      <c r="I83" s="150"/>
      <c r="J83" s="150">
        <f>SUMIF(安全质量事故!$B:$B,C83,安全质量事故!$G:$G)</f>
        <v>0</v>
      </c>
      <c r="K83" s="141">
        <f>COUNTIF(L83:AP83,标准数据!$A$2)*标准数据!$B$2+COUNTIF(L83:AP83,标准数据!$A$3)*标准数据!$B$3+COUNTIF(L83:AP83,标准数据!$A$4)*标准数据!$B$4</f>
        <v>0</v>
      </c>
      <c r="L83" s="183"/>
      <c r="M83" s="183"/>
      <c r="N83" s="183"/>
      <c r="O83" s="183"/>
      <c r="P83" s="183"/>
      <c r="Q83" s="183"/>
      <c r="R83" s="183"/>
      <c r="S83" s="183"/>
      <c r="T83" s="183"/>
      <c r="U83" s="183"/>
      <c r="V83" s="183"/>
      <c r="W83" s="183"/>
      <c r="X83" s="183"/>
      <c r="Y83" s="183"/>
      <c r="Z83" s="183"/>
      <c r="AA83" s="183"/>
      <c r="AB83" s="183"/>
      <c r="AC83" s="183"/>
      <c r="AD83" s="183"/>
      <c r="AE83" s="183"/>
      <c r="AF83" s="183"/>
      <c r="AG83" s="183"/>
      <c r="AH83" s="183"/>
      <c r="AI83" s="183"/>
      <c r="AJ83" s="183"/>
      <c r="AK83" s="183"/>
      <c r="AL83" s="183"/>
      <c r="AM83" s="183"/>
      <c r="AN83" s="183"/>
      <c r="AO83" s="183"/>
      <c r="AP83" s="183"/>
      <c r="AQ83" s="94"/>
      <c r="AR83" s="94"/>
      <c r="AS83" s="94"/>
      <c r="AT83" s="149" t="s">
        <v>226</v>
      </c>
      <c r="AU83" s="94" t="s">
        <v>319</v>
      </c>
    </row>
    <row r="84" spans="1:47" ht="21" customHeight="1" x14ac:dyDescent="0.35">
      <c r="A84" s="260"/>
      <c r="B84" s="98" t="s">
        <v>305</v>
      </c>
      <c r="C84" s="99" t="s">
        <v>160</v>
      </c>
      <c r="D84" s="100" t="s">
        <v>61</v>
      </c>
      <c r="E84" s="101">
        <v>44454</v>
      </c>
      <c r="F84" s="102">
        <f t="shared" si="4"/>
        <v>0</v>
      </c>
      <c r="G84" s="150">
        <f>SUMIF(积分汇总!$B:$B,C84,积分汇总!$E:$E)</f>
        <v>0</v>
      </c>
      <c r="H84" s="150">
        <f>SUMIF(记录巡查问题条数汇总!$B:$B,C84,记录巡查问题条数汇总!$E:$E)</f>
        <v>0</v>
      </c>
      <c r="I84" s="150"/>
      <c r="J84" s="150">
        <f>SUMIF(安全质量事故!$B:$B,C84,安全质量事故!$G:$G)</f>
        <v>0</v>
      </c>
      <c r="K84" s="141">
        <f>COUNTIF(L84:AP84,标准数据!$A$2)*标准数据!$B$2+COUNTIF(L84:AP84,标准数据!$A$3)*标准数据!$B$3+COUNTIF(L84:AP84,标准数据!$A$4)*标准数据!$B$4</f>
        <v>0</v>
      </c>
      <c r="L84" s="183"/>
      <c r="M84" s="183"/>
      <c r="N84" s="183"/>
      <c r="O84" s="183"/>
      <c r="P84" s="183"/>
      <c r="Q84" s="183"/>
      <c r="R84" s="183"/>
      <c r="S84" s="183"/>
      <c r="T84" s="183"/>
      <c r="U84" s="183"/>
      <c r="V84" s="183"/>
      <c r="W84" s="183"/>
      <c r="X84" s="183"/>
      <c r="Y84" s="183"/>
      <c r="Z84" s="183"/>
      <c r="AA84" s="183"/>
      <c r="AB84" s="183"/>
      <c r="AC84" s="183"/>
      <c r="AD84" s="183"/>
      <c r="AE84" s="183"/>
      <c r="AF84" s="183"/>
      <c r="AG84" s="183"/>
      <c r="AH84" s="183"/>
      <c r="AI84" s="183"/>
      <c r="AJ84" s="183"/>
      <c r="AK84" s="183"/>
      <c r="AL84" s="183"/>
      <c r="AM84" s="183"/>
      <c r="AN84" s="183"/>
      <c r="AO84" s="183"/>
      <c r="AP84" s="183"/>
      <c r="AQ84" s="94"/>
      <c r="AR84" s="94"/>
      <c r="AS84" s="94"/>
      <c r="AT84" s="149" t="s">
        <v>61</v>
      </c>
      <c r="AU84" s="94" t="s">
        <v>319</v>
      </c>
    </row>
    <row r="85" spans="1:47" ht="21" customHeight="1" x14ac:dyDescent="0.35">
      <c r="A85" s="260"/>
      <c r="B85" s="98" t="s">
        <v>17</v>
      </c>
      <c r="C85" s="99" t="s">
        <v>148</v>
      </c>
      <c r="D85" s="100" t="s">
        <v>85</v>
      </c>
      <c r="E85" s="101">
        <v>44774</v>
      </c>
      <c r="F85" s="102">
        <f t="shared" si="4"/>
        <v>0</v>
      </c>
      <c r="G85" s="150">
        <f>SUMIF(积分汇总!$B:$B,C85,积分汇总!$E:$E)</f>
        <v>0</v>
      </c>
      <c r="H85" s="150">
        <f>SUMIF(记录巡查问题条数汇总!$B:$B,C85,记录巡查问题条数汇总!$E:$E)</f>
        <v>0</v>
      </c>
      <c r="I85" s="150"/>
      <c r="J85" s="150">
        <f>SUMIF(安全质量事故!$B:$B,C85,安全质量事故!$G:$G)</f>
        <v>0</v>
      </c>
      <c r="K85" s="141">
        <f>COUNTIF(L85:AP85,标准数据!$A$2)*标准数据!$B$2+COUNTIF(L85:AP85,标准数据!$A$3)*标准数据!$B$3+COUNTIF(L85:AP85,标准数据!$A$4)*标准数据!$B$4</f>
        <v>0</v>
      </c>
      <c r="L85" s="183"/>
      <c r="M85" s="183"/>
      <c r="N85" s="183"/>
      <c r="O85" s="183"/>
      <c r="P85" s="183"/>
      <c r="Q85" s="183"/>
      <c r="R85" s="183"/>
      <c r="S85" s="183"/>
      <c r="T85" s="183"/>
      <c r="U85" s="183"/>
      <c r="V85" s="183"/>
      <c r="W85" s="183"/>
      <c r="X85" s="183"/>
      <c r="Y85" s="183"/>
      <c r="Z85" s="183"/>
      <c r="AA85" s="183"/>
      <c r="AB85" s="183"/>
      <c r="AC85" s="183"/>
      <c r="AD85" s="183"/>
      <c r="AE85" s="183"/>
      <c r="AF85" s="183"/>
      <c r="AG85" s="183"/>
      <c r="AH85" s="183"/>
      <c r="AI85" s="183"/>
      <c r="AJ85" s="183"/>
      <c r="AK85" s="183"/>
      <c r="AL85" s="183"/>
      <c r="AM85" s="183"/>
      <c r="AN85" s="183"/>
      <c r="AO85" s="183"/>
      <c r="AP85" s="183"/>
      <c r="AQ85" s="94"/>
      <c r="AR85" s="94"/>
      <c r="AS85" s="94"/>
      <c r="AT85" s="149" t="s">
        <v>85</v>
      </c>
      <c r="AU85" s="94" t="s">
        <v>319</v>
      </c>
    </row>
    <row r="86" spans="1:47" ht="21" customHeight="1" x14ac:dyDescent="0.35">
      <c r="A86" s="260"/>
      <c r="B86" s="98" t="s">
        <v>17</v>
      </c>
      <c r="C86" s="99" t="s">
        <v>150</v>
      </c>
      <c r="D86" s="100" t="s">
        <v>73</v>
      </c>
      <c r="E86" s="101">
        <v>44734</v>
      </c>
      <c r="F86" s="102">
        <f t="shared" si="4"/>
        <v>0</v>
      </c>
      <c r="G86" s="150">
        <f>SUMIF(积分汇总!$B:$B,C86,积分汇总!$E:$E)</f>
        <v>0</v>
      </c>
      <c r="H86" s="150">
        <f>SUMIF(记录巡查问题条数汇总!$B:$B,C86,记录巡查问题条数汇总!$E:$E)</f>
        <v>0</v>
      </c>
      <c r="I86" s="150"/>
      <c r="J86" s="150">
        <f>SUMIF(安全质量事故!$B:$B,C86,安全质量事故!$G:$G)</f>
        <v>0</v>
      </c>
      <c r="K86" s="141">
        <f>COUNTIF(L86:AP86,标准数据!$A$2)*标准数据!$B$2+COUNTIF(L86:AP86,标准数据!$A$3)*标准数据!$B$3+COUNTIF(L86:AP86,标准数据!$A$4)*标准数据!$B$4</f>
        <v>0</v>
      </c>
      <c r="L86" s="183"/>
      <c r="M86" s="183"/>
      <c r="N86" s="183"/>
      <c r="O86" s="183"/>
      <c r="P86" s="183"/>
      <c r="Q86" s="183"/>
      <c r="R86" s="183"/>
      <c r="S86" s="183"/>
      <c r="T86" s="183"/>
      <c r="U86" s="183"/>
      <c r="V86" s="183"/>
      <c r="W86" s="183"/>
      <c r="X86" s="183"/>
      <c r="Y86" s="183"/>
      <c r="Z86" s="183"/>
      <c r="AA86" s="183"/>
      <c r="AB86" s="183"/>
      <c r="AC86" s="183"/>
      <c r="AD86" s="183"/>
      <c r="AE86" s="183"/>
      <c r="AF86" s="183"/>
      <c r="AG86" s="183"/>
      <c r="AH86" s="183"/>
      <c r="AI86" s="183"/>
      <c r="AJ86" s="183"/>
      <c r="AK86" s="183"/>
      <c r="AL86" s="183"/>
      <c r="AM86" s="183"/>
      <c r="AN86" s="183"/>
      <c r="AO86" s="183"/>
      <c r="AP86" s="183"/>
      <c r="AT86" s="149" t="s">
        <v>73</v>
      </c>
      <c r="AU86" s="94" t="s">
        <v>319</v>
      </c>
    </row>
    <row r="87" spans="1:47" ht="21" customHeight="1" x14ac:dyDescent="0.35">
      <c r="A87" s="260"/>
      <c r="B87" s="98" t="s">
        <v>17</v>
      </c>
      <c r="C87" s="99" t="s">
        <v>151</v>
      </c>
      <c r="D87" s="100" t="s">
        <v>67</v>
      </c>
      <c r="E87" s="101">
        <v>44734</v>
      </c>
      <c r="F87" s="102">
        <f t="shared" si="4"/>
        <v>0</v>
      </c>
      <c r="G87" s="150">
        <f>SUMIF(积分汇总!$B:$B,C87,积分汇总!$E:$E)</f>
        <v>0</v>
      </c>
      <c r="H87" s="150">
        <f>SUMIF(记录巡查问题条数汇总!$B:$B,C87,记录巡查问题条数汇总!$E:$E)</f>
        <v>0</v>
      </c>
      <c r="I87" s="150"/>
      <c r="J87" s="150">
        <f>SUMIF(安全质量事故!$B:$B,C87,安全质量事故!$G:$G)</f>
        <v>0</v>
      </c>
      <c r="K87" s="141">
        <f>COUNTIF(L87:AP87,标准数据!$A$2)*标准数据!$B$2+COUNTIF(L87:AP87,标准数据!$A$3)*标准数据!$B$3+COUNTIF(L87:AP87,标准数据!$A$4)*标准数据!$B$4</f>
        <v>0</v>
      </c>
      <c r="L87" s="183"/>
      <c r="M87" s="183"/>
      <c r="N87" s="183"/>
      <c r="O87" s="183"/>
      <c r="P87" s="183"/>
      <c r="Q87" s="183"/>
      <c r="R87" s="183"/>
      <c r="S87" s="183"/>
      <c r="T87" s="183"/>
      <c r="U87" s="183"/>
      <c r="V87" s="183"/>
      <c r="W87" s="183"/>
      <c r="X87" s="183"/>
      <c r="Y87" s="183"/>
      <c r="Z87" s="183"/>
      <c r="AA87" s="183"/>
      <c r="AB87" s="183"/>
      <c r="AC87" s="183"/>
      <c r="AD87" s="183"/>
      <c r="AE87" s="183"/>
      <c r="AF87" s="183"/>
      <c r="AG87" s="183"/>
      <c r="AH87" s="183"/>
      <c r="AI87" s="183"/>
      <c r="AJ87" s="183"/>
      <c r="AK87" s="183"/>
      <c r="AL87" s="183"/>
      <c r="AM87" s="183"/>
      <c r="AN87" s="183"/>
      <c r="AO87" s="183"/>
      <c r="AP87" s="183"/>
      <c r="AT87" s="149" t="s">
        <v>67</v>
      </c>
      <c r="AU87" s="94" t="s">
        <v>319</v>
      </c>
    </row>
    <row r="88" spans="1:47" ht="21" customHeight="1" x14ac:dyDescent="0.35">
      <c r="A88" s="260"/>
      <c r="B88" s="98" t="s">
        <v>17</v>
      </c>
      <c r="C88" s="99" t="s">
        <v>155</v>
      </c>
      <c r="D88" s="100" t="s">
        <v>70</v>
      </c>
      <c r="E88" s="101">
        <v>44734</v>
      </c>
      <c r="F88" s="102">
        <f t="shared" si="4"/>
        <v>0</v>
      </c>
      <c r="G88" s="150">
        <f>SUMIF(积分汇总!$B:$B,C88,积分汇总!$E:$E)</f>
        <v>0</v>
      </c>
      <c r="H88" s="150">
        <f>SUMIF(记录巡查问题条数汇总!$B:$B,C88,记录巡查问题条数汇总!$E:$E)</f>
        <v>0</v>
      </c>
      <c r="I88" s="150"/>
      <c r="J88" s="150">
        <f>SUMIF(安全质量事故!$B:$B,C88,安全质量事故!$G:$G)</f>
        <v>0</v>
      </c>
      <c r="K88" s="141">
        <f>COUNTIF(L88:AP88,标准数据!$A$2)*标准数据!$B$2+COUNTIF(L88:AP88,标准数据!$A$3)*标准数据!$B$3+COUNTIF(L88:AP88,标准数据!$A$4)*标准数据!$B$4</f>
        <v>0</v>
      </c>
      <c r="L88" s="183"/>
      <c r="M88" s="183"/>
      <c r="N88" s="183"/>
      <c r="O88" s="183"/>
      <c r="P88" s="183"/>
      <c r="Q88" s="183"/>
      <c r="R88" s="183"/>
      <c r="S88" s="183"/>
      <c r="T88" s="183"/>
      <c r="U88" s="183"/>
      <c r="V88" s="183"/>
      <c r="W88" s="183"/>
      <c r="X88" s="183"/>
      <c r="Y88" s="183"/>
      <c r="Z88" s="183"/>
      <c r="AA88" s="183"/>
      <c r="AB88" s="183"/>
      <c r="AC88" s="183"/>
      <c r="AD88" s="183"/>
      <c r="AE88" s="183"/>
      <c r="AF88" s="183"/>
      <c r="AG88" s="183"/>
      <c r="AH88" s="183"/>
      <c r="AI88" s="183"/>
      <c r="AJ88" s="183"/>
      <c r="AK88" s="183"/>
      <c r="AL88" s="183"/>
      <c r="AM88" s="183"/>
      <c r="AN88" s="183"/>
      <c r="AO88" s="183"/>
      <c r="AP88" s="183"/>
      <c r="AT88" s="149" t="s">
        <v>70</v>
      </c>
      <c r="AU88" s="94" t="s">
        <v>319</v>
      </c>
    </row>
    <row r="89" spans="1:47" ht="21" customHeight="1" x14ac:dyDescent="0.35">
      <c r="A89" s="260"/>
      <c r="B89" s="98" t="s">
        <v>17</v>
      </c>
      <c r="C89" s="99" t="s">
        <v>201</v>
      </c>
      <c r="D89" s="105" t="s">
        <v>197</v>
      </c>
      <c r="E89" s="99">
        <v>44774</v>
      </c>
      <c r="F89" s="102">
        <f t="shared" si="4"/>
        <v>0</v>
      </c>
      <c r="G89" s="150">
        <f>SUMIF(积分汇总!$B:$B,C89,积分汇总!$E:$E)</f>
        <v>0</v>
      </c>
      <c r="H89" s="150">
        <f>SUMIF(记录巡查问题条数汇总!$B:$B,C89,记录巡查问题条数汇总!$E:$E)</f>
        <v>0</v>
      </c>
      <c r="I89" s="150"/>
      <c r="J89" s="150">
        <f>SUMIF(安全质量事故!$B:$B,C89,安全质量事故!$G:$G)</f>
        <v>0</v>
      </c>
      <c r="K89" s="141">
        <f>COUNTIF(L89:AP89,标准数据!$A$2)*标准数据!$B$2+COUNTIF(L89:AP89,标准数据!$A$3)*标准数据!$B$3+COUNTIF(L89:AP89,标准数据!$A$4)*标准数据!$B$4</f>
        <v>0</v>
      </c>
      <c r="L89" s="183"/>
      <c r="M89" s="183"/>
      <c r="N89" s="183"/>
      <c r="O89" s="183"/>
      <c r="P89" s="183"/>
      <c r="Q89" s="183"/>
      <c r="R89" s="183"/>
      <c r="S89" s="183"/>
      <c r="T89" s="183"/>
      <c r="U89" s="183"/>
      <c r="V89" s="183"/>
      <c r="W89" s="183"/>
      <c r="X89" s="183"/>
      <c r="Y89" s="183"/>
      <c r="Z89" s="183"/>
      <c r="AA89" s="183"/>
      <c r="AB89" s="183"/>
      <c r="AC89" s="183"/>
      <c r="AD89" s="183"/>
      <c r="AE89" s="183"/>
      <c r="AF89" s="183"/>
      <c r="AG89" s="183"/>
      <c r="AH89" s="183"/>
      <c r="AI89" s="183"/>
      <c r="AJ89" s="183"/>
      <c r="AK89" s="183"/>
      <c r="AL89" s="183"/>
      <c r="AM89" s="183"/>
      <c r="AN89" s="183"/>
      <c r="AO89" s="183"/>
      <c r="AP89" s="183"/>
      <c r="AQ89" s="94"/>
      <c r="AR89" s="94"/>
      <c r="AS89" s="94"/>
      <c r="AT89" s="149" t="s">
        <v>197</v>
      </c>
      <c r="AU89" s="94" t="s">
        <v>319</v>
      </c>
    </row>
    <row r="90" spans="1:47" ht="21" customHeight="1" x14ac:dyDescent="0.35">
      <c r="A90" s="260"/>
      <c r="B90" s="98" t="s">
        <v>17</v>
      </c>
      <c r="C90" s="99" t="s">
        <v>202</v>
      </c>
      <c r="D90" s="105" t="s">
        <v>198</v>
      </c>
      <c r="E90" s="99">
        <v>44774</v>
      </c>
      <c r="F90" s="102">
        <f t="shared" si="4"/>
        <v>0</v>
      </c>
      <c r="G90" s="150">
        <f>SUMIF(积分汇总!$B:$B,C90,积分汇总!$E:$E)</f>
        <v>0</v>
      </c>
      <c r="H90" s="150">
        <f>SUMIF(记录巡查问题条数汇总!$B:$B,C90,记录巡查问题条数汇总!$E:$E)</f>
        <v>0</v>
      </c>
      <c r="I90" s="150"/>
      <c r="J90" s="150">
        <f>SUMIF(安全质量事故!$B:$B,C90,安全质量事故!$G:$G)</f>
        <v>0</v>
      </c>
      <c r="K90" s="141">
        <f>COUNTIF(L90:AP90,标准数据!$A$2)*标准数据!$B$2+COUNTIF(L90:AP90,标准数据!$A$3)*标准数据!$B$3+COUNTIF(L90:AP90,标准数据!$A$4)*标准数据!$B$4</f>
        <v>0</v>
      </c>
      <c r="L90" s="183"/>
      <c r="M90" s="183"/>
      <c r="N90" s="183"/>
      <c r="O90" s="183"/>
      <c r="P90" s="183"/>
      <c r="Q90" s="183"/>
      <c r="R90" s="183"/>
      <c r="S90" s="183"/>
      <c r="T90" s="183"/>
      <c r="U90" s="183"/>
      <c r="V90" s="183"/>
      <c r="W90" s="183"/>
      <c r="X90" s="183"/>
      <c r="Y90" s="183"/>
      <c r="Z90" s="183"/>
      <c r="AA90" s="183"/>
      <c r="AB90" s="183"/>
      <c r="AC90" s="183"/>
      <c r="AD90" s="183"/>
      <c r="AE90" s="183"/>
      <c r="AF90" s="183"/>
      <c r="AG90" s="183"/>
      <c r="AH90" s="183"/>
      <c r="AI90" s="183"/>
      <c r="AJ90" s="183"/>
      <c r="AK90" s="183"/>
      <c r="AL90" s="183"/>
      <c r="AM90" s="183"/>
      <c r="AN90" s="183"/>
      <c r="AO90" s="183"/>
      <c r="AP90" s="183"/>
      <c r="AQ90" s="94"/>
      <c r="AR90" s="94"/>
      <c r="AS90" s="94"/>
      <c r="AT90" s="149" t="s">
        <v>198</v>
      </c>
      <c r="AU90" s="94" t="s">
        <v>319</v>
      </c>
    </row>
    <row r="91" spans="1:47" ht="21" customHeight="1" x14ac:dyDescent="0.35">
      <c r="A91" s="260"/>
      <c r="B91" s="98" t="s">
        <v>17</v>
      </c>
      <c r="C91" s="99" t="s">
        <v>124</v>
      </c>
      <c r="D91" s="105" t="s">
        <v>122</v>
      </c>
      <c r="E91" s="99">
        <v>45194</v>
      </c>
      <c r="F91" s="102">
        <f t="shared" si="4"/>
        <v>0</v>
      </c>
      <c r="G91" s="150">
        <f>SUMIF(积分汇总!$B:$B,C91,积分汇总!$E:$E)</f>
        <v>0</v>
      </c>
      <c r="H91" s="150">
        <f>SUMIF(记录巡查问题条数汇总!$B:$B,C91,记录巡查问题条数汇总!$E:$E)</f>
        <v>0</v>
      </c>
      <c r="I91" s="150"/>
      <c r="J91" s="150">
        <f>SUMIF(安全质量事故!$B:$B,C91,安全质量事故!$G:$G)</f>
        <v>0</v>
      </c>
      <c r="K91" s="141">
        <f>COUNTIF(L91:AP91,标准数据!$A$2)*标准数据!$B$2+COUNTIF(L91:AP91,标准数据!$A$3)*标准数据!$B$3+COUNTIF(L91:AP91,标准数据!$A$4)*标准数据!$B$4</f>
        <v>0</v>
      </c>
      <c r="L91" s="183"/>
      <c r="M91" s="183"/>
      <c r="N91" s="183"/>
      <c r="O91" s="183"/>
      <c r="P91" s="183"/>
      <c r="Q91" s="183"/>
      <c r="R91" s="183"/>
      <c r="S91" s="183"/>
      <c r="T91" s="183"/>
      <c r="U91" s="183"/>
      <c r="V91" s="183"/>
      <c r="W91" s="183"/>
      <c r="X91" s="183"/>
      <c r="Y91" s="183"/>
      <c r="Z91" s="183"/>
      <c r="AA91" s="183"/>
      <c r="AB91" s="183"/>
      <c r="AC91" s="183"/>
      <c r="AD91" s="183"/>
      <c r="AE91" s="183"/>
      <c r="AF91" s="183"/>
      <c r="AG91" s="183"/>
      <c r="AH91" s="183"/>
      <c r="AI91" s="183"/>
      <c r="AJ91" s="183"/>
      <c r="AK91" s="183"/>
      <c r="AL91" s="183"/>
      <c r="AM91" s="183"/>
      <c r="AN91" s="183"/>
      <c r="AO91" s="183"/>
      <c r="AP91" s="183"/>
      <c r="AQ91" s="94"/>
      <c r="AR91" s="94"/>
      <c r="AS91" s="94"/>
      <c r="AT91" s="149" t="s">
        <v>122</v>
      </c>
      <c r="AU91" s="94" t="s">
        <v>319</v>
      </c>
    </row>
    <row r="92" spans="1:47" ht="21" customHeight="1" x14ac:dyDescent="0.35">
      <c r="A92" s="260"/>
      <c r="B92" s="98" t="s">
        <v>17</v>
      </c>
      <c r="C92" s="99" t="s">
        <v>126</v>
      </c>
      <c r="D92" s="105" t="s">
        <v>123</v>
      </c>
      <c r="E92" s="99">
        <v>45194</v>
      </c>
      <c r="F92" s="102">
        <f t="shared" si="4"/>
        <v>0</v>
      </c>
      <c r="G92" s="150">
        <f>SUMIF(积分汇总!$B:$B,C92,积分汇总!$E:$E)</f>
        <v>0</v>
      </c>
      <c r="H92" s="150">
        <f>SUMIF(记录巡查问题条数汇总!$B:$B,C92,记录巡查问题条数汇总!$E:$E)</f>
        <v>0</v>
      </c>
      <c r="I92" s="150"/>
      <c r="J92" s="150">
        <f>SUMIF(安全质量事故!$B:$B,C92,安全质量事故!$G:$G)</f>
        <v>0</v>
      </c>
      <c r="K92" s="141">
        <f>COUNTIF(L92:AP92,标准数据!$A$2)*标准数据!$B$2+COUNTIF(L92:AP92,标准数据!$A$3)*标准数据!$B$3+COUNTIF(L92:AP92,标准数据!$A$4)*标准数据!$B$4</f>
        <v>0</v>
      </c>
      <c r="L92" s="183"/>
      <c r="M92" s="183"/>
      <c r="N92" s="183"/>
      <c r="O92" s="183"/>
      <c r="P92" s="183"/>
      <c r="Q92" s="183"/>
      <c r="R92" s="183"/>
      <c r="S92" s="183"/>
      <c r="T92" s="183"/>
      <c r="U92" s="183"/>
      <c r="V92" s="183"/>
      <c r="W92" s="183"/>
      <c r="X92" s="183"/>
      <c r="Y92" s="183"/>
      <c r="Z92" s="183"/>
      <c r="AA92" s="183"/>
      <c r="AB92" s="183"/>
      <c r="AC92" s="183"/>
      <c r="AD92" s="183"/>
      <c r="AE92" s="183"/>
      <c r="AF92" s="183"/>
      <c r="AG92" s="183"/>
      <c r="AH92" s="183"/>
      <c r="AI92" s="183"/>
      <c r="AJ92" s="183"/>
      <c r="AK92" s="183"/>
      <c r="AL92" s="183"/>
      <c r="AM92" s="183"/>
      <c r="AN92" s="183"/>
      <c r="AO92" s="183"/>
      <c r="AP92" s="183"/>
      <c r="AQ92" s="94"/>
      <c r="AR92" s="94"/>
      <c r="AS92" s="94"/>
      <c r="AT92" s="149" t="s">
        <v>123</v>
      </c>
      <c r="AU92" s="94" t="s">
        <v>319</v>
      </c>
    </row>
    <row r="93" spans="1:47" ht="21" customHeight="1" x14ac:dyDescent="0.35">
      <c r="A93" s="260"/>
      <c r="B93" s="98" t="s">
        <v>95</v>
      </c>
      <c r="C93" s="99" t="s">
        <v>209</v>
      </c>
      <c r="D93" s="100" t="s">
        <v>269</v>
      </c>
      <c r="E93" s="101">
        <v>44734</v>
      </c>
      <c r="F93" s="102">
        <f t="shared" si="4"/>
        <v>0</v>
      </c>
      <c r="G93" s="150">
        <f>SUMIF(积分汇总!$B:$B,C93,积分汇总!$E:$E)</f>
        <v>0</v>
      </c>
      <c r="H93" s="150">
        <f>SUMIF(记录巡查问题条数汇总!$B:$B,C93,记录巡查问题条数汇总!$E:$E)</f>
        <v>0</v>
      </c>
      <c r="I93" s="150"/>
      <c r="J93" s="150">
        <f>SUMIF(安全质量事故!$B:$B,C93,安全质量事故!$G:$G)</f>
        <v>0</v>
      </c>
      <c r="K93" s="141">
        <f>COUNTIF(L93:AP93,标准数据!$A$2)*标准数据!$B$2+COUNTIF(L93:AP93,标准数据!$A$3)*标准数据!$B$3+COUNTIF(L93:AP93,标准数据!$A$4)*标准数据!$B$4</f>
        <v>0</v>
      </c>
      <c r="L93" s="183"/>
      <c r="M93" s="183"/>
      <c r="N93" s="183"/>
      <c r="O93" s="183"/>
      <c r="P93" s="183"/>
      <c r="Q93" s="183"/>
      <c r="R93" s="183"/>
      <c r="S93" s="183"/>
      <c r="T93" s="183"/>
      <c r="U93" s="183"/>
      <c r="V93" s="183"/>
      <c r="W93" s="183"/>
      <c r="X93" s="183"/>
      <c r="Y93" s="183"/>
      <c r="Z93" s="183"/>
      <c r="AA93" s="183"/>
      <c r="AB93" s="183"/>
      <c r="AC93" s="183"/>
      <c r="AD93" s="183"/>
      <c r="AE93" s="183"/>
      <c r="AF93" s="183"/>
      <c r="AG93" s="183"/>
      <c r="AH93" s="183"/>
      <c r="AI93" s="183"/>
      <c r="AJ93" s="183"/>
      <c r="AK93" s="183"/>
      <c r="AL93" s="183"/>
      <c r="AM93" s="183"/>
      <c r="AN93" s="183"/>
      <c r="AO93" s="183"/>
      <c r="AP93" s="183"/>
      <c r="AQ93" s="94"/>
      <c r="AR93" s="94"/>
      <c r="AS93" s="94"/>
      <c r="AT93" s="149" t="s">
        <v>1820</v>
      </c>
      <c r="AU93" s="94" t="s">
        <v>319</v>
      </c>
    </row>
    <row r="94" spans="1:47" ht="21" customHeight="1" x14ac:dyDescent="0.35">
      <c r="A94" s="260"/>
      <c r="B94" s="98" t="s">
        <v>17</v>
      </c>
      <c r="C94" s="99" t="s">
        <v>106</v>
      </c>
      <c r="D94" s="105" t="s">
        <v>105</v>
      </c>
      <c r="E94" s="101">
        <v>44998</v>
      </c>
      <c r="F94" s="102">
        <f t="shared" si="4"/>
        <v>0</v>
      </c>
      <c r="G94" s="150">
        <f>SUMIF(积分汇总!$B:$B,C94,积分汇总!$E:$E)</f>
        <v>0</v>
      </c>
      <c r="H94" s="150">
        <f>SUMIF(记录巡查问题条数汇总!$B:$B,C94,记录巡查问题条数汇总!$E:$E)</f>
        <v>0</v>
      </c>
      <c r="I94" s="150"/>
      <c r="J94" s="150">
        <f>SUMIF(安全质量事故!$B:$B,C94,安全质量事故!$G:$G)</f>
        <v>0</v>
      </c>
      <c r="K94" s="141">
        <f>COUNTIF(L94:AP94,标准数据!$A$2)*标准数据!$B$2+COUNTIF(L94:AP94,标准数据!$A$3)*标准数据!$B$3+COUNTIF(L94:AP94,标准数据!$A$4)*标准数据!$B$4</f>
        <v>0</v>
      </c>
      <c r="L94" s="183"/>
      <c r="M94" s="183"/>
      <c r="N94" s="183"/>
      <c r="O94" s="183"/>
      <c r="P94" s="183"/>
      <c r="Q94" s="183"/>
      <c r="R94" s="183"/>
      <c r="S94" s="183"/>
      <c r="T94" s="183"/>
      <c r="U94" s="183"/>
      <c r="V94" s="183"/>
      <c r="W94" s="183"/>
      <c r="X94" s="183"/>
      <c r="Y94" s="183"/>
      <c r="Z94" s="183"/>
      <c r="AA94" s="183"/>
      <c r="AB94" s="183"/>
      <c r="AC94" s="183"/>
      <c r="AD94" s="183"/>
      <c r="AE94" s="183"/>
      <c r="AF94" s="183"/>
      <c r="AG94" s="183"/>
      <c r="AH94" s="183"/>
      <c r="AI94" s="183"/>
      <c r="AJ94" s="183"/>
      <c r="AK94" s="183"/>
      <c r="AL94" s="183"/>
      <c r="AM94" s="183"/>
      <c r="AN94" s="183"/>
      <c r="AO94" s="183"/>
      <c r="AP94" s="183"/>
      <c r="AQ94" s="94"/>
      <c r="AR94" s="94"/>
      <c r="AS94" s="94"/>
      <c r="AT94" s="149" t="s">
        <v>105</v>
      </c>
      <c r="AU94" s="94" t="s">
        <v>319</v>
      </c>
    </row>
    <row r="95" spans="1:47" ht="21" customHeight="1" x14ac:dyDescent="0.35">
      <c r="A95" s="260"/>
      <c r="B95" s="98" t="s">
        <v>17</v>
      </c>
      <c r="C95" s="99" t="s">
        <v>207</v>
      </c>
      <c r="D95" s="105" t="s">
        <v>132</v>
      </c>
      <c r="E95" s="99">
        <v>45231</v>
      </c>
      <c r="F95" s="102">
        <f t="shared" si="4"/>
        <v>0</v>
      </c>
      <c r="G95" s="150">
        <f>SUMIF(积分汇总!$B:$B,C95,积分汇总!$E:$E)</f>
        <v>0</v>
      </c>
      <c r="H95" s="150">
        <f>SUMIF(记录巡查问题条数汇总!$B:$B,C95,记录巡查问题条数汇总!$E:$E)</f>
        <v>0</v>
      </c>
      <c r="I95" s="150"/>
      <c r="J95" s="150">
        <f>SUMIF(安全质量事故!$B:$B,C95,安全质量事故!$G:$G)</f>
        <v>0</v>
      </c>
      <c r="K95" s="141">
        <f>COUNTIF(L95:AP95,标准数据!$A$2)*标准数据!$B$2+COUNTIF(L95:AP95,标准数据!$A$3)*标准数据!$B$3+COUNTIF(L95:AP95,标准数据!$A$4)*标准数据!$B$4</f>
        <v>0</v>
      </c>
      <c r="L95" s="183"/>
      <c r="M95" s="183"/>
      <c r="N95" s="183"/>
      <c r="O95" s="183"/>
      <c r="P95" s="183"/>
      <c r="Q95" s="183"/>
      <c r="R95" s="183"/>
      <c r="S95" s="183"/>
      <c r="T95" s="183"/>
      <c r="U95" s="183"/>
      <c r="V95" s="183"/>
      <c r="W95" s="183"/>
      <c r="X95" s="183"/>
      <c r="Y95" s="183"/>
      <c r="Z95" s="183"/>
      <c r="AA95" s="183"/>
      <c r="AB95" s="183"/>
      <c r="AC95" s="183"/>
      <c r="AD95" s="183"/>
      <c r="AE95" s="183"/>
      <c r="AF95" s="183"/>
      <c r="AG95" s="183"/>
      <c r="AH95" s="183"/>
      <c r="AI95" s="183"/>
      <c r="AJ95" s="183"/>
      <c r="AK95" s="183"/>
      <c r="AL95" s="183"/>
      <c r="AM95" s="183"/>
      <c r="AN95" s="183"/>
      <c r="AO95" s="183"/>
      <c r="AP95" s="183"/>
      <c r="AQ95" s="94"/>
      <c r="AR95" s="94"/>
      <c r="AS95" s="94"/>
      <c r="AT95" s="149" t="s">
        <v>132</v>
      </c>
      <c r="AU95" s="94" t="s">
        <v>319</v>
      </c>
    </row>
    <row r="96" spans="1:47" ht="21" customHeight="1" x14ac:dyDescent="0.35">
      <c r="A96" s="260"/>
      <c r="B96" s="98" t="s">
        <v>17</v>
      </c>
      <c r="C96" s="99" t="s">
        <v>221</v>
      </c>
      <c r="D96" s="105" t="s">
        <v>222</v>
      </c>
      <c r="E96" s="101">
        <v>45469</v>
      </c>
      <c r="F96" s="102">
        <f t="shared" si="4"/>
        <v>0</v>
      </c>
      <c r="G96" s="150">
        <f>SUMIF(积分汇总!$B:$B,C96,积分汇总!$E:$E)</f>
        <v>0</v>
      </c>
      <c r="H96" s="150">
        <f>SUMIF(记录巡查问题条数汇总!$B:$B,C96,记录巡查问题条数汇总!$E:$E)</f>
        <v>0</v>
      </c>
      <c r="I96" s="150"/>
      <c r="J96" s="150">
        <f>SUMIF(安全质量事故!$B:$B,C96,安全质量事故!$G:$G)</f>
        <v>0</v>
      </c>
      <c r="K96" s="141">
        <f>COUNTIF(L96:AP96,标准数据!$A$2)*标准数据!$B$2+COUNTIF(L96:AP96,标准数据!$A$3)*标准数据!$B$3+COUNTIF(L96:AP96,标准数据!$A$4)*标准数据!$B$4</f>
        <v>0</v>
      </c>
      <c r="L96" s="183"/>
      <c r="M96" s="183"/>
      <c r="N96" s="183"/>
      <c r="O96" s="183"/>
      <c r="P96" s="183"/>
      <c r="Q96" s="183"/>
      <c r="R96" s="183"/>
      <c r="S96" s="183"/>
      <c r="T96" s="183"/>
      <c r="U96" s="183"/>
      <c r="V96" s="183"/>
      <c r="W96" s="183"/>
      <c r="X96" s="183"/>
      <c r="Y96" s="183"/>
      <c r="Z96" s="183"/>
      <c r="AA96" s="183"/>
      <c r="AB96" s="183"/>
      <c r="AC96" s="183"/>
      <c r="AD96" s="183"/>
      <c r="AE96" s="183"/>
      <c r="AF96" s="183"/>
      <c r="AG96" s="183"/>
      <c r="AH96" s="183"/>
      <c r="AI96" s="183"/>
      <c r="AJ96" s="183"/>
      <c r="AK96" s="183"/>
      <c r="AL96" s="183"/>
      <c r="AM96" s="183"/>
      <c r="AN96" s="183"/>
      <c r="AO96" s="183"/>
      <c r="AP96" s="183"/>
      <c r="AQ96" s="94"/>
      <c r="AR96" s="94"/>
      <c r="AS96" s="94"/>
      <c r="AT96" s="149" t="s">
        <v>222</v>
      </c>
      <c r="AU96" s="94" t="s">
        <v>319</v>
      </c>
    </row>
    <row r="97" spans="1:47" ht="21" customHeight="1" x14ac:dyDescent="0.35">
      <c r="A97" s="260"/>
      <c r="B97" s="98" t="s">
        <v>17</v>
      </c>
      <c r="C97" s="99" t="s">
        <v>223</v>
      </c>
      <c r="D97" s="105" t="s">
        <v>224</v>
      </c>
      <c r="E97" s="101">
        <v>45194</v>
      </c>
      <c r="F97" s="102">
        <f t="shared" si="4"/>
        <v>0</v>
      </c>
      <c r="G97" s="150">
        <f>SUMIF(积分汇总!$B:$B,C97,积分汇总!$E:$E)</f>
        <v>0</v>
      </c>
      <c r="H97" s="150">
        <f>SUMIF(记录巡查问题条数汇总!$B:$B,C97,记录巡查问题条数汇总!$E:$E)</f>
        <v>0</v>
      </c>
      <c r="I97" s="150"/>
      <c r="J97" s="150">
        <f>SUMIF(安全质量事故!$B:$B,C97,安全质量事故!$G:$G)</f>
        <v>0</v>
      </c>
      <c r="K97" s="141">
        <f>COUNTIF(L97:AP97,标准数据!$A$2)*标准数据!$B$2+COUNTIF(L97:AP97,标准数据!$A$3)*标准数据!$B$3+COUNTIF(L97:AP97,标准数据!$A$4)*标准数据!$B$4</f>
        <v>0</v>
      </c>
      <c r="L97" s="183"/>
      <c r="M97" s="183"/>
      <c r="N97" s="183"/>
      <c r="O97" s="183"/>
      <c r="P97" s="183"/>
      <c r="Q97" s="183"/>
      <c r="R97" s="183"/>
      <c r="S97" s="183"/>
      <c r="T97" s="183"/>
      <c r="U97" s="183"/>
      <c r="V97" s="183"/>
      <c r="W97" s="183"/>
      <c r="X97" s="183"/>
      <c r="Y97" s="183"/>
      <c r="Z97" s="183"/>
      <c r="AA97" s="183"/>
      <c r="AB97" s="183"/>
      <c r="AC97" s="183"/>
      <c r="AD97" s="183"/>
      <c r="AE97" s="183"/>
      <c r="AF97" s="183"/>
      <c r="AG97" s="183"/>
      <c r="AH97" s="183"/>
      <c r="AI97" s="183"/>
      <c r="AJ97" s="183"/>
      <c r="AK97" s="183"/>
      <c r="AL97" s="183"/>
      <c r="AM97" s="183"/>
      <c r="AN97" s="183"/>
      <c r="AO97" s="183"/>
      <c r="AP97" s="183"/>
      <c r="AQ97" s="94"/>
      <c r="AR97" s="94"/>
      <c r="AS97" s="94"/>
      <c r="AT97" s="149" t="s">
        <v>224</v>
      </c>
      <c r="AU97" s="94" t="s">
        <v>319</v>
      </c>
    </row>
    <row r="98" spans="1:47" ht="21" customHeight="1" x14ac:dyDescent="0.35">
      <c r="A98" s="260"/>
      <c r="B98" s="98" t="s">
        <v>17</v>
      </c>
      <c r="C98" s="99" t="s">
        <v>283</v>
      </c>
      <c r="D98" s="105" t="s">
        <v>278</v>
      </c>
      <c r="E98" s="101">
        <v>45525</v>
      </c>
      <c r="F98" s="102">
        <f t="shared" si="4"/>
        <v>0</v>
      </c>
      <c r="G98" s="150">
        <f>SUMIF(积分汇总!$B:$B,C98,积分汇总!$E:$E)</f>
        <v>0</v>
      </c>
      <c r="H98" s="150">
        <f>SUMIF(记录巡查问题条数汇总!$B:$B,C98,记录巡查问题条数汇总!$E:$E)</f>
        <v>0</v>
      </c>
      <c r="I98" s="150"/>
      <c r="J98" s="150">
        <f>SUMIF(安全质量事故!$B:$B,C98,安全质量事故!$G:$G)</f>
        <v>0</v>
      </c>
      <c r="K98" s="141">
        <f>COUNTIF(L98:AP98,标准数据!$A$2)*标准数据!$B$2+COUNTIF(L98:AP98,标准数据!$A$3)*标准数据!$B$3+COUNTIF(L98:AP98,标准数据!$A$4)*标准数据!$B$4</f>
        <v>0</v>
      </c>
      <c r="L98" s="183"/>
      <c r="M98" s="183"/>
      <c r="N98" s="183"/>
      <c r="O98" s="183"/>
      <c r="P98" s="183"/>
      <c r="Q98" s="183"/>
      <c r="R98" s="183"/>
      <c r="S98" s="183"/>
      <c r="T98" s="183"/>
      <c r="U98" s="183"/>
      <c r="V98" s="183"/>
      <c r="W98" s="183"/>
      <c r="X98" s="183"/>
      <c r="Y98" s="183"/>
      <c r="Z98" s="183"/>
      <c r="AA98" s="183"/>
      <c r="AB98" s="183"/>
      <c r="AC98" s="183"/>
      <c r="AD98" s="183"/>
      <c r="AE98" s="183"/>
      <c r="AF98" s="183"/>
      <c r="AG98" s="183"/>
      <c r="AH98" s="183"/>
      <c r="AI98" s="183"/>
      <c r="AJ98" s="183"/>
      <c r="AK98" s="183"/>
      <c r="AL98" s="183"/>
      <c r="AM98" s="183"/>
      <c r="AN98" s="183"/>
      <c r="AO98" s="183"/>
      <c r="AP98" s="183"/>
      <c r="AQ98" s="94"/>
      <c r="AR98" s="94"/>
      <c r="AS98" s="94"/>
      <c r="AT98" s="149" t="s">
        <v>278</v>
      </c>
      <c r="AU98" s="94" t="s">
        <v>319</v>
      </c>
    </row>
    <row r="99" spans="1:47" ht="21" customHeight="1" x14ac:dyDescent="0.35">
      <c r="A99" s="260"/>
      <c r="B99" s="98" t="s">
        <v>17</v>
      </c>
      <c r="C99" s="99" t="s">
        <v>322</v>
      </c>
      <c r="D99" s="105" t="s">
        <v>312</v>
      </c>
      <c r="E99" s="101">
        <v>45574</v>
      </c>
      <c r="F99" s="102">
        <f t="shared" si="4"/>
        <v>0</v>
      </c>
      <c r="G99" s="150">
        <f>SUMIF(积分汇总!$B:$B,C99,积分汇总!$E:$E)</f>
        <v>0</v>
      </c>
      <c r="H99" s="150">
        <f>SUMIF(记录巡查问题条数汇总!$B:$B,C99,记录巡查问题条数汇总!$E:$E)</f>
        <v>0</v>
      </c>
      <c r="I99" s="150"/>
      <c r="J99" s="150">
        <f>SUMIF(安全质量事故!$B:$B,C99,安全质量事故!$G:$G)</f>
        <v>0</v>
      </c>
      <c r="K99" s="141">
        <f>COUNTIF(L99:AP99,标准数据!$A$2)*标准数据!$B$2+COUNTIF(L99:AP99,标准数据!$A$3)*标准数据!$B$3+COUNTIF(L99:AP99,标准数据!$A$4)*标准数据!$B$4</f>
        <v>0</v>
      </c>
      <c r="L99" s="183"/>
      <c r="M99" s="183"/>
      <c r="N99" s="183"/>
      <c r="O99" s="183"/>
      <c r="P99" s="183"/>
      <c r="Q99" s="183"/>
      <c r="R99" s="183"/>
      <c r="S99" s="183"/>
      <c r="T99" s="183"/>
      <c r="U99" s="183"/>
      <c r="V99" s="183"/>
      <c r="W99" s="183"/>
      <c r="X99" s="183"/>
      <c r="Y99" s="183"/>
      <c r="Z99" s="183"/>
      <c r="AA99" s="183"/>
      <c r="AB99" s="183"/>
      <c r="AC99" s="183"/>
      <c r="AD99" s="183"/>
      <c r="AE99" s="183"/>
      <c r="AF99" s="183"/>
      <c r="AG99" s="183"/>
      <c r="AH99" s="183"/>
      <c r="AI99" s="183"/>
      <c r="AJ99" s="183"/>
      <c r="AK99" s="183"/>
      <c r="AL99" s="183"/>
      <c r="AM99" s="183"/>
      <c r="AN99" s="183"/>
      <c r="AO99" s="183"/>
      <c r="AP99" s="183"/>
      <c r="AQ99" s="94"/>
      <c r="AR99" s="94"/>
      <c r="AS99" s="94"/>
      <c r="AT99" s="149" t="s">
        <v>312</v>
      </c>
      <c r="AU99" s="94" t="s">
        <v>319</v>
      </c>
    </row>
    <row r="100" spans="1:47" ht="21" customHeight="1" x14ac:dyDescent="0.35">
      <c r="A100" s="260"/>
      <c r="B100" s="98" t="s">
        <v>17</v>
      </c>
      <c r="C100" s="99" t="s">
        <v>352</v>
      </c>
      <c r="D100" s="105" t="s">
        <v>336</v>
      </c>
      <c r="E100" s="101">
        <v>45602</v>
      </c>
      <c r="F100" s="102">
        <f t="shared" si="4"/>
        <v>0</v>
      </c>
      <c r="G100" s="150">
        <f>SUMIF(积分汇总!$B:$B,C100,积分汇总!$E:$E)</f>
        <v>0</v>
      </c>
      <c r="H100" s="150">
        <f>SUMIF(记录巡查问题条数汇总!$B:$B,C100,记录巡查问题条数汇总!$E:$E)</f>
        <v>0</v>
      </c>
      <c r="I100" s="150"/>
      <c r="J100" s="150">
        <f>SUMIF(安全质量事故!$B:$B,C100,安全质量事故!$G:$G)</f>
        <v>0</v>
      </c>
      <c r="K100" s="141">
        <f>COUNTIF(L100:AP100,标准数据!$A$2)*标准数据!$B$2+COUNTIF(L100:AP100,标准数据!$A$3)*标准数据!$B$3+COUNTIF(L100:AP100,标准数据!$A$4)*标准数据!$B$4</f>
        <v>0</v>
      </c>
      <c r="L100" s="183"/>
      <c r="M100" s="183"/>
      <c r="N100" s="183"/>
      <c r="O100" s="183"/>
      <c r="P100" s="183"/>
      <c r="Q100" s="183"/>
      <c r="R100" s="183"/>
      <c r="S100" s="183"/>
      <c r="T100" s="183"/>
      <c r="U100" s="183"/>
      <c r="V100" s="183"/>
      <c r="W100" s="183"/>
      <c r="X100" s="183"/>
      <c r="Y100" s="183"/>
      <c r="Z100" s="183"/>
      <c r="AA100" s="183"/>
      <c r="AB100" s="183"/>
      <c r="AC100" s="183"/>
      <c r="AD100" s="183"/>
      <c r="AE100" s="183"/>
      <c r="AF100" s="183"/>
      <c r="AG100" s="183"/>
      <c r="AH100" s="183"/>
      <c r="AI100" s="183"/>
      <c r="AJ100" s="183"/>
      <c r="AK100" s="183"/>
      <c r="AL100" s="183"/>
      <c r="AM100" s="183"/>
      <c r="AN100" s="183"/>
      <c r="AO100" s="183"/>
      <c r="AP100" s="183"/>
      <c r="AQ100" s="94"/>
      <c r="AR100" s="94"/>
      <c r="AS100" s="94"/>
      <c r="AT100" s="149" t="s">
        <v>336</v>
      </c>
      <c r="AU100" s="94" t="s">
        <v>319</v>
      </c>
    </row>
    <row r="101" spans="1:47" ht="21" customHeight="1" x14ac:dyDescent="0.35">
      <c r="A101" s="260"/>
      <c r="B101" s="98" t="s">
        <v>17</v>
      </c>
      <c r="C101" s="99" t="s">
        <v>353</v>
      </c>
      <c r="D101" s="105" t="s">
        <v>337</v>
      </c>
      <c r="E101" s="101">
        <v>45602</v>
      </c>
      <c r="F101" s="102">
        <f t="shared" si="4"/>
        <v>0</v>
      </c>
      <c r="G101" s="150">
        <f>SUMIF(积分汇总!$B:$B,C101,积分汇总!$E:$E)</f>
        <v>0</v>
      </c>
      <c r="H101" s="150">
        <f>SUMIF(记录巡查问题条数汇总!$B:$B,C101,记录巡查问题条数汇总!$E:$E)</f>
        <v>0</v>
      </c>
      <c r="I101" s="150"/>
      <c r="J101" s="150">
        <f>SUMIF(安全质量事故!$B:$B,C101,安全质量事故!$G:$G)</f>
        <v>0</v>
      </c>
      <c r="K101" s="141">
        <f>COUNTIF(L101:AP101,标准数据!$A$2)*标准数据!$B$2+COUNTIF(L101:AP101,标准数据!$A$3)*标准数据!$B$3+COUNTIF(L101:AP101,标准数据!$A$4)*标准数据!$B$4</f>
        <v>0</v>
      </c>
      <c r="L101" s="183"/>
      <c r="M101" s="183"/>
      <c r="N101" s="183"/>
      <c r="O101" s="183"/>
      <c r="P101" s="183"/>
      <c r="Q101" s="183"/>
      <c r="R101" s="183"/>
      <c r="S101" s="183"/>
      <c r="T101" s="183"/>
      <c r="U101" s="183"/>
      <c r="V101" s="183"/>
      <c r="W101" s="183"/>
      <c r="X101" s="183"/>
      <c r="Y101" s="183"/>
      <c r="Z101" s="183"/>
      <c r="AA101" s="183"/>
      <c r="AB101" s="183"/>
      <c r="AC101" s="183"/>
      <c r="AD101" s="183"/>
      <c r="AE101" s="183"/>
      <c r="AF101" s="183"/>
      <c r="AG101" s="183"/>
      <c r="AH101" s="183"/>
      <c r="AI101" s="183"/>
      <c r="AJ101" s="183"/>
      <c r="AK101" s="183"/>
      <c r="AL101" s="183"/>
      <c r="AM101" s="183"/>
      <c r="AN101" s="183"/>
      <c r="AO101" s="183"/>
      <c r="AP101" s="183"/>
      <c r="AQ101" s="94"/>
      <c r="AR101" s="94"/>
      <c r="AS101" s="94"/>
      <c r="AT101" s="149" t="s">
        <v>337</v>
      </c>
      <c r="AU101" s="94" t="s">
        <v>319</v>
      </c>
    </row>
    <row r="102" spans="1:47" ht="21" customHeight="1" x14ac:dyDescent="0.35">
      <c r="A102" s="260"/>
      <c r="B102" s="98" t="s">
        <v>17</v>
      </c>
      <c r="C102" s="99" t="s">
        <v>354</v>
      </c>
      <c r="D102" s="105" t="s">
        <v>338</v>
      </c>
      <c r="E102" s="101">
        <v>45623</v>
      </c>
      <c r="F102" s="102">
        <f t="shared" si="4"/>
        <v>0</v>
      </c>
      <c r="G102" s="150">
        <f>SUMIF(积分汇总!$B:$B,C102,积分汇总!$E:$E)</f>
        <v>0</v>
      </c>
      <c r="H102" s="150">
        <f>SUMIF(记录巡查问题条数汇总!$B:$B,C102,记录巡查问题条数汇总!$E:$E)</f>
        <v>0</v>
      </c>
      <c r="I102" s="150"/>
      <c r="J102" s="150">
        <f>SUMIF(安全质量事故!$B:$B,C102,安全质量事故!$G:$G)</f>
        <v>0</v>
      </c>
      <c r="K102" s="141">
        <f>COUNTIF(L102:AP102,标准数据!$A$2)*标准数据!$B$2+COUNTIF(L102:AP102,标准数据!$A$3)*标准数据!$B$3+COUNTIF(L102:AP102,标准数据!$A$4)*标准数据!$B$4</f>
        <v>0</v>
      </c>
      <c r="L102" s="183"/>
      <c r="M102" s="183"/>
      <c r="N102" s="183"/>
      <c r="O102" s="183"/>
      <c r="P102" s="183"/>
      <c r="Q102" s="183"/>
      <c r="R102" s="183"/>
      <c r="S102" s="183"/>
      <c r="T102" s="183"/>
      <c r="U102" s="183"/>
      <c r="V102" s="183"/>
      <c r="W102" s="183"/>
      <c r="X102" s="183"/>
      <c r="Y102" s="183"/>
      <c r="Z102" s="183"/>
      <c r="AA102" s="183"/>
      <c r="AB102" s="183"/>
      <c r="AC102" s="183"/>
      <c r="AD102" s="183"/>
      <c r="AE102" s="183"/>
      <c r="AF102" s="183"/>
      <c r="AG102" s="183"/>
      <c r="AH102" s="183"/>
      <c r="AI102" s="183"/>
      <c r="AJ102" s="183"/>
      <c r="AK102" s="183"/>
      <c r="AL102" s="183"/>
      <c r="AM102" s="183"/>
      <c r="AN102" s="183"/>
      <c r="AO102" s="183"/>
      <c r="AP102" s="183"/>
      <c r="AQ102" s="94"/>
      <c r="AR102" s="94"/>
      <c r="AS102" s="94"/>
      <c r="AT102" s="149" t="s">
        <v>338</v>
      </c>
      <c r="AU102" s="94" t="s">
        <v>319</v>
      </c>
    </row>
    <row r="103" spans="1:47" ht="21" customHeight="1" x14ac:dyDescent="0.35">
      <c r="A103" s="260"/>
      <c r="B103" s="98" t="s">
        <v>17</v>
      </c>
      <c r="C103" s="99" t="s">
        <v>355</v>
      </c>
      <c r="D103" s="105" t="s">
        <v>340</v>
      </c>
      <c r="E103" s="101">
        <v>45607</v>
      </c>
      <c r="F103" s="102">
        <f t="shared" si="4"/>
        <v>0</v>
      </c>
      <c r="G103" s="150">
        <f>SUMIF(积分汇总!$B:$B,C103,积分汇总!$E:$E)</f>
        <v>0</v>
      </c>
      <c r="H103" s="150">
        <f>SUMIF(记录巡查问题条数汇总!$B:$B,C103,记录巡查问题条数汇总!$E:$E)</f>
        <v>0</v>
      </c>
      <c r="I103" s="150"/>
      <c r="J103" s="150">
        <f>SUMIF(安全质量事故!$B:$B,C103,安全质量事故!$G:$G)</f>
        <v>0</v>
      </c>
      <c r="K103" s="141">
        <f>COUNTIF(L103:AP103,标准数据!$A$2)*标准数据!$B$2+COUNTIF(L103:AP103,标准数据!$A$3)*标准数据!$B$3+COUNTIF(L103:AP103,标准数据!$A$4)*标准数据!$B$4</f>
        <v>0</v>
      </c>
      <c r="L103" s="183"/>
      <c r="M103" s="183"/>
      <c r="N103" s="183"/>
      <c r="O103" s="183"/>
      <c r="P103" s="183"/>
      <c r="Q103" s="183"/>
      <c r="R103" s="183"/>
      <c r="S103" s="183"/>
      <c r="T103" s="183"/>
      <c r="U103" s="183"/>
      <c r="V103" s="183"/>
      <c r="W103" s="183"/>
      <c r="X103" s="183"/>
      <c r="Y103" s="183"/>
      <c r="Z103" s="183"/>
      <c r="AA103" s="183"/>
      <c r="AB103" s="183"/>
      <c r="AC103" s="183"/>
      <c r="AD103" s="183"/>
      <c r="AE103" s="183"/>
      <c r="AF103" s="183"/>
      <c r="AG103" s="183"/>
      <c r="AH103" s="183"/>
      <c r="AI103" s="183"/>
      <c r="AJ103" s="183"/>
      <c r="AK103" s="183"/>
      <c r="AL103" s="183"/>
      <c r="AM103" s="183"/>
      <c r="AN103" s="183"/>
      <c r="AO103" s="183"/>
      <c r="AP103" s="183"/>
      <c r="AQ103" s="94"/>
      <c r="AR103" s="94"/>
      <c r="AS103" s="94"/>
      <c r="AT103" s="149" t="s">
        <v>340</v>
      </c>
      <c r="AU103" s="94" t="s">
        <v>319</v>
      </c>
    </row>
    <row r="104" spans="1:47" ht="21" customHeight="1" x14ac:dyDescent="0.35">
      <c r="A104" s="260"/>
      <c r="B104" s="98" t="s">
        <v>17</v>
      </c>
      <c r="C104" s="99" t="s">
        <v>356</v>
      </c>
      <c r="D104" s="105" t="s">
        <v>341</v>
      </c>
      <c r="E104" s="101">
        <v>45607</v>
      </c>
      <c r="F104" s="102">
        <f t="shared" si="4"/>
        <v>0</v>
      </c>
      <c r="G104" s="150">
        <f>SUMIF(积分汇总!$B:$B,C104,积分汇总!$E:$E)</f>
        <v>0</v>
      </c>
      <c r="H104" s="150">
        <f>SUMIF(记录巡查问题条数汇总!$B:$B,C104,记录巡查问题条数汇总!$E:$E)</f>
        <v>0</v>
      </c>
      <c r="I104" s="150"/>
      <c r="J104" s="150">
        <f>SUMIF(安全质量事故!$B:$B,C104,安全质量事故!$G:$G)</f>
        <v>0</v>
      </c>
      <c r="K104" s="141">
        <f>COUNTIF(L104:AP104,标准数据!$A$2)*标准数据!$B$2+COUNTIF(L104:AP104,标准数据!$A$3)*标准数据!$B$3+COUNTIF(L104:AP104,标准数据!$A$4)*标准数据!$B$4</f>
        <v>0</v>
      </c>
      <c r="L104" s="183"/>
      <c r="M104" s="183"/>
      <c r="N104" s="183"/>
      <c r="O104" s="183"/>
      <c r="P104" s="183"/>
      <c r="Q104" s="183"/>
      <c r="R104" s="183"/>
      <c r="S104" s="183"/>
      <c r="T104" s="183"/>
      <c r="U104" s="183"/>
      <c r="V104" s="183"/>
      <c r="W104" s="183"/>
      <c r="X104" s="183"/>
      <c r="Y104" s="183"/>
      <c r="Z104" s="183"/>
      <c r="AA104" s="183"/>
      <c r="AB104" s="183"/>
      <c r="AC104" s="183"/>
      <c r="AD104" s="183"/>
      <c r="AE104" s="183"/>
      <c r="AF104" s="183"/>
      <c r="AG104" s="183"/>
      <c r="AH104" s="183"/>
      <c r="AI104" s="183"/>
      <c r="AJ104" s="183"/>
      <c r="AK104" s="183"/>
      <c r="AL104" s="183"/>
      <c r="AM104" s="183"/>
      <c r="AN104" s="183"/>
      <c r="AO104" s="183"/>
      <c r="AP104" s="183"/>
      <c r="AQ104" s="94"/>
      <c r="AR104" s="94"/>
      <c r="AS104" s="94"/>
      <c r="AT104" s="149" t="s">
        <v>341</v>
      </c>
      <c r="AU104" s="94" t="s">
        <v>319</v>
      </c>
    </row>
    <row r="105" spans="1:47" ht="21" customHeight="1" x14ac:dyDescent="0.35">
      <c r="A105" s="260"/>
      <c r="B105" s="98" t="s">
        <v>17</v>
      </c>
      <c r="C105" s="99" t="s">
        <v>383</v>
      </c>
      <c r="D105" s="105" t="s">
        <v>370</v>
      </c>
      <c r="E105" s="101">
        <v>45628</v>
      </c>
      <c r="F105" s="102">
        <f t="shared" si="4"/>
        <v>0</v>
      </c>
      <c r="G105" s="150">
        <f>SUMIF(积分汇总!$B:$B,C105,积分汇总!$E:$E)</f>
        <v>0</v>
      </c>
      <c r="H105" s="150">
        <f>SUMIF(记录巡查问题条数汇总!$B:$B,C105,记录巡查问题条数汇总!$E:$E)</f>
        <v>0</v>
      </c>
      <c r="I105" s="150"/>
      <c r="J105" s="150">
        <f>SUMIF(安全质量事故!$B:$B,C105,安全质量事故!$G:$G)</f>
        <v>0</v>
      </c>
      <c r="K105" s="141">
        <f>COUNTIF(L105:AP105,标准数据!$A$2)*标准数据!$B$2+COUNTIF(L105:AP105,标准数据!$A$3)*标准数据!$B$3+COUNTIF(L105:AP105,标准数据!$A$4)*标准数据!$B$4</f>
        <v>0</v>
      </c>
      <c r="L105" s="183"/>
      <c r="M105" s="183"/>
      <c r="N105" s="183"/>
      <c r="O105" s="183"/>
      <c r="P105" s="183"/>
      <c r="Q105" s="183"/>
      <c r="R105" s="183"/>
      <c r="S105" s="183"/>
      <c r="T105" s="183"/>
      <c r="U105" s="183"/>
      <c r="V105" s="183"/>
      <c r="W105" s="183"/>
      <c r="X105" s="183"/>
      <c r="Y105" s="183"/>
      <c r="Z105" s="183"/>
      <c r="AA105" s="183"/>
      <c r="AB105" s="183"/>
      <c r="AC105" s="183"/>
      <c r="AD105" s="183"/>
      <c r="AE105" s="183"/>
      <c r="AF105" s="183"/>
      <c r="AG105" s="183"/>
      <c r="AH105" s="183"/>
      <c r="AI105" s="183"/>
      <c r="AJ105" s="183"/>
      <c r="AK105" s="183"/>
      <c r="AL105" s="183"/>
      <c r="AM105" s="183"/>
      <c r="AN105" s="183"/>
      <c r="AO105" s="183"/>
      <c r="AP105" s="183"/>
      <c r="AQ105" s="94"/>
      <c r="AR105" s="94"/>
      <c r="AS105" s="94"/>
      <c r="AT105" s="149" t="s">
        <v>370</v>
      </c>
      <c r="AU105" s="94" t="s">
        <v>319</v>
      </c>
    </row>
    <row r="106" spans="1:47" ht="21" customHeight="1" x14ac:dyDescent="0.35">
      <c r="A106" s="260"/>
      <c r="B106" s="98" t="s">
        <v>17</v>
      </c>
      <c r="C106" s="99" t="s">
        <v>389</v>
      </c>
      <c r="D106" s="105" t="s">
        <v>384</v>
      </c>
      <c r="E106" s="101">
        <v>45649</v>
      </c>
      <c r="F106" s="102">
        <f t="shared" si="4"/>
        <v>0</v>
      </c>
      <c r="G106" s="150">
        <f>SUMIF(积分汇总!$B:$B,C106,积分汇总!$E:$E)</f>
        <v>0</v>
      </c>
      <c r="H106" s="150">
        <f>SUMIF(记录巡查问题条数汇总!$B:$B,C106,记录巡查问题条数汇总!$E:$E)</f>
        <v>0</v>
      </c>
      <c r="I106" s="150"/>
      <c r="J106" s="150">
        <f>SUMIF(安全质量事故!$B:$B,C106,安全质量事故!$G:$G)</f>
        <v>0</v>
      </c>
      <c r="K106" s="141">
        <f>COUNTIF(L106:AP106,标准数据!$A$2)*标准数据!$B$2+COUNTIF(L106:AP106,标准数据!$A$3)*标准数据!$B$3+COUNTIF(L106:AP106,标准数据!$A$4)*标准数据!$B$4</f>
        <v>0</v>
      </c>
      <c r="L106" s="183"/>
      <c r="M106" s="183"/>
      <c r="N106" s="183"/>
      <c r="O106" s="183"/>
      <c r="P106" s="183"/>
      <c r="Q106" s="183"/>
      <c r="R106" s="183"/>
      <c r="S106" s="183"/>
      <c r="T106" s="183"/>
      <c r="U106" s="183"/>
      <c r="V106" s="183"/>
      <c r="W106" s="183"/>
      <c r="X106" s="183"/>
      <c r="Y106" s="183"/>
      <c r="Z106" s="183"/>
      <c r="AA106" s="183"/>
      <c r="AB106" s="183"/>
      <c r="AC106" s="183"/>
      <c r="AD106" s="183"/>
      <c r="AE106" s="183"/>
      <c r="AF106" s="183"/>
      <c r="AG106" s="183"/>
      <c r="AH106" s="183"/>
      <c r="AI106" s="183"/>
      <c r="AJ106" s="183"/>
      <c r="AK106" s="183"/>
      <c r="AL106" s="183"/>
      <c r="AM106" s="183"/>
      <c r="AN106" s="183"/>
      <c r="AO106" s="183"/>
      <c r="AP106" s="183"/>
      <c r="AQ106" s="94"/>
      <c r="AR106" s="94"/>
      <c r="AS106" s="94"/>
      <c r="AT106" s="149" t="s">
        <v>384</v>
      </c>
      <c r="AU106" s="94" t="s">
        <v>319</v>
      </c>
    </row>
    <row r="107" spans="1:47" ht="21" customHeight="1" x14ac:dyDescent="0.35">
      <c r="A107" s="260"/>
      <c r="B107" s="98" t="s">
        <v>17</v>
      </c>
      <c r="C107" s="99" t="s">
        <v>301</v>
      </c>
      <c r="D107" s="100" t="s">
        <v>290</v>
      </c>
      <c r="E107" s="101">
        <v>45546</v>
      </c>
      <c r="F107" s="102">
        <f t="shared" si="4"/>
        <v>0</v>
      </c>
      <c r="G107" s="150">
        <f>SUMIF(积分汇总!$B:$B,C107,积分汇总!$E:$E)</f>
        <v>0</v>
      </c>
      <c r="H107" s="150">
        <f>SUMIF(记录巡查问题条数汇总!$B:$B,C107,记录巡查问题条数汇总!$E:$E)</f>
        <v>0</v>
      </c>
      <c r="I107" s="150"/>
      <c r="J107" s="150">
        <f>SUMIF(安全质量事故!$B:$B,C107,安全质量事故!$G:$G)</f>
        <v>0</v>
      </c>
      <c r="K107" s="141">
        <f>COUNTIF(L107:AP107,标准数据!$A$2)*标准数据!$B$2+COUNTIF(L107:AP107,标准数据!$A$3)*标准数据!$B$3+COUNTIF(L107:AP107,标准数据!$A$4)*标准数据!$B$4</f>
        <v>0</v>
      </c>
      <c r="L107" s="183"/>
      <c r="M107" s="183"/>
      <c r="N107" s="183"/>
      <c r="O107" s="183"/>
      <c r="P107" s="183"/>
      <c r="Q107" s="183"/>
      <c r="R107" s="183"/>
      <c r="S107" s="183"/>
      <c r="T107" s="183"/>
      <c r="U107" s="183"/>
      <c r="V107" s="183"/>
      <c r="W107" s="183"/>
      <c r="X107" s="183"/>
      <c r="Y107" s="183"/>
      <c r="Z107" s="183"/>
      <c r="AA107" s="183"/>
      <c r="AB107" s="183"/>
      <c r="AC107" s="183"/>
      <c r="AD107" s="183"/>
      <c r="AE107" s="183"/>
      <c r="AF107" s="183"/>
      <c r="AG107" s="183"/>
      <c r="AH107" s="183"/>
      <c r="AI107" s="183"/>
      <c r="AJ107" s="183"/>
      <c r="AK107" s="183"/>
      <c r="AL107" s="183"/>
      <c r="AM107" s="183"/>
      <c r="AN107" s="183"/>
      <c r="AO107" s="183"/>
      <c r="AP107" s="183"/>
      <c r="AQ107" s="94"/>
      <c r="AR107" s="94"/>
      <c r="AS107" s="94"/>
      <c r="AT107" s="149" t="s">
        <v>290</v>
      </c>
      <c r="AU107" s="94" t="s">
        <v>319</v>
      </c>
    </row>
    <row r="108" spans="1:47" ht="21" customHeight="1" x14ac:dyDescent="0.35">
      <c r="A108" s="260"/>
      <c r="B108" s="98" t="s">
        <v>17</v>
      </c>
      <c r="C108" s="99" t="s">
        <v>404</v>
      </c>
      <c r="D108" s="105" t="s">
        <v>394</v>
      </c>
      <c r="E108" s="101">
        <v>45700</v>
      </c>
      <c r="F108" s="102">
        <f t="shared" si="4"/>
        <v>0</v>
      </c>
      <c r="G108" s="150">
        <f>SUMIF(积分汇总!$B:$B,C108,积分汇总!$E:$E)</f>
        <v>0</v>
      </c>
      <c r="H108" s="150">
        <f>SUMIF(记录巡查问题条数汇总!$B:$B,C108,记录巡查问题条数汇总!$E:$E)</f>
        <v>0</v>
      </c>
      <c r="I108" s="150"/>
      <c r="J108" s="150">
        <f>SUMIF(安全质量事故!$B:$B,C108,安全质量事故!$G:$G)</f>
        <v>0</v>
      </c>
      <c r="K108" s="141">
        <f>COUNTIF(L108:AP108,标准数据!$A$2)*标准数据!$B$2+COUNTIF(L108:AP108,标准数据!$A$3)*标准数据!$B$3+COUNTIF(L108:AP108,标准数据!$A$4)*标准数据!$B$4</f>
        <v>0</v>
      </c>
      <c r="L108" s="183"/>
      <c r="M108" s="183"/>
      <c r="N108" s="183"/>
      <c r="O108" s="183"/>
      <c r="P108" s="183"/>
      <c r="Q108" s="183"/>
      <c r="R108" s="183"/>
      <c r="S108" s="183"/>
      <c r="T108" s="183"/>
      <c r="U108" s="183"/>
      <c r="V108" s="183"/>
      <c r="W108" s="183"/>
      <c r="X108" s="183"/>
      <c r="Y108" s="183"/>
      <c r="Z108" s="183"/>
      <c r="AA108" s="183"/>
      <c r="AB108" s="183"/>
      <c r="AC108" s="183"/>
      <c r="AD108" s="183"/>
      <c r="AE108" s="183"/>
      <c r="AF108" s="183"/>
      <c r="AG108" s="183"/>
      <c r="AH108" s="183"/>
      <c r="AI108" s="183"/>
      <c r="AJ108" s="183"/>
      <c r="AK108" s="183"/>
      <c r="AL108" s="183"/>
      <c r="AM108" s="183"/>
      <c r="AN108" s="183"/>
      <c r="AO108" s="183"/>
      <c r="AP108" s="183"/>
      <c r="AQ108" s="94"/>
      <c r="AR108" s="94"/>
      <c r="AS108" s="94"/>
      <c r="AT108" s="149" t="s">
        <v>394</v>
      </c>
      <c r="AU108" s="94" t="s">
        <v>319</v>
      </c>
    </row>
    <row r="109" spans="1:47" ht="21" customHeight="1" x14ac:dyDescent="0.35">
      <c r="A109" s="260"/>
      <c r="B109" s="98" t="s">
        <v>17</v>
      </c>
      <c r="C109" s="99" t="s">
        <v>405</v>
      </c>
      <c r="D109" s="105" t="s">
        <v>396</v>
      </c>
      <c r="E109" s="101">
        <v>45700</v>
      </c>
      <c r="F109" s="102">
        <f t="shared" si="4"/>
        <v>0</v>
      </c>
      <c r="G109" s="150">
        <f>SUMIF(积分汇总!$B:$B,C109,积分汇总!$E:$E)</f>
        <v>0</v>
      </c>
      <c r="H109" s="150">
        <f>SUMIF(记录巡查问题条数汇总!$B:$B,C109,记录巡查问题条数汇总!$E:$E)</f>
        <v>0</v>
      </c>
      <c r="I109" s="150"/>
      <c r="J109" s="150">
        <f>SUMIF(安全质量事故!$B:$B,C109,安全质量事故!$G:$G)</f>
        <v>0</v>
      </c>
      <c r="K109" s="141">
        <f>COUNTIF(L109:AP109,标准数据!$A$2)*标准数据!$B$2+COUNTIF(L109:AP109,标准数据!$A$3)*标准数据!$B$3+COUNTIF(L109:AP109,标准数据!$A$4)*标准数据!$B$4</f>
        <v>0</v>
      </c>
      <c r="L109" s="183"/>
      <c r="M109" s="183"/>
      <c r="N109" s="183"/>
      <c r="O109" s="183"/>
      <c r="P109" s="183"/>
      <c r="Q109" s="183"/>
      <c r="R109" s="183"/>
      <c r="S109" s="183"/>
      <c r="T109" s="183"/>
      <c r="U109" s="183"/>
      <c r="V109" s="183"/>
      <c r="W109" s="183"/>
      <c r="X109" s="183"/>
      <c r="Y109" s="183"/>
      <c r="Z109" s="183"/>
      <c r="AA109" s="183"/>
      <c r="AB109" s="183"/>
      <c r="AC109" s="183"/>
      <c r="AD109" s="183"/>
      <c r="AE109" s="183"/>
      <c r="AF109" s="183"/>
      <c r="AG109" s="183"/>
      <c r="AH109" s="183"/>
      <c r="AI109" s="183"/>
      <c r="AJ109" s="183"/>
      <c r="AK109" s="183"/>
      <c r="AL109" s="183"/>
      <c r="AM109" s="183"/>
      <c r="AN109" s="183"/>
      <c r="AO109" s="183"/>
      <c r="AP109" s="183"/>
      <c r="AQ109" s="94"/>
      <c r="AR109" s="94"/>
      <c r="AS109" s="94"/>
      <c r="AT109" s="149" t="s">
        <v>396</v>
      </c>
      <c r="AU109" s="94" t="s">
        <v>319</v>
      </c>
    </row>
    <row r="110" spans="1:47" ht="21" customHeight="1" x14ac:dyDescent="0.35">
      <c r="A110" s="260"/>
      <c r="B110" s="98" t="s">
        <v>17</v>
      </c>
      <c r="C110" s="99" t="s">
        <v>406</v>
      </c>
      <c r="D110" s="105" t="s">
        <v>397</v>
      </c>
      <c r="E110" s="101">
        <v>45700</v>
      </c>
      <c r="F110" s="102">
        <f t="shared" si="4"/>
        <v>0</v>
      </c>
      <c r="G110" s="150">
        <f>SUMIF(积分汇总!$B:$B,C110,积分汇总!$E:$E)</f>
        <v>0</v>
      </c>
      <c r="H110" s="150">
        <f>SUMIF(记录巡查问题条数汇总!$B:$B,C110,记录巡查问题条数汇总!$E:$E)</f>
        <v>0</v>
      </c>
      <c r="I110" s="150"/>
      <c r="J110" s="150">
        <f>SUMIF(安全质量事故!$B:$B,C110,安全质量事故!$G:$G)</f>
        <v>0</v>
      </c>
      <c r="K110" s="141">
        <f>COUNTIF(L110:AP110,标准数据!$A$2)*标准数据!$B$2+COUNTIF(L110:AP110,标准数据!$A$3)*标准数据!$B$3+COUNTIF(L110:AP110,标准数据!$A$4)*标准数据!$B$4</f>
        <v>0</v>
      </c>
      <c r="L110" s="183"/>
      <c r="M110" s="183"/>
      <c r="N110" s="183"/>
      <c r="O110" s="183"/>
      <c r="P110" s="183"/>
      <c r="Q110" s="183"/>
      <c r="R110" s="183"/>
      <c r="S110" s="183"/>
      <c r="T110" s="183"/>
      <c r="U110" s="183"/>
      <c r="V110" s="183"/>
      <c r="W110" s="183"/>
      <c r="X110" s="183"/>
      <c r="Y110" s="183"/>
      <c r="Z110" s="183"/>
      <c r="AA110" s="183"/>
      <c r="AB110" s="183"/>
      <c r="AC110" s="183"/>
      <c r="AD110" s="183"/>
      <c r="AE110" s="183"/>
      <c r="AF110" s="183"/>
      <c r="AG110" s="183"/>
      <c r="AH110" s="183"/>
      <c r="AI110" s="183"/>
      <c r="AJ110" s="183"/>
      <c r="AK110" s="183"/>
      <c r="AL110" s="183"/>
      <c r="AM110" s="183"/>
      <c r="AN110" s="183"/>
      <c r="AO110" s="183"/>
      <c r="AP110" s="183"/>
      <c r="AQ110" s="94"/>
      <c r="AR110" s="94"/>
      <c r="AS110" s="94"/>
      <c r="AT110" s="149" t="s">
        <v>397</v>
      </c>
      <c r="AU110" s="94" t="s">
        <v>319</v>
      </c>
    </row>
    <row r="111" spans="1:47" ht="21" customHeight="1" x14ac:dyDescent="0.35">
      <c r="A111" s="260"/>
      <c r="B111" s="98" t="s">
        <v>17</v>
      </c>
      <c r="C111" s="99" t="s">
        <v>407</v>
      </c>
      <c r="D111" s="105" t="s">
        <v>398</v>
      </c>
      <c r="E111" s="101">
        <v>45700</v>
      </c>
      <c r="F111" s="102">
        <f t="shared" si="4"/>
        <v>0</v>
      </c>
      <c r="G111" s="150">
        <f>SUMIF(积分汇总!$B:$B,C111,积分汇总!$E:$E)</f>
        <v>0</v>
      </c>
      <c r="H111" s="150">
        <f>SUMIF(记录巡查问题条数汇总!$B:$B,C111,记录巡查问题条数汇总!$E:$E)</f>
        <v>0</v>
      </c>
      <c r="I111" s="150"/>
      <c r="J111" s="150">
        <f>SUMIF(安全质量事故!$B:$B,C111,安全质量事故!$G:$G)</f>
        <v>0</v>
      </c>
      <c r="K111" s="141">
        <f>COUNTIF(L111:AP111,标准数据!$A$2)*标准数据!$B$2+COUNTIF(L111:AP111,标准数据!$A$3)*标准数据!$B$3+COUNTIF(L111:AP111,标准数据!$A$4)*标准数据!$B$4</f>
        <v>0</v>
      </c>
      <c r="L111" s="183"/>
      <c r="M111" s="183"/>
      <c r="N111" s="183"/>
      <c r="O111" s="183"/>
      <c r="P111" s="183"/>
      <c r="Q111" s="183"/>
      <c r="R111" s="183"/>
      <c r="S111" s="183"/>
      <c r="T111" s="183"/>
      <c r="U111" s="183"/>
      <c r="V111" s="183"/>
      <c r="W111" s="183"/>
      <c r="X111" s="183"/>
      <c r="Y111" s="183"/>
      <c r="Z111" s="183"/>
      <c r="AA111" s="183"/>
      <c r="AB111" s="183"/>
      <c r="AC111" s="183"/>
      <c r="AD111" s="183"/>
      <c r="AE111" s="183"/>
      <c r="AF111" s="183"/>
      <c r="AG111" s="183"/>
      <c r="AH111" s="183"/>
      <c r="AI111" s="183"/>
      <c r="AJ111" s="183"/>
      <c r="AK111" s="183"/>
      <c r="AL111" s="183"/>
      <c r="AM111" s="183"/>
      <c r="AN111" s="183"/>
      <c r="AO111" s="183"/>
      <c r="AP111" s="183"/>
      <c r="AQ111" s="94"/>
      <c r="AR111" s="94"/>
      <c r="AS111" s="94"/>
      <c r="AT111" s="149" t="s">
        <v>398</v>
      </c>
      <c r="AU111" s="94" t="s">
        <v>319</v>
      </c>
    </row>
    <row r="112" spans="1:47" ht="21" customHeight="1" x14ac:dyDescent="0.35">
      <c r="A112" s="260"/>
      <c r="B112" s="98" t="s">
        <v>17</v>
      </c>
      <c r="C112" s="99" t="s">
        <v>431</v>
      </c>
      <c r="D112" s="105" t="s">
        <v>418</v>
      </c>
      <c r="E112" s="101">
        <v>45770</v>
      </c>
      <c r="F112" s="102">
        <f t="shared" si="4"/>
        <v>0</v>
      </c>
      <c r="G112" s="150">
        <f>SUMIF(积分汇总!$B:$B,C112,积分汇总!$E:$E)</f>
        <v>0</v>
      </c>
      <c r="H112" s="150">
        <f>SUMIF(记录巡查问题条数汇总!$B:$B,C112,记录巡查问题条数汇总!$E:$E)</f>
        <v>0</v>
      </c>
      <c r="I112" s="150"/>
      <c r="J112" s="150">
        <f>SUMIF(安全质量事故!$B:$B,C112,安全质量事故!$G:$G)</f>
        <v>0</v>
      </c>
      <c r="K112" s="141">
        <f>COUNTIF(L112:AP112,标准数据!$A$2)*标准数据!$B$2+COUNTIF(L112:AP112,标准数据!$A$3)*标准数据!$B$3+COUNTIF(L112:AP112,标准数据!$A$4)*标准数据!$B$4</f>
        <v>0</v>
      </c>
      <c r="L112" s="183"/>
      <c r="M112" s="183"/>
      <c r="N112" s="183"/>
      <c r="O112" s="183"/>
      <c r="P112" s="183"/>
      <c r="Q112" s="183"/>
      <c r="R112" s="183"/>
      <c r="S112" s="183"/>
      <c r="T112" s="183"/>
      <c r="U112" s="183"/>
      <c r="V112" s="183"/>
      <c r="W112" s="183"/>
      <c r="X112" s="183"/>
      <c r="Y112" s="183"/>
      <c r="Z112" s="183"/>
      <c r="AA112" s="183"/>
      <c r="AB112" s="183"/>
      <c r="AC112" s="183"/>
      <c r="AD112" s="183"/>
      <c r="AE112" s="183"/>
      <c r="AF112" s="183"/>
      <c r="AG112" s="183"/>
      <c r="AH112" s="183"/>
      <c r="AI112" s="183"/>
      <c r="AJ112" s="183"/>
      <c r="AK112" s="183"/>
      <c r="AL112" s="183"/>
      <c r="AM112" s="183"/>
      <c r="AN112" s="183"/>
      <c r="AO112" s="183"/>
      <c r="AP112" s="183"/>
      <c r="AQ112" s="94"/>
      <c r="AR112" s="94"/>
      <c r="AS112" s="94"/>
      <c r="AT112" s="149" t="s">
        <v>418</v>
      </c>
      <c r="AU112" s="94" t="s">
        <v>319</v>
      </c>
    </row>
    <row r="113" spans="1:47" ht="21" customHeight="1" x14ac:dyDescent="0.35">
      <c r="A113" s="260"/>
      <c r="B113" s="98" t="s">
        <v>17</v>
      </c>
      <c r="C113" s="99" t="s">
        <v>703</v>
      </c>
      <c r="D113" s="105" t="s">
        <v>399</v>
      </c>
      <c r="E113" s="101">
        <v>45707</v>
      </c>
      <c r="F113" s="102">
        <f t="shared" si="4"/>
        <v>0</v>
      </c>
      <c r="G113" s="150">
        <f>SUMIF(积分汇总!$B:$B,C113,积分汇总!$E:$E)</f>
        <v>0</v>
      </c>
      <c r="H113" s="150">
        <f>SUMIF(记录巡查问题条数汇总!$B:$B,C113,记录巡查问题条数汇总!$E:$E)</f>
        <v>0</v>
      </c>
      <c r="I113" s="150"/>
      <c r="J113" s="150">
        <f>SUMIF(安全质量事故!$B:$B,C113,安全质量事故!$G:$G)</f>
        <v>0</v>
      </c>
      <c r="K113" s="141">
        <f>COUNTIF(L113:AP113,标准数据!$A$2)*标准数据!$B$2+COUNTIF(L113:AP113,标准数据!$A$3)*标准数据!$B$3+COUNTIF(L113:AP113,标准数据!$A$4)*标准数据!$B$4</f>
        <v>0</v>
      </c>
      <c r="L113" s="183"/>
      <c r="M113" s="183"/>
      <c r="N113" s="183"/>
      <c r="O113" s="183"/>
      <c r="P113" s="183"/>
      <c r="Q113" s="183"/>
      <c r="R113" s="183"/>
      <c r="S113" s="183"/>
      <c r="T113" s="183"/>
      <c r="U113" s="183"/>
      <c r="V113" s="183"/>
      <c r="W113" s="183"/>
      <c r="X113" s="183"/>
      <c r="Y113" s="183"/>
      <c r="Z113" s="183"/>
      <c r="AA113" s="183"/>
      <c r="AB113" s="183"/>
      <c r="AC113" s="183"/>
      <c r="AD113" s="183"/>
      <c r="AE113" s="183"/>
      <c r="AF113" s="183"/>
      <c r="AG113" s="183"/>
      <c r="AH113" s="183"/>
      <c r="AI113" s="183"/>
      <c r="AJ113" s="183"/>
      <c r="AK113" s="183"/>
      <c r="AL113" s="183"/>
      <c r="AM113" s="183"/>
      <c r="AN113" s="183"/>
      <c r="AO113" s="183"/>
      <c r="AP113" s="183"/>
      <c r="AQ113" s="94"/>
      <c r="AR113" s="94"/>
      <c r="AS113" s="94"/>
      <c r="AT113" s="149" t="s">
        <v>399</v>
      </c>
      <c r="AU113" s="94" t="s">
        <v>319</v>
      </c>
    </row>
    <row r="114" spans="1:47" ht="21" customHeight="1" x14ac:dyDescent="0.35">
      <c r="A114" s="260"/>
      <c r="B114" s="98" t="s">
        <v>17</v>
      </c>
      <c r="C114" s="99" t="s">
        <v>297</v>
      </c>
      <c r="D114" s="105" t="s">
        <v>292</v>
      </c>
      <c r="E114" s="99">
        <v>44389</v>
      </c>
      <c r="F114" s="102">
        <f t="shared" si="4"/>
        <v>0</v>
      </c>
      <c r="G114" s="150">
        <f>SUMIF(积分汇总!$B:$B,C114,积分汇总!$E:$E)</f>
        <v>0</v>
      </c>
      <c r="H114" s="150">
        <f>SUMIF(记录巡查问题条数汇总!$B:$B,C114,记录巡查问题条数汇总!$E:$E)</f>
        <v>0</v>
      </c>
      <c r="I114" s="150"/>
      <c r="J114" s="150">
        <f>SUMIF(安全质量事故!$B:$B,C114,安全质量事故!$G:$G)</f>
        <v>0</v>
      </c>
      <c r="K114" s="141">
        <f>COUNTIF(L114:AP114,标准数据!$A$2)*标准数据!$B$2+COUNTIF(L114:AP114,标准数据!$A$3)*标准数据!$B$3+COUNTIF(L114:AP114,标准数据!$A$4)*标准数据!$B$4</f>
        <v>0</v>
      </c>
      <c r="L114" s="183"/>
      <c r="M114" s="183"/>
      <c r="N114" s="183"/>
      <c r="O114" s="183"/>
      <c r="P114" s="183"/>
      <c r="Q114" s="183"/>
      <c r="R114" s="183"/>
      <c r="S114" s="183"/>
      <c r="T114" s="183"/>
      <c r="U114" s="183"/>
      <c r="V114" s="183"/>
      <c r="W114" s="183"/>
      <c r="X114" s="183"/>
      <c r="Y114" s="183"/>
      <c r="Z114" s="183"/>
      <c r="AA114" s="183"/>
      <c r="AB114" s="183"/>
      <c r="AC114" s="183"/>
      <c r="AD114" s="183"/>
      <c r="AE114" s="183"/>
      <c r="AF114" s="183"/>
      <c r="AG114" s="183"/>
      <c r="AH114" s="183"/>
      <c r="AI114" s="183"/>
      <c r="AJ114" s="183"/>
      <c r="AK114" s="183"/>
      <c r="AL114" s="183"/>
      <c r="AM114" s="183"/>
      <c r="AN114" s="183"/>
      <c r="AO114" s="183"/>
      <c r="AP114" s="183"/>
      <c r="AQ114" s="94"/>
      <c r="AR114" s="94"/>
      <c r="AS114" s="94"/>
      <c r="AT114" s="149" t="s">
        <v>292</v>
      </c>
      <c r="AU114" s="94" t="s">
        <v>319</v>
      </c>
    </row>
    <row r="115" spans="1:47" ht="21" customHeight="1" x14ac:dyDescent="0.35">
      <c r="A115" s="260"/>
      <c r="B115" s="98" t="s">
        <v>17</v>
      </c>
      <c r="C115" s="99" t="s">
        <v>205</v>
      </c>
      <c r="D115" s="105" t="s">
        <v>104</v>
      </c>
      <c r="E115" s="101">
        <v>44753</v>
      </c>
      <c r="F115" s="102">
        <f t="shared" si="4"/>
        <v>0</v>
      </c>
      <c r="G115" s="150">
        <f>SUMIF(积分汇总!$B:$B,C115,积分汇总!$E:$E)</f>
        <v>0</v>
      </c>
      <c r="H115" s="150">
        <f>SUMIF(记录巡查问题条数汇总!$B:$B,C115,记录巡查问题条数汇总!$E:$E)</f>
        <v>0</v>
      </c>
      <c r="I115" s="150"/>
      <c r="J115" s="150">
        <f>SUMIF(安全质量事故!$B:$B,C115,安全质量事故!$G:$G)</f>
        <v>0</v>
      </c>
      <c r="K115" s="141">
        <f>COUNTIF(L115:AP115,标准数据!$A$2)*标准数据!$B$2+COUNTIF(L115:AP115,标准数据!$A$3)*标准数据!$B$3+COUNTIF(L115:AP115,标准数据!$A$4)*标准数据!$B$4</f>
        <v>0</v>
      </c>
      <c r="L115" s="183"/>
      <c r="M115" s="183"/>
      <c r="N115" s="183"/>
      <c r="O115" s="183"/>
      <c r="P115" s="183"/>
      <c r="Q115" s="183"/>
      <c r="R115" s="183"/>
      <c r="S115" s="183"/>
      <c r="T115" s="183"/>
      <c r="U115" s="183"/>
      <c r="V115" s="183"/>
      <c r="W115" s="183"/>
      <c r="X115" s="183"/>
      <c r="Y115" s="183"/>
      <c r="Z115" s="183"/>
      <c r="AA115" s="183"/>
      <c r="AB115" s="183"/>
      <c r="AC115" s="183"/>
      <c r="AD115" s="183"/>
      <c r="AE115" s="183"/>
      <c r="AF115" s="183"/>
      <c r="AG115" s="183"/>
      <c r="AH115" s="183"/>
      <c r="AI115" s="183"/>
      <c r="AJ115" s="183"/>
      <c r="AK115" s="183"/>
      <c r="AL115" s="183"/>
      <c r="AM115" s="183"/>
      <c r="AN115" s="183"/>
      <c r="AO115" s="183"/>
      <c r="AP115" s="183"/>
      <c r="AQ115" s="94"/>
      <c r="AR115" s="94"/>
      <c r="AS115" s="94"/>
      <c r="AT115" s="149" t="s">
        <v>104</v>
      </c>
      <c r="AU115" s="94" t="s">
        <v>319</v>
      </c>
    </row>
    <row r="116" spans="1:47" ht="21" customHeight="1" x14ac:dyDescent="0.35">
      <c r="A116" s="260"/>
      <c r="B116" s="98" t="s">
        <v>17</v>
      </c>
      <c r="C116" s="99" t="s">
        <v>440</v>
      </c>
      <c r="D116" s="100" t="s">
        <v>435</v>
      </c>
      <c r="E116" s="101">
        <v>45791</v>
      </c>
      <c r="F116" s="102">
        <f t="shared" si="4"/>
        <v>0</v>
      </c>
      <c r="G116" s="150">
        <f>SUMIF(积分汇总!$B:$B,C116,积分汇总!$E:$E)</f>
        <v>0</v>
      </c>
      <c r="H116" s="150">
        <f>SUMIF(记录巡查问题条数汇总!$B:$B,C116,记录巡查问题条数汇总!$E:$E)</f>
        <v>0</v>
      </c>
      <c r="I116" s="150"/>
      <c r="J116" s="150">
        <f>SUMIF(安全质量事故!$B:$B,C116,安全质量事故!$G:$G)</f>
        <v>0</v>
      </c>
      <c r="K116" s="141">
        <f>COUNTIF(L116:AP116,标准数据!$A$2)*标准数据!$B$2+COUNTIF(L116:AP116,标准数据!$A$3)*标准数据!$B$3+COUNTIF(L116:AP116,标准数据!$A$4)*标准数据!$B$4</f>
        <v>0</v>
      </c>
      <c r="L116" s="183"/>
      <c r="M116" s="183"/>
      <c r="N116" s="183"/>
      <c r="O116" s="183"/>
      <c r="P116" s="183"/>
      <c r="Q116" s="183"/>
      <c r="R116" s="183"/>
      <c r="S116" s="183"/>
      <c r="T116" s="183"/>
      <c r="U116" s="183"/>
      <c r="V116" s="183"/>
      <c r="W116" s="183"/>
      <c r="X116" s="183"/>
      <c r="Y116" s="183"/>
      <c r="Z116" s="183"/>
      <c r="AA116" s="183"/>
      <c r="AB116" s="183"/>
      <c r="AC116" s="183"/>
      <c r="AD116" s="183"/>
      <c r="AE116" s="183"/>
      <c r="AF116" s="183"/>
      <c r="AG116" s="183"/>
      <c r="AH116" s="183"/>
      <c r="AI116" s="183"/>
      <c r="AJ116" s="183"/>
      <c r="AK116" s="183"/>
      <c r="AL116" s="183"/>
      <c r="AM116" s="183"/>
      <c r="AN116" s="183"/>
      <c r="AO116" s="183"/>
      <c r="AP116" s="183"/>
      <c r="AQ116" s="94"/>
      <c r="AR116" s="94"/>
      <c r="AS116" s="94"/>
      <c r="AT116" s="149" t="s">
        <v>435</v>
      </c>
      <c r="AU116" s="94" t="s">
        <v>319</v>
      </c>
    </row>
    <row r="117" spans="1:47" ht="21" customHeight="1" x14ac:dyDescent="0.35">
      <c r="A117" s="260"/>
      <c r="B117" s="98" t="s">
        <v>17</v>
      </c>
      <c r="C117" s="99" t="s">
        <v>461</v>
      </c>
      <c r="D117" s="100" t="s">
        <v>452</v>
      </c>
      <c r="E117" s="101">
        <v>45819</v>
      </c>
      <c r="F117" s="102">
        <f t="shared" si="4"/>
        <v>0</v>
      </c>
      <c r="G117" s="150">
        <f>SUMIF(积分汇总!$B:$B,C117,积分汇总!$E:$E)</f>
        <v>0</v>
      </c>
      <c r="H117" s="150">
        <f>SUMIF(记录巡查问题条数汇总!$B:$B,C117,记录巡查问题条数汇总!$E:$E)</f>
        <v>0</v>
      </c>
      <c r="I117" s="150"/>
      <c r="J117" s="150">
        <f>SUMIF(安全质量事故!$B:$B,C117,安全质量事故!$G:$G)</f>
        <v>0</v>
      </c>
      <c r="K117" s="141">
        <f>COUNTIF(L117:AP117,标准数据!$A$2)*标准数据!$B$2+COUNTIF(L117:AP117,标准数据!$A$3)*标准数据!$B$3+COUNTIF(L117:AP117,标准数据!$A$4)*标准数据!$B$4</f>
        <v>0</v>
      </c>
      <c r="L117" s="183"/>
      <c r="M117" s="183"/>
      <c r="N117" s="183"/>
      <c r="O117" s="183"/>
      <c r="P117" s="183"/>
      <c r="Q117" s="183"/>
      <c r="R117" s="183"/>
      <c r="S117" s="183"/>
      <c r="T117" s="183"/>
      <c r="U117" s="183"/>
      <c r="V117" s="183"/>
      <c r="W117" s="183"/>
      <c r="X117" s="183"/>
      <c r="Y117" s="183"/>
      <c r="Z117" s="183"/>
      <c r="AA117" s="183"/>
      <c r="AB117" s="183"/>
      <c r="AC117" s="183"/>
      <c r="AD117" s="183"/>
      <c r="AE117" s="183"/>
      <c r="AF117" s="183"/>
      <c r="AG117" s="183"/>
      <c r="AH117" s="183"/>
      <c r="AI117" s="183"/>
      <c r="AJ117" s="183"/>
      <c r="AK117" s="183"/>
      <c r="AL117" s="183"/>
      <c r="AM117" s="183"/>
      <c r="AN117" s="183"/>
      <c r="AO117" s="183"/>
      <c r="AP117" s="183"/>
      <c r="AQ117" s="94"/>
      <c r="AR117" s="94"/>
      <c r="AS117" s="94"/>
      <c r="AT117" s="149" t="s">
        <v>452</v>
      </c>
      <c r="AU117" s="94" t="s">
        <v>319</v>
      </c>
    </row>
    <row r="118" spans="1:47" ht="21" customHeight="1" x14ac:dyDescent="0.35">
      <c r="A118" s="260"/>
      <c r="B118" s="98" t="s">
        <v>17</v>
      </c>
      <c r="C118" s="99" t="s">
        <v>462</v>
      </c>
      <c r="D118" s="100" t="s">
        <v>453</v>
      </c>
      <c r="E118" s="101">
        <v>45826</v>
      </c>
      <c r="F118" s="102">
        <f t="shared" si="4"/>
        <v>0</v>
      </c>
      <c r="G118" s="150">
        <f>SUMIF(积分汇总!$B:$B,C118,积分汇总!$E:$E)</f>
        <v>0</v>
      </c>
      <c r="H118" s="150">
        <f>SUMIF(记录巡查问题条数汇总!$B:$B,C118,记录巡查问题条数汇总!$E:$E)</f>
        <v>0</v>
      </c>
      <c r="I118" s="150"/>
      <c r="J118" s="150">
        <f>SUMIF(安全质量事故!$B:$B,C118,安全质量事故!$G:$G)</f>
        <v>0</v>
      </c>
      <c r="K118" s="141">
        <f>COUNTIF(L118:AP118,标准数据!$A$2)*标准数据!$B$2+COUNTIF(L118:AP118,标准数据!$A$3)*标准数据!$B$3+COUNTIF(L118:AP118,标准数据!$A$4)*标准数据!$B$4</f>
        <v>0</v>
      </c>
      <c r="L118" s="183"/>
      <c r="M118" s="183"/>
      <c r="N118" s="183"/>
      <c r="O118" s="183"/>
      <c r="P118" s="183"/>
      <c r="Q118" s="183"/>
      <c r="R118" s="183"/>
      <c r="S118" s="183"/>
      <c r="T118" s="183"/>
      <c r="U118" s="183"/>
      <c r="V118" s="183"/>
      <c r="W118" s="183"/>
      <c r="X118" s="183"/>
      <c r="Y118" s="183"/>
      <c r="Z118" s="183"/>
      <c r="AA118" s="183"/>
      <c r="AB118" s="183"/>
      <c r="AC118" s="183"/>
      <c r="AD118" s="183"/>
      <c r="AE118" s="183"/>
      <c r="AF118" s="183"/>
      <c r="AG118" s="183"/>
      <c r="AH118" s="183"/>
      <c r="AI118" s="183"/>
      <c r="AJ118" s="183"/>
      <c r="AK118" s="183"/>
      <c r="AL118" s="183"/>
      <c r="AM118" s="183"/>
      <c r="AN118" s="183"/>
      <c r="AO118" s="183"/>
      <c r="AP118" s="183"/>
      <c r="AQ118" s="94"/>
      <c r="AR118" s="94"/>
      <c r="AS118" s="94"/>
      <c r="AT118" s="149" t="s">
        <v>453</v>
      </c>
      <c r="AU118" s="94" t="s">
        <v>319</v>
      </c>
    </row>
    <row r="119" spans="1:47" ht="21" customHeight="1" x14ac:dyDescent="0.35">
      <c r="A119" s="260"/>
      <c r="B119" s="98" t="s">
        <v>17</v>
      </c>
      <c r="C119" s="99" t="s">
        <v>508</v>
      </c>
      <c r="D119" s="100" t="s">
        <v>465</v>
      </c>
      <c r="E119" s="101">
        <v>45840</v>
      </c>
      <c r="F119" s="102">
        <f t="shared" si="4"/>
        <v>0</v>
      </c>
      <c r="G119" s="150">
        <f>SUMIF(积分汇总!$B:$B,C119,积分汇总!$E:$E)</f>
        <v>0</v>
      </c>
      <c r="H119" s="150">
        <f>SUMIF(记录巡查问题条数汇总!$B:$B,C119,记录巡查问题条数汇总!$E:$E)</f>
        <v>0</v>
      </c>
      <c r="I119" s="150"/>
      <c r="J119" s="150">
        <f>SUMIF(安全质量事故!$B:$B,C119,安全质量事故!$G:$G)</f>
        <v>0</v>
      </c>
      <c r="K119" s="141">
        <f>COUNTIF(L119:AP119,标准数据!$A$2)*标准数据!$B$2+COUNTIF(L119:AP119,标准数据!$A$3)*标准数据!$B$3+COUNTIF(L119:AP119,标准数据!$A$4)*标准数据!$B$4</f>
        <v>0</v>
      </c>
      <c r="L119" s="183"/>
      <c r="M119" s="183"/>
      <c r="N119" s="183"/>
      <c r="O119" s="183"/>
      <c r="P119" s="183"/>
      <c r="Q119" s="183"/>
      <c r="R119" s="183"/>
      <c r="S119" s="183"/>
      <c r="T119" s="183"/>
      <c r="U119" s="183"/>
      <c r="V119" s="183"/>
      <c r="W119" s="183"/>
      <c r="X119" s="183"/>
      <c r="Y119" s="183"/>
      <c r="Z119" s="183"/>
      <c r="AA119" s="183"/>
      <c r="AB119" s="183"/>
      <c r="AC119" s="183"/>
      <c r="AD119" s="183"/>
      <c r="AE119" s="183"/>
      <c r="AF119" s="183"/>
      <c r="AG119" s="183"/>
      <c r="AH119" s="183"/>
      <c r="AI119" s="183"/>
      <c r="AJ119" s="183"/>
      <c r="AK119" s="183"/>
      <c r="AL119" s="183"/>
      <c r="AM119" s="183"/>
      <c r="AN119" s="183"/>
      <c r="AO119" s="183"/>
      <c r="AP119" s="183"/>
      <c r="AQ119" s="94"/>
      <c r="AR119" s="94"/>
      <c r="AS119" s="94"/>
      <c r="AT119" s="149" t="s">
        <v>465</v>
      </c>
      <c r="AU119" s="94" t="s">
        <v>319</v>
      </c>
    </row>
    <row r="120" spans="1:47" ht="21" customHeight="1" x14ac:dyDescent="0.35">
      <c r="A120" s="260"/>
      <c r="B120" s="98" t="s">
        <v>17</v>
      </c>
      <c r="C120" s="99" t="s">
        <v>509</v>
      </c>
      <c r="D120" s="100" t="s">
        <v>466</v>
      </c>
      <c r="E120" s="101">
        <v>45840</v>
      </c>
      <c r="F120" s="102">
        <f t="shared" si="4"/>
        <v>0</v>
      </c>
      <c r="G120" s="150">
        <f>SUMIF(积分汇总!$B:$B,C120,积分汇总!$E:$E)</f>
        <v>0</v>
      </c>
      <c r="H120" s="150">
        <f>SUMIF(记录巡查问题条数汇总!$B:$B,C120,记录巡查问题条数汇总!$E:$E)</f>
        <v>0</v>
      </c>
      <c r="I120" s="150"/>
      <c r="J120" s="150">
        <f>SUMIF(安全质量事故!$B:$B,C120,安全质量事故!$G:$G)</f>
        <v>0</v>
      </c>
      <c r="K120" s="141">
        <f>COUNTIF(L120:AP120,标准数据!$A$2)*标准数据!$B$2+COUNTIF(L120:AP120,标准数据!$A$3)*标准数据!$B$3+COUNTIF(L120:AP120,标准数据!$A$4)*标准数据!$B$4</f>
        <v>0</v>
      </c>
      <c r="L120" s="183"/>
      <c r="M120" s="183"/>
      <c r="N120" s="183"/>
      <c r="O120" s="183"/>
      <c r="P120" s="183"/>
      <c r="Q120" s="183"/>
      <c r="R120" s="183"/>
      <c r="S120" s="183"/>
      <c r="T120" s="183"/>
      <c r="U120" s="183"/>
      <c r="V120" s="183"/>
      <c r="W120" s="183"/>
      <c r="X120" s="183"/>
      <c r="Y120" s="183"/>
      <c r="Z120" s="183"/>
      <c r="AA120" s="183"/>
      <c r="AB120" s="183"/>
      <c r="AC120" s="183"/>
      <c r="AD120" s="183"/>
      <c r="AE120" s="183"/>
      <c r="AF120" s="183"/>
      <c r="AG120" s="183"/>
      <c r="AH120" s="183"/>
      <c r="AI120" s="183"/>
      <c r="AJ120" s="183"/>
      <c r="AK120" s="183"/>
      <c r="AL120" s="183"/>
      <c r="AM120" s="183"/>
      <c r="AN120" s="183"/>
      <c r="AO120" s="183"/>
      <c r="AP120" s="183"/>
      <c r="AQ120" s="94"/>
      <c r="AR120" s="94"/>
      <c r="AS120" s="94"/>
      <c r="AT120" s="149" t="s">
        <v>466</v>
      </c>
      <c r="AU120" s="94" t="s">
        <v>319</v>
      </c>
    </row>
    <row r="121" spans="1:47" ht="21" customHeight="1" x14ac:dyDescent="0.35">
      <c r="A121" s="260"/>
      <c r="B121" s="98" t="s">
        <v>17</v>
      </c>
      <c r="C121" s="99" t="s">
        <v>510</v>
      </c>
      <c r="D121" s="100" t="s">
        <v>467</v>
      </c>
      <c r="E121" s="101">
        <v>45840</v>
      </c>
      <c r="F121" s="102">
        <f t="shared" si="4"/>
        <v>0</v>
      </c>
      <c r="G121" s="150">
        <f>SUMIF(积分汇总!$B:$B,C121,积分汇总!$E:$E)</f>
        <v>0</v>
      </c>
      <c r="H121" s="150">
        <f>SUMIF(记录巡查问题条数汇总!$B:$B,C121,记录巡查问题条数汇总!$E:$E)</f>
        <v>0</v>
      </c>
      <c r="I121" s="150"/>
      <c r="J121" s="150">
        <f>SUMIF(安全质量事故!$B:$B,C121,安全质量事故!$G:$G)</f>
        <v>0</v>
      </c>
      <c r="K121" s="141">
        <f>COUNTIF(L121:AP121,标准数据!$A$2)*标准数据!$B$2+COUNTIF(L121:AP121,标准数据!$A$3)*标准数据!$B$3+COUNTIF(L121:AP121,标准数据!$A$4)*标准数据!$B$4</f>
        <v>0</v>
      </c>
      <c r="L121" s="183"/>
      <c r="M121" s="183"/>
      <c r="N121" s="183"/>
      <c r="O121" s="183"/>
      <c r="P121" s="183"/>
      <c r="Q121" s="183"/>
      <c r="R121" s="183"/>
      <c r="S121" s="183"/>
      <c r="T121" s="183"/>
      <c r="U121" s="183"/>
      <c r="V121" s="183"/>
      <c r="W121" s="183"/>
      <c r="X121" s="183"/>
      <c r="Y121" s="183"/>
      <c r="Z121" s="183"/>
      <c r="AA121" s="183"/>
      <c r="AB121" s="183"/>
      <c r="AC121" s="183"/>
      <c r="AD121" s="183"/>
      <c r="AE121" s="183"/>
      <c r="AF121" s="183"/>
      <c r="AG121" s="183"/>
      <c r="AH121" s="183"/>
      <c r="AI121" s="183"/>
      <c r="AJ121" s="183"/>
      <c r="AK121" s="183"/>
      <c r="AL121" s="183"/>
      <c r="AM121" s="183"/>
      <c r="AN121" s="183"/>
      <c r="AO121" s="183"/>
      <c r="AP121" s="183"/>
      <c r="AQ121" s="94"/>
      <c r="AR121" s="94"/>
      <c r="AS121" s="94"/>
      <c r="AT121" s="149" t="s">
        <v>467</v>
      </c>
      <c r="AU121" s="94" t="s">
        <v>319</v>
      </c>
    </row>
    <row r="122" spans="1:47" ht="21" customHeight="1" x14ac:dyDescent="0.35">
      <c r="A122" s="260"/>
      <c r="B122" s="98" t="s">
        <v>17</v>
      </c>
      <c r="C122" s="99" t="s">
        <v>511</v>
      </c>
      <c r="D122" s="100" t="s">
        <v>468</v>
      </c>
      <c r="E122" s="101">
        <v>45854</v>
      </c>
      <c r="F122" s="102">
        <f t="shared" si="4"/>
        <v>0</v>
      </c>
      <c r="G122" s="150">
        <f>SUMIF(积分汇总!$B:$B,C122,积分汇总!$E:$E)</f>
        <v>0</v>
      </c>
      <c r="H122" s="150">
        <f>SUMIF(记录巡查问题条数汇总!$B:$B,C122,记录巡查问题条数汇总!$E:$E)</f>
        <v>0</v>
      </c>
      <c r="I122" s="150"/>
      <c r="J122" s="150">
        <f>SUMIF(安全质量事故!$B:$B,C122,安全质量事故!$G:$G)</f>
        <v>0</v>
      </c>
      <c r="K122" s="141">
        <f>COUNTIF(L122:AP122,标准数据!$A$2)*标准数据!$B$2+COUNTIF(L122:AP122,标准数据!$A$3)*标准数据!$B$3+COUNTIF(L122:AP122,标准数据!$A$4)*标准数据!$B$4</f>
        <v>0</v>
      </c>
      <c r="L122" s="183"/>
      <c r="M122" s="183"/>
      <c r="N122" s="183"/>
      <c r="O122" s="183"/>
      <c r="P122" s="183"/>
      <c r="Q122" s="183"/>
      <c r="R122" s="183"/>
      <c r="S122" s="183"/>
      <c r="T122" s="183"/>
      <c r="U122" s="183"/>
      <c r="V122" s="183"/>
      <c r="W122" s="183"/>
      <c r="X122" s="183"/>
      <c r="Y122" s="183"/>
      <c r="Z122" s="183"/>
      <c r="AA122" s="183"/>
      <c r="AB122" s="183"/>
      <c r="AC122" s="183"/>
      <c r="AD122" s="183"/>
      <c r="AE122" s="183"/>
      <c r="AF122" s="183"/>
      <c r="AG122" s="183"/>
      <c r="AH122" s="183"/>
      <c r="AI122" s="183"/>
      <c r="AJ122" s="183"/>
      <c r="AK122" s="183"/>
      <c r="AL122" s="183"/>
      <c r="AM122" s="183"/>
      <c r="AN122" s="183"/>
      <c r="AO122" s="183"/>
      <c r="AP122" s="183"/>
      <c r="AQ122" s="94"/>
      <c r="AR122" s="94"/>
      <c r="AS122" s="94"/>
      <c r="AT122" s="149" t="s">
        <v>468</v>
      </c>
      <c r="AU122" s="94" t="s">
        <v>319</v>
      </c>
    </row>
    <row r="123" spans="1:47" ht="21" customHeight="1" x14ac:dyDescent="0.35">
      <c r="A123" s="260"/>
      <c r="B123" s="98" t="s">
        <v>17</v>
      </c>
      <c r="C123" s="99" t="s">
        <v>512</v>
      </c>
      <c r="D123" s="100" t="s">
        <v>469</v>
      </c>
      <c r="E123" s="101">
        <v>45861</v>
      </c>
      <c r="F123" s="102">
        <f t="shared" si="4"/>
        <v>0</v>
      </c>
      <c r="G123" s="150">
        <f>SUMIF(积分汇总!$B:$B,C123,积分汇总!$E:$E)</f>
        <v>0</v>
      </c>
      <c r="H123" s="150">
        <f>SUMIF(记录巡查问题条数汇总!$B:$B,C123,记录巡查问题条数汇总!$E:$E)</f>
        <v>0</v>
      </c>
      <c r="I123" s="150"/>
      <c r="J123" s="150">
        <f>SUMIF(安全质量事故!$B:$B,C123,安全质量事故!$G:$G)</f>
        <v>0</v>
      </c>
      <c r="K123" s="141">
        <f>COUNTIF(L123:AP123,标准数据!$A$2)*标准数据!$B$2+COUNTIF(L123:AP123,标准数据!$A$3)*标准数据!$B$3+COUNTIF(L123:AP123,标准数据!$A$4)*标准数据!$B$4</f>
        <v>0</v>
      </c>
      <c r="L123" s="183"/>
      <c r="M123" s="183"/>
      <c r="N123" s="183"/>
      <c r="O123" s="183"/>
      <c r="P123" s="183"/>
      <c r="Q123" s="183"/>
      <c r="R123" s="183"/>
      <c r="S123" s="183"/>
      <c r="T123" s="183"/>
      <c r="U123" s="183"/>
      <c r="V123" s="183"/>
      <c r="W123" s="183"/>
      <c r="X123" s="183"/>
      <c r="Y123" s="183"/>
      <c r="Z123" s="183"/>
      <c r="AA123" s="183"/>
      <c r="AB123" s="183"/>
      <c r="AC123" s="183"/>
      <c r="AD123" s="183"/>
      <c r="AE123" s="183"/>
      <c r="AF123" s="183"/>
      <c r="AG123" s="183"/>
      <c r="AH123" s="183"/>
      <c r="AI123" s="183"/>
      <c r="AJ123" s="183"/>
      <c r="AK123" s="183"/>
      <c r="AL123" s="183"/>
      <c r="AM123" s="183"/>
      <c r="AN123" s="183"/>
      <c r="AO123" s="183"/>
      <c r="AP123" s="183"/>
      <c r="AQ123" s="94"/>
      <c r="AR123" s="94"/>
      <c r="AS123" s="94"/>
      <c r="AT123" s="149" t="s">
        <v>469</v>
      </c>
      <c r="AU123" s="94" t="s">
        <v>319</v>
      </c>
    </row>
    <row r="124" spans="1:47" ht="21" customHeight="1" x14ac:dyDescent="0.35">
      <c r="A124" s="260"/>
      <c r="B124" s="98" t="s">
        <v>17</v>
      </c>
      <c r="C124" s="99" t="s">
        <v>585</v>
      </c>
      <c r="D124" s="100" t="s">
        <v>546</v>
      </c>
      <c r="E124" s="101">
        <v>45882</v>
      </c>
      <c r="F124" s="102">
        <f t="shared" si="4"/>
        <v>0</v>
      </c>
      <c r="G124" s="150">
        <f>SUMIF(积分汇总!$B:$B,C124,积分汇总!$E:$E)</f>
        <v>0</v>
      </c>
      <c r="H124" s="150">
        <f>SUMIF(记录巡查问题条数汇总!$B:$B,C124,记录巡查问题条数汇总!$E:$E)</f>
        <v>0</v>
      </c>
      <c r="I124" s="150"/>
      <c r="J124" s="150">
        <f>SUMIF(安全质量事故!$B:$B,C124,安全质量事故!$G:$G)</f>
        <v>0</v>
      </c>
      <c r="K124" s="141">
        <f>COUNTIF(L124:AP124,标准数据!$A$2)*标准数据!$B$2+COUNTIF(L124:AP124,标准数据!$A$3)*标准数据!$B$3+COUNTIF(L124:AP124,标准数据!$A$4)*标准数据!$B$4</f>
        <v>0</v>
      </c>
      <c r="L124" s="183"/>
      <c r="M124" s="183"/>
      <c r="N124" s="183"/>
      <c r="O124" s="183"/>
      <c r="P124" s="183"/>
      <c r="Q124" s="183"/>
      <c r="R124" s="183"/>
      <c r="S124" s="183"/>
      <c r="T124" s="183"/>
      <c r="U124" s="183"/>
      <c r="V124" s="183"/>
      <c r="W124" s="183"/>
      <c r="X124" s="183"/>
      <c r="Y124" s="183"/>
      <c r="Z124" s="183"/>
      <c r="AA124" s="183"/>
      <c r="AB124" s="183"/>
      <c r="AC124" s="183"/>
      <c r="AD124" s="183"/>
      <c r="AE124" s="183"/>
      <c r="AF124" s="183"/>
      <c r="AG124" s="183"/>
      <c r="AH124" s="183"/>
      <c r="AI124" s="183"/>
      <c r="AJ124" s="183"/>
      <c r="AK124" s="183"/>
      <c r="AL124" s="183"/>
      <c r="AM124" s="183"/>
      <c r="AN124" s="183"/>
      <c r="AO124" s="183"/>
      <c r="AP124" s="183"/>
      <c r="AQ124" s="94"/>
      <c r="AR124" s="94"/>
      <c r="AS124" s="94"/>
      <c r="AT124" s="149" t="s">
        <v>546</v>
      </c>
      <c r="AU124" s="94" t="s">
        <v>319</v>
      </c>
    </row>
    <row r="125" spans="1:47" ht="21" customHeight="1" x14ac:dyDescent="0.35">
      <c r="A125" s="260"/>
      <c r="B125" s="98" t="s">
        <v>17</v>
      </c>
      <c r="C125" s="99" t="s">
        <v>586</v>
      </c>
      <c r="D125" s="100" t="s">
        <v>548</v>
      </c>
      <c r="E125" s="101">
        <v>45875</v>
      </c>
      <c r="F125" s="102">
        <f t="shared" si="4"/>
        <v>0</v>
      </c>
      <c r="G125" s="150">
        <f>SUMIF(积分汇总!$B:$B,C125,积分汇总!$E:$E)</f>
        <v>0</v>
      </c>
      <c r="H125" s="150">
        <f>SUMIF(记录巡查问题条数汇总!$B:$B,C125,记录巡查问题条数汇总!$E:$E)</f>
        <v>0</v>
      </c>
      <c r="I125" s="150"/>
      <c r="J125" s="150">
        <f>SUMIF(安全质量事故!$B:$B,C125,安全质量事故!$G:$G)</f>
        <v>0</v>
      </c>
      <c r="K125" s="141">
        <f>COUNTIF(L125:AP125,标准数据!$A$2)*标准数据!$B$2+COUNTIF(L125:AP125,标准数据!$A$3)*标准数据!$B$3+COUNTIF(L125:AP125,标准数据!$A$4)*标准数据!$B$4</f>
        <v>0</v>
      </c>
      <c r="L125" s="183"/>
      <c r="M125" s="183"/>
      <c r="N125" s="183"/>
      <c r="O125" s="183"/>
      <c r="P125" s="183"/>
      <c r="Q125" s="183"/>
      <c r="R125" s="183"/>
      <c r="S125" s="183"/>
      <c r="T125" s="183"/>
      <c r="U125" s="183"/>
      <c r="V125" s="183"/>
      <c r="W125" s="183"/>
      <c r="X125" s="183"/>
      <c r="Y125" s="183"/>
      <c r="Z125" s="183"/>
      <c r="AA125" s="183"/>
      <c r="AB125" s="183"/>
      <c r="AC125" s="183"/>
      <c r="AD125" s="183"/>
      <c r="AE125" s="183"/>
      <c r="AF125" s="183"/>
      <c r="AG125" s="183"/>
      <c r="AH125" s="183"/>
      <c r="AI125" s="183"/>
      <c r="AJ125" s="183"/>
      <c r="AK125" s="183"/>
      <c r="AL125" s="183"/>
      <c r="AM125" s="183"/>
      <c r="AN125" s="183"/>
      <c r="AO125" s="183"/>
      <c r="AP125" s="183"/>
      <c r="AQ125" s="94"/>
      <c r="AR125" s="94"/>
      <c r="AS125" s="94"/>
      <c r="AT125" s="149" t="s">
        <v>548</v>
      </c>
      <c r="AU125" s="94" t="s">
        <v>319</v>
      </c>
    </row>
    <row r="126" spans="1:47" ht="21" customHeight="1" x14ac:dyDescent="0.35">
      <c r="A126" s="260"/>
      <c r="B126" s="98" t="s">
        <v>17</v>
      </c>
      <c r="C126" s="99" t="s">
        <v>587</v>
      </c>
      <c r="D126" s="100" t="s">
        <v>549</v>
      </c>
      <c r="E126" s="101">
        <v>45875</v>
      </c>
      <c r="F126" s="102">
        <f t="shared" si="4"/>
        <v>0</v>
      </c>
      <c r="G126" s="150">
        <f>SUMIF(积分汇总!$B:$B,C126,积分汇总!$E:$E)</f>
        <v>0</v>
      </c>
      <c r="H126" s="150">
        <f>SUMIF(记录巡查问题条数汇总!$B:$B,C126,记录巡查问题条数汇总!$E:$E)</f>
        <v>0</v>
      </c>
      <c r="I126" s="150"/>
      <c r="J126" s="150">
        <f>SUMIF(安全质量事故!$B:$B,C126,安全质量事故!$G:$G)</f>
        <v>0</v>
      </c>
      <c r="K126" s="141">
        <f>COUNTIF(L126:AP126,标准数据!$A$2)*标准数据!$B$2+COUNTIF(L126:AP126,标准数据!$A$3)*标准数据!$B$3+COUNTIF(L126:AP126,标准数据!$A$4)*标准数据!$B$4</f>
        <v>0</v>
      </c>
      <c r="L126" s="183"/>
      <c r="M126" s="183"/>
      <c r="N126" s="183"/>
      <c r="O126" s="183"/>
      <c r="P126" s="183"/>
      <c r="Q126" s="183"/>
      <c r="R126" s="183"/>
      <c r="S126" s="183"/>
      <c r="T126" s="183"/>
      <c r="U126" s="183"/>
      <c r="V126" s="183"/>
      <c r="W126" s="183"/>
      <c r="X126" s="183"/>
      <c r="Y126" s="183"/>
      <c r="Z126" s="183"/>
      <c r="AA126" s="183"/>
      <c r="AB126" s="183"/>
      <c r="AC126" s="183"/>
      <c r="AD126" s="183"/>
      <c r="AE126" s="183"/>
      <c r="AF126" s="183"/>
      <c r="AG126" s="183"/>
      <c r="AH126" s="183"/>
      <c r="AI126" s="183"/>
      <c r="AJ126" s="183"/>
      <c r="AK126" s="183"/>
      <c r="AL126" s="183"/>
      <c r="AM126" s="183"/>
      <c r="AN126" s="183"/>
      <c r="AO126" s="183"/>
      <c r="AP126" s="183"/>
      <c r="AQ126" s="94"/>
      <c r="AR126" s="94"/>
      <c r="AS126" s="94"/>
      <c r="AT126" s="149" t="s">
        <v>549</v>
      </c>
      <c r="AU126" s="94" t="s">
        <v>319</v>
      </c>
    </row>
    <row r="127" spans="1:47" ht="21" customHeight="1" x14ac:dyDescent="0.35">
      <c r="A127" s="260"/>
      <c r="B127" s="98" t="s">
        <v>17</v>
      </c>
      <c r="C127" s="99" t="s">
        <v>588</v>
      </c>
      <c r="D127" s="100" t="s">
        <v>552</v>
      </c>
      <c r="E127" s="101">
        <v>45868</v>
      </c>
      <c r="F127" s="102">
        <f t="shared" si="4"/>
        <v>0</v>
      </c>
      <c r="G127" s="150">
        <f>SUMIF(积分汇总!$B:$B,C127,积分汇总!$E:$E)</f>
        <v>0</v>
      </c>
      <c r="H127" s="150">
        <f>SUMIF(记录巡查问题条数汇总!$B:$B,C127,记录巡查问题条数汇总!$E:$E)</f>
        <v>0</v>
      </c>
      <c r="I127" s="150"/>
      <c r="J127" s="150">
        <f>SUMIF(安全质量事故!$B:$B,C127,安全质量事故!$G:$G)</f>
        <v>0</v>
      </c>
      <c r="K127" s="141">
        <f>COUNTIF(L127:AP127,标准数据!$A$2)*标准数据!$B$2+COUNTIF(L127:AP127,标准数据!$A$3)*标准数据!$B$3+COUNTIF(L127:AP127,标准数据!$A$4)*标准数据!$B$4</f>
        <v>0</v>
      </c>
      <c r="L127" s="183"/>
      <c r="M127" s="183"/>
      <c r="N127" s="183"/>
      <c r="O127" s="183"/>
      <c r="P127" s="183"/>
      <c r="Q127" s="183"/>
      <c r="R127" s="183"/>
      <c r="S127" s="183"/>
      <c r="T127" s="183"/>
      <c r="U127" s="183"/>
      <c r="V127" s="183"/>
      <c r="W127" s="183"/>
      <c r="X127" s="183"/>
      <c r="Y127" s="183"/>
      <c r="Z127" s="183"/>
      <c r="AA127" s="183"/>
      <c r="AB127" s="183"/>
      <c r="AC127" s="183"/>
      <c r="AD127" s="183"/>
      <c r="AE127" s="183"/>
      <c r="AF127" s="183"/>
      <c r="AG127" s="183"/>
      <c r="AH127" s="183"/>
      <c r="AI127" s="183"/>
      <c r="AJ127" s="183"/>
      <c r="AK127" s="183"/>
      <c r="AL127" s="183"/>
      <c r="AM127" s="183"/>
      <c r="AN127" s="183"/>
      <c r="AO127" s="183"/>
      <c r="AP127" s="183"/>
      <c r="AQ127" s="94"/>
      <c r="AR127" s="94"/>
      <c r="AS127" s="94"/>
      <c r="AT127" s="149" t="s">
        <v>552</v>
      </c>
      <c r="AU127" s="94" t="s">
        <v>319</v>
      </c>
    </row>
    <row r="128" spans="1:47" ht="21" customHeight="1" x14ac:dyDescent="0.35">
      <c r="A128" s="260"/>
      <c r="B128" s="98" t="s">
        <v>17</v>
      </c>
      <c r="C128" s="99" t="s">
        <v>931</v>
      </c>
      <c r="D128" s="100" t="s">
        <v>837</v>
      </c>
      <c r="E128" s="101">
        <v>45392</v>
      </c>
      <c r="F128" s="102">
        <f t="shared" si="4"/>
        <v>0</v>
      </c>
      <c r="G128" s="150">
        <f>SUMIF(积分汇总!$B:$B,C128,积分汇总!$E:$E)</f>
        <v>0</v>
      </c>
      <c r="H128" s="150">
        <f>SUMIF(记录巡查问题条数汇总!$B:$B,C128,记录巡查问题条数汇总!$E:$E)</f>
        <v>0</v>
      </c>
      <c r="I128" s="150"/>
      <c r="J128" s="150">
        <f>SUMIF(安全质量事故!$B:$B,C128,安全质量事故!$G:$G)</f>
        <v>0</v>
      </c>
      <c r="K128" s="141">
        <f>COUNTIF(L128:AP128,标准数据!$A$2)*标准数据!$B$2+COUNTIF(L128:AP128,标准数据!$A$3)*标准数据!$B$3+COUNTIF(L128:AP128,标准数据!$A$4)*标准数据!$B$4</f>
        <v>0</v>
      </c>
      <c r="L128" s="183"/>
      <c r="M128" s="183"/>
      <c r="N128" s="183"/>
      <c r="O128" s="183"/>
      <c r="P128" s="183"/>
      <c r="Q128" s="183"/>
      <c r="R128" s="183"/>
      <c r="S128" s="183"/>
      <c r="T128" s="183"/>
      <c r="U128" s="183"/>
      <c r="V128" s="183"/>
      <c r="W128" s="183"/>
      <c r="X128" s="183"/>
      <c r="Y128" s="183"/>
      <c r="Z128" s="183"/>
      <c r="AA128" s="183"/>
      <c r="AB128" s="183"/>
      <c r="AC128" s="183"/>
      <c r="AD128" s="183"/>
      <c r="AE128" s="183"/>
      <c r="AF128" s="183"/>
      <c r="AG128" s="183"/>
      <c r="AH128" s="183"/>
      <c r="AI128" s="183"/>
      <c r="AJ128" s="183"/>
      <c r="AK128" s="183"/>
      <c r="AL128" s="183"/>
      <c r="AM128" s="183"/>
      <c r="AN128" s="183"/>
      <c r="AO128" s="183"/>
      <c r="AP128" s="183"/>
      <c r="AQ128" s="94"/>
      <c r="AR128" s="94"/>
      <c r="AS128" s="94"/>
      <c r="AT128" s="149" t="s">
        <v>837</v>
      </c>
      <c r="AU128" s="94" t="s">
        <v>319</v>
      </c>
    </row>
    <row r="129" spans="1:47" ht="21" customHeight="1" x14ac:dyDescent="0.35">
      <c r="A129" s="260"/>
      <c r="B129" s="98" t="s">
        <v>17</v>
      </c>
      <c r="C129" s="99" t="s">
        <v>932</v>
      </c>
      <c r="D129" s="100" t="s">
        <v>839</v>
      </c>
      <c r="E129" s="101">
        <v>45889</v>
      </c>
      <c r="F129" s="102">
        <f t="shared" si="4"/>
        <v>0</v>
      </c>
      <c r="G129" s="150">
        <f>SUMIF(积分汇总!$B:$B,C129,积分汇总!$E:$E)</f>
        <v>0</v>
      </c>
      <c r="H129" s="150">
        <f>SUMIF(记录巡查问题条数汇总!$B:$B,C129,记录巡查问题条数汇总!$E:$E)</f>
        <v>0</v>
      </c>
      <c r="I129" s="150"/>
      <c r="J129" s="150">
        <f>SUMIF(安全质量事故!$B:$B,C129,安全质量事故!$G:$G)</f>
        <v>0</v>
      </c>
      <c r="K129" s="141">
        <f>COUNTIF(L129:AP129,标准数据!$A$2)*标准数据!$B$2+COUNTIF(L129:AP129,标准数据!$A$3)*标准数据!$B$3+COUNTIF(L129:AP129,标准数据!$A$4)*标准数据!$B$4</f>
        <v>0</v>
      </c>
      <c r="L129" s="183"/>
      <c r="M129" s="183"/>
      <c r="N129" s="183"/>
      <c r="O129" s="183"/>
      <c r="P129" s="183"/>
      <c r="Q129" s="183"/>
      <c r="R129" s="183"/>
      <c r="S129" s="183"/>
      <c r="T129" s="183"/>
      <c r="U129" s="183"/>
      <c r="V129" s="183"/>
      <c r="W129" s="183"/>
      <c r="X129" s="183"/>
      <c r="Y129" s="183"/>
      <c r="Z129" s="183"/>
      <c r="AA129" s="183"/>
      <c r="AB129" s="183"/>
      <c r="AC129" s="183"/>
      <c r="AD129" s="183"/>
      <c r="AE129" s="183"/>
      <c r="AF129" s="183"/>
      <c r="AG129" s="183"/>
      <c r="AH129" s="183"/>
      <c r="AI129" s="183"/>
      <c r="AJ129" s="183"/>
      <c r="AK129" s="183"/>
      <c r="AL129" s="183"/>
      <c r="AM129" s="183"/>
      <c r="AN129" s="183"/>
      <c r="AO129" s="183"/>
      <c r="AP129" s="183"/>
      <c r="AQ129" s="94"/>
      <c r="AR129" s="94"/>
      <c r="AS129" s="94"/>
      <c r="AT129" s="149" t="s">
        <v>839</v>
      </c>
      <c r="AU129" s="94" t="s">
        <v>319</v>
      </c>
    </row>
    <row r="130" spans="1:47" ht="21" customHeight="1" x14ac:dyDescent="0.35">
      <c r="A130" s="260"/>
      <c r="B130" s="98" t="s">
        <v>17</v>
      </c>
      <c r="C130" s="99" t="s">
        <v>811</v>
      </c>
      <c r="D130" s="105" t="s">
        <v>735</v>
      </c>
      <c r="E130" s="99">
        <v>45959</v>
      </c>
      <c r="F130" s="102">
        <f t="shared" si="4"/>
        <v>0</v>
      </c>
      <c r="G130" s="150">
        <f>SUMIF(积分汇总!$B:$B,C130,积分汇总!$E:$E)</f>
        <v>0</v>
      </c>
      <c r="H130" s="150">
        <f>SUMIF(记录巡查问题条数汇总!$B:$B,C130,记录巡查问题条数汇总!$E:$E)</f>
        <v>0</v>
      </c>
      <c r="I130" s="150"/>
      <c r="J130" s="150">
        <f>SUMIF(安全质量事故!$B:$B,C130,安全质量事故!$G:$G)</f>
        <v>0</v>
      </c>
      <c r="K130" s="141">
        <f>COUNTIF(L130:AP130,标准数据!$A$2)*标准数据!$B$2+COUNTIF(L130:AP130,标准数据!$A$3)*标准数据!$B$3+COUNTIF(L130:AP130,标准数据!$A$4)*标准数据!$B$4</f>
        <v>0</v>
      </c>
      <c r="L130" s="183"/>
      <c r="M130" s="183"/>
      <c r="N130" s="183"/>
      <c r="O130" s="183"/>
      <c r="P130" s="183"/>
      <c r="Q130" s="183"/>
      <c r="R130" s="183"/>
      <c r="S130" s="183"/>
      <c r="T130" s="183"/>
      <c r="U130" s="183"/>
      <c r="V130" s="183"/>
      <c r="W130" s="183"/>
      <c r="X130" s="183"/>
      <c r="Y130" s="183"/>
      <c r="Z130" s="183"/>
      <c r="AA130" s="183"/>
      <c r="AB130" s="183"/>
      <c r="AC130" s="183"/>
      <c r="AD130" s="183"/>
      <c r="AE130" s="183"/>
      <c r="AF130" s="183"/>
      <c r="AG130" s="183"/>
      <c r="AH130" s="183"/>
      <c r="AI130" s="183"/>
      <c r="AJ130" s="183"/>
      <c r="AK130" s="183"/>
      <c r="AL130" s="183"/>
      <c r="AM130" s="183"/>
      <c r="AN130" s="183"/>
      <c r="AO130" s="183"/>
      <c r="AP130" s="183"/>
      <c r="AT130" s="149" t="s">
        <v>735</v>
      </c>
      <c r="AU130" s="94" t="s">
        <v>319</v>
      </c>
    </row>
    <row r="131" spans="1:47" ht="21" customHeight="1" x14ac:dyDescent="0.35">
      <c r="A131" s="260"/>
      <c r="B131" s="98" t="s">
        <v>17</v>
      </c>
      <c r="C131" s="99" t="s">
        <v>1008</v>
      </c>
      <c r="D131" s="100" t="s">
        <v>956</v>
      </c>
      <c r="E131" s="101">
        <v>46029</v>
      </c>
      <c r="F131" s="102">
        <f t="shared" si="4"/>
        <v>0</v>
      </c>
      <c r="G131" s="150">
        <f>SUMIF(积分汇总!$B:$B,C131,积分汇总!$E:$E)</f>
        <v>0</v>
      </c>
      <c r="H131" s="150">
        <f>SUMIF(记录巡查问题条数汇总!$B:$B,C131,记录巡查问题条数汇总!$E:$E)</f>
        <v>0</v>
      </c>
      <c r="I131" s="150"/>
      <c r="J131" s="150">
        <f>SUMIF(安全质量事故!$B:$B,C131,安全质量事故!$G:$G)</f>
        <v>0</v>
      </c>
      <c r="K131" s="141">
        <f>COUNTIF(L131:AP131,标准数据!$A$2)*标准数据!$B$2+COUNTIF(L131:AP131,标准数据!$A$3)*标准数据!$B$3+COUNTIF(L131:AP131,标准数据!$A$4)*标准数据!$B$4</f>
        <v>0</v>
      </c>
      <c r="L131" s="183"/>
      <c r="M131" s="183"/>
      <c r="N131" s="183"/>
      <c r="O131" s="183"/>
      <c r="P131" s="183"/>
      <c r="Q131" s="183"/>
      <c r="R131" s="183"/>
      <c r="S131" s="183"/>
      <c r="T131" s="183"/>
      <c r="U131" s="183"/>
      <c r="V131" s="183"/>
      <c r="W131" s="183"/>
      <c r="X131" s="183"/>
      <c r="Y131" s="183"/>
      <c r="Z131" s="183"/>
      <c r="AA131" s="183"/>
      <c r="AB131" s="183"/>
      <c r="AC131" s="183"/>
      <c r="AD131" s="183"/>
      <c r="AE131" s="183"/>
      <c r="AF131" s="183"/>
      <c r="AG131" s="183"/>
      <c r="AH131" s="183"/>
      <c r="AI131" s="183"/>
      <c r="AJ131" s="183"/>
      <c r="AK131" s="183"/>
      <c r="AL131" s="183"/>
      <c r="AM131" s="183"/>
      <c r="AN131" s="183"/>
      <c r="AO131" s="183"/>
      <c r="AP131" s="183"/>
      <c r="AQ131" s="94"/>
      <c r="AR131" s="94"/>
      <c r="AS131" s="94"/>
      <c r="AT131" s="149" t="s">
        <v>956</v>
      </c>
      <c r="AU131" s="94" t="s">
        <v>319</v>
      </c>
    </row>
    <row r="132" spans="1:47" ht="21" customHeight="1" x14ac:dyDescent="0.35">
      <c r="A132" s="260"/>
      <c r="B132" s="98" t="s">
        <v>17</v>
      </c>
      <c r="C132" s="99" t="s">
        <v>1012</v>
      </c>
      <c r="D132" s="100" t="s">
        <v>960</v>
      </c>
      <c r="E132" s="101">
        <v>46029</v>
      </c>
      <c r="F132" s="102">
        <f t="shared" si="4"/>
        <v>0</v>
      </c>
      <c r="G132" s="150">
        <f>SUMIF(积分汇总!$B:$B,C132,积分汇总!$E:$E)</f>
        <v>0</v>
      </c>
      <c r="H132" s="150">
        <f>SUMIF(记录巡查问题条数汇总!$B:$B,C132,记录巡查问题条数汇总!$E:$E)</f>
        <v>0</v>
      </c>
      <c r="I132" s="150"/>
      <c r="J132" s="150">
        <f>SUMIF(安全质量事故!$B:$B,C132,安全质量事故!$G:$G)</f>
        <v>0</v>
      </c>
      <c r="K132" s="141">
        <f>COUNTIF(L132:AP132,标准数据!$A$2)*标准数据!$B$2+COUNTIF(L132:AP132,标准数据!$A$3)*标准数据!$B$3+COUNTIF(L132:AP132,标准数据!$A$4)*标准数据!$B$4</f>
        <v>0</v>
      </c>
      <c r="L132" s="183"/>
      <c r="M132" s="183"/>
      <c r="N132" s="183"/>
      <c r="O132" s="183"/>
      <c r="P132" s="183"/>
      <c r="Q132" s="183"/>
      <c r="R132" s="183"/>
      <c r="S132" s="183"/>
      <c r="T132" s="183"/>
      <c r="U132" s="183"/>
      <c r="V132" s="183"/>
      <c r="W132" s="183"/>
      <c r="X132" s="183"/>
      <c r="Y132" s="183"/>
      <c r="Z132" s="183"/>
      <c r="AA132" s="183"/>
      <c r="AB132" s="183"/>
      <c r="AC132" s="183"/>
      <c r="AD132" s="183"/>
      <c r="AE132" s="183"/>
      <c r="AF132" s="183"/>
      <c r="AG132" s="183"/>
      <c r="AH132" s="183"/>
      <c r="AI132" s="183"/>
      <c r="AJ132" s="183"/>
      <c r="AK132" s="183"/>
      <c r="AL132" s="183"/>
      <c r="AM132" s="183"/>
      <c r="AN132" s="183"/>
      <c r="AO132" s="183"/>
      <c r="AP132" s="183"/>
      <c r="AQ132" s="94"/>
      <c r="AR132" s="94"/>
      <c r="AS132" s="94"/>
      <c r="AT132" s="149" t="s">
        <v>960</v>
      </c>
      <c r="AU132" s="94" t="s">
        <v>319</v>
      </c>
    </row>
    <row r="133" spans="1:47" ht="21" customHeight="1" x14ac:dyDescent="0.35">
      <c r="A133" s="260"/>
      <c r="B133" s="98" t="s">
        <v>17</v>
      </c>
      <c r="C133" s="99" t="s">
        <v>1081</v>
      </c>
      <c r="D133" s="100" t="s">
        <v>1059</v>
      </c>
      <c r="E133" s="101">
        <v>45973</v>
      </c>
      <c r="F133" s="102">
        <f t="shared" si="4"/>
        <v>0</v>
      </c>
      <c r="G133" s="150">
        <f>SUMIF(积分汇总!$B:$B,C133,积分汇总!$E:$E)</f>
        <v>0</v>
      </c>
      <c r="H133" s="150">
        <f>SUMIF(记录巡查问题条数汇总!$B:$B,C133,记录巡查问题条数汇总!$E:$E)</f>
        <v>0</v>
      </c>
      <c r="I133" s="150"/>
      <c r="J133" s="150">
        <f>SUMIF(安全质量事故!$B:$B,C133,安全质量事故!$G:$G)</f>
        <v>0</v>
      </c>
      <c r="K133" s="141">
        <f>COUNTIF(L133:AP133,标准数据!$A$2)*标准数据!$B$2+COUNTIF(L133:AP133,标准数据!$A$3)*标准数据!$B$3+COUNTIF(L133:AP133,标准数据!$A$4)*标准数据!$B$4</f>
        <v>0</v>
      </c>
      <c r="L133" s="183"/>
      <c r="M133" s="183"/>
      <c r="N133" s="183"/>
      <c r="O133" s="183"/>
      <c r="P133" s="183"/>
      <c r="Q133" s="183"/>
      <c r="R133" s="183"/>
      <c r="S133" s="183"/>
      <c r="T133" s="183"/>
      <c r="U133" s="183"/>
      <c r="V133" s="183"/>
      <c r="W133" s="183"/>
      <c r="X133" s="183"/>
      <c r="Y133" s="183"/>
      <c r="Z133" s="183"/>
      <c r="AA133" s="183"/>
      <c r="AB133" s="183"/>
      <c r="AC133" s="183"/>
      <c r="AD133" s="183"/>
      <c r="AE133" s="183"/>
      <c r="AF133" s="183"/>
      <c r="AG133" s="183"/>
      <c r="AH133" s="183"/>
      <c r="AI133" s="183"/>
      <c r="AJ133" s="183"/>
      <c r="AK133" s="183"/>
      <c r="AL133" s="183"/>
      <c r="AM133" s="183"/>
      <c r="AN133" s="183"/>
      <c r="AO133" s="183"/>
      <c r="AP133" s="183"/>
      <c r="AQ133" s="94"/>
      <c r="AR133" s="94"/>
      <c r="AS133" s="94"/>
      <c r="AT133" s="149" t="s">
        <v>1059</v>
      </c>
      <c r="AU133" s="94" t="s">
        <v>319</v>
      </c>
    </row>
    <row r="134" spans="1:47" ht="21" customHeight="1" x14ac:dyDescent="0.35">
      <c r="A134" s="260"/>
      <c r="B134" s="98" t="s">
        <v>17</v>
      </c>
      <c r="C134" s="99" t="s">
        <v>1082</v>
      </c>
      <c r="D134" s="100" t="s">
        <v>1066</v>
      </c>
      <c r="E134" s="101">
        <v>45987</v>
      </c>
      <c r="F134" s="102">
        <f t="shared" si="4"/>
        <v>0</v>
      </c>
      <c r="G134" s="150">
        <f>SUMIF(积分汇总!$B:$B,C134,积分汇总!$E:$E)</f>
        <v>0</v>
      </c>
      <c r="H134" s="150">
        <f>SUMIF(记录巡查问题条数汇总!$B:$B,C134,记录巡查问题条数汇总!$E:$E)</f>
        <v>0</v>
      </c>
      <c r="I134" s="150"/>
      <c r="J134" s="150">
        <f>SUMIF(安全质量事故!$B:$B,C134,安全质量事故!$G:$G)</f>
        <v>0</v>
      </c>
      <c r="K134" s="141">
        <f>COUNTIF(L134:AP134,标准数据!$A$2)*标准数据!$B$2+COUNTIF(L134:AP134,标准数据!$A$3)*标准数据!$B$3+COUNTIF(L134:AP134,标准数据!$A$4)*标准数据!$B$4</f>
        <v>0</v>
      </c>
      <c r="L134" s="183"/>
      <c r="M134" s="183"/>
      <c r="N134" s="183"/>
      <c r="O134" s="183"/>
      <c r="P134" s="183"/>
      <c r="Q134" s="183"/>
      <c r="R134" s="183"/>
      <c r="S134" s="183"/>
      <c r="T134" s="183"/>
      <c r="U134" s="183"/>
      <c r="V134" s="183"/>
      <c r="W134" s="183"/>
      <c r="X134" s="183"/>
      <c r="Y134" s="183"/>
      <c r="Z134" s="183"/>
      <c r="AA134" s="183"/>
      <c r="AB134" s="183"/>
      <c r="AC134" s="183"/>
      <c r="AD134" s="183"/>
      <c r="AE134" s="183"/>
      <c r="AF134" s="183"/>
      <c r="AG134" s="183"/>
      <c r="AH134" s="183"/>
      <c r="AI134" s="183"/>
      <c r="AJ134" s="183"/>
      <c r="AK134" s="183"/>
      <c r="AL134" s="183"/>
      <c r="AM134" s="183"/>
      <c r="AN134" s="183"/>
      <c r="AO134" s="183"/>
      <c r="AP134" s="183"/>
      <c r="AQ134" s="94"/>
      <c r="AR134" s="94"/>
      <c r="AS134" s="94"/>
      <c r="AT134" s="149" t="s">
        <v>1066</v>
      </c>
      <c r="AU134" s="94" t="s">
        <v>319</v>
      </c>
    </row>
    <row r="135" spans="1:47" ht="21" customHeight="1" x14ac:dyDescent="0.35">
      <c r="A135" s="260"/>
      <c r="B135" s="98" t="s">
        <v>17</v>
      </c>
      <c r="C135" s="99" t="s">
        <v>1083</v>
      </c>
      <c r="D135" s="105" t="s">
        <v>1067</v>
      </c>
      <c r="E135" s="99">
        <v>45987</v>
      </c>
      <c r="F135" s="102">
        <f t="shared" si="4"/>
        <v>0</v>
      </c>
      <c r="G135" s="150">
        <f>SUMIF(积分汇总!$B:$B,C135,积分汇总!$E:$E)</f>
        <v>0</v>
      </c>
      <c r="H135" s="150">
        <f>SUMIF(记录巡查问题条数汇总!$B:$B,C135,记录巡查问题条数汇总!$E:$E)</f>
        <v>0</v>
      </c>
      <c r="I135" s="150"/>
      <c r="J135" s="150">
        <f>SUMIF(安全质量事故!$B:$B,C135,安全质量事故!$G:$G)</f>
        <v>0</v>
      </c>
      <c r="K135" s="141">
        <f>COUNTIF(L135:AP135,标准数据!$A$2)*标准数据!$B$2+COUNTIF(L135:AP135,标准数据!$A$3)*标准数据!$B$3+COUNTIF(L135:AP135,标准数据!$A$4)*标准数据!$B$4</f>
        <v>0</v>
      </c>
      <c r="L135" s="183"/>
      <c r="M135" s="183"/>
      <c r="N135" s="183"/>
      <c r="O135" s="183"/>
      <c r="P135" s="183"/>
      <c r="Q135" s="183"/>
      <c r="R135" s="183"/>
      <c r="S135" s="183"/>
      <c r="T135" s="183"/>
      <c r="U135" s="183"/>
      <c r="V135" s="183"/>
      <c r="W135" s="183"/>
      <c r="X135" s="183"/>
      <c r="Y135" s="183"/>
      <c r="Z135" s="183"/>
      <c r="AA135" s="183"/>
      <c r="AB135" s="183"/>
      <c r="AC135" s="183"/>
      <c r="AD135" s="183"/>
      <c r="AE135" s="183"/>
      <c r="AF135" s="183"/>
      <c r="AG135" s="183"/>
      <c r="AH135" s="183"/>
      <c r="AI135" s="183"/>
      <c r="AJ135" s="183"/>
      <c r="AK135" s="183"/>
      <c r="AL135" s="183"/>
      <c r="AM135" s="183"/>
      <c r="AN135" s="183"/>
      <c r="AO135" s="183"/>
      <c r="AP135" s="183"/>
      <c r="AT135" s="149" t="s">
        <v>1067</v>
      </c>
      <c r="AU135" s="94" t="s">
        <v>319</v>
      </c>
    </row>
    <row r="136" spans="1:47" ht="21" customHeight="1" x14ac:dyDescent="0.35">
      <c r="A136" s="260"/>
      <c r="B136" s="98" t="s">
        <v>17</v>
      </c>
      <c r="C136" s="99" t="s">
        <v>1360</v>
      </c>
      <c r="D136" s="100" t="s">
        <v>1361</v>
      </c>
      <c r="E136" s="101">
        <v>46125</v>
      </c>
      <c r="F136" s="102">
        <f t="shared" si="4"/>
        <v>0</v>
      </c>
      <c r="G136" s="150">
        <f>SUMIF(积分汇总!$B:$B,C136,积分汇总!$E:$E)</f>
        <v>0</v>
      </c>
      <c r="H136" s="150">
        <f>SUMIF(记录巡查问题条数汇总!$B:$B,C136,记录巡查问题条数汇总!$E:$E)</f>
        <v>0</v>
      </c>
      <c r="I136" s="150"/>
      <c r="J136" s="150">
        <f>SUMIF(安全质量事故!$B:$B,C136,安全质量事故!$G:$G)</f>
        <v>0</v>
      </c>
      <c r="K136" s="141">
        <f>COUNTIF(L136:AP136,标准数据!$A$2)*标准数据!$B$2+COUNTIF(L136:AP136,标准数据!$A$3)*标准数据!$B$3+COUNTIF(L136:AP136,标准数据!$A$4)*标准数据!$B$4</f>
        <v>0</v>
      </c>
      <c r="L136" s="183"/>
      <c r="M136" s="183"/>
      <c r="N136" s="183"/>
      <c r="O136" s="183"/>
      <c r="P136" s="183"/>
      <c r="Q136" s="183"/>
      <c r="R136" s="183"/>
      <c r="S136" s="183"/>
      <c r="T136" s="183"/>
      <c r="U136" s="183"/>
      <c r="V136" s="183"/>
      <c r="W136" s="183"/>
      <c r="X136" s="183"/>
      <c r="Y136" s="183"/>
      <c r="Z136" s="183"/>
      <c r="AA136" s="183"/>
      <c r="AB136" s="183"/>
      <c r="AC136" s="183"/>
      <c r="AD136" s="183"/>
      <c r="AE136" s="183"/>
      <c r="AF136" s="183"/>
      <c r="AG136" s="183"/>
      <c r="AH136" s="183"/>
      <c r="AI136" s="183"/>
      <c r="AJ136" s="183"/>
      <c r="AK136" s="183"/>
      <c r="AL136" s="183"/>
      <c r="AM136" s="183"/>
      <c r="AN136" s="183"/>
      <c r="AO136" s="183"/>
      <c r="AP136" s="183"/>
      <c r="AQ136" s="94"/>
      <c r="AR136" s="94"/>
      <c r="AS136" s="94"/>
      <c r="AT136" s="149" t="s">
        <v>1361</v>
      </c>
      <c r="AU136" s="94" t="s">
        <v>319</v>
      </c>
    </row>
    <row r="137" spans="1:47" ht="21" customHeight="1" x14ac:dyDescent="0.35">
      <c r="A137" s="260"/>
      <c r="B137" s="98" t="s">
        <v>17</v>
      </c>
      <c r="C137" s="99" t="s">
        <v>1362</v>
      </c>
      <c r="D137" s="105" t="s">
        <v>1363</v>
      </c>
      <c r="E137" s="99">
        <v>46125</v>
      </c>
      <c r="F137" s="102">
        <f t="shared" ref="F137:F193" si="5">(K137+G137+H137+I137-J137)</f>
        <v>0</v>
      </c>
      <c r="G137" s="150">
        <f>SUMIF(积分汇总!$B:$B,C137,积分汇总!$E:$E)</f>
        <v>0</v>
      </c>
      <c r="H137" s="150">
        <f>SUMIF(记录巡查问题条数汇总!$B:$B,C137,记录巡查问题条数汇总!$E:$E)</f>
        <v>0</v>
      </c>
      <c r="I137" s="150"/>
      <c r="J137" s="150">
        <f>SUMIF(安全质量事故!$B:$B,C137,安全质量事故!$G:$G)</f>
        <v>0</v>
      </c>
      <c r="K137" s="141">
        <f>COUNTIF(L137:AP137,标准数据!$A$2)*标准数据!$B$2+COUNTIF(L137:AP137,标准数据!$A$3)*标准数据!$B$3+COUNTIF(L137:AP137,标准数据!$A$4)*标准数据!$B$4</f>
        <v>0</v>
      </c>
      <c r="L137" s="183"/>
      <c r="M137" s="183"/>
      <c r="N137" s="183"/>
      <c r="O137" s="183"/>
      <c r="P137" s="183"/>
      <c r="Q137" s="183"/>
      <c r="R137" s="183"/>
      <c r="S137" s="183"/>
      <c r="T137" s="183"/>
      <c r="U137" s="183"/>
      <c r="V137" s="183"/>
      <c r="W137" s="183"/>
      <c r="X137" s="183"/>
      <c r="Y137" s="183"/>
      <c r="Z137" s="183"/>
      <c r="AA137" s="183"/>
      <c r="AB137" s="183"/>
      <c r="AC137" s="183"/>
      <c r="AD137" s="183"/>
      <c r="AE137" s="183"/>
      <c r="AF137" s="183"/>
      <c r="AG137" s="183"/>
      <c r="AH137" s="183"/>
      <c r="AI137" s="183"/>
      <c r="AJ137" s="183"/>
      <c r="AK137" s="183"/>
      <c r="AL137" s="183"/>
      <c r="AM137" s="183"/>
      <c r="AN137" s="183"/>
      <c r="AO137" s="183"/>
      <c r="AP137" s="183"/>
      <c r="AT137" s="149" t="s">
        <v>1363</v>
      </c>
      <c r="AU137" s="94" t="s">
        <v>319</v>
      </c>
    </row>
    <row r="138" spans="1:47" ht="21" customHeight="1" x14ac:dyDescent="0.35">
      <c r="A138" s="260"/>
      <c r="B138" s="98" t="s">
        <v>158</v>
      </c>
      <c r="C138" s="99" t="s">
        <v>204</v>
      </c>
      <c r="D138" s="100" t="s">
        <v>159</v>
      </c>
      <c r="E138" s="101">
        <v>44620</v>
      </c>
      <c r="F138" s="102">
        <f t="shared" si="5"/>
        <v>0</v>
      </c>
      <c r="G138" s="150">
        <f>SUMIF(积分汇总!$B:$B,C138,积分汇总!$E:$E)</f>
        <v>0</v>
      </c>
      <c r="H138" s="150">
        <f>SUMIF(记录巡查问题条数汇总!$B:$B,C138,记录巡查问题条数汇总!$E:$E)</f>
        <v>0</v>
      </c>
      <c r="I138" s="150"/>
      <c r="J138" s="150">
        <f>SUMIF(安全质量事故!$B:$B,C138,安全质量事故!$G:$G)</f>
        <v>0</v>
      </c>
      <c r="K138" s="141">
        <f>COUNTIF(L138:AP138,标准数据!$A$2)*标准数据!$B$2+COUNTIF(L138:AP138,标准数据!$A$3)*标准数据!$B$3+COUNTIF(L138:AP138,标准数据!$A$4)*标准数据!$B$4</f>
        <v>0</v>
      </c>
      <c r="L138" s="183"/>
      <c r="M138" s="183"/>
      <c r="N138" s="183"/>
      <c r="O138" s="183"/>
      <c r="P138" s="183"/>
      <c r="Q138" s="183"/>
      <c r="R138" s="183"/>
      <c r="S138" s="183"/>
      <c r="T138" s="183"/>
      <c r="U138" s="183"/>
      <c r="V138" s="183"/>
      <c r="W138" s="183"/>
      <c r="X138" s="183"/>
      <c r="Y138" s="183"/>
      <c r="Z138" s="183"/>
      <c r="AA138" s="183"/>
      <c r="AB138" s="183"/>
      <c r="AC138" s="183"/>
      <c r="AD138" s="183"/>
      <c r="AE138" s="183"/>
      <c r="AF138" s="183"/>
      <c r="AG138" s="183"/>
      <c r="AH138" s="183"/>
      <c r="AI138" s="183"/>
      <c r="AJ138" s="183"/>
      <c r="AK138" s="183"/>
      <c r="AL138" s="183"/>
      <c r="AM138" s="183"/>
      <c r="AN138" s="183"/>
      <c r="AO138" s="183"/>
      <c r="AP138" s="183"/>
      <c r="AQ138" s="94"/>
      <c r="AR138" s="94"/>
      <c r="AS138" s="94"/>
      <c r="AT138" s="149" t="s">
        <v>159</v>
      </c>
      <c r="AU138" s="94" t="s">
        <v>319</v>
      </c>
    </row>
    <row r="139" spans="1:47" ht="21" customHeight="1" x14ac:dyDescent="0.35">
      <c r="A139" s="260"/>
      <c r="B139" s="98" t="s">
        <v>158</v>
      </c>
      <c r="C139" s="99" t="s">
        <v>249</v>
      </c>
      <c r="D139" s="100" t="s">
        <v>250</v>
      </c>
      <c r="E139" s="101">
        <v>45476</v>
      </c>
      <c r="F139" s="102">
        <f t="shared" si="5"/>
        <v>0</v>
      </c>
      <c r="G139" s="150">
        <f>SUMIF(积分汇总!$B:$B,C139,积分汇总!$E:$E)</f>
        <v>0</v>
      </c>
      <c r="H139" s="150">
        <f>SUMIF(记录巡查问题条数汇总!$B:$B,C139,记录巡查问题条数汇总!$E:$E)</f>
        <v>0</v>
      </c>
      <c r="I139" s="150"/>
      <c r="J139" s="150">
        <f>SUMIF(安全质量事故!$B:$B,C139,安全质量事故!$G:$G)</f>
        <v>0</v>
      </c>
      <c r="K139" s="141">
        <f>COUNTIF(L139:AP139,标准数据!$A$2)*标准数据!$B$2+COUNTIF(L139:AP139,标准数据!$A$3)*标准数据!$B$3+COUNTIF(L139:AP139,标准数据!$A$4)*标准数据!$B$4</f>
        <v>0</v>
      </c>
      <c r="L139" s="183"/>
      <c r="M139" s="183"/>
      <c r="N139" s="183"/>
      <c r="O139" s="183"/>
      <c r="P139" s="183"/>
      <c r="Q139" s="183"/>
      <c r="R139" s="183"/>
      <c r="S139" s="183"/>
      <c r="T139" s="183"/>
      <c r="U139" s="183"/>
      <c r="V139" s="183"/>
      <c r="W139" s="183"/>
      <c r="X139" s="183"/>
      <c r="Y139" s="183"/>
      <c r="Z139" s="183"/>
      <c r="AA139" s="183"/>
      <c r="AB139" s="183"/>
      <c r="AC139" s="183"/>
      <c r="AD139" s="183"/>
      <c r="AE139" s="183"/>
      <c r="AF139" s="183"/>
      <c r="AG139" s="183"/>
      <c r="AH139" s="183"/>
      <c r="AI139" s="183"/>
      <c r="AJ139" s="183"/>
      <c r="AK139" s="183"/>
      <c r="AL139" s="183"/>
      <c r="AM139" s="183"/>
      <c r="AN139" s="183"/>
      <c r="AO139" s="183"/>
      <c r="AP139" s="183"/>
      <c r="AQ139" s="94"/>
      <c r="AR139" s="94"/>
      <c r="AS139" s="94"/>
      <c r="AT139" s="149" t="s">
        <v>250</v>
      </c>
      <c r="AU139" s="94" t="s">
        <v>319</v>
      </c>
    </row>
    <row r="140" spans="1:47" ht="21" customHeight="1" x14ac:dyDescent="0.35">
      <c r="A140" s="260"/>
      <c r="B140" s="98" t="s">
        <v>158</v>
      </c>
      <c r="C140" s="99" t="s">
        <v>323</v>
      </c>
      <c r="D140" s="100" t="s">
        <v>313</v>
      </c>
      <c r="E140" s="101">
        <v>45574</v>
      </c>
      <c r="F140" s="102">
        <f t="shared" si="5"/>
        <v>0</v>
      </c>
      <c r="G140" s="150">
        <f>SUMIF(积分汇总!$B:$B,C140,积分汇总!$E:$E)</f>
        <v>0</v>
      </c>
      <c r="H140" s="150">
        <f>SUMIF(记录巡查问题条数汇总!$B:$B,C140,记录巡查问题条数汇总!$E:$E)</f>
        <v>0</v>
      </c>
      <c r="I140" s="150"/>
      <c r="J140" s="150">
        <f>SUMIF(安全质量事故!$B:$B,C140,安全质量事故!$G:$G)</f>
        <v>0</v>
      </c>
      <c r="K140" s="141">
        <f>COUNTIF(L140:AP140,标准数据!$A$2)*标准数据!$B$2+COUNTIF(L140:AP140,标准数据!$A$3)*标准数据!$B$3+COUNTIF(L140:AP140,标准数据!$A$4)*标准数据!$B$4</f>
        <v>0</v>
      </c>
      <c r="L140" s="183"/>
      <c r="M140" s="183"/>
      <c r="N140" s="183"/>
      <c r="O140" s="183"/>
      <c r="P140" s="183"/>
      <c r="Q140" s="183"/>
      <c r="R140" s="183"/>
      <c r="S140" s="183"/>
      <c r="T140" s="183"/>
      <c r="U140" s="183"/>
      <c r="V140" s="183"/>
      <c r="W140" s="183"/>
      <c r="X140" s="183"/>
      <c r="Y140" s="183"/>
      <c r="Z140" s="183"/>
      <c r="AA140" s="183"/>
      <c r="AB140" s="183"/>
      <c r="AC140" s="183"/>
      <c r="AD140" s="183"/>
      <c r="AE140" s="183"/>
      <c r="AF140" s="183"/>
      <c r="AG140" s="183"/>
      <c r="AH140" s="183"/>
      <c r="AI140" s="183"/>
      <c r="AJ140" s="183"/>
      <c r="AK140" s="183"/>
      <c r="AL140" s="183"/>
      <c r="AM140" s="183"/>
      <c r="AN140" s="183"/>
      <c r="AO140" s="183"/>
      <c r="AP140" s="183"/>
      <c r="AQ140" s="94"/>
      <c r="AR140" s="94"/>
      <c r="AS140" s="94"/>
      <c r="AT140" s="149" t="s">
        <v>313</v>
      </c>
      <c r="AU140" s="94" t="s">
        <v>319</v>
      </c>
    </row>
    <row r="141" spans="1:47" ht="21" customHeight="1" x14ac:dyDescent="0.35">
      <c r="A141" s="260"/>
      <c r="B141" s="98" t="s">
        <v>158</v>
      </c>
      <c r="C141" s="99" t="s">
        <v>359</v>
      </c>
      <c r="D141" s="100" t="s">
        <v>339</v>
      </c>
      <c r="E141" s="101">
        <v>45616</v>
      </c>
      <c r="F141" s="102">
        <f t="shared" si="5"/>
        <v>0</v>
      </c>
      <c r="G141" s="150">
        <f>SUMIF(积分汇总!$B:$B,C141,积分汇总!$E:$E)</f>
        <v>0</v>
      </c>
      <c r="H141" s="150">
        <f>SUMIF(记录巡查问题条数汇总!$B:$B,C141,记录巡查问题条数汇总!$E:$E)</f>
        <v>0</v>
      </c>
      <c r="I141" s="150"/>
      <c r="J141" s="150">
        <f>SUMIF(安全质量事故!$B:$B,C141,安全质量事故!$G:$G)</f>
        <v>0</v>
      </c>
      <c r="K141" s="141">
        <f>COUNTIF(L141:AP141,标准数据!$A$2)*标准数据!$B$2+COUNTIF(L141:AP141,标准数据!$A$3)*标准数据!$B$3+COUNTIF(L141:AP141,标准数据!$A$4)*标准数据!$B$4</f>
        <v>0</v>
      </c>
      <c r="L141" s="183"/>
      <c r="M141" s="183"/>
      <c r="N141" s="183"/>
      <c r="O141" s="183"/>
      <c r="P141" s="183"/>
      <c r="Q141" s="183"/>
      <c r="R141" s="183"/>
      <c r="S141" s="183"/>
      <c r="T141" s="183"/>
      <c r="U141" s="183"/>
      <c r="V141" s="183"/>
      <c r="W141" s="183"/>
      <c r="X141" s="183"/>
      <c r="Y141" s="183"/>
      <c r="Z141" s="183"/>
      <c r="AA141" s="183"/>
      <c r="AB141" s="183"/>
      <c r="AC141" s="183"/>
      <c r="AD141" s="183"/>
      <c r="AE141" s="183"/>
      <c r="AF141" s="183"/>
      <c r="AG141" s="183"/>
      <c r="AH141" s="183"/>
      <c r="AI141" s="183"/>
      <c r="AJ141" s="183"/>
      <c r="AK141" s="183"/>
      <c r="AL141" s="183"/>
      <c r="AM141" s="183"/>
      <c r="AN141" s="183"/>
      <c r="AO141" s="183"/>
      <c r="AP141" s="183"/>
      <c r="AQ141" s="94"/>
      <c r="AR141" s="94"/>
      <c r="AS141" s="94"/>
      <c r="AT141" s="149" t="s">
        <v>339</v>
      </c>
      <c r="AU141" s="94" t="s">
        <v>319</v>
      </c>
    </row>
    <row r="142" spans="1:47" ht="21" customHeight="1" x14ac:dyDescent="0.35">
      <c r="A142" s="260"/>
      <c r="B142" s="98" t="s">
        <v>138</v>
      </c>
      <c r="C142" s="99" t="s">
        <v>408</v>
      </c>
      <c r="D142" s="100" t="s">
        <v>395</v>
      </c>
      <c r="E142" s="101">
        <v>45700</v>
      </c>
      <c r="F142" s="102">
        <f t="shared" si="5"/>
        <v>0</v>
      </c>
      <c r="G142" s="150">
        <f>SUMIF(积分汇总!$B:$B,C142,积分汇总!$E:$E)</f>
        <v>0</v>
      </c>
      <c r="H142" s="150">
        <f>SUMIF(记录巡查问题条数汇总!$B:$B,C142,记录巡查问题条数汇总!$E:$E)</f>
        <v>0</v>
      </c>
      <c r="I142" s="150"/>
      <c r="J142" s="150">
        <f>SUMIF(安全质量事故!$B:$B,C142,安全质量事故!$G:$G)</f>
        <v>0</v>
      </c>
      <c r="K142" s="141">
        <f>COUNTIF(L142:AP142,标准数据!$A$2)*标准数据!$B$2+COUNTIF(L142:AP142,标准数据!$A$3)*标准数据!$B$3+COUNTIF(L142:AP142,标准数据!$A$4)*标准数据!$B$4</f>
        <v>0</v>
      </c>
      <c r="L142" s="183"/>
      <c r="M142" s="183"/>
      <c r="N142" s="183"/>
      <c r="O142" s="183"/>
      <c r="P142" s="183"/>
      <c r="Q142" s="183"/>
      <c r="R142" s="183"/>
      <c r="S142" s="183"/>
      <c r="T142" s="183"/>
      <c r="U142" s="183"/>
      <c r="V142" s="183"/>
      <c r="W142" s="183"/>
      <c r="X142" s="183"/>
      <c r="Y142" s="183"/>
      <c r="Z142" s="183"/>
      <c r="AA142" s="183"/>
      <c r="AB142" s="183"/>
      <c r="AC142" s="183"/>
      <c r="AD142" s="183"/>
      <c r="AE142" s="183"/>
      <c r="AF142" s="183"/>
      <c r="AG142" s="183"/>
      <c r="AH142" s="183"/>
      <c r="AI142" s="183"/>
      <c r="AJ142" s="183"/>
      <c r="AK142" s="183"/>
      <c r="AL142" s="183"/>
      <c r="AM142" s="183"/>
      <c r="AN142" s="183"/>
      <c r="AO142" s="183"/>
      <c r="AP142" s="183"/>
      <c r="AT142" s="149" t="s">
        <v>395</v>
      </c>
      <c r="AU142" s="94" t="s">
        <v>319</v>
      </c>
    </row>
    <row r="143" spans="1:47" ht="21" customHeight="1" x14ac:dyDescent="0.35">
      <c r="A143" s="260"/>
      <c r="B143" s="98" t="s">
        <v>138</v>
      </c>
      <c r="C143" s="99" t="s">
        <v>413</v>
      </c>
      <c r="D143" s="100" t="s">
        <v>409</v>
      </c>
      <c r="E143" s="101">
        <v>45735</v>
      </c>
      <c r="F143" s="102">
        <f t="shared" si="5"/>
        <v>0</v>
      </c>
      <c r="G143" s="150">
        <f>SUMIF(积分汇总!$B:$B,C143,积分汇总!$E:$E)</f>
        <v>0</v>
      </c>
      <c r="H143" s="150">
        <f>SUMIF(记录巡查问题条数汇总!$B:$B,C143,记录巡查问题条数汇总!$E:$E)</f>
        <v>0</v>
      </c>
      <c r="I143" s="150"/>
      <c r="J143" s="150">
        <f>SUMIF(安全质量事故!$B:$B,C143,安全质量事故!$G:$G)</f>
        <v>0</v>
      </c>
      <c r="K143" s="141">
        <f>COUNTIF(L143:AP143,标准数据!$A$2)*标准数据!$B$2+COUNTIF(L143:AP143,标准数据!$A$3)*标准数据!$B$3+COUNTIF(L143:AP143,标准数据!$A$4)*标准数据!$B$4</f>
        <v>0</v>
      </c>
      <c r="L143" s="183"/>
      <c r="M143" s="183"/>
      <c r="N143" s="183"/>
      <c r="O143" s="183"/>
      <c r="P143" s="183"/>
      <c r="Q143" s="183"/>
      <c r="R143" s="183"/>
      <c r="S143" s="183"/>
      <c r="T143" s="183"/>
      <c r="U143" s="183"/>
      <c r="V143" s="183"/>
      <c r="W143" s="183"/>
      <c r="X143" s="183"/>
      <c r="Y143" s="183"/>
      <c r="Z143" s="183"/>
      <c r="AA143" s="183"/>
      <c r="AB143" s="183"/>
      <c r="AC143" s="183"/>
      <c r="AD143" s="183"/>
      <c r="AE143" s="183"/>
      <c r="AF143" s="183"/>
      <c r="AG143" s="183"/>
      <c r="AH143" s="183"/>
      <c r="AI143" s="183"/>
      <c r="AJ143" s="183"/>
      <c r="AK143" s="183"/>
      <c r="AL143" s="183"/>
      <c r="AM143" s="183"/>
      <c r="AN143" s="183"/>
      <c r="AO143" s="183"/>
      <c r="AP143" s="183"/>
      <c r="AT143" s="149" t="s">
        <v>409</v>
      </c>
      <c r="AU143" s="94" t="s">
        <v>319</v>
      </c>
    </row>
    <row r="144" spans="1:47" ht="21" customHeight="1" x14ac:dyDescent="0.35">
      <c r="A144" s="260"/>
      <c r="B144" s="98" t="s">
        <v>138</v>
      </c>
      <c r="C144" s="99" t="s">
        <v>374</v>
      </c>
      <c r="D144" s="100" t="s">
        <v>367</v>
      </c>
      <c r="E144" s="101">
        <v>45630</v>
      </c>
      <c r="F144" s="102">
        <f t="shared" si="5"/>
        <v>0</v>
      </c>
      <c r="G144" s="150">
        <f>SUMIF(积分汇总!$B:$B,C144,积分汇总!$E:$E)</f>
        <v>0</v>
      </c>
      <c r="H144" s="150">
        <f>SUMIF(记录巡查问题条数汇总!$B:$B,C144,记录巡查问题条数汇总!$E:$E)</f>
        <v>0</v>
      </c>
      <c r="I144" s="150"/>
      <c r="J144" s="150">
        <f>SUMIF(安全质量事故!$B:$B,C144,安全质量事故!$G:$G)</f>
        <v>0</v>
      </c>
      <c r="K144" s="141">
        <f>COUNTIF(L144:AP144,标准数据!$A$2)*标准数据!$B$2+COUNTIF(L144:AP144,标准数据!$A$3)*标准数据!$B$3+COUNTIF(L144:AP144,标准数据!$A$4)*标准数据!$B$4</f>
        <v>0</v>
      </c>
      <c r="L144" s="183"/>
      <c r="M144" s="183"/>
      <c r="N144" s="183"/>
      <c r="O144" s="183"/>
      <c r="P144" s="183"/>
      <c r="Q144" s="183"/>
      <c r="R144" s="183"/>
      <c r="S144" s="183"/>
      <c r="T144" s="183"/>
      <c r="U144" s="183"/>
      <c r="V144" s="183"/>
      <c r="W144" s="183"/>
      <c r="X144" s="183"/>
      <c r="Y144" s="183"/>
      <c r="Z144" s="183"/>
      <c r="AA144" s="183"/>
      <c r="AB144" s="183"/>
      <c r="AC144" s="183"/>
      <c r="AD144" s="183"/>
      <c r="AE144" s="183"/>
      <c r="AF144" s="183"/>
      <c r="AG144" s="183"/>
      <c r="AH144" s="183"/>
      <c r="AI144" s="183"/>
      <c r="AJ144" s="183"/>
      <c r="AK144" s="183"/>
      <c r="AL144" s="183"/>
      <c r="AM144" s="183"/>
      <c r="AN144" s="183"/>
      <c r="AO144" s="183"/>
      <c r="AP144" s="183"/>
      <c r="AT144" s="149" t="s">
        <v>367</v>
      </c>
      <c r="AU144" s="94" t="s">
        <v>319</v>
      </c>
    </row>
    <row r="145" spans="1:47" ht="21" customHeight="1" x14ac:dyDescent="0.35">
      <c r="A145" s="260"/>
      <c r="B145" s="98" t="s">
        <v>138</v>
      </c>
      <c r="C145" s="99" t="s">
        <v>513</v>
      </c>
      <c r="D145" s="100" t="s">
        <v>470</v>
      </c>
      <c r="E145" s="101">
        <v>45840</v>
      </c>
      <c r="F145" s="102">
        <f t="shared" si="5"/>
        <v>0</v>
      </c>
      <c r="G145" s="150">
        <f>SUMIF(积分汇总!$B:$B,C145,积分汇总!$E:$E)</f>
        <v>0</v>
      </c>
      <c r="H145" s="150">
        <f>SUMIF(记录巡查问题条数汇总!$B:$B,C145,记录巡查问题条数汇总!$E:$E)</f>
        <v>0</v>
      </c>
      <c r="I145" s="150"/>
      <c r="J145" s="150">
        <f>SUMIF(安全质量事故!$B:$B,C145,安全质量事故!$G:$G)</f>
        <v>0</v>
      </c>
      <c r="K145" s="141">
        <f>COUNTIF(L145:AP145,标准数据!$A$2)*标准数据!$B$2+COUNTIF(L145:AP145,标准数据!$A$3)*标准数据!$B$3+COUNTIF(L145:AP145,标准数据!$A$4)*标准数据!$B$4</f>
        <v>0</v>
      </c>
      <c r="L145" s="183"/>
      <c r="M145" s="183"/>
      <c r="N145" s="183"/>
      <c r="O145" s="183"/>
      <c r="P145" s="183"/>
      <c r="Q145" s="183"/>
      <c r="R145" s="183"/>
      <c r="S145" s="183"/>
      <c r="T145" s="183"/>
      <c r="U145" s="183"/>
      <c r="V145" s="183"/>
      <c r="W145" s="183"/>
      <c r="X145" s="183"/>
      <c r="Y145" s="183"/>
      <c r="Z145" s="183"/>
      <c r="AA145" s="183"/>
      <c r="AB145" s="183"/>
      <c r="AC145" s="183"/>
      <c r="AD145" s="183"/>
      <c r="AE145" s="183"/>
      <c r="AF145" s="183"/>
      <c r="AG145" s="183"/>
      <c r="AH145" s="183"/>
      <c r="AI145" s="183"/>
      <c r="AJ145" s="183"/>
      <c r="AK145" s="183"/>
      <c r="AL145" s="183"/>
      <c r="AM145" s="183"/>
      <c r="AN145" s="183"/>
      <c r="AO145" s="183"/>
      <c r="AP145" s="183"/>
      <c r="AT145" s="149" t="s">
        <v>470</v>
      </c>
      <c r="AU145" s="94" t="s">
        <v>319</v>
      </c>
    </row>
    <row r="146" spans="1:47" ht="21" customHeight="1" x14ac:dyDescent="0.35">
      <c r="A146" s="260"/>
      <c r="B146" s="98" t="s">
        <v>138</v>
      </c>
      <c r="C146" s="99" t="s">
        <v>514</v>
      </c>
      <c r="D146" s="100" t="s">
        <v>472</v>
      </c>
      <c r="E146" s="101">
        <v>45854</v>
      </c>
      <c r="F146" s="102">
        <f t="shared" si="5"/>
        <v>0</v>
      </c>
      <c r="G146" s="150">
        <f>SUMIF(积分汇总!$B:$B,C146,积分汇总!$E:$E)</f>
        <v>0</v>
      </c>
      <c r="H146" s="150">
        <f>SUMIF(记录巡查问题条数汇总!$B:$B,C146,记录巡查问题条数汇总!$E:$E)</f>
        <v>0</v>
      </c>
      <c r="I146" s="150"/>
      <c r="J146" s="150">
        <f>SUMIF(安全质量事故!$B:$B,C146,安全质量事故!$G:$G)</f>
        <v>0</v>
      </c>
      <c r="K146" s="141">
        <f>COUNTIF(L146:AP146,标准数据!$A$2)*标准数据!$B$2+COUNTIF(L146:AP146,标准数据!$A$3)*标准数据!$B$3+COUNTIF(L146:AP146,标准数据!$A$4)*标准数据!$B$4</f>
        <v>0</v>
      </c>
      <c r="L146" s="183"/>
      <c r="M146" s="183"/>
      <c r="N146" s="183"/>
      <c r="O146" s="183"/>
      <c r="P146" s="183"/>
      <c r="Q146" s="183"/>
      <c r="R146" s="183"/>
      <c r="S146" s="183"/>
      <c r="T146" s="183"/>
      <c r="U146" s="183"/>
      <c r="V146" s="183"/>
      <c r="W146" s="183"/>
      <c r="X146" s="183"/>
      <c r="Y146" s="183"/>
      <c r="Z146" s="183"/>
      <c r="AA146" s="183"/>
      <c r="AB146" s="183"/>
      <c r="AC146" s="183"/>
      <c r="AD146" s="183"/>
      <c r="AE146" s="183"/>
      <c r="AF146" s="183"/>
      <c r="AG146" s="183"/>
      <c r="AH146" s="183"/>
      <c r="AI146" s="183"/>
      <c r="AJ146" s="183"/>
      <c r="AK146" s="183"/>
      <c r="AL146" s="183"/>
      <c r="AM146" s="183"/>
      <c r="AN146" s="183"/>
      <c r="AO146" s="183"/>
      <c r="AP146" s="183"/>
      <c r="AT146" s="149" t="s">
        <v>472</v>
      </c>
      <c r="AU146" s="94" t="s">
        <v>319</v>
      </c>
    </row>
    <row r="147" spans="1:47" ht="21" customHeight="1" x14ac:dyDescent="0.35">
      <c r="A147" s="260"/>
      <c r="B147" s="98" t="s">
        <v>138</v>
      </c>
      <c r="C147" s="99" t="s">
        <v>515</v>
      </c>
      <c r="D147" s="100" t="s">
        <v>473</v>
      </c>
      <c r="E147" s="101">
        <v>45812</v>
      </c>
      <c r="F147" s="102">
        <f t="shared" si="5"/>
        <v>0</v>
      </c>
      <c r="G147" s="150">
        <f>SUMIF(积分汇总!$B:$B,C147,积分汇总!$E:$E)</f>
        <v>0</v>
      </c>
      <c r="H147" s="150">
        <f>SUMIF(记录巡查问题条数汇总!$B:$B,C147,记录巡查问题条数汇总!$E:$E)</f>
        <v>0</v>
      </c>
      <c r="I147" s="150"/>
      <c r="J147" s="150">
        <f>SUMIF(安全质量事故!$B:$B,C147,安全质量事故!$G:$G)</f>
        <v>0</v>
      </c>
      <c r="K147" s="141">
        <f>COUNTIF(L147:AP147,标准数据!$A$2)*标准数据!$B$2+COUNTIF(L147:AP147,标准数据!$A$3)*标准数据!$B$3+COUNTIF(L147:AP147,标准数据!$A$4)*标准数据!$B$4</f>
        <v>0</v>
      </c>
      <c r="L147" s="183"/>
      <c r="M147" s="183"/>
      <c r="N147" s="183"/>
      <c r="O147" s="183"/>
      <c r="P147" s="183"/>
      <c r="Q147" s="183"/>
      <c r="R147" s="183"/>
      <c r="S147" s="183"/>
      <c r="T147" s="183"/>
      <c r="U147" s="183"/>
      <c r="V147" s="183"/>
      <c r="W147" s="183"/>
      <c r="X147" s="183"/>
      <c r="Y147" s="183"/>
      <c r="Z147" s="183"/>
      <c r="AA147" s="183"/>
      <c r="AB147" s="183"/>
      <c r="AC147" s="183"/>
      <c r="AD147" s="183"/>
      <c r="AE147" s="183"/>
      <c r="AF147" s="183"/>
      <c r="AG147" s="183"/>
      <c r="AH147" s="183"/>
      <c r="AI147" s="183"/>
      <c r="AJ147" s="183"/>
      <c r="AK147" s="183"/>
      <c r="AL147" s="183"/>
      <c r="AM147" s="183"/>
      <c r="AN147" s="183"/>
      <c r="AO147" s="183"/>
      <c r="AP147" s="183"/>
      <c r="AT147" s="149" t="s">
        <v>473</v>
      </c>
      <c r="AU147" s="94" t="s">
        <v>319</v>
      </c>
    </row>
    <row r="148" spans="1:47" ht="21" customHeight="1" x14ac:dyDescent="0.35">
      <c r="A148" s="260"/>
      <c r="B148" s="98" t="s">
        <v>138</v>
      </c>
      <c r="C148" s="99" t="s">
        <v>589</v>
      </c>
      <c r="D148" s="100" t="s">
        <v>547</v>
      </c>
      <c r="E148" s="101">
        <v>45875</v>
      </c>
      <c r="F148" s="102">
        <f t="shared" si="5"/>
        <v>0</v>
      </c>
      <c r="G148" s="150">
        <f>SUMIF(积分汇总!$B:$B,C148,积分汇总!$E:$E)</f>
        <v>0</v>
      </c>
      <c r="H148" s="150">
        <f>SUMIF(记录巡查问题条数汇总!$B:$B,C148,记录巡查问题条数汇总!$E:$E)</f>
        <v>0</v>
      </c>
      <c r="I148" s="150"/>
      <c r="J148" s="150">
        <f>SUMIF(安全质量事故!$B:$B,C148,安全质量事故!$G:$G)</f>
        <v>0</v>
      </c>
      <c r="K148" s="141">
        <f>COUNTIF(L148:AP148,标准数据!$A$2)*标准数据!$B$2+COUNTIF(L148:AP148,标准数据!$A$3)*标准数据!$B$3+COUNTIF(L148:AP148,标准数据!$A$4)*标准数据!$B$4</f>
        <v>0</v>
      </c>
      <c r="L148" s="183"/>
      <c r="M148" s="183"/>
      <c r="N148" s="183"/>
      <c r="O148" s="183"/>
      <c r="P148" s="183"/>
      <c r="Q148" s="183"/>
      <c r="R148" s="183"/>
      <c r="S148" s="183"/>
      <c r="T148" s="183"/>
      <c r="U148" s="183"/>
      <c r="V148" s="183"/>
      <c r="W148" s="183"/>
      <c r="X148" s="183"/>
      <c r="Y148" s="183"/>
      <c r="Z148" s="183"/>
      <c r="AA148" s="183"/>
      <c r="AB148" s="183"/>
      <c r="AC148" s="183"/>
      <c r="AD148" s="183"/>
      <c r="AE148" s="183"/>
      <c r="AF148" s="183"/>
      <c r="AG148" s="183"/>
      <c r="AH148" s="183"/>
      <c r="AI148" s="183"/>
      <c r="AJ148" s="183"/>
      <c r="AK148" s="183"/>
      <c r="AL148" s="183"/>
      <c r="AM148" s="183"/>
      <c r="AN148" s="183"/>
      <c r="AO148" s="183"/>
      <c r="AP148" s="183"/>
      <c r="AT148" s="149" t="s">
        <v>547</v>
      </c>
      <c r="AU148" s="94" t="s">
        <v>319</v>
      </c>
    </row>
    <row r="149" spans="1:47" ht="21" customHeight="1" x14ac:dyDescent="0.35">
      <c r="A149" s="260"/>
      <c r="B149" s="98" t="s">
        <v>138</v>
      </c>
      <c r="C149" s="99" t="s">
        <v>590</v>
      </c>
      <c r="D149" s="100" t="s">
        <v>550</v>
      </c>
      <c r="E149" s="101">
        <v>45875</v>
      </c>
      <c r="F149" s="102">
        <f t="shared" si="5"/>
        <v>0</v>
      </c>
      <c r="G149" s="150">
        <f>SUMIF(积分汇总!$B:$B,C149,积分汇总!$E:$E)</f>
        <v>0</v>
      </c>
      <c r="H149" s="150">
        <f>SUMIF(记录巡查问题条数汇总!$B:$B,C149,记录巡查问题条数汇总!$E:$E)</f>
        <v>0</v>
      </c>
      <c r="I149" s="150"/>
      <c r="J149" s="150">
        <f>SUMIF(安全质量事故!$B:$B,C149,安全质量事故!$G:$G)</f>
        <v>0</v>
      </c>
      <c r="K149" s="141">
        <f>COUNTIF(L149:AP149,标准数据!$A$2)*标准数据!$B$2+COUNTIF(L149:AP149,标准数据!$A$3)*标准数据!$B$3+COUNTIF(L149:AP149,标准数据!$A$4)*标准数据!$B$4</f>
        <v>0</v>
      </c>
      <c r="L149" s="183"/>
      <c r="M149" s="183"/>
      <c r="N149" s="183"/>
      <c r="O149" s="183"/>
      <c r="P149" s="183"/>
      <c r="Q149" s="183"/>
      <c r="R149" s="183"/>
      <c r="S149" s="183"/>
      <c r="T149" s="183"/>
      <c r="U149" s="183"/>
      <c r="V149" s="183"/>
      <c r="W149" s="183"/>
      <c r="X149" s="183"/>
      <c r="Y149" s="183"/>
      <c r="Z149" s="183"/>
      <c r="AA149" s="183"/>
      <c r="AB149" s="183"/>
      <c r="AC149" s="183"/>
      <c r="AD149" s="183"/>
      <c r="AE149" s="183"/>
      <c r="AF149" s="183"/>
      <c r="AG149" s="183"/>
      <c r="AH149" s="183"/>
      <c r="AI149" s="183"/>
      <c r="AJ149" s="183"/>
      <c r="AK149" s="183"/>
      <c r="AL149" s="183"/>
      <c r="AM149" s="183"/>
      <c r="AN149" s="183"/>
      <c r="AO149" s="183"/>
      <c r="AP149" s="183"/>
      <c r="AT149" s="149" t="s">
        <v>550</v>
      </c>
      <c r="AU149" s="94" t="s">
        <v>319</v>
      </c>
    </row>
    <row r="150" spans="1:47" ht="21" customHeight="1" x14ac:dyDescent="0.35">
      <c r="A150" s="260"/>
      <c r="B150" s="98" t="s">
        <v>138</v>
      </c>
      <c r="C150" s="99" t="s">
        <v>591</v>
      </c>
      <c r="D150" s="100" t="s">
        <v>551</v>
      </c>
      <c r="E150" s="101">
        <v>45861</v>
      </c>
      <c r="F150" s="102">
        <f t="shared" si="5"/>
        <v>0</v>
      </c>
      <c r="G150" s="150">
        <f>SUMIF(积分汇总!$B:$B,C150,积分汇总!$E:$E)</f>
        <v>0</v>
      </c>
      <c r="H150" s="150">
        <f>SUMIF(记录巡查问题条数汇总!$B:$B,C150,记录巡查问题条数汇总!$E:$E)</f>
        <v>0</v>
      </c>
      <c r="I150" s="150"/>
      <c r="J150" s="150">
        <f>SUMIF(安全质量事故!$B:$B,C150,安全质量事故!$G:$G)</f>
        <v>0</v>
      </c>
      <c r="K150" s="141">
        <f>COUNTIF(L150:AP150,标准数据!$A$2)*标准数据!$B$2+COUNTIF(L150:AP150,标准数据!$A$3)*标准数据!$B$3+COUNTIF(L150:AP150,标准数据!$A$4)*标准数据!$B$4</f>
        <v>0</v>
      </c>
      <c r="L150" s="183"/>
      <c r="M150" s="183"/>
      <c r="N150" s="183"/>
      <c r="O150" s="183"/>
      <c r="P150" s="183"/>
      <c r="Q150" s="183"/>
      <c r="R150" s="183"/>
      <c r="S150" s="183"/>
      <c r="T150" s="183"/>
      <c r="U150" s="183"/>
      <c r="V150" s="183"/>
      <c r="W150" s="183"/>
      <c r="X150" s="183"/>
      <c r="Y150" s="183"/>
      <c r="Z150" s="183"/>
      <c r="AA150" s="183"/>
      <c r="AB150" s="183"/>
      <c r="AC150" s="183"/>
      <c r="AD150" s="183"/>
      <c r="AE150" s="183"/>
      <c r="AF150" s="183"/>
      <c r="AG150" s="183"/>
      <c r="AH150" s="183"/>
      <c r="AI150" s="183"/>
      <c r="AJ150" s="183"/>
      <c r="AK150" s="183"/>
      <c r="AL150" s="183"/>
      <c r="AM150" s="183"/>
      <c r="AN150" s="183"/>
      <c r="AO150" s="183"/>
      <c r="AP150" s="183"/>
      <c r="AT150" s="149" t="s">
        <v>551</v>
      </c>
      <c r="AU150" s="94" t="s">
        <v>319</v>
      </c>
    </row>
    <row r="151" spans="1:47" ht="21" customHeight="1" x14ac:dyDescent="0.35">
      <c r="A151" s="260"/>
      <c r="B151" s="98" t="s">
        <v>138</v>
      </c>
      <c r="C151" s="99" t="s">
        <v>668</v>
      </c>
      <c r="D151" s="100" t="s">
        <v>619</v>
      </c>
      <c r="E151" s="101">
        <v>45896</v>
      </c>
      <c r="F151" s="102">
        <f t="shared" si="5"/>
        <v>0</v>
      </c>
      <c r="G151" s="150">
        <f>SUMIF(积分汇总!$B:$B,C151,积分汇总!$E:$E)</f>
        <v>0</v>
      </c>
      <c r="H151" s="150">
        <f>SUMIF(记录巡查问题条数汇总!$B:$B,C151,记录巡查问题条数汇总!$E:$E)</f>
        <v>0</v>
      </c>
      <c r="I151" s="150"/>
      <c r="J151" s="150">
        <f>SUMIF(安全质量事故!$B:$B,C151,安全质量事故!$G:$G)</f>
        <v>0</v>
      </c>
      <c r="K151" s="141">
        <f>COUNTIF(L151:AP151,标准数据!$A$2)*标准数据!$B$2+COUNTIF(L151:AP151,标准数据!$A$3)*标准数据!$B$3+COUNTIF(L151:AP151,标准数据!$A$4)*标准数据!$B$4</f>
        <v>0</v>
      </c>
      <c r="L151" s="183"/>
      <c r="M151" s="183"/>
      <c r="N151" s="183"/>
      <c r="O151" s="183"/>
      <c r="P151" s="183"/>
      <c r="Q151" s="183"/>
      <c r="R151" s="183"/>
      <c r="S151" s="183"/>
      <c r="T151" s="183"/>
      <c r="U151" s="183"/>
      <c r="V151" s="183"/>
      <c r="W151" s="183"/>
      <c r="X151" s="183"/>
      <c r="Y151" s="183"/>
      <c r="Z151" s="183"/>
      <c r="AA151" s="183"/>
      <c r="AB151" s="183"/>
      <c r="AC151" s="183"/>
      <c r="AD151" s="183"/>
      <c r="AE151" s="183"/>
      <c r="AF151" s="183"/>
      <c r="AG151" s="183"/>
      <c r="AH151" s="183"/>
      <c r="AI151" s="183"/>
      <c r="AJ151" s="183"/>
      <c r="AK151" s="183"/>
      <c r="AL151" s="183"/>
      <c r="AM151" s="183"/>
      <c r="AN151" s="183"/>
      <c r="AO151" s="183"/>
      <c r="AP151" s="183"/>
      <c r="AT151" s="149" t="s">
        <v>619</v>
      </c>
      <c r="AU151" s="94" t="s">
        <v>319</v>
      </c>
    </row>
    <row r="152" spans="1:47" ht="21" customHeight="1" x14ac:dyDescent="0.35">
      <c r="A152" s="260"/>
      <c r="B152" s="98" t="s">
        <v>138</v>
      </c>
      <c r="C152" s="99" t="s">
        <v>933</v>
      </c>
      <c r="D152" s="100" t="s">
        <v>838</v>
      </c>
      <c r="E152" s="101">
        <v>45575</v>
      </c>
      <c r="F152" s="102">
        <f t="shared" si="5"/>
        <v>0</v>
      </c>
      <c r="G152" s="150">
        <f>SUMIF(积分汇总!$B:$B,C152,积分汇总!$E:$E)</f>
        <v>0</v>
      </c>
      <c r="H152" s="150">
        <f>SUMIF(记录巡查问题条数汇总!$B:$B,C152,记录巡查问题条数汇总!$E:$E)</f>
        <v>0</v>
      </c>
      <c r="I152" s="150"/>
      <c r="J152" s="150">
        <f>SUMIF(安全质量事故!$B:$B,C152,安全质量事故!$G:$G)</f>
        <v>0</v>
      </c>
      <c r="K152" s="141">
        <f>COUNTIF(L152:AP152,标准数据!$A$2)*标准数据!$B$2+COUNTIF(L152:AP152,标准数据!$A$3)*标准数据!$B$3+COUNTIF(L152:AP152,标准数据!$A$4)*标准数据!$B$4</f>
        <v>0</v>
      </c>
      <c r="L152" s="183"/>
      <c r="M152" s="183"/>
      <c r="N152" s="183"/>
      <c r="O152" s="183"/>
      <c r="P152" s="183"/>
      <c r="Q152" s="183"/>
      <c r="R152" s="183"/>
      <c r="S152" s="183"/>
      <c r="T152" s="183"/>
      <c r="U152" s="183"/>
      <c r="V152" s="183"/>
      <c r="W152" s="183"/>
      <c r="X152" s="183"/>
      <c r="Y152" s="183"/>
      <c r="Z152" s="183"/>
      <c r="AA152" s="183"/>
      <c r="AB152" s="183"/>
      <c r="AC152" s="183"/>
      <c r="AD152" s="183"/>
      <c r="AE152" s="183"/>
      <c r="AF152" s="183"/>
      <c r="AG152" s="183"/>
      <c r="AH152" s="183"/>
      <c r="AI152" s="183"/>
      <c r="AJ152" s="183"/>
      <c r="AK152" s="183"/>
      <c r="AL152" s="183"/>
      <c r="AM152" s="183"/>
      <c r="AN152" s="183"/>
      <c r="AO152" s="183"/>
      <c r="AP152" s="183"/>
      <c r="AT152" s="149" t="s">
        <v>838</v>
      </c>
      <c r="AU152" s="94" t="s">
        <v>319</v>
      </c>
    </row>
    <row r="153" spans="1:47" ht="21" customHeight="1" x14ac:dyDescent="0.35">
      <c r="A153" s="260"/>
      <c r="B153" s="98" t="s">
        <v>138</v>
      </c>
      <c r="C153" s="99" t="s">
        <v>934</v>
      </c>
      <c r="D153" s="100" t="s">
        <v>840</v>
      </c>
      <c r="E153" s="101">
        <v>44307</v>
      </c>
      <c r="F153" s="102">
        <f t="shared" si="5"/>
        <v>0</v>
      </c>
      <c r="G153" s="150">
        <f>SUMIF(积分汇总!$B:$B,C153,积分汇总!$E:$E)</f>
        <v>0</v>
      </c>
      <c r="H153" s="150">
        <f>SUMIF(记录巡查问题条数汇总!$B:$B,C153,记录巡查问题条数汇总!$E:$E)</f>
        <v>0</v>
      </c>
      <c r="I153" s="150"/>
      <c r="J153" s="150">
        <f>SUMIF(安全质量事故!$B:$B,C153,安全质量事故!$G:$G)</f>
        <v>0</v>
      </c>
      <c r="K153" s="141">
        <f>COUNTIF(L153:AP153,标准数据!$A$2)*标准数据!$B$2+COUNTIF(L153:AP153,标准数据!$A$3)*标准数据!$B$3+COUNTIF(L153:AP153,标准数据!$A$4)*标准数据!$B$4</f>
        <v>0</v>
      </c>
      <c r="L153" s="183"/>
      <c r="M153" s="183"/>
      <c r="N153" s="183"/>
      <c r="O153" s="183"/>
      <c r="P153" s="183"/>
      <c r="Q153" s="183"/>
      <c r="R153" s="183"/>
      <c r="S153" s="183"/>
      <c r="T153" s="183"/>
      <c r="U153" s="183"/>
      <c r="V153" s="183"/>
      <c r="W153" s="183"/>
      <c r="X153" s="183"/>
      <c r="Y153" s="183"/>
      <c r="Z153" s="183"/>
      <c r="AA153" s="183"/>
      <c r="AB153" s="183"/>
      <c r="AC153" s="183"/>
      <c r="AD153" s="183"/>
      <c r="AE153" s="183"/>
      <c r="AF153" s="183"/>
      <c r="AG153" s="183"/>
      <c r="AH153" s="183"/>
      <c r="AI153" s="183"/>
      <c r="AJ153" s="183"/>
      <c r="AK153" s="183"/>
      <c r="AL153" s="183"/>
      <c r="AM153" s="183"/>
      <c r="AN153" s="183"/>
      <c r="AO153" s="183"/>
      <c r="AP153" s="183"/>
      <c r="AT153" s="149" t="s">
        <v>840</v>
      </c>
      <c r="AU153" s="94" t="s">
        <v>319</v>
      </c>
    </row>
    <row r="154" spans="1:47" ht="21" customHeight="1" x14ac:dyDescent="0.35">
      <c r="A154" s="260"/>
      <c r="B154" s="98" t="s">
        <v>138</v>
      </c>
      <c r="C154" s="99" t="s">
        <v>935</v>
      </c>
      <c r="D154" s="100" t="s">
        <v>841</v>
      </c>
      <c r="E154" s="101">
        <v>45763</v>
      </c>
      <c r="F154" s="102">
        <f t="shared" si="5"/>
        <v>0</v>
      </c>
      <c r="G154" s="150">
        <f>SUMIF(积分汇总!$B:$B,C154,积分汇总!$E:$E)</f>
        <v>0</v>
      </c>
      <c r="H154" s="150">
        <f>SUMIF(记录巡查问题条数汇总!$B:$B,C154,记录巡查问题条数汇总!$E:$E)</f>
        <v>0</v>
      </c>
      <c r="I154" s="150"/>
      <c r="J154" s="150">
        <f>SUMIF(安全质量事故!$B:$B,C154,安全质量事故!$G:$G)</f>
        <v>0</v>
      </c>
      <c r="K154" s="141">
        <f>COUNTIF(L154:AP154,标准数据!$A$2)*标准数据!$B$2+COUNTIF(L154:AP154,标准数据!$A$3)*标准数据!$B$3+COUNTIF(L154:AP154,标准数据!$A$4)*标准数据!$B$4</f>
        <v>0</v>
      </c>
      <c r="L154" s="183"/>
      <c r="M154" s="183"/>
      <c r="N154" s="183"/>
      <c r="O154" s="183"/>
      <c r="P154" s="183"/>
      <c r="Q154" s="183"/>
      <c r="R154" s="183"/>
      <c r="S154" s="183"/>
      <c r="T154" s="183"/>
      <c r="U154" s="183"/>
      <c r="V154" s="183"/>
      <c r="W154" s="183"/>
      <c r="X154" s="183"/>
      <c r="Y154" s="183"/>
      <c r="Z154" s="183"/>
      <c r="AA154" s="183"/>
      <c r="AB154" s="183"/>
      <c r="AC154" s="183"/>
      <c r="AD154" s="183"/>
      <c r="AE154" s="183"/>
      <c r="AF154" s="183"/>
      <c r="AG154" s="183"/>
      <c r="AH154" s="183"/>
      <c r="AI154" s="183"/>
      <c r="AJ154" s="183"/>
      <c r="AK154" s="183"/>
      <c r="AL154" s="183"/>
      <c r="AM154" s="183"/>
      <c r="AN154" s="183"/>
      <c r="AO154" s="183"/>
      <c r="AP154" s="183"/>
      <c r="AT154" s="149" t="s">
        <v>841</v>
      </c>
      <c r="AU154" s="94" t="s">
        <v>319</v>
      </c>
    </row>
    <row r="155" spans="1:47" ht="21" customHeight="1" x14ac:dyDescent="0.35">
      <c r="A155" s="260"/>
      <c r="B155" s="98" t="s">
        <v>138</v>
      </c>
      <c r="C155" s="99" t="s">
        <v>936</v>
      </c>
      <c r="D155" s="100" t="s">
        <v>842</v>
      </c>
      <c r="E155" s="101">
        <v>45896</v>
      </c>
      <c r="F155" s="102">
        <f t="shared" si="5"/>
        <v>0</v>
      </c>
      <c r="G155" s="150">
        <f>SUMIF(积分汇总!$B:$B,C155,积分汇总!$E:$E)</f>
        <v>0</v>
      </c>
      <c r="H155" s="150">
        <f>SUMIF(记录巡查问题条数汇总!$B:$B,C155,记录巡查问题条数汇总!$E:$E)</f>
        <v>0</v>
      </c>
      <c r="I155" s="150"/>
      <c r="J155" s="150">
        <f>SUMIF(安全质量事故!$B:$B,C155,安全质量事故!$G:$G)</f>
        <v>0</v>
      </c>
      <c r="K155" s="141">
        <f>COUNTIF(L155:AP155,标准数据!$A$2)*标准数据!$B$2+COUNTIF(L155:AP155,标准数据!$A$3)*标准数据!$B$3+COUNTIF(L155:AP155,标准数据!$A$4)*标准数据!$B$4</f>
        <v>0</v>
      </c>
      <c r="L155" s="183"/>
      <c r="M155" s="183"/>
      <c r="N155" s="183"/>
      <c r="O155" s="183"/>
      <c r="P155" s="183"/>
      <c r="Q155" s="183"/>
      <c r="R155" s="183"/>
      <c r="S155" s="183"/>
      <c r="T155" s="183"/>
      <c r="U155" s="183"/>
      <c r="V155" s="183"/>
      <c r="W155" s="183"/>
      <c r="X155" s="183"/>
      <c r="Y155" s="183"/>
      <c r="Z155" s="183"/>
      <c r="AA155" s="183"/>
      <c r="AB155" s="183"/>
      <c r="AC155" s="183"/>
      <c r="AD155" s="183"/>
      <c r="AE155" s="183"/>
      <c r="AF155" s="183"/>
      <c r="AG155" s="183"/>
      <c r="AH155" s="183"/>
      <c r="AI155" s="183"/>
      <c r="AJ155" s="183"/>
      <c r="AK155" s="183"/>
      <c r="AL155" s="183"/>
      <c r="AM155" s="183"/>
      <c r="AN155" s="183"/>
      <c r="AO155" s="183"/>
      <c r="AP155" s="183"/>
      <c r="AT155" s="149" t="s">
        <v>842</v>
      </c>
      <c r="AU155" s="94" t="s">
        <v>319</v>
      </c>
    </row>
    <row r="156" spans="1:47" ht="21" customHeight="1" x14ac:dyDescent="0.35">
      <c r="A156" s="260"/>
      <c r="B156" s="98" t="s">
        <v>138</v>
      </c>
      <c r="C156" s="99" t="s">
        <v>1093</v>
      </c>
      <c r="D156" s="100" t="s">
        <v>1058</v>
      </c>
      <c r="E156" s="101">
        <v>45973</v>
      </c>
      <c r="F156" s="102">
        <f t="shared" si="5"/>
        <v>0</v>
      </c>
      <c r="G156" s="150">
        <f>SUMIF(积分汇总!$B:$B,C156,积分汇总!$E:$E)</f>
        <v>0</v>
      </c>
      <c r="H156" s="150">
        <f>SUMIF(记录巡查问题条数汇总!$B:$B,C156,记录巡查问题条数汇总!$E:$E)</f>
        <v>0</v>
      </c>
      <c r="I156" s="150"/>
      <c r="J156" s="150">
        <f>SUMIF(安全质量事故!$B:$B,C156,安全质量事故!$G:$G)</f>
        <v>0</v>
      </c>
      <c r="K156" s="141">
        <f>COUNTIF(L156:AP156,标准数据!$A$2)*标准数据!$B$2+COUNTIF(L156:AP156,标准数据!$A$3)*标准数据!$B$3+COUNTIF(L156:AP156,标准数据!$A$4)*标准数据!$B$4</f>
        <v>0</v>
      </c>
      <c r="L156" s="183"/>
      <c r="M156" s="183"/>
      <c r="N156" s="183"/>
      <c r="O156" s="183"/>
      <c r="P156" s="183"/>
      <c r="Q156" s="183"/>
      <c r="R156" s="183"/>
      <c r="S156" s="183"/>
      <c r="T156" s="183"/>
      <c r="U156" s="183"/>
      <c r="V156" s="183"/>
      <c r="W156" s="183"/>
      <c r="X156" s="183"/>
      <c r="Y156" s="183"/>
      <c r="Z156" s="183"/>
      <c r="AA156" s="183"/>
      <c r="AB156" s="183"/>
      <c r="AC156" s="183"/>
      <c r="AD156" s="183"/>
      <c r="AE156" s="183"/>
      <c r="AF156" s="183"/>
      <c r="AG156" s="183"/>
      <c r="AH156" s="183"/>
      <c r="AI156" s="183"/>
      <c r="AJ156" s="183"/>
      <c r="AK156" s="183"/>
      <c r="AL156" s="183"/>
      <c r="AM156" s="183"/>
      <c r="AN156" s="183"/>
      <c r="AO156" s="183"/>
      <c r="AP156" s="183"/>
      <c r="AT156" s="149" t="s">
        <v>1058</v>
      </c>
      <c r="AU156" s="94" t="s">
        <v>319</v>
      </c>
    </row>
    <row r="157" spans="1:47" ht="21" customHeight="1" x14ac:dyDescent="0.35">
      <c r="A157" s="260"/>
      <c r="B157" s="98" t="s">
        <v>138</v>
      </c>
      <c r="C157" s="99" t="s">
        <v>1364</v>
      </c>
      <c r="D157" s="100" t="s">
        <v>1365</v>
      </c>
      <c r="E157" s="101">
        <v>46125</v>
      </c>
      <c r="F157" s="102">
        <f t="shared" si="5"/>
        <v>0</v>
      </c>
      <c r="G157" s="150">
        <f>SUMIF(积分汇总!$B:$B,C157,积分汇总!$E:$E)</f>
        <v>0</v>
      </c>
      <c r="H157" s="150">
        <f>SUMIF(记录巡查问题条数汇总!$B:$B,C157,记录巡查问题条数汇总!$E:$E)</f>
        <v>0</v>
      </c>
      <c r="I157" s="150"/>
      <c r="J157" s="150">
        <f>SUMIF(安全质量事故!$B:$B,C157,安全质量事故!$G:$G)</f>
        <v>0</v>
      </c>
      <c r="K157" s="141">
        <f>COUNTIF(L157:AP157,标准数据!$A$2)*标准数据!$B$2+COUNTIF(L157:AP157,标准数据!$A$3)*标准数据!$B$3+COUNTIF(L157:AP157,标准数据!$A$4)*标准数据!$B$4</f>
        <v>0</v>
      </c>
      <c r="L157" s="183"/>
      <c r="M157" s="183"/>
      <c r="N157" s="183"/>
      <c r="O157" s="183"/>
      <c r="P157" s="183"/>
      <c r="Q157" s="183"/>
      <c r="R157" s="183"/>
      <c r="S157" s="183"/>
      <c r="T157" s="183"/>
      <c r="U157" s="183"/>
      <c r="V157" s="183"/>
      <c r="W157" s="183"/>
      <c r="X157" s="183"/>
      <c r="Y157" s="183"/>
      <c r="Z157" s="183"/>
      <c r="AA157" s="183"/>
      <c r="AB157" s="183"/>
      <c r="AC157" s="183"/>
      <c r="AD157" s="183"/>
      <c r="AE157" s="183"/>
      <c r="AF157" s="183"/>
      <c r="AG157" s="183"/>
      <c r="AH157" s="183"/>
      <c r="AI157" s="183"/>
      <c r="AJ157" s="183"/>
      <c r="AK157" s="183"/>
      <c r="AL157" s="183"/>
      <c r="AM157" s="183"/>
      <c r="AN157" s="183"/>
      <c r="AO157" s="183"/>
      <c r="AP157" s="183"/>
      <c r="AT157" s="149" t="s">
        <v>1365</v>
      </c>
      <c r="AU157" s="94" t="s">
        <v>319</v>
      </c>
    </row>
    <row r="158" spans="1:47" ht="21" customHeight="1" x14ac:dyDescent="0.35">
      <c r="A158" s="260"/>
      <c r="B158" s="98" t="s">
        <v>138</v>
      </c>
      <c r="C158" s="99" t="s">
        <v>1366</v>
      </c>
      <c r="D158" s="100" t="s">
        <v>1367</v>
      </c>
      <c r="E158" s="101">
        <v>46127</v>
      </c>
      <c r="F158" s="102">
        <f t="shared" si="5"/>
        <v>0</v>
      </c>
      <c r="G158" s="150">
        <f>SUMIF(积分汇总!$B:$B,C158,积分汇总!$E:$E)</f>
        <v>0</v>
      </c>
      <c r="H158" s="150">
        <f>SUMIF(记录巡查问题条数汇总!$B:$B,C158,记录巡查问题条数汇总!$E:$E)</f>
        <v>0</v>
      </c>
      <c r="I158" s="150"/>
      <c r="J158" s="150">
        <f>SUMIF(安全质量事故!$B:$B,C158,安全质量事故!$G:$G)</f>
        <v>0</v>
      </c>
      <c r="K158" s="141">
        <f>COUNTIF(L158:AP158,标准数据!$A$2)*标准数据!$B$2+COUNTIF(L158:AP158,标准数据!$A$3)*标准数据!$B$3+COUNTIF(L158:AP158,标准数据!$A$4)*标准数据!$B$4</f>
        <v>0</v>
      </c>
      <c r="L158" s="183"/>
      <c r="M158" s="183"/>
      <c r="N158" s="183"/>
      <c r="O158" s="183"/>
      <c r="P158" s="183"/>
      <c r="Q158" s="183"/>
      <c r="R158" s="183"/>
      <c r="S158" s="183"/>
      <c r="T158" s="183"/>
      <c r="U158" s="183"/>
      <c r="V158" s="183"/>
      <c r="W158" s="183"/>
      <c r="X158" s="183"/>
      <c r="Y158" s="183"/>
      <c r="Z158" s="183"/>
      <c r="AA158" s="183"/>
      <c r="AB158" s="183"/>
      <c r="AC158" s="183"/>
      <c r="AD158" s="183"/>
      <c r="AE158" s="183"/>
      <c r="AF158" s="183"/>
      <c r="AG158" s="183"/>
      <c r="AH158" s="183"/>
      <c r="AI158" s="183"/>
      <c r="AJ158" s="183"/>
      <c r="AK158" s="183"/>
      <c r="AL158" s="183"/>
      <c r="AM158" s="183"/>
      <c r="AN158" s="183"/>
      <c r="AO158" s="183"/>
      <c r="AP158" s="183"/>
      <c r="AT158" s="149" t="s">
        <v>1367</v>
      </c>
      <c r="AU158" s="94" t="s">
        <v>319</v>
      </c>
    </row>
    <row r="159" spans="1:47" ht="21" customHeight="1" x14ac:dyDescent="0.35">
      <c r="A159" s="260"/>
      <c r="B159" s="98" t="s">
        <v>138</v>
      </c>
      <c r="C159" s="107" t="s">
        <v>816</v>
      </c>
      <c r="D159" s="100" t="s">
        <v>730</v>
      </c>
      <c r="E159" s="101">
        <v>45840</v>
      </c>
      <c r="F159" s="102">
        <f t="shared" si="5"/>
        <v>0</v>
      </c>
      <c r="G159" s="150">
        <f>SUMIF(积分汇总!$B:$B,C159,积分汇总!$E:$E)</f>
        <v>0</v>
      </c>
      <c r="H159" s="150">
        <f>SUMIF(记录巡查问题条数汇总!$B:$B,C159,记录巡查问题条数汇总!$E:$E)</f>
        <v>0</v>
      </c>
      <c r="I159" s="150"/>
      <c r="J159" s="150">
        <f>SUMIF(安全质量事故!$B:$B,C159,安全质量事故!$G:$G)</f>
        <v>0</v>
      </c>
      <c r="K159" s="141">
        <f>COUNTIF(L159:AP159,标准数据!$A$2)*标准数据!$B$2+COUNTIF(L159:AP159,标准数据!$A$3)*标准数据!$B$3+COUNTIF(L159:AP159,标准数据!$A$4)*标准数据!$B$4</f>
        <v>0</v>
      </c>
      <c r="L159" s="183"/>
      <c r="M159" s="183"/>
      <c r="N159" s="183"/>
      <c r="O159" s="183"/>
      <c r="P159" s="183"/>
      <c r="Q159" s="183"/>
      <c r="R159" s="183"/>
      <c r="S159" s="183"/>
      <c r="T159" s="183"/>
      <c r="U159" s="183"/>
      <c r="V159" s="183"/>
      <c r="W159" s="183"/>
      <c r="X159" s="183"/>
      <c r="Y159" s="183"/>
      <c r="Z159" s="183"/>
      <c r="AA159" s="183"/>
      <c r="AB159" s="183"/>
      <c r="AC159" s="183"/>
      <c r="AD159" s="183"/>
      <c r="AE159" s="183"/>
      <c r="AF159" s="183"/>
      <c r="AG159" s="183"/>
      <c r="AH159" s="183"/>
      <c r="AI159" s="183"/>
      <c r="AJ159" s="183"/>
      <c r="AK159" s="183"/>
      <c r="AL159" s="183"/>
      <c r="AM159" s="183"/>
      <c r="AN159" s="183"/>
      <c r="AO159" s="183"/>
      <c r="AP159" s="183"/>
      <c r="AT159" s="149" t="s">
        <v>730</v>
      </c>
      <c r="AU159" s="94" t="s">
        <v>319</v>
      </c>
    </row>
    <row r="160" spans="1:47" ht="21" customHeight="1" x14ac:dyDescent="0.35">
      <c r="A160" s="260"/>
      <c r="B160" s="98" t="s">
        <v>138</v>
      </c>
      <c r="C160" s="107" t="s">
        <v>817</v>
      </c>
      <c r="D160" s="100" t="s">
        <v>731</v>
      </c>
      <c r="E160" s="101">
        <v>45847</v>
      </c>
      <c r="F160" s="102">
        <f t="shared" si="5"/>
        <v>0</v>
      </c>
      <c r="G160" s="150">
        <f>SUMIF(积分汇总!$B:$B,C160,积分汇总!$E:$E)</f>
        <v>0</v>
      </c>
      <c r="H160" s="150">
        <f>SUMIF(记录巡查问题条数汇总!$B:$B,C160,记录巡查问题条数汇总!$E:$E)</f>
        <v>0</v>
      </c>
      <c r="I160" s="150"/>
      <c r="J160" s="150">
        <f>SUMIF(安全质量事故!$B:$B,C160,安全质量事故!$G:$G)</f>
        <v>0</v>
      </c>
      <c r="K160" s="141">
        <f>COUNTIF(L160:AP160,标准数据!$A$2)*标准数据!$B$2+COUNTIF(L160:AP160,标准数据!$A$3)*标准数据!$B$3+COUNTIF(L160:AP160,标准数据!$A$4)*标准数据!$B$4</f>
        <v>0</v>
      </c>
      <c r="L160" s="183"/>
      <c r="M160" s="183"/>
      <c r="N160" s="183"/>
      <c r="O160" s="183"/>
      <c r="P160" s="183"/>
      <c r="Q160" s="183"/>
      <c r="R160" s="183"/>
      <c r="S160" s="183"/>
      <c r="T160" s="183"/>
      <c r="U160" s="183"/>
      <c r="V160" s="183"/>
      <c r="W160" s="183"/>
      <c r="X160" s="183"/>
      <c r="Y160" s="183"/>
      <c r="Z160" s="183"/>
      <c r="AA160" s="183"/>
      <c r="AB160" s="183"/>
      <c r="AC160" s="183"/>
      <c r="AD160" s="183"/>
      <c r="AE160" s="183"/>
      <c r="AF160" s="183"/>
      <c r="AG160" s="183"/>
      <c r="AH160" s="183"/>
      <c r="AI160" s="183"/>
      <c r="AJ160" s="183"/>
      <c r="AK160" s="183"/>
      <c r="AL160" s="183"/>
      <c r="AM160" s="183"/>
      <c r="AN160" s="183"/>
      <c r="AO160" s="183"/>
      <c r="AP160" s="183"/>
      <c r="AT160" s="149" t="s">
        <v>731</v>
      </c>
      <c r="AU160" s="94" t="s">
        <v>319</v>
      </c>
    </row>
    <row r="161" spans="1:47" ht="21" customHeight="1" x14ac:dyDescent="0.35">
      <c r="A161" s="260"/>
      <c r="B161" s="98" t="s">
        <v>138</v>
      </c>
      <c r="C161" s="107" t="s">
        <v>818</v>
      </c>
      <c r="D161" s="100" t="s">
        <v>732</v>
      </c>
      <c r="E161" s="101">
        <v>45854</v>
      </c>
      <c r="F161" s="102">
        <f t="shared" si="5"/>
        <v>0</v>
      </c>
      <c r="G161" s="150">
        <f>SUMIF(积分汇总!$B:$B,C161,积分汇总!$E:$E)</f>
        <v>0</v>
      </c>
      <c r="H161" s="150">
        <f>SUMIF(记录巡查问题条数汇总!$B:$B,C161,记录巡查问题条数汇总!$E:$E)</f>
        <v>0</v>
      </c>
      <c r="I161" s="150"/>
      <c r="J161" s="150">
        <f>SUMIF(安全质量事故!$B:$B,C161,安全质量事故!$G:$G)</f>
        <v>0</v>
      </c>
      <c r="K161" s="141">
        <f>COUNTIF(L161:AP161,标准数据!$A$2)*标准数据!$B$2+COUNTIF(L161:AP161,标准数据!$A$3)*标准数据!$B$3+COUNTIF(L161:AP161,标准数据!$A$4)*标准数据!$B$4</f>
        <v>0</v>
      </c>
      <c r="L161" s="183"/>
      <c r="M161" s="183"/>
      <c r="N161" s="183"/>
      <c r="O161" s="183"/>
      <c r="P161" s="183"/>
      <c r="Q161" s="183"/>
      <c r="R161" s="183"/>
      <c r="S161" s="183"/>
      <c r="T161" s="183"/>
      <c r="U161" s="183"/>
      <c r="V161" s="183"/>
      <c r="W161" s="183"/>
      <c r="X161" s="183"/>
      <c r="Y161" s="183"/>
      <c r="Z161" s="183"/>
      <c r="AA161" s="183"/>
      <c r="AB161" s="183"/>
      <c r="AC161" s="183"/>
      <c r="AD161" s="183"/>
      <c r="AE161" s="183"/>
      <c r="AF161" s="183"/>
      <c r="AG161" s="183"/>
      <c r="AH161" s="183"/>
      <c r="AI161" s="183"/>
      <c r="AJ161" s="183"/>
      <c r="AK161" s="183"/>
      <c r="AL161" s="183"/>
      <c r="AM161" s="183"/>
      <c r="AN161" s="183"/>
      <c r="AO161" s="183"/>
      <c r="AP161" s="183"/>
      <c r="AT161" s="149" t="s">
        <v>732</v>
      </c>
      <c r="AU161" s="94" t="s">
        <v>319</v>
      </c>
    </row>
    <row r="162" spans="1:47" ht="21" customHeight="1" x14ac:dyDescent="0.35">
      <c r="A162" s="260"/>
      <c r="B162" s="98" t="s">
        <v>138</v>
      </c>
      <c r="C162" s="107" t="s">
        <v>819</v>
      </c>
      <c r="D162" s="100" t="s">
        <v>733</v>
      </c>
      <c r="E162" s="101">
        <v>45847</v>
      </c>
      <c r="F162" s="102">
        <f t="shared" si="5"/>
        <v>0</v>
      </c>
      <c r="G162" s="150">
        <f>SUMIF(积分汇总!$B:$B,C162,积分汇总!$E:$E)</f>
        <v>0</v>
      </c>
      <c r="H162" s="150">
        <f>SUMIF(记录巡查问题条数汇总!$B:$B,C162,记录巡查问题条数汇总!$E:$E)</f>
        <v>0</v>
      </c>
      <c r="I162" s="150"/>
      <c r="J162" s="150">
        <f>SUMIF(安全质量事故!$B:$B,C162,安全质量事故!$G:$G)</f>
        <v>0</v>
      </c>
      <c r="K162" s="141">
        <f>COUNTIF(L162:AP162,标准数据!$A$2)*标准数据!$B$2+COUNTIF(L162:AP162,标准数据!$A$3)*标准数据!$B$3+COUNTIF(L162:AP162,标准数据!$A$4)*标准数据!$B$4</f>
        <v>0</v>
      </c>
      <c r="L162" s="183"/>
      <c r="M162" s="183"/>
      <c r="N162" s="183"/>
      <c r="O162" s="183"/>
      <c r="P162" s="183"/>
      <c r="Q162" s="183"/>
      <c r="R162" s="183"/>
      <c r="S162" s="183"/>
      <c r="T162" s="183"/>
      <c r="U162" s="183"/>
      <c r="V162" s="183"/>
      <c r="W162" s="183"/>
      <c r="X162" s="183"/>
      <c r="Y162" s="183"/>
      <c r="Z162" s="183"/>
      <c r="AA162" s="183"/>
      <c r="AB162" s="183"/>
      <c r="AC162" s="183"/>
      <c r="AD162" s="183"/>
      <c r="AE162" s="183"/>
      <c r="AF162" s="183"/>
      <c r="AG162" s="183"/>
      <c r="AH162" s="183"/>
      <c r="AI162" s="183"/>
      <c r="AJ162" s="183"/>
      <c r="AK162" s="183"/>
      <c r="AL162" s="183"/>
      <c r="AM162" s="183"/>
      <c r="AN162" s="183"/>
      <c r="AO162" s="183"/>
      <c r="AP162" s="183"/>
      <c r="AT162" s="149" t="s">
        <v>733</v>
      </c>
      <c r="AU162" s="94" t="s">
        <v>319</v>
      </c>
    </row>
    <row r="163" spans="1:47" ht="21" customHeight="1" x14ac:dyDescent="0.35">
      <c r="A163" s="260"/>
      <c r="B163" s="98" t="s">
        <v>138</v>
      </c>
      <c r="C163" s="107" t="s">
        <v>1099</v>
      </c>
      <c r="D163" s="100" t="s">
        <v>1100</v>
      </c>
      <c r="E163" s="101">
        <v>45980</v>
      </c>
      <c r="F163" s="102">
        <f t="shared" si="5"/>
        <v>0</v>
      </c>
      <c r="G163" s="150">
        <f>SUMIF(积分汇总!$B:$B,C163,积分汇总!$E:$E)</f>
        <v>0</v>
      </c>
      <c r="H163" s="150">
        <f>SUMIF(记录巡查问题条数汇总!$B:$B,C163,记录巡查问题条数汇总!$E:$E)</f>
        <v>0</v>
      </c>
      <c r="I163" s="150"/>
      <c r="J163" s="150">
        <f>SUMIF(安全质量事故!$B:$B,C163,安全质量事故!$G:$G)</f>
        <v>0</v>
      </c>
      <c r="K163" s="141">
        <f>COUNTIF(L163:AP163,标准数据!$A$2)*标准数据!$B$2+COUNTIF(L163:AP163,标准数据!$A$3)*标准数据!$B$3+COUNTIF(L163:AP163,标准数据!$A$4)*标准数据!$B$4</f>
        <v>0</v>
      </c>
      <c r="L163" s="183"/>
      <c r="M163" s="183"/>
      <c r="N163" s="183"/>
      <c r="O163" s="183"/>
      <c r="P163" s="183"/>
      <c r="Q163" s="183"/>
      <c r="R163" s="183"/>
      <c r="S163" s="183"/>
      <c r="T163" s="183"/>
      <c r="U163" s="183"/>
      <c r="V163" s="183"/>
      <c r="W163" s="183"/>
      <c r="X163" s="183"/>
      <c r="Y163" s="183"/>
      <c r="Z163" s="183"/>
      <c r="AA163" s="183"/>
      <c r="AB163" s="183"/>
      <c r="AC163" s="183"/>
      <c r="AD163" s="183"/>
      <c r="AE163" s="183"/>
      <c r="AF163" s="183"/>
      <c r="AG163" s="183"/>
      <c r="AH163" s="183"/>
      <c r="AI163" s="183"/>
      <c r="AJ163" s="183"/>
      <c r="AK163" s="183"/>
      <c r="AL163" s="183"/>
      <c r="AM163" s="183"/>
      <c r="AN163" s="183"/>
      <c r="AO163" s="183"/>
      <c r="AP163" s="183"/>
      <c r="AT163" s="149" t="s">
        <v>1100</v>
      </c>
      <c r="AU163" s="94" t="s">
        <v>319</v>
      </c>
    </row>
    <row r="164" spans="1:47" ht="21" customHeight="1" x14ac:dyDescent="0.35">
      <c r="A164" s="260"/>
      <c r="B164" s="98" t="s">
        <v>138</v>
      </c>
      <c r="C164" s="107" t="s">
        <v>1215</v>
      </c>
      <c r="D164" s="100" t="s">
        <v>1216</v>
      </c>
      <c r="E164" s="101">
        <v>45994</v>
      </c>
      <c r="F164" s="102">
        <f t="shared" si="5"/>
        <v>0</v>
      </c>
      <c r="G164" s="150">
        <f>SUMIF(积分汇总!$B:$B,C164,积分汇总!$E:$E)</f>
        <v>0</v>
      </c>
      <c r="H164" s="150">
        <f>SUMIF(记录巡查问题条数汇总!$B:$B,C164,记录巡查问题条数汇总!$E:$E)</f>
        <v>0</v>
      </c>
      <c r="I164" s="150"/>
      <c r="J164" s="150">
        <f>SUMIF(安全质量事故!$B:$B,C164,安全质量事故!$G:$G)</f>
        <v>0</v>
      </c>
      <c r="K164" s="141">
        <f>COUNTIF(L164:AP164,标准数据!$A$2)*标准数据!$B$2+COUNTIF(L164:AP164,标准数据!$A$3)*标准数据!$B$3+COUNTIF(L164:AP164,标准数据!$A$4)*标准数据!$B$4</f>
        <v>0</v>
      </c>
      <c r="L164" s="183"/>
      <c r="M164" s="183"/>
      <c r="N164" s="183"/>
      <c r="O164" s="183"/>
      <c r="P164" s="183"/>
      <c r="Q164" s="183"/>
      <c r="R164" s="183"/>
      <c r="S164" s="183"/>
      <c r="T164" s="183"/>
      <c r="U164" s="183"/>
      <c r="V164" s="183"/>
      <c r="W164" s="183"/>
      <c r="X164" s="183"/>
      <c r="Y164" s="183"/>
      <c r="Z164" s="183"/>
      <c r="AA164" s="183"/>
      <c r="AB164" s="183"/>
      <c r="AC164" s="183"/>
      <c r="AD164" s="183"/>
      <c r="AE164" s="183"/>
      <c r="AF164" s="183"/>
      <c r="AG164" s="183"/>
      <c r="AH164" s="183"/>
      <c r="AI164" s="183"/>
      <c r="AJ164" s="183"/>
      <c r="AK164" s="183"/>
      <c r="AL164" s="183"/>
      <c r="AM164" s="183"/>
      <c r="AN164" s="183"/>
      <c r="AO164" s="183"/>
      <c r="AP164" s="183"/>
      <c r="AT164" s="149" t="s">
        <v>1216</v>
      </c>
      <c r="AU164" s="94" t="s">
        <v>319</v>
      </c>
    </row>
    <row r="165" spans="1:47" ht="21" customHeight="1" x14ac:dyDescent="0.35">
      <c r="A165" s="259" t="s">
        <v>1139</v>
      </c>
      <c r="B165" s="98" t="s">
        <v>89</v>
      </c>
      <c r="C165" s="99" t="s">
        <v>516</v>
      </c>
      <c r="D165" s="105" t="s">
        <v>478</v>
      </c>
      <c r="E165" s="99">
        <v>45138</v>
      </c>
      <c r="F165" s="102">
        <f t="shared" si="5"/>
        <v>0</v>
      </c>
      <c r="G165" s="150">
        <f>SUMIF(积分汇总!$B:$B,C165,积分汇总!$E:$E)</f>
        <v>0</v>
      </c>
      <c r="H165" s="150">
        <f>SUMIF(记录巡查问题条数汇总!$B:$B,C165,记录巡查问题条数汇总!$E:$E)</f>
        <v>0</v>
      </c>
      <c r="I165" s="150"/>
      <c r="J165" s="150">
        <f>SUMIF(安全质量事故!$B:$B,C165,安全质量事故!$G:$G)</f>
        <v>0</v>
      </c>
      <c r="K165" s="141">
        <f>COUNTIF(L165:AP165,标准数据!$A$2)*标准数据!$B$2+COUNTIF(L165:AP165,标准数据!$A$3)*标准数据!$B$3+COUNTIF(L165:AP165,标准数据!$A$4)*标准数据!$B$4</f>
        <v>0</v>
      </c>
      <c r="L165" s="108"/>
      <c r="M165" s="108"/>
      <c r="N165" s="108"/>
      <c r="O165" s="108"/>
      <c r="P165" s="109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  <c r="AA165" s="108"/>
      <c r="AB165" s="108"/>
      <c r="AC165" s="108"/>
      <c r="AD165" s="108"/>
      <c r="AE165" s="108"/>
      <c r="AF165" s="108"/>
      <c r="AG165" s="108"/>
      <c r="AH165" s="108"/>
      <c r="AI165" s="108"/>
      <c r="AJ165" s="108"/>
      <c r="AK165" s="108"/>
      <c r="AL165" s="108"/>
      <c r="AM165" s="108"/>
      <c r="AN165" s="108"/>
      <c r="AO165" s="108"/>
      <c r="AP165" s="108"/>
      <c r="AQ165" s="252" t="s">
        <v>1140</v>
      </c>
      <c r="AR165" s="253"/>
      <c r="AS165" s="253"/>
      <c r="AT165" s="149" t="s">
        <v>478</v>
      </c>
      <c r="AU165" s="94" t="s">
        <v>1821</v>
      </c>
    </row>
    <row r="166" spans="1:47" ht="21" customHeight="1" x14ac:dyDescent="0.35">
      <c r="A166" s="259"/>
      <c r="B166" s="98" t="s">
        <v>89</v>
      </c>
      <c r="C166" s="99" t="s">
        <v>526</v>
      </c>
      <c r="D166" s="105" t="s">
        <v>491</v>
      </c>
      <c r="E166" s="99">
        <v>45847</v>
      </c>
      <c r="F166" s="102">
        <f t="shared" si="5"/>
        <v>0</v>
      </c>
      <c r="G166" s="150">
        <f>SUMIF(积分汇总!$B:$B,C166,积分汇总!$E:$E)</f>
        <v>0</v>
      </c>
      <c r="H166" s="150">
        <f>SUMIF(记录巡查问题条数汇总!$B:$B,C166,记录巡查问题条数汇总!$E:$E)</f>
        <v>0</v>
      </c>
      <c r="I166" s="150"/>
      <c r="J166" s="150">
        <f>SUMIF(安全质量事故!$B:$B,C166,安全质量事故!$G:$G)</f>
        <v>0</v>
      </c>
      <c r="K166" s="141">
        <f>COUNTIF(L166:AP166,标准数据!$A$2)*标准数据!$B$2+COUNTIF(L166:AP166,标准数据!$A$3)*标准数据!$B$3+COUNTIF(L166:AP166,标准数据!$A$4)*标准数据!$B$4</f>
        <v>0</v>
      </c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09"/>
      <c r="AI166" s="109"/>
      <c r="AJ166" s="109"/>
      <c r="AK166" s="109"/>
      <c r="AL166" s="109"/>
      <c r="AM166" s="109"/>
      <c r="AN166" s="109"/>
      <c r="AO166" s="109"/>
      <c r="AP166" s="109"/>
      <c r="AQ166" s="96" t="s">
        <v>1133</v>
      </c>
      <c r="AR166" s="97" t="s">
        <v>1134</v>
      </c>
      <c r="AS166" s="97" t="s">
        <v>1135</v>
      </c>
      <c r="AT166" s="149" t="s">
        <v>491</v>
      </c>
      <c r="AU166" s="94" t="s">
        <v>1821</v>
      </c>
    </row>
    <row r="167" spans="1:47" ht="21" customHeight="1" x14ac:dyDescent="0.35">
      <c r="A167" s="259"/>
      <c r="B167" s="98" t="s">
        <v>17</v>
      </c>
      <c r="C167" s="99" t="s">
        <v>235</v>
      </c>
      <c r="D167" s="100" t="s">
        <v>236</v>
      </c>
      <c r="E167" s="101">
        <v>45490</v>
      </c>
      <c r="F167" s="102">
        <f t="shared" si="5"/>
        <v>0</v>
      </c>
      <c r="G167" s="150">
        <f>SUMIF(积分汇总!$B:$B,C167,积分汇总!$E:$E)</f>
        <v>0</v>
      </c>
      <c r="H167" s="150">
        <f>SUMIF(记录巡查问题条数汇总!$B:$B,C167,记录巡查问题条数汇总!$E:$E)</f>
        <v>0</v>
      </c>
      <c r="I167" s="150"/>
      <c r="J167" s="150">
        <f>SUMIF(安全质量事故!$B:$B,C167,安全质量事故!$G:$G)</f>
        <v>0</v>
      </c>
      <c r="K167" s="141">
        <f>COUNTIF(L167:AP167,标准数据!$A$2)*标准数据!$B$2+COUNTIF(L167:AP167,标准数据!$A$3)*标准数据!$B$3+COUNTIF(L167:AP167,标准数据!$A$4)*标准数据!$B$4</f>
        <v>0</v>
      </c>
      <c r="L167" s="109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  <c r="Y167" s="109"/>
      <c r="Z167" s="109"/>
      <c r="AA167" s="109"/>
      <c r="AB167" s="109"/>
      <c r="AC167" s="109"/>
      <c r="AD167" s="109"/>
      <c r="AE167" s="109"/>
      <c r="AF167" s="109"/>
      <c r="AG167" s="109"/>
      <c r="AH167" s="109"/>
      <c r="AI167" s="109"/>
      <c r="AJ167" s="109"/>
      <c r="AK167" s="109"/>
      <c r="AL167" s="109"/>
      <c r="AM167" s="109"/>
      <c r="AN167" s="109"/>
      <c r="AO167" s="109"/>
      <c r="AP167" s="109"/>
      <c r="AQ167" s="117">
        <f>COUNTIF($L$165:$AP$226,"a")</f>
        <v>0</v>
      </c>
      <c r="AR167" s="117">
        <f>COUNTIF($L$165:$AP$226,"b")</f>
        <v>0</v>
      </c>
      <c r="AS167" s="117">
        <f>COUNTIF($L$165:$AP$226,"c")</f>
        <v>0</v>
      </c>
      <c r="AT167" s="149" t="s">
        <v>236</v>
      </c>
      <c r="AU167" s="94" t="s">
        <v>1821</v>
      </c>
    </row>
    <row r="168" spans="1:47" ht="21" customHeight="1" x14ac:dyDescent="0.35">
      <c r="A168" s="259"/>
      <c r="B168" s="98" t="s">
        <v>17</v>
      </c>
      <c r="C168" s="99" t="s">
        <v>231</v>
      </c>
      <c r="D168" s="105" t="s">
        <v>232</v>
      </c>
      <c r="E168" s="101">
        <v>45469</v>
      </c>
      <c r="F168" s="102">
        <f t="shared" si="5"/>
        <v>0</v>
      </c>
      <c r="G168" s="150">
        <f>SUMIF(积分汇总!$B:$B,C168,积分汇总!$E:$E)</f>
        <v>0</v>
      </c>
      <c r="H168" s="150">
        <f>SUMIF(记录巡查问题条数汇总!$B:$B,C168,记录巡查问题条数汇总!$E:$E)</f>
        <v>0</v>
      </c>
      <c r="I168" s="150"/>
      <c r="J168" s="150">
        <f>SUMIF(安全质量事故!$B:$B,C168,安全质量事故!$G:$G)</f>
        <v>0</v>
      </c>
      <c r="K168" s="141">
        <f>COUNTIF(L168:AP168,标准数据!$A$2)*标准数据!$B$2+COUNTIF(L168:AP168,标准数据!$A$3)*标准数据!$B$3+COUNTIF(L168:AP168,标准数据!$A$4)*标准数据!$B$4</f>
        <v>0</v>
      </c>
      <c r="L168" s="109"/>
      <c r="M168" s="109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  <c r="Y168" s="109"/>
      <c r="Z168" s="109"/>
      <c r="AA168" s="109"/>
      <c r="AB168" s="109"/>
      <c r="AC168" s="109"/>
      <c r="AD168" s="109"/>
      <c r="AE168" s="109"/>
      <c r="AF168" s="109"/>
      <c r="AG168" s="109"/>
      <c r="AH168" s="109"/>
      <c r="AI168" s="109"/>
      <c r="AJ168" s="109"/>
      <c r="AK168" s="109"/>
      <c r="AL168" s="109"/>
      <c r="AM168" s="109"/>
      <c r="AN168" s="109"/>
      <c r="AO168" s="109"/>
      <c r="AP168" s="109"/>
      <c r="AQ168" s="103" t="e">
        <f>AQ167/($AQ$167+$AR$167+$AS$167)</f>
        <v>#DIV/0!</v>
      </c>
      <c r="AR168" s="103" t="e">
        <f>AR167/($AQ$167+$AR$167+$AS$167)</f>
        <v>#DIV/0!</v>
      </c>
      <c r="AS168" s="103" t="e">
        <f>AS167/($AQ$167+$AR$167+$AS$167)</f>
        <v>#DIV/0!</v>
      </c>
      <c r="AT168" s="149" t="s">
        <v>232</v>
      </c>
      <c r="AU168" s="94" t="s">
        <v>1821</v>
      </c>
    </row>
    <row r="169" spans="1:47" ht="21" customHeight="1" x14ac:dyDescent="0.35">
      <c r="A169" s="259"/>
      <c r="B169" s="98" t="s">
        <v>140</v>
      </c>
      <c r="C169" s="99" t="s">
        <v>187</v>
      </c>
      <c r="D169" s="100" t="s">
        <v>188</v>
      </c>
      <c r="E169" s="101">
        <v>38548</v>
      </c>
      <c r="F169" s="102">
        <f t="shared" si="5"/>
        <v>0</v>
      </c>
      <c r="G169" s="150">
        <f>SUMIF(积分汇总!$B:$B,C169,积分汇总!$E:$E)</f>
        <v>0</v>
      </c>
      <c r="H169" s="150">
        <f>SUMIF(记录巡查问题条数汇总!$B:$B,C169,记录巡查问题条数汇总!$E:$E)</f>
        <v>0</v>
      </c>
      <c r="I169" s="150"/>
      <c r="J169" s="150">
        <f>SUMIF(安全质量事故!$B:$B,C169,安全质量事故!$G:$G)</f>
        <v>0</v>
      </c>
      <c r="K169" s="141">
        <f>COUNTIF(L169:AP169,标准数据!$A$2)*标准数据!$B$2+COUNTIF(L169:AP169,标准数据!$A$3)*标准数据!$B$3+COUNTIF(L169:AP169,标准数据!$A$4)*标准数据!$B$4</f>
        <v>0</v>
      </c>
      <c r="L169" s="109"/>
      <c r="M169" s="109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  <c r="Y169" s="109"/>
      <c r="Z169" s="109"/>
      <c r="AA169" s="109"/>
      <c r="AB169" s="109"/>
      <c r="AC169" s="109"/>
      <c r="AD169" s="109"/>
      <c r="AE169" s="109"/>
      <c r="AF169" s="109"/>
      <c r="AG169" s="109"/>
      <c r="AH169" s="109"/>
      <c r="AI169" s="109"/>
      <c r="AJ169" s="109"/>
      <c r="AK169" s="109"/>
      <c r="AL169" s="109"/>
      <c r="AM169" s="109"/>
      <c r="AN169" s="109"/>
      <c r="AO169" s="109"/>
      <c r="AP169" s="109"/>
      <c r="AQ169" s="94"/>
      <c r="AR169" s="94"/>
      <c r="AS169" s="94"/>
      <c r="AT169" s="149" t="s">
        <v>1822</v>
      </c>
      <c r="AU169" s="94" t="s">
        <v>1821</v>
      </c>
    </row>
    <row r="170" spans="1:47" s="104" customFormat="1" ht="21" customHeight="1" x14ac:dyDescent="0.35">
      <c r="A170" s="259"/>
      <c r="B170" s="98" t="s">
        <v>166</v>
      </c>
      <c r="C170" s="99" t="s">
        <v>227</v>
      </c>
      <c r="D170" s="105" t="s">
        <v>228</v>
      </c>
      <c r="E170" s="99">
        <v>44774</v>
      </c>
      <c r="F170" s="102">
        <f t="shared" si="5"/>
        <v>0</v>
      </c>
      <c r="G170" s="150">
        <f>SUMIF(积分汇总!$B:$B,C170,积分汇总!$E:$E)</f>
        <v>0</v>
      </c>
      <c r="H170" s="150">
        <f>SUMIF(记录巡查问题条数汇总!$B:$B,C170,记录巡查问题条数汇总!$E:$E)</f>
        <v>0</v>
      </c>
      <c r="I170" s="150"/>
      <c r="J170" s="150">
        <f>SUMIF(安全质量事故!$B:$B,C170,安全质量事故!$G:$G)</f>
        <v>0</v>
      </c>
      <c r="K170" s="141">
        <f>COUNTIF(L170:AP170,标准数据!$A$2)*标准数据!$B$2+COUNTIF(L170:AP170,标准数据!$A$3)*标准数据!$B$3+COUNTIF(L170:AP170,标准数据!$A$4)*标准数据!$B$4</f>
        <v>0</v>
      </c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  <c r="AA170" s="109"/>
      <c r="AB170" s="109"/>
      <c r="AC170" s="109"/>
      <c r="AD170" s="109"/>
      <c r="AE170" s="109"/>
      <c r="AF170" s="109"/>
      <c r="AG170" s="109"/>
      <c r="AH170" s="109"/>
      <c r="AI170" s="109"/>
      <c r="AJ170" s="109"/>
      <c r="AK170" s="109"/>
      <c r="AL170" s="109"/>
      <c r="AM170" s="109"/>
      <c r="AN170" s="109"/>
      <c r="AO170" s="109"/>
      <c r="AP170" s="109"/>
      <c r="AT170" s="149" t="s">
        <v>228</v>
      </c>
      <c r="AU170" s="94" t="s">
        <v>1821</v>
      </c>
    </row>
    <row r="171" spans="1:47" ht="18.75" customHeight="1" x14ac:dyDescent="0.35">
      <c r="A171" s="259"/>
      <c r="B171" s="98" t="s">
        <v>17</v>
      </c>
      <c r="C171" s="99" t="s">
        <v>264</v>
      </c>
      <c r="D171" s="100" t="s">
        <v>239</v>
      </c>
      <c r="E171" s="101">
        <v>44753</v>
      </c>
      <c r="F171" s="102">
        <f t="shared" si="5"/>
        <v>0</v>
      </c>
      <c r="G171" s="150">
        <f>SUMIF(积分汇总!$B:$B,C171,积分汇总!$E:$E)</f>
        <v>0</v>
      </c>
      <c r="H171" s="150">
        <f>SUMIF(记录巡查问题条数汇总!$B:$B,C171,记录巡查问题条数汇总!$E:$E)</f>
        <v>0</v>
      </c>
      <c r="I171" s="150"/>
      <c r="J171" s="150">
        <f>SUMIF(安全质量事故!$B:$B,C171,安全质量事故!$G:$G)</f>
        <v>0</v>
      </c>
      <c r="K171" s="141">
        <f>COUNTIF(L171:AP171,标准数据!$A$2)*标准数据!$B$2+COUNTIF(L171:AP171,标准数据!$A$3)*标准数据!$B$3+COUNTIF(L171:AP171,标准数据!$A$4)*标准数据!$B$4</f>
        <v>0</v>
      </c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  <c r="AA171" s="109"/>
      <c r="AB171" s="109"/>
      <c r="AC171" s="109"/>
      <c r="AD171" s="109"/>
      <c r="AE171" s="109"/>
      <c r="AF171" s="109"/>
      <c r="AG171" s="109"/>
      <c r="AH171" s="109"/>
      <c r="AI171" s="109"/>
      <c r="AJ171" s="109"/>
      <c r="AK171" s="109"/>
      <c r="AL171" s="109"/>
      <c r="AM171" s="109"/>
      <c r="AN171" s="109"/>
      <c r="AO171" s="109"/>
      <c r="AP171" s="109"/>
      <c r="AQ171" s="94"/>
      <c r="AR171" s="94"/>
      <c r="AS171" s="94"/>
      <c r="AT171" s="149" t="s">
        <v>239</v>
      </c>
      <c r="AU171" s="94" t="s">
        <v>1821</v>
      </c>
    </row>
    <row r="172" spans="1:47" ht="21" customHeight="1" x14ac:dyDescent="0.35">
      <c r="A172" s="259"/>
      <c r="B172" s="98" t="s">
        <v>17</v>
      </c>
      <c r="C172" s="99" t="s">
        <v>265</v>
      </c>
      <c r="D172" s="100" t="s">
        <v>240</v>
      </c>
      <c r="E172" s="101">
        <v>44753</v>
      </c>
      <c r="F172" s="102">
        <f t="shared" si="5"/>
        <v>0</v>
      </c>
      <c r="G172" s="150">
        <f>SUMIF(积分汇总!$B:$B,C172,积分汇总!$E:$E)</f>
        <v>0</v>
      </c>
      <c r="H172" s="150">
        <f>SUMIF(记录巡查问题条数汇总!$B:$B,C172,记录巡查问题条数汇总!$E:$E)</f>
        <v>0</v>
      </c>
      <c r="I172" s="150"/>
      <c r="J172" s="150">
        <f>SUMIF(安全质量事故!$B:$B,C172,安全质量事故!$G:$G)</f>
        <v>0</v>
      </c>
      <c r="K172" s="141">
        <f>COUNTIF(L172:AP172,标准数据!$A$2)*标准数据!$B$2+COUNTIF(L172:AP172,标准数据!$A$3)*标准数据!$B$3+COUNTIF(L172:AP172,标准数据!$A$4)*标准数据!$B$4</f>
        <v>0</v>
      </c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  <c r="AA172" s="109"/>
      <c r="AB172" s="109"/>
      <c r="AC172" s="109"/>
      <c r="AD172" s="109"/>
      <c r="AE172" s="109"/>
      <c r="AF172" s="109"/>
      <c r="AG172" s="109"/>
      <c r="AH172" s="109"/>
      <c r="AI172" s="109"/>
      <c r="AJ172" s="109"/>
      <c r="AK172" s="109"/>
      <c r="AL172" s="109"/>
      <c r="AM172" s="109"/>
      <c r="AN172" s="109"/>
      <c r="AO172" s="109"/>
      <c r="AP172" s="109"/>
      <c r="AT172" s="149" t="s">
        <v>240</v>
      </c>
      <c r="AU172" s="94" t="s">
        <v>1821</v>
      </c>
    </row>
    <row r="173" spans="1:47" ht="21" customHeight="1" x14ac:dyDescent="0.35">
      <c r="A173" s="259"/>
      <c r="B173" s="98" t="s">
        <v>17</v>
      </c>
      <c r="C173" s="99" t="s">
        <v>464</v>
      </c>
      <c r="D173" s="100" t="s">
        <v>458</v>
      </c>
      <c r="E173" s="101">
        <v>45826</v>
      </c>
      <c r="F173" s="102">
        <f t="shared" si="5"/>
        <v>0</v>
      </c>
      <c r="G173" s="150">
        <f>SUMIF(积分汇总!$B:$B,C173,积分汇总!$E:$E)</f>
        <v>0</v>
      </c>
      <c r="H173" s="150">
        <f>SUMIF(记录巡查问题条数汇总!$B:$B,C173,记录巡查问题条数汇总!$E:$E)</f>
        <v>0</v>
      </c>
      <c r="I173" s="150"/>
      <c r="J173" s="150">
        <f>SUMIF(安全质量事故!$B:$B,C173,安全质量事故!$G:$G)</f>
        <v>0</v>
      </c>
      <c r="K173" s="141">
        <f>COUNTIF(L173:AP173,标准数据!$A$2)*标准数据!$B$2+COUNTIF(L173:AP173,标准数据!$A$3)*标准数据!$B$3+COUNTIF(L173:AP173,标准数据!$A$4)*标准数据!$B$4</f>
        <v>0</v>
      </c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  <c r="Y173" s="109"/>
      <c r="Z173" s="109"/>
      <c r="AA173" s="109"/>
      <c r="AB173" s="109"/>
      <c r="AC173" s="109"/>
      <c r="AD173" s="109"/>
      <c r="AE173" s="109"/>
      <c r="AF173" s="109"/>
      <c r="AG173" s="109"/>
      <c r="AH173" s="109"/>
      <c r="AI173" s="109"/>
      <c r="AJ173" s="109"/>
      <c r="AK173" s="109"/>
      <c r="AL173" s="109"/>
      <c r="AM173" s="109"/>
      <c r="AN173" s="109"/>
      <c r="AO173" s="109"/>
      <c r="AP173" s="109"/>
      <c r="AT173" s="149" t="s">
        <v>458</v>
      </c>
      <c r="AU173" s="94" t="s">
        <v>1821</v>
      </c>
    </row>
    <row r="174" spans="1:47" ht="21" customHeight="1" x14ac:dyDescent="0.35">
      <c r="A174" s="259"/>
      <c r="B174" s="98" t="s">
        <v>17</v>
      </c>
      <c r="C174" s="99" t="s">
        <v>229</v>
      </c>
      <c r="D174" s="105" t="s">
        <v>230</v>
      </c>
      <c r="E174" s="99">
        <v>45462</v>
      </c>
      <c r="F174" s="102">
        <f t="shared" si="5"/>
        <v>0</v>
      </c>
      <c r="G174" s="150">
        <f>SUMIF(积分汇总!$B:$B,C174,积分汇总!$E:$E)</f>
        <v>0</v>
      </c>
      <c r="H174" s="150">
        <f>SUMIF(记录巡查问题条数汇总!$B:$B,C174,记录巡查问题条数汇总!$E:$E)</f>
        <v>0</v>
      </c>
      <c r="I174" s="150"/>
      <c r="J174" s="150">
        <f>SUMIF(安全质量事故!$B:$B,C174,安全质量事故!$G:$G)</f>
        <v>0</v>
      </c>
      <c r="K174" s="141">
        <f>COUNTIF(L174:AP174,标准数据!$A$2)*标准数据!$B$2+COUNTIF(L174:AP174,标准数据!$A$3)*标准数据!$B$3+COUNTIF(L174:AP174,标准数据!$A$4)*标准数据!$B$4</f>
        <v>0</v>
      </c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  <c r="Y174" s="109"/>
      <c r="Z174" s="109"/>
      <c r="AA174" s="109"/>
      <c r="AB174" s="109"/>
      <c r="AC174" s="109"/>
      <c r="AD174" s="109"/>
      <c r="AE174" s="109"/>
      <c r="AF174" s="109"/>
      <c r="AG174" s="109"/>
      <c r="AH174" s="109"/>
      <c r="AI174" s="109"/>
      <c r="AJ174" s="109"/>
      <c r="AK174" s="109"/>
      <c r="AL174" s="109"/>
      <c r="AM174" s="109"/>
      <c r="AN174" s="109"/>
      <c r="AO174" s="109"/>
      <c r="AP174" s="109"/>
      <c r="AT174" s="149" t="s">
        <v>230</v>
      </c>
      <c r="AU174" s="94" t="s">
        <v>1821</v>
      </c>
    </row>
    <row r="175" spans="1:47" ht="21" customHeight="1" x14ac:dyDescent="0.35">
      <c r="A175" s="259"/>
      <c r="B175" s="98" t="s">
        <v>17</v>
      </c>
      <c r="C175" s="99" t="s">
        <v>296</v>
      </c>
      <c r="D175" s="100" t="s">
        <v>291</v>
      </c>
      <c r="E175" s="101">
        <v>45532</v>
      </c>
      <c r="F175" s="102">
        <f t="shared" si="5"/>
        <v>0</v>
      </c>
      <c r="G175" s="150">
        <f>SUMIF(积分汇总!$B:$B,C175,积分汇总!$E:$E)</f>
        <v>0</v>
      </c>
      <c r="H175" s="150">
        <f>SUMIF(记录巡查问题条数汇总!$B:$B,C175,记录巡查问题条数汇总!$E:$E)</f>
        <v>0</v>
      </c>
      <c r="I175" s="150"/>
      <c r="J175" s="150">
        <f>SUMIF(安全质量事故!$B:$B,C175,安全质量事故!$G:$G)</f>
        <v>0</v>
      </c>
      <c r="K175" s="141">
        <f>COUNTIF(L175:AP175,标准数据!$A$2)*标准数据!$B$2+COUNTIF(L175:AP175,标准数据!$A$3)*标准数据!$B$3+COUNTIF(L175:AP175,标准数据!$A$4)*标准数据!$B$4</f>
        <v>0</v>
      </c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  <c r="AA175" s="109"/>
      <c r="AB175" s="109"/>
      <c r="AC175" s="109"/>
      <c r="AD175" s="109"/>
      <c r="AE175" s="109"/>
      <c r="AF175" s="109"/>
      <c r="AG175" s="109"/>
      <c r="AH175" s="109"/>
      <c r="AI175" s="109"/>
      <c r="AJ175" s="109"/>
      <c r="AK175" s="109"/>
      <c r="AL175" s="109"/>
      <c r="AM175" s="109"/>
      <c r="AN175" s="109"/>
      <c r="AO175" s="109"/>
      <c r="AP175" s="109"/>
      <c r="AT175" s="149" t="s">
        <v>291</v>
      </c>
      <c r="AU175" s="94" t="s">
        <v>1821</v>
      </c>
    </row>
    <row r="176" spans="1:47" ht="21" customHeight="1" x14ac:dyDescent="0.35">
      <c r="A176" s="259"/>
      <c r="B176" s="98" t="s">
        <v>95</v>
      </c>
      <c r="C176" s="99" t="s">
        <v>592</v>
      </c>
      <c r="D176" s="100" t="s">
        <v>556</v>
      </c>
      <c r="E176" s="101">
        <v>45889</v>
      </c>
      <c r="F176" s="102">
        <f t="shared" si="5"/>
        <v>0</v>
      </c>
      <c r="G176" s="150">
        <f>SUMIF(积分汇总!$B:$B,C176,积分汇总!$E:$E)</f>
        <v>0</v>
      </c>
      <c r="H176" s="150">
        <f>SUMIF(记录巡查问题条数汇总!$B:$B,C176,记录巡查问题条数汇总!$E:$E)</f>
        <v>0</v>
      </c>
      <c r="I176" s="150"/>
      <c r="J176" s="150">
        <f>SUMIF(安全质量事故!$B:$B,C176,安全质量事故!$G:$G)</f>
        <v>0</v>
      </c>
      <c r="K176" s="141">
        <f>COUNTIF(L176:AP176,标准数据!$A$2)*标准数据!$B$2+COUNTIF(L176:AP176,标准数据!$A$3)*标准数据!$B$3+COUNTIF(L176:AP176,标准数据!$A$4)*标准数据!$B$4</f>
        <v>0</v>
      </c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  <c r="AA176" s="109"/>
      <c r="AB176" s="109"/>
      <c r="AC176" s="109"/>
      <c r="AD176" s="109"/>
      <c r="AE176" s="109"/>
      <c r="AF176" s="109"/>
      <c r="AG176" s="109"/>
      <c r="AH176" s="109"/>
      <c r="AI176" s="109"/>
      <c r="AJ176" s="109"/>
      <c r="AK176" s="109"/>
      <c r="AL176" s="109"/>
      <c r="AM176" s="109"/>
      <c r="AN176" s="109"/>
      <c r="AO176" s="109"/>
      <c r="AP176" s="109"/>
      <c r="AT176" s="149" t="s">
        <v>556</v>
      </c>
      <c r="AU176" s="94" t="s">
        <v>1821</v>
      </c>
    </row>
    <row r="177" spans="1:47" ht="21" customHeight="1" x14ac:dyDescent="0.35">
      <c r="A177" s="259"/>
      <c r="B177" s="98" t="s">
        <v>17</v>
      </c>
      <c r="C177" s="99" t="s">
        <v>517</v>
      </c>
      <c r="D177" s="100" t="s">
        <v>479</v>
      </c>
      <c r="E177" s="101">
        <v>44396</v>
      </c>
      <c r="F177" s="102">
        <f t="shared" si="5"/>
        <v>0</v>
      </c>
      <c r="G177" s="150">
        <f>SUMIF(积分汇总!$B:$B,C177,积分汇总!$E:$E)</f>
        <v>0</v>
      </c>
      <c r="H177" s="150">
        <f>SUMIF(记录巡查问题条数汇总!$B:$B,C177,记录巡查问题条数汇总!$E:$E)</f>
        <v>0</v>
      </c>
      <c r="I177" s="150"/>
      <c r="J177" s="150">
        <f>SUMIF(安全质量事故!$B:$B,C177,安全质量事故!$G:$G)</f>
        <v>0</v>
      </c>
      <c r="K177" s="141">
        <f>COUNTIF(L177:AP177,标准数据!$A$2)*标准数据!$B$2+COUNTIF(L177:AP177,标准数据!$A$3)*标准数据!$B$3+COUNTIF(L177:AP177,标准数据!$A$4)*标准数据!$B$4</f>
        <v>0</v>
      </c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  <c r="Y177" s="109"/>
      <c r="Z177" s="109"/>
      <c r="AA177" s="109"/>
      <c r="AB177" s="109"/>
      <c r="AC177" s="109"/>
      <c r="AD177" s="109"/>
      <c r="AE177" s="109"/>
      <c r="AF177" s="109"/>
      <c r="AG177" s="109"/>
      <c r="AH177" s="109"/>
      <c r="AI177" s="109"/>
      <c r="AJ177" s="109"/>
      <c r="AK177" s="109"/>
      <c r="AL177" s="109"/>
      <c r="AM177" s="109"/>
      <c r="AN177" s="109"/>
      <c r="AO177" s="109"/>
      <c r="AP177" s="109"/>
      <c r="AQ177" s="94"/>
      <c r="AR177" s="94"/>
      <c r="AS177" s="94"/>
      <c r="AT177" s="149" t="s">
        <v>479</v>
      </c>
      <c r="AU177" s="94" t="s">
        <v>1821</v>
      </c>
    </row>
    <row r="178" spans="1:47" ht="21" customHeight="1" x14ac:dyDescent="0.35">
      <c r="A178" s="259"/>
      <c r="B178" s="98" t="s">
        <v>17</v>
      </c>
      <c r="C178" s="99" t="s">
        <v>136</v>
      </c>
      <c r="D178" s="100" t="s">
        <v>137</v>
      </c>
      <c r="E178" s="101">
        <v>45238</v>
      </c>
      <c r="F178" s="102">
        <f t="shared" si="5"/>
        <v>0</v>
      </c>
      <c r="G178" s="150">
        <f>SUMIF(积分汇总!$B:$B,C178,积分汇总!$E:$E)</f>
        <v>0</v>
      </c>
      <c r="H178" s="150">
        <f>SUMIF(记录巡查问题条数汇总!$B:$B,C178,记录巡查问题条数汇总!$E:$E)</f>
        <v>0</v>
      </c>
      <c r="I178" s="150"/>
      <c r="J178" s="150">
        <f>SUMIF(安全质量事故!$B:$B,C178,安全质量事故!$G:$G)</f>
        <v>0</v>
      </c>
      <c r="K178" s="141">
        <f>COUNTIF(L178:AP178,标准数据!$A$2)*标准数据!$B$2+COUNTIF(L178:AP178,标准数据!$A$3)*标准数据!$B$3+COUNTIF(L178:AP178,标准数据!$A$4)*标准数据!$B$4</f>
        <v>0</v>
      </c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  <c r="AA178" s="109"/>
      <c r="AB178" s="109"/>
      <c r="AC178" s="109"/>
      <c r="AD178" s="109"/>
      <c r="AE178" s="109"/>
      <c r="AF178" s="109"/>
      <c r="AG178" s="109"/>
      <c r="AH178" s="109"/>
      <c r="AI178" s="109"/>
      <c r="AJ178" s="109"/>
      <c r="AK178" s="109"/>
      <c r="AL178" s="109"/>
      <c r="AM178" s="109"/>
      <c r="AN178" s="109"/>
      <c r="AO178" s="109"/>
      <c r="AP178" s="109"/>
      <c r="AT178" s="149" t="s">
        <v>137</v>
      </c>
      <c r="AU178" s="94" t="s">
        <v>1821</v>
      </c>
    </row>
    <row r="179" spans="1:47" ht="21" customHeight="1" x14ac:dyDescent="0.35">
      <c r="A179" s="259"/>
      <c r="B179" s="98" t="s">
        <v>17</v>
      </c>
      <c r="C179" s="99" t="s">
        <v>1414</v>
      </c>
      <c r="D179" s="100" t="s">
        <v>743</v>
      </c>
      <c r="E179" s="101">
        <v>45980</v>
      </c>
      <c r="F179" s="102">
        <f t="shared" si="5"/>
        <v>0</v>
      </c>
      <c r="G179" s="150">
        <f>SUMIF(积分汇总!$B:$B,C179,积分汇总!$E:$E)</f>
        <v>0</v>
      </c>
      <c r="H179" s="150">
        <f>SUMIF(记录巡查问题条数汇总!$B:$B,C179,记录巡查问题条数汇总!$E:$E)</f>
        <v>0</v>
      </c>
      <c r="I179" s="150"/>
      <c r="J179" s="150">
        <f>SUMIF(安全质量事故!$B:$B,C179,安全质量事故!$G:$G)</f>
        <v>0</v>
      </c>
      <c r="K179" s="141">
        <f>COUNTIF(L179:AP179,标准数据!$A$2)*标准数据!$B$2+COUNTIF(L179:AP179,标准数据!$A$3)*标准数据!$B$3+COUNTIF(L179:AP179,标准数据!$A$4)*标准数据!$B$4</f>
        <v>0</v>
      </c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  <c r="AA179" s="109"/>
      <c r="AB179" s="109"/>
      <c r="AC179" s="109"/>
      <c r="AD179" s="109"/>
      <c r="AE179" s="109"/>
      <c r="AF179" s="109"/>
      <c r="AG179" s="109"/>
      <c r="AH179" s="109"/>
      <c r="AI179" s="109"/>
      <c r="AJ179" s="109"/>
      <c r="AK179" s="109"/>
      <c r="AL179" s="109"/>
      <c r="AM179" s="109"/>
      <c r="AN179" s="109"/>
      <c r="AO179" s="109"/>
      <c r="AP179" s="109"/>
      <c r="AT179" s="149" t="s">
        <v>743</v>
      </c>
      <c r="AU179" s="94" t="s">
        <v>1821</v>
      </c>
    </row>
    <row r="180" spans="1:47" ht="21" customHeight="1" x14ac:dyDescent="0.35">
      <c r="A180" s="259"/>
      <c r="B180" s="98" t="s">
        <v>17</v>
      </c>
      <c r="C180" s="99" t="s">
        <v>896</v>
      </c>
      <c r="D180" s="100" t="s">
        <v>843</v>
      </c>
      <c r="E180" s="101">
        <v>45987</v>
      </c>
      <c r="F180" s="102">
        <f t="shared" si="5"/>
        <v>0</v>
      </c>
      <c r="G180" s="150">
        <f>SUMIF(积分汇总!$B:$B,C180,积分汇总!$E:$E)</f>
        <v>0</v>
      </c>
      <c r="H180" s="150">
        <f>SUMIF(记录巡查问题条数汇总!$B:$B,C180,记录巡查问题条数汇总!$E:$E)</f>
        <v>0</v>
      </c>
      <c r="I180" s="150"/>
      <c r="J180" s="150">
        <f>SUMIF(安全质量事故!$B:$B,C180,安全质量事故!$G:$G)</f>
        <v>0</v>
      </c>
      <c r="K180" s="141">
        <f>COUNTIF(L180:AP180,标准数据!$A$2)*标准数据!$B$2+COUNTIF(L180:AP180,标准数据!$A$3)*标准数据!$B$3+COUNTIF(L180:AP180,标准数据!$A$4)*标准数据!$B$4</f>
        <v>0</v>
      </c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  <c r="AA180" s="109"/>
      <c r="AB180" s="109"/>
      <c r="AC180" s="109"/>
      <c r="AD180" s="109"/>
      <c r="AE180" s="109"/>
      <c r="AF180" s="109"/>
      <c r="AG180" s="109"/>
      <c r="AH180" s="109"/>
      <c r="AI180" s="109"/>
      <c r="AJ180" s="109"/>
      <c r="AK180" s="109"/>
      <c r="AL180" s="109"/>
      <c r="AM180" s="109"/>
      <c r="AN180" s="109"/>
      <c r="AO180" s="109"/>
      <c r="AP180" s="109"/>
      <c r="AT180" s="149" t="s">
        <v>843</v>
      </c>
      <c r="AU180" s="94" t="s">
        <v>1821</v>
      </c>
    </row>
    <row r="181" spans="1:47" ht="21" customHeight="1" x14ac:dyDescent="0.35">
      <c r="A181" s="259"/>
      <c r="B181" s="98" t="s">
        <v>17</v>
      </c>
      <c r="C181" s="99" t="s">
        <v>897</v>
      </c>
      <c r="D181" s="100" t="s">
        <v>844</v>
      </c>
      <c r="E181" s="101">
        <v>46008</v>
      </c>
      <c r="F181" s="102">
        <f t="shared" si="5"/>
        <v>0</v>
      </c>
      <c r="G181" s="150">
        <f>SUMIF(积分汇总!$B:$B,C181,积分汇总!$E:$E)</f>
        <v>0</v>
      </c>
      <c r="H181" s="150">
        <f>SUMIF(记录巡查问题条数汇总!$B:$B,C181,记录巡查问题条数汇总!$E:$E)</f>
        <v>0</v>
      </c>
      <c r="I181" s="150"/>
      <c r="J181" s="150">
        <f>SUMIF(安全质量事故!$B:$B,C181,安全质量事故!$G:$G)</f>
        <v>0</v>
      </c>
      <c r="K181" s="141">
        <f>COUNTIF(L181:AP181,标准数据!$A$2)*标准数据!$B$2+COUNTIF(L181:AP181,标准数据!$A$3)*标准数据!$B$3+COUNTIF(L181:AP181,标准数据!$A$4)*标准数据!$B$4</f>
        <v>0</v>
      </c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  <c r="AA181" s="109"/>
      <c r="AB181" s="109"/>
      <c r="AC181" s="109"/>
      <c r="AD181" s="109"/>
      <c r="AE181" s="109"/>
      <c r="AF181" s="109"/>
      <c r="AG181" s="109"/>
      <c r="AH181" s="109"/>
      <c r="AI181" s="109"/>
      <c r="AJ181" s="109"/>
      <c r="AK181" s="109"/>
      <c r="AL181" s="109"/>
      <c r="AM181" s="109"/>
      <c r="AN181" s="109"/>
      <c r="AO181" s="109"/>
      <c r="AP181" s="109"/>
      <c r="AT181" s="149" t="s">
        <v>844</v>
      </c>
      <c r="AU181" s="94" t="s">
        <v>1821</v>
      </c>
    </row>
    <row r="182" spans="1:47" ht="21" customHeight="1" x14ac:dyDescent="0.35">
      <c r="A182" s="259"/>
      <c r="B182" s="98" t="s">
        <v>95</v>
      </c>
      <c r="C182" s="99" t="s">
        <v>898</v>
      </c>
      <c r="D182" s="105" t="s">
        <v>845</v>
      </c>
      <c r="E182" s="99">
        <v>46008</v>
      </c>
      <c r="F182" s="102">
        <f t="shared" si="5"/>
        <v>0</v>
      </c>
      <c r="G182" s="150">
        <f>SUMIF(积分汇总!$B:$B,C182,积分汇总!$E:$E)</f>
        <v>0</v>
      </c>
      <c r="H182" s="150">
        <f>SUMIF(记录巡查问题条数汇总!$B:$B,C182,记录巡查问题条数汇总!$E:$E)</f>
        <v>0</v>
      </c>
      <c r="I182" s="150"/>
      <c r="J182" s="150">
        <f>SUMIF(安全质量事故!$B:$B,C182,安全质量事故!$G:$G)</f>
        <v>0</v>
      </c>
      <c r="K182" s="141">
        <f>COUNTIF(L182:AP182,标准数据!$A$2)*标准数据!$B$2+COUNTIF(L182:AP182,标准数据!$A$3)*标准数据!$B$3+COUNTIF(L182:AP182,标准数据!$A$4)*标准数据!$B$4</f>
        <v>0</v>
      </c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  <c r="AA182" s="109"/>
      <c r="AB182" s="109"/>
      <c r="AC182" s="109"/>
      <c r="AD182" s="109"/>
      <c r="AE182" s="109"/>
      <c r="AF182" s="109"/>
      <c r="AG182" s="109"/>
      <c r="AH182" s="109"/>
      <c r="AI182" s="109"/>
      <c r="AJ182" s="109"/>
      <c r="AK182" s="109"/>
      <c r="AL182" s="109"/>
      <c r="AM182" s="109"/>
      <c r="AN182" s="109"/>
      <c r="AO182" s="109"/>
      <c r="AP182" s="109"/>
      <c r="AQ182" s="94"/>
      <c r="AR182" s="94"/>
      <c r="AS182" s="94"/>
      <c r="AT182" s="149" t="s">
        <v>845</v>
      </c>
      <c r="AU182" s="94" t="s">
        <v>1821</v>
      </c>
    </row>
    <row r="183" spans="1:47" ht="21" customHeight="1" x14ac:dyDescent="0.35">
      <c r="A183" s="259"/>
      <c r="B183" s="98" t="s">
        <v>17</v>
      </c>
      <c r="C183" s="99" t="s">
        <v>1217</v>
      </c>
      <c r="D183" s="100" t="s">
        <v>1218</v>
      </c>
      <c r="E183" s="101">
        <v>46127</v>
      </c>
      <c r="F183" s="102">
        <f t="shared" si="5"/>
        <v>0</v>
      </c>
      <c r="G183" s="150">
        <f>SUMIF(积分汇总!$B:$B,C183,积分汇总!$E:$E)</f>
        <v>0</v>
      </c>
      <c r="H183" s="150">
        <f>SUMIF(记录巡查问题条数汇总!$B:$B,C183,记录巡查问题条数汇总!$E:$E)</f>
        <v>0</v>
      </c>
      <c r="I183" s="150"/>
      <c r="J183" s="150">
        <f>SUMIF(安全质量事故!$B:$B,C183,安全质量事故!$G:$G)</f>
        <v>0</v>
      </c>
      <c r="K183" s="141">
        <f>COUNTIF(L183:AP183,标准数据!$A$2)*标准数据!$B$2+COUNTIF(L183:AP183,标准数据!$A$3)*标准数据!$B$3+COUNTIF(L183:AP183,标准数据!$A$4)*标准数据!$B$4</f>
        <v>0</v>
      </c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  <c r="AA183" s="109"/>
      <c r="AB183" s="109"/>
      <c r="AC183" s="109"/>
      <c r="AD183" s="109"/>
      <c r="AE183" s="109"/>
      <c r="AF183" s="109"/>
      <c r="AG183" s="109"/>
      <c r="AH183" s="109"/>
      <c r="AI183" s="109"/>
      <c r="AJ183" s="109"/>
      <c r="AK183" s="109"/>
      <c r="AL183" s="109"/>
      <c r="AM183" s="109"/>
      <c r="AN183" s="109"/>
      <c r="AO183" s="109"/>
      <c r="AP183" s="109"/>
      <c r="AT183" s="149" t="s">
        <v>1218</v>
      </c>
      <c r="AU183" s="94" t="s">
        <v>1821</v>
      </c>
    </row>
    <row r="184" spans="1:47" ht="21" customHeight="1" x14ac:dyDescent="0.35">
      <c r="A184" s="259"/>
      <c r="B184" s="98" t="s">
        <v>17</v>
      </c>
      <c r="C184" s="99" t="s">
        <v>1219</v>
      </c>
      <c r="D184" s="100" t="s">
        <v>1220</v>
      </c>
      <c r="E184" s="101">
        <v>46127</v>
      </c>
      <c r="F184" s="102">
        <f t="shared" si="5"/>
        <v>0</v>
      </c>
      <c r="G184" s="150">
        <f>SUMIF(积分汇总!$B:$B,C184,积分汇总!$E:$E)</f>
        <v>0</v>
      </c>
      <c r="H184" s="150">
        <f>SUMIF(记录巡查问题条数汇总!$B:$B,C184,记录巡查问题条数汇总!$E:$E)</f>
        <v>0</v>
      </c>
      <c r="I184" s="150"/>
      <c r="J184" s="150">
        <f>SUMIF(安全质量事故!$B:$B,C184,安全质量事故!$G:$G)</f>
        <v>0</v>
      </c>
      <c r="K184" s="141">
        <f>COUNTIF(L184:AP184,标准数据!$A$2)*标准数据!$B$2+COUNTIF(L184:AP184,标准数据!$A$3)*标准数据!$B$3+COUNTIF(L184:AP184,标准数据!$A$4)*标准数据!$B$4</f>
        <v>0</v>
      </c>
      <c r="L184" s="109"/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109"/>
      <c r="Y184" s="109"/>
      <c r="Z184" s="109"/>
      <c r="AA184" s="109"/>
      <c r="AB184" s="109"/>
      <c r="AC184" s="109"/>
      <c r="AD184" s="109"/>
      <c r="AE184" s="109"/>
      <c r="AF184" s="109"/>
      <c r="AG184" s="109"/>
      <c r="AH184" s="109"/>
      <c r="AI184" s="109"/>
      <c r="AJ184" s="109"/>
      <c r="AK184" s="109"/>
      <c r="AL184" s="109"/>
      <c r="AM184" s="109"/>
      <c r="AN184" s="109"/>
      <c r="AO184" s="109"/>
      <c r="AP184" s="109"/>
      <c r="AT184" s="149" t="s">
        <v>1220</v>
      </c>
      <c r="AU184" s="94" t="s">
        <v>1821</v>
      </c>
    </row>
    <row r="185" spans="1:47" ht="21" customHeight="1" x14ac:dyDescent="0.35">
      <c r="A185" s="259"/>
      <c r="B185" s="98" t="s">
        <v>17</v>
      </c>
      <c r="C185" s="99" t="s">
        <v>1221</v>
      </c>
      <c r="D185" s="100" t="s">
        <v>1222</v>
      </c>
      <c r="E185" s="101">
        <v>46120</v>
      </c>
      <c r="F185" s="102">
        <f t="shared" si="5"/>
        <v>0</v>
      </c>
      <c r="G185" s="150">
        <f>SUMIF(积分汇总!$B:$B,C185,积分汇总!$E:$E)</f>
        <v>0</v>
      </c>
      <c r="H185" s="150">
        <f>SUMIF(记录巡查问题条数汇总!$B:$B,C185,记录巡查问题条数汇总!$E:$E)</f>
        <v>0</v>
      </c>
      <c r="I185" s="150"/>
      <c r="J185" s="150">
        <f>SUMIF(安全质量事故!$B:$B,C185,安全质量事故!$G:$G)</f>
        <v>0</v>
      </c>
      <c r="K185" s="141">
        <f>COUNTIF(L185:AP185,标准数据!$A$2)*标准数据!$B$2+COUNTIF(L185:AP185,标准数据!$A$3)*标准数据!$B$3+COUNTIF(L185:AP185,标准数据!$A$4)*标准数据!$B$4</f>
        <v>0</v>
      </c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  <c r="AA185" s="109"/>
      <c r="AB185" s="109"/>
      <c r="AC185" s="109"/>
      <c r="AD185" s="109"/>
      <c r="AE185" s="109"/>
      <c r="AF185" s="109"/>
      <c r="AG185" s="109"/>
      <c r="AH185" s="109"/>
      <c r="AI185" s="109"/>
      <c r="AJ185" s="109"/>
      <c r="AK185" s="109"/>
      <c r="AL185" s="109"/>
      <c r="AM185" s="109"/>
      <c r="AN185" s="109"/>
      <c r="AO185" s="109"/>
      <c r="AP185" s="109"/>
      <c r="AT185" s="149" t="s">
        <v>1222</v>
      </c>
      <c r="AU185" s="94" t="s">
        <v>1821</v>
      </c>
    </row>
    <row r="186" spans="1:47" s="104" customFormat="1" ht="21" customHeight="1" x14ac:dyDescent="0.35">
      <c r="A186" s="259"/>
      <c r="B186" s="98" t="s">
        <v>17</v>
      </c>
      <c r="C186" s="99" t="s">
        <v>997</v>
      </c>
      <c r="D186" s="100" t="s">
        <v>969</v>
      </c>
      <c r="E186" s="101">
        <v>46015</v>
      </c>
      <c r="F186" s="102">
        <f t="shared" si="5"/>
        <v>0</v>
      </c>
      <c r="G186" s="150">
        <f>SUMIF(积分汇总!$B:$B,C186,积分汇总!$E:$E)</f>
        <v>0</v>
      </c>
      <c r="H186" s="150">
        <f>SUMIF(记录巡查问题条数汇总!$B:$B,C186,记录巡查问题条数汇总!$E:$E)</f>
        <v>0</v>
      </c>
      <c r="I186" s="150"/>
      <c r="J186" s="150">
        <f>SUMIF(安全质量事故!$B:$B,C186,安全质量事故!$G:$G)</f>
        <v>0</v>
      </c>
      <c r="K186" s="141">
        <f>COUNTIF(L186:AP186,标准数据!$A$2)*标准数据!$B$2+COUNTIF(L186:AP186,标准数据!$A$3)*标准数据!$B$3+COUNTIF(L186:AP186,标准数据!$A$4)*标准数据!$B$4</f>
        <v>0</v>
      </c>
      <c r="L186" s="109"/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109"/>
      <c r="Y186" s="109"/>
      <c r="Z186" s="109"/>
      <c r="AA186" s="109"/>
      <c r="AB186" s="109"/>
      <c r="AC186" s="109"/>
      <c r="AD186" s="109"/>
      <c r="AE186" s="109"/>
      <c r="AF186" s="109"/>
      <c r="AG186" s="109"/>
      <c r="AH186" s="109"/>
      <c r="AI186" s="109"/>
      <c r="AJ186" s="109"/>
      <c r="AK186" s="109"/>
      <c r="AL186" s="109"/>
      <c r="AM186" s="109"/>
      <c r="AN186" s="109"/>
      <c r="AO186" s="109"/>
      <c r="AP186" s="109"/>
      <c r="AT186" s="149" t="s">
        <v>969</v>
      </c>
      <c r="AU186" s="94" t="s">
        <v>1821</v>
      </c>
    </row>
    <row r="187" spans="1:47" ht="21" customHeight="1" x14ac:dyDescent="0.35">
      <c r="A187" s="259"/>
      <c r="B187" s="98" t="s">
        <v>17</v>
      </c>
      <c r="C187" s="99" t="s">
        <v>1237</v>
      </c>
      <c r="D187" s="100" t="s">
        <v>1238</v>
      </c>
      <c r="E187" s="101">
        <v>46120</v>
      </c>
      <c r="F187" s="102">
        <f t="shared" si="5"/>
        <v>0</v>
      </c>
      <c r="G187" s="150">
        <f>SUMIF(积分汇总!$B:$B,C187,积分汇总!$E:$E)</f>
        <v>0</v>
      </c>
      <c r="H187" s="150">
        <f>SUMIF(记录巡查问题条数汇总!$B:$B,C187,记录巡查问题条数汇总!$E:$E)</f>
        <v>0</v>
      </c>
      <c r="I187" s="150"/>
      <c r="J187" s="150">
        <f>SUMIF(安全质量事故!$B:$B,C187,安全质量事故!$G:$G)</f>
        <v>0</v>
      </c>
      <c r="K187" s="141">
        <f>COUNTIF(L187:AP187,标准数据!$A$2)*标准数据!$B$2+COUNTIF(L187:AP187,标准数据!$A$3)*标准数据!$B$3+COUNTIF(L187:AP187,标准数据!$A$4)*标准数据!$B$4</f>
        <v>0</v>
      </c>
      <c r="L187" s="109"/>
      <c r="M187" s="109"/>
      <c r="N187" s="109"/>
      <c r="O187" s="109"/>
      <c r="P187" s="109"/>
      <c r="Q187" s="109"/>
      <c r="R187" s="109"/>
      <c r="S187" s="108"/>
      <c r="T187" s="108"/>
      <c r="U187" s="108"/>
      <c r="V187" s="108"/>
      <c r="W187" s="108"/>
      <c r="X187" s="108"/>
      <c r="Y187" s="108"/>
      <c r="Z187" s="109"/>
      <c r="AA187" s="109"/>
      <c r="AB187" s="109"/>
      <c r="AC187" s="109"/>
      <c r="AD187" s="109"/>
      <c r="AE187" s="109"/>
      <c r="AF187" s="109"/>
      <c r="AG187" s="109"/>
      <c r="AH187" s="109"/>
      <c r="AI187" s="109"/>
      <c r="AJ187" s="109"/>
      <c r="AK187" s="109"/>
      <c r="AL187" s="109"/>
      <c r="AM187" s="109"/>
      <c r="AN187" s="109"/>
      <c r="AO187" s="109"/>
      <c r="AP187" s="109"/>
      <c r="AT187" s="149" t="s">
        <v>1238</v>
      </c>
      <c r="AU187" s="94" t="s">
        <v>1821</v>
      </c>
    </row>
    <row r="188" spans="1:47" ht="21" customHeight="1" x14ac:dyDescent="0.35">
      <c r="A188" s="259"/>
      <c r="B188" s="98" t="s">
        <v>95</v>
      </c>
      <c r="C188" s="99" t="s">
        <v>1239</v>
      </c>
      <c r="D188" s="100" t="s">
        <v>1240</v>
      </c>
      <c r="E188" s="101">
        <v>46120</v>
      </c>
      <c r="F188" s="102">
        <f t="shared" si="5"/>
        <v>0</v>
      </c>
      <c r="G188" s="150">
        <f>SUMIF(积分汇总!$B:$B,C188,积分汇总!$E:$E)</f>
        <v>0</v>
      </c>
      <c r="H188" s="150">
        <f>SUMIF(记录巡查问题条数汇总!$B:$B,C188,记录巡查问题条数汇总!$E:$E)</f>
        <v>0</v>
      </c>
      <c r="I188" s="150"/>
      <c r="J188" s="150">
        <f>SUMIF(安全质量事故!$B:$B,C188,安全质量事故!$G:$G)</f>
        <v>0</v>
      </c>
      <c r="K188" s="141">
        <f>COUNTIF(L188:AP188,标准数据!$A$2)*标准数据!$B$2+COUNTIF(L188:AP188,标准数据!$A$3)*标准数据!$B$3+COUNTIF(L188:AP188,标准数据!$A$4)*标准数据!$B$4</f>
        <v>0</v>
      </c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09"/>
      <c r="AJ188" s="109"/>
      <c r="AK188" s="109"/>
      <c r="AL188" s="109"/>
      <c r="AM188" s="109"/>
      <c r="AN188" s="109"/>
      <c r="AO188" s="109"/>
      <c r="AP188" s="109"/>
      <c r="AT188" s="149" t="s">
        <v>1240</v>
      </c>
      <c r="AU188" s="94" t="s">
        <v>1821</v>
      </c>
    </row>
    <row r="189" spans="1:47" ht="21" customHeight="1" x14ac:dyDescent="0.35">
      <c r="A189" s="259"/>
      <c r="B189" s="98" t="s">
        <v>17</v>
      </c>
      <c r="C189" s="99" t="s">
        <v>1241</v>
      </c>
      <c r="D189" s="100" t="s">
        <v>1242</v>
      </c>
      <c r="E189" s="101">
        <v>46120</v>
      </c>
      <c r="F189" s="102">
        <f t="shared" si="5"/>
        <v>0</v>
      </c>
      <c r="G189" s="150">
        <f>SUMIF(积分汇总!$B:$B,C189,积分汇总!$E:$E)</f>
        <v>0</v>
      </c>
      <c r="H189" s="150">
        <f>SUMIF(记录巡查问题条数汇总!$B:$B,C189,记录巡查问题条数汇总!$E:$E)</f>
        <v>0</v>
      </c>
      <c r="I189" s="150"/>
      <c r="J189" s="150">
        <f>SUMIF(安全质量事故!$B:$B,C189,安全质量事故!$G:$G)</f>
        <v>0</v>
      </c>
      <c r="K189" s="141">
        <f>COUNTIF(L189:AP189,标准数据!$A$2)*标准数据!$B$2+COUNTIF(L189:AP189,标准数据!$A$3)*标准数据!$B$3+COUNTIF(L189:AP189,标准数据!$A$4)*标准数据!$B$4</f>
        <v>0</v>
      </c>
      <c r="L189" s="109"/>
      <c r="M189" s="109"/>
      <c r="N189" s="109"/>
      <c r="O189" s="109"/>
      <c r="P189" s="109"/>
      <c r="Q189" s="109"/>
      <c r="R189" s="109"/>
      <c r="S189" s="108"/>
      <c r="T189" s="108"/>
      <c r="U189" s="108"/>
      <c r="V189" s="108"/>
      <c r="W189" s="108"/>
      <c r="X189" s="108"/>
      <c r="Y189" s="108"/>
      <c r="Z189" s="108"/>
      <c r="AA189" s="108"/>
      <c r="AB189" s="108"/>
      <c r="AC189" s="108"/>
      <c r="AD189" s="108"/>
      <c r="AE189" s="108"/>
      <c r="AF189" s="108"/>
      <c r="AG189" s="108"/>
      <c r="AH189" s="108"/>
      <c r="AI189" s="108"/>
      <c r="AJ189" s="108"/>
      <c r="AK189" s="108"/>
      <c r="AL189" s="108"/>
      <c r="AM189" s="108"/>
      <c r="AN189" s="108"/>
      <c r="AO189" s="108"/>
      <c r="AP189" s="108"/>
      <c r="AT189" s="149" t="s">
        <v>1242</v>
      </c>
      <c r="AU189" s="94" t="s">
        <v>1821</v>
      </c>
    </row>
    <row r="190" spans="1:47" ht="21" customHeight="1" x14ac:dyDescent="0.35">
      <c r="A190" s="259"/>
      <c r="B190" s="98" t="s">
        <v>17</v>
      </c>
      <c r="C190" s="99" t="s">
        <v>1116</v>
      </c>
      <c r="D190" s="100" t="s">
        <v>1117</v>
      </c>
      <c r="E190" s="101">
        <v>46104</v>
      </c>
      <c r="F190" s="102">
        <f t="shared" si="5"/>
        <v>0</v>
      </c>
      <c r="G190" s="150">
        <f>SUMIF(积分汇总!$B:$B,C190,积分汇总!$E:$E)</f>
        <v>0</v>
      </c>
      <c r="H190" s="150">
        <f>SUMIF(记录巡查问题条数汇总!$B:$B,C190,记录巡查问题条数汇总!$E:$E)</f>
        <v>0</v>
      </c>
      <c r="I190" s="150"/>
      <c r="J190" s="150">
        <f>SUMIF(安全质量事故!$B:$B,C190,安全质量事故!$G:$G)</f>
        <v>0</v>
      </c>
      <c r="K190" s="141">
        <f>COUNTIF(L190:AP190,标准数据!$A$2)*标准数据!$B$2+COUNTIF(L190:AP190,标准数据!$A$3)*标准数据!$B$3+COUNTIF(L190:AP190,标准数据!$A$4)*标准数据!$B$4</f>
        <v>0</v>
      </c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  <c r="AA190" s="109"/>
      <c r="AB190" s="109"/>
      <c r="AC190" s="109"/>
      <c r="AD190" s="109"/>
      <c r="AE190" s="109"/>
      <c r="AF190" s="109"/>
      <c r="AG190" s="109"/>
      <c r="AH190" s="109"/>
      <c r="AI190" s="109"/>
      <c r="AJ190" s="109"/>
      <c r="AK190" s="109"/>
      <c r="AL190" s="109"/>
      <c r="AM190" s="109"/>
      <c r="AN190" s="109"/>
      <c r="AO190" s="109"/>
      <c r="AP190" s="109"/>
      <c r="AT190" s="149" t="s">
        <v>1117</v>
      </c>
      <c r="AU190" s="94" t="s">
        <v>1821</v>
      </c>
    </row>
    <row r="191" spans="1:47" ht="21" customHeight="1" x14ac:dyDescent="0.35">
      <c r="A191" s="259"/>
      <c r="B191" s="98" t="s">
        <v>17</v>
      </c>
      <c r="C191" s="99" t="s">
        <v>1428</v>
      </c>
      <c r="D191" s="100" t="s">
        <v>1429</v>
      </c>
      <c r="E191" s="101">
        <v>46132</v>
      </c>
      <c r="F191" s="102">
        <f t="shared" si="5"/>
        <v>0</v>
      </c>
      <c r="G191" s="150">
        <f>SUMIF(积分汇总!$B:$B,C191,积分汇总!$E:$E)</f>
        <v>0</v>
      </c>
      <c r="H191" s="150">
        <f>SUMIF(记录巡查问题条数汇总!$B:$B,C191,记录巡查问题条数汇总!$E:$E)</f>
        <v>0</v>
      </c>
      <c r="I191" s="150"/>
      <c r="J191" s="150">
        <f>SUMIF(安全质量事故!$B:$B,C191,安全质量事故!$G:$G)</f>
        <v>0</v>
      </c>
      <c r="K191" s="141">
        <f>COUNTIF(L191:AP191,标准数据!$A$2)*标准数据!$B$2+COUNTIF(L191:AP191,标准数据!$A$3)*标准数据!$B$3+COUNTIF(L191:AP191,标准数据!$A$4)*标准数据!$B$4</f>
        <v>0</v>
      </c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109"/>
      <c r="Y191" s="109"/>
      <c r="Z191" s="109"/>
      <c r="AA191" s="109"/>
      <c r="AB191" s="109"/>
      <c r="AC191" s="109"/>
      <c r="AD191" s="109"/>
      <c r="AE191" s="109"/>
      <c r="AF191" s="109"/>
      <c r="AG191" s="109"/>
      <c r="AH191" s="109"/>
      <c r="AI191" s="109"/>
      <c r="AJ191" s="109"/>
      <c r="AK191" s="109"/>
      <c r="AL191" s="109"/>
      <c r="AM191" s="109"/>
      <c r="AN191" s="109"/>
      <c r="AO191" s="109"/>
      <c r="AP191" s="109"/>
      <c r="AT191" s="149" t="s">
        <v>1429</v>
      </c>
      <c r="AU191" s="94" t="s">
        <v>1821</v>
      </c>
    </row>
    <row r="192" spans="1:47" ht="21" customHeight="1" x14ac:dyDescent="0.35">
      <c r="A192" s="259"/>
      <c r="B192" s="98" t="s">
        <v>17</v>
      </c>
      <c r="C192" s="99" t="s">
        <v>1430</v>
      </c>
      <c r="D192" s="100" t="s">
        <v>1431</v>
      </c>
      <c r="E192" s="101">
        <v>46132</v>
      </c>
      <c r="F192" s="102">
        <f t="shared" si="5"/>
        <v>0</v>
      </c>
      <c r="G192" s="150">
        <f>SUMIF(积分汇总!$B:$B,C192,积分汇总!$E:$E)</f>
        <v>0</v>
      </c>
      <c r="H192" s="150">
        <f>SUMIF(记录巡查问题条数汇总!$B:$B,C192,记录巡查问题条数汇总!$E:$E)</f>
        <v>0</v>
      </c>
      <c r="I192" s="150"/>
      <c r="J192" s="150">
        <f>SUMIF(安全质量事故!$B:$B,C192,安全质量事故!$G:$G)</f>
        <v>0</v>
      </c>
      <c r="K192" s="141">
        <f>COUNTIF(L192:AP192,标准数据!$A$2)*标准数据!$B$2+COUNTIF(L192:AP192,标准数据!$A$3)*标准数据!$B$3+COUNTIF(L192:AP192,标准数据!$A$4)*标准数据!$B$4</f>
        <v>0</v>
      </c>
      <c r="L192" s="109"/>
      <c r="M192" s="109"/>
      <c r="N192" s="109"/>
      <c r="O192" s="109"/>
      <c r="P192" s="109"/>
      <c r="Q192" s="109"/>
      <c r="R192" s="109"/>
      <c r="S192" s="109"/>
      <c r="T192" s="109"/>
      <c r="U192" s="109"/>
      <c r="V192" s="109"/>
      <c r="W192" s="109"/>
      <c r="X192" s="109"/>
      <c r="Y192" s="109"/>
      <c r="Z192" s="109"/>
      <c r="AA192" s="109"/>
      <c r="AB192" s="109"/>
      <c r="AC192" s="109"/>
      <c r="AD192" s="109"/>
      <c r="AE192" s="109"/>
      <c r="AF192" s="109"/>
      <c r="AG192" s="109"/>
      <c r="AH192" s="109"/>
      <c r="AI192" s="109"/>
      <c r="AJ192" s="109"/>
      <c r="AK192" s="109"/>
      <c r="AL192" s="109"/>
      <c r="AM192" s="109"/>
      <c r="AN192" s="109"/>
      <c r="AO192" s="109"/>
      <c r="AP192" s="109"/>
      <c r="AT192" s="149" t="s">
        <v>1431</v>
      </c>
      <c r="AU192" s="94" t="s">
        <v>1821</v>
      </c>
    </row>
    <row r="193" spans="1:47" ht="21" customHeight="1" x14ac:dyDescent="0.35">
      <c r="A193" s="259"/>
      <c r="B193" s="98" t="s">
        <v>95</v>
      </c>
      <c r="C193" s="99" t="s">
        <v>1015</v>
      </c>
      <c r="D193" s="105" t="s">
        <v>1432</v>
      </c>
      <c r="E193" s="99">
        <v>46132</v>
      </c>
      <c r="F193" s="102">
        <f t="shared" si="5"/>
        <v>0</v>
      </c>
      <c r="G193" s="150">
        <f>SUMIF(积分汇总!$B:$B,C193,积分汇总!$E:$E)</f>
        <v>0</v>
      </c>
      <c r="H193" s="150">
        <f>SUMIF(记录巡查问题条数汇总!$B:$B,C193,记录巡查问题条数汇总!$E:$E)</f>
        <v>0</v>
      </c>
      <c r="I193" s="150"/>
      <c r="J193" s="150">
        <f>SUMIF(安全质量事故!$B:$B,C193,安全质量事故!$G:$G)</f>
        <v>0</v>
      </c>
      <c r="K193" s="141">
        <f>COUNTIF(L193:AP193,标准数据!$A$2)*标准数据!$B$2+COUNTIF(L193:AP193,标准数据!$A$3)*标准数据!$B$3+COUNTIF(L193:AP193,标准数据!$A$4)*标准数据!$B$4</f>
        <v>0</v>
      </c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109"/>
      <c r="Y193" s="109"/>
      <c r="Z193" s="109"/>
      <c r="AA193" s="109"/>
      <c r="AB193" s="109"/>
      <c r="AC193" s="109"/>
      <c r="AD193" s="109"/>
      <c r="AE193" s="109"/>
      <c r="AF193" s="109"/>
      <c r="AG193" s="109"/>
      <c r="AH193" s="109"/>
      <c r="AI193" s="109"/>
      <c r="AJ193" s="109"/>
      <c r="AK193" s="109"/>
      <c r="AL193" s="109"/>
      <c r="AM193" s="109"/>
      <c r="AN193" s="109"/>
      <c r="AO193" s="109"/>
      <c r="AP193" s="109"/>
      <c r="AQ193" s="94"/>
      <c r="AR193" s="94"/>
      <c r="AS193" s="94"/>
      <c r="AT193" s="149" t="s">
        <v>1432</v>
      </c>
      <c r="AU193" s="94" t="s">
        <v>1821</v>
      </c>
    </row>
    <row r="194" spans="1:47" ht="21" customHeight="1" x14ac:dyDescent="0.35">
      <c r="A194" s="259"/>
      <c r="B194" s="98" t="s">
        <v>17</v>
      </c>
      <c r="C194" s="99" t="s">
        <v>1433</v>
      </c>
      <c r="D194" s="100" t="s">
        <v>1434</v>
      </c>
      <c r="E194" s="101">
        <v>46134</v>
      </c>
      <c r="F194" s="102">
        <f t="shared" ref="F194:F252" si="6">(K194+G194+H194+I194-J194)</f>
        <v>0</v>
      </c>
      <c r="G194" s="150">
        <f>SUMIF(积分汇总!$B:$B,C194,积分汇总!$E:$E)</f>
        <v>0</v>
      </c>
      <c r="H194" s="150">
        <f>SUMIF(记录巡查问题条数汇总!$B:$B,C194,记录巡查问题条数汇总!$E:$E)</f>
        <v>0</v>
      </c>
      <c r="I194" s="150"/>
      <c r="J194" s="150">
        <f>SUMIF(安全质量事故!$B:$B,C194,安全质量事故!$G:$G)</f>
        <v>0</v>
      </c>
      <c r="K194" s="141">
        <f>COUNTIF(L194:AP194,标准数据!$A$2)*标准数据!$B$2+COUNTIF(L194:AP194,标准数据!$A$3)*标准数据!$B$3+COUNTIF(L194:AP194,标准数据!$A$4)*标准数据!$B$4</f>
        <v>0</v>
      </c>
      <c r="L194" s="109"/>
      <c r="M194" s="109"/>
      <c r="N194" s="109"/>
      <c r="O194" s="109"/>
      <c r="P194" s="109"/>
      <c r="Q194" s="109"/>
      <c r="R194" s="109"/>
      <c r="S194" s="109"/>
      <c r="T194" s="109"/>
      <c r="U194" s="109"/>
      <c r="V194" s="109"/>
      <c r="W194" s="109"/>
      <c r="X194" s="109"/>
      <c r="Y194" s="109"/>
      <c r="Z194" s="109"/>
      <c r="AA194" s="109"/>
      <c r="AB194" s="109"/>
      <c r="AC194" s="109"/>
      <c r="AD194" s="109"/>
      <c r="AE194" s="109"/>
      <c r="AF194" s="109"/>
      <c r="AG194" s="109"/>
      <c r="AH194" s="109"/>
      <c r="AI194" s="109"/>
      <c r="AJ194" s="109"/>
      <c r="AK194" s="109"/>
      <c r="AL194" s="109"/>
      <c r="AM194" s="109"/>
      <c r="AN194" s="109"/>
      <c r="AO194" s="109"/>
      <c r="AP194" s="109"/>
      <c r="AT194" s="149" t="s">
        <v>1434</v>
      </c>
      <c r="AU194" s="94" t="s">
        <v>1821</v>
      </c>
    </row>
    <row r="195" spans="1:47" ht="21" customHeight="1" x14ac:dyDescent="0.35">
      <c r="A195" s="259"/>
      <c r="B195" s="98" t="s">
        <v>17</v>
      </c>
      <c r="C195" s="99" t="s">
        <v>1435</v>
      </c>
      <c r="D195" s="100" t="s">
        <v>1436</v>
      </c>
      <c r="E195" s="101">
        <v>46134</v>
      </c>
      <c r="F195" s="102">
        <f t="shared" si="6"/>
        <v>0</v>
      </c>
      <c r="G195" s="150">
        <f>SUMIF(积分汇总!$B:$B,C195,积分汇总!$E:$E)</f>
        <v>0</v>
      </c>
      <c r="H195" s="150">
        <f>SUMIF(记录巡查问题条数汇总!$B:$B,C195,记录巡查问题条数汇总!$E:$E)</f>
        <v>0</v>
      </c>
      <c r="I195" s="150"/>
      <c r="J195" s="150">
        <f>SUMIF(安全质量事故!$B:$B,C195,安全质量事故!$G:$G)</f>
        <v>0</v>
      </c>
      <c r="K195" s="141">
        <f>COUNTIF(L195:AP195,标准数据!$A$2)*标准数据!$B$2+COUNTIF(L195:AP195,标准数据!$A$3)*标准数据!$B$3+COUNTIF(L195:AP195,标准数据!$A$4)*标准数据!$B$4</f>
        <v>0</v>
      </c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109"/>
      <c r="Y195" s="109"/>
      <c r="Z195" s="109"/>
      <c r="AA195" s="109"/>
      <c r="AB195" s="109"/>
      <c r="AC195" s="109"/>
      <c r="AD195" s="109"/>
      <c r="AE195" s="109"/>
      <c r="AF195" s="109"/>
      <c r="AG195" s="109"/>
      <c r="AH195" s="109"/>
      <c r="AI195" s="109"/>
      <c r="AJ195" s="109"/>
      <c r="AK195" s="109"/>
      <c r="AL195" s="109"/>
      <c r="AM195" s="109"/>
      <c r="AN195" s="109"/>
      <c r="AO195" s="109"/>
      <c r="AP195" s="109"/>
      <c r="AT195" s="149" t="s">
        <v>1436</v>
      </c>
      <c r="AU195" s="94" t="s">
        <v>1821</v>
      </c>
    </row>
    <row r="196" spans="1:47" ht="21" customHeight="1" x14ac:dyDescent="0.35">
      <c r="A196" s="259"/>
      <c r="B196" s="98" t="s">
        <v>17</v>
      </c>
      <c r="C196" s="99" t="s">
        <v>1437</v>
      </c>
      <c r="D196" s="105" t="s">
        <v>1438</v>
      </c>
      <c r="E196" s="99">
        <v>46134</v>
      </c>
      <c r="F196" s="102">
        <f t="shared" si="6"/>
        <v>0</v>
      </c>
      <c r="G196" s="150">
        <f>SUMIF(积分汇总!$B:$B,C196,积分汇总!$E:$E)</f>
        <v>0</v>
      </c>
      <c r="H196" s="150">
        <f>SUMIF(记录巡查问题条数汇总!$B:$B,C196,记录巡查问题条数汇总!$E:$E)</f>
        <v>0</v>
      </c>
      <c r="I196" s="150"/>
      <c r="J196" s="150">
        <f>SUMIF(安全质量事故!$B:$B,C196,安全质量事故!$G:$G)</f>
        <v>0</v>
      </c>
      <c r="K196" s="141">
        <f>COUNTIF(L196:AP196,标准数据!$A$2)*标准数据!$B$2+COUNTIF(L196:AP196,标准数据!$A$3)*标准数据!$B$3+COUNTIF(L196:AP196,标准数据!$A$4)*标准数据!$B$4</f>
        <v>0</v>
      </c>
      <c r="L196" s="109"/>
      <c r="M196" s="109"/>
      <c r="N196" s="109"/>
      <c r="O196" s="109"/>
      <c r="P196" s="109"/>
      <c r="Q196" s="109"/>
      <c r="R196" s="109"/>
      <c r="S196" s="109"/>
      <c r="T196" s="109"/>
      <c r="U196" s="109"/>
      <c r="V196" s="109"/>
      <c r="W196" s="109"/>
      <c r="X196" s="109"/>
      <c r="Y196" s="109"/>
      <c r="Z196" s="109"/>
      <c r="AA196" s="109"/>
      <c r="AB196" s="109"/>
      <c r="AC196" s="109"/>
      <c r="AD196" s="109"/>
      <c r="AE196" s="109"/>
      <c r="AF196" s="109"/>
      <c r="AG196" s="109"/>
      <c r="AH196" s="109"/>
      <c r="AI196" s="109"/>
      <c r="AJ196" s="109"/>
      <c r="AK196" s="109"/>
      <c r="AL196" s="109"/>
      <c r="AM196" s="109"/>
      <c r="AN196" s="109"/>
      <c r="AO196" s="109"/>
      <c r="AP196" s="109"/>
      <c r="AQ196" s="94"/>
      <c r="AR196" s="94"/>
      <c r="AS196" s="94"/>
      <c r="AT196" s="149" t="s">
        <v>1438</v>
      </c>
      <c r="AU196" s="94" t="s">
        <v>1821</v>
      </c>
    </row>
    <row r="197" spans="1:47" ht="21" customHeight="1" x14ac:dyDescent="0.35">
      <c r="A197" s="259"/>
      <c r="B197" s="98" t="s">
        <v>17</v>
      </c>
      <c r="C197" s="99" t="s">
        <v>1439</v>
      </c>
      <c r="D197" s="100" t="s">
        <v>1440</v>
      </c>
      <c r="E197" s="101">
        <v>46134</v>
      </c>
      <c r="F197" s="102">
        <f t="shared" si="6"/>
        <v>0</v>
      </c>
      <c r="G197" s="150">
        <f>SUMIF(积分汇总!$B:$B,C197,积分汇总!$E:$E)</f>
        <v>0</v>
      </c>
      <c r="H197" s="150">
        <f>SUMIF(记录巡查问题条数汇总!$B:$B,C197,记录巡查问题条数汇总!$E:$E)</f>
        <v>0</v>
      </c>
      <c r="I197" s="150"/>
      <c r="J197" s="150">
        <f>SUMIF(安全质量事故!$B:$B,C197,安全质量事故!$G:$G)</f>
        <v>0</v>
      </c>
      <c r="K197" s="141">
        <f>COUNTIF(L197:AP197,标准数据!$A$2)*标准数据!$B$2+COUNTIF(L197:AP197,标准数据!$A$3)*标准数据!$B$3+COUNTIF(L197:AP197,标准数据!$A$4)*标准数据!$B$4</f>
        <v>0</v>
      </c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109"/>
      <c r="Y197" s="109"/>
      <c r="Z197" s="109"/>
      <c r="AA197" s="109"/>
      <c r="AB197" s="109"/>
      <c r="AC197" s="109"/>
      <c r="AD197" s="109"/>
      <c r="AE197" s="109"/>
      <c r="AF197" s="109"/>
      <c r="AG197" s="109"/>
      <c r="AH197" s="109"/>
      <c r="AI197" s="109"/>
      <c r="AJ197" s="109"/>
      <c r="AK197" s="109"/>
      <c r="AL197" s="109"/>
      <c r="AM197" s="109"/>
      <c r="AN197" s="109"/>
      <c r="AO197" s="109"/>
      <c r="AP197" s="109"/>
      <c r="AT197" s="149" t="s">
        <v>1440</v>
      </c>
      <c r="AU197" s="94" t="s">
        <v>1821</v>
      </c>
    </row>
    <row r="198" spans="1:47" ht="21" customHeight="1" x14ac:dyDescent="0.35">
      <c r="A198" s="259"/>
      <c r="B198" s="98" t="s">
        <v>17</v>
      </c>
      <c r="C198" s="99" t="s">
        <v>1441</v>
      </c>
      <c r="D198" s="100" t="s">
        <v>1442</v>
      </c>
      <c r="E198" s="101">
        <v>46134</v>
      </c>
      <c r="F198" s="102">
        <f t="shared" si="6"/>
        <v>0</v>
      </c>
      <c r="G198" s="150">
        <f>SUMIF(积分汇总!$B:$B,C198,积分汇总!$E:$E)</f>
        <v>0</v>
      </c>
      <c r="H198" s="150">
        <f>SUMIF(记录巡查问题条数汇总!$B:$B,C198,记录巡查问题条数汇总!$E:$E)</f>
        <v>0</v>
      </c>
      <c r="I198" s="150"/>
      <c r="J198" s="150">
        <f>SUMIF(安全质量事故!$B:$B,C198,安全质量事故!$G:$G)</f>
        <v>0</v>
      </c>
      <c r="K198" s="141">
        <f>COUNTIF(L198:AP198,标准数据!$A$2)*标准数据!$B$2+COUNTIF(L198:AP198,标准数据!$A$3)*标准数据!$B$3+COUNTIF(L198:AP198,标准数据!$A$4)*标准数据!$B$4</f>
        <v>0</v>
      </c>
      <c r="L198" s="109"/>
      <c r="M198" s="109"/>
      <c r="N198" s="109"/>
      <c r="O198" s="109"/>
      <c r="P198" s="109"/>
      <c r="Q198" s="109"/>
      <c r="R198" s="109"/>
      <c r="S198" s="109"/>
      <c r="T198" s="109"/>
      <c r="U198" s="109"/>
      <c r="V198" s="109"/>
      <c r="W198" s="109"/>
      <c r="X198" s="109"/>
      <c r="Y198" s="109"/>
      <c r="Z198" s="109"/>
      <c r="AA198" s="109"/>
      <c r="AB198" s="109"/>
      <c r="AC198" s="109"/>
      <c r="AD198" s="109"/>
      <c r="AE198" s="109"/>
      <c r="AF198" s="109"/>
      <c r="AG198" s="109"/>
      <c r="AH198" s="109"/>
      <c r="AI198" s="109"/>
      <c r="AJ198" s="109"/>
      <c r="AK198" s="109"/>
      <c r="AL198" s="109"/>
      <c r="AM198" s="109"/>
      <c r="AN198" s="109"/>
      <c r="AO198" s="109"/>
      <c r="AP198" s="109"/>
      <c r="AT198" s="149" t="s">
        <v>1442</v>
      </c>
      <c r="AU198" s="94" t="s">
        <v>1821</v>
      </c>
    </row>
    <row r="199" spans="1:47" ht="21" customHeight="1" x14ac:dyDescent="0.35">
      <c r="A199" s="259"/>
      <c r="B199" s="98" t="s">
        <v>17</v>
      </c>
      <c r="C199" s="99" t="s">
        <v>1443</v>
      </c>
      <c r="D199" s="100" t="s">
        <v>1444</v>
      </c>
      <c r="E199" s="101">
        <v>46132</v>
      </c>
      <c r="F199" s="102">
        <f t="shared" si="6"/>
        <v>0</v>
      </c>
      <c r="G199" s="150">
        <f>SUMIF(积分汇总!$B:$B,C199,积分汇总!$E:$E)</f>
        <v>0</v>
      </c>
      <c r="H199" s="150">
        <f>SUMIF(记录巡查问题条数汇总!$B:$B,C199,记录巡查问题条数汇总!$E:$E)</f>
        <v>0</v>
      </c>
      <c r="I199" s="150"/>
      <c r="J199" s="150">
        <f>SUMIF(安全质量事故!$B:$B,C199,安全质量事故!$G:$G)</f>
        <v>0</v>
      </c>
      <c r="K199" s="141">
        <f>COUNTIF(L199:AP199,标准数据!$A$2)*标准数据!$B$2+COUNTIF(L199:AP199,标准数据!$A$3)*标准数据!$B$3+COUNTIF(L199:AP199,标准数据!$A$4)*标准数据!$B$4</f>
        <v>0</v>
      </c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109"/>
      <c r="Y199" s="109"/>
      <c r="Z199" s="109"/>
      <c r="AA199" s="109"/>
      <c r="AB199" s="109"/>
      <c r="AC199" s="109"/>
      <c r="AD199" s="109"/>
      <c r="AE199" s="109"/>
      <c r="AF199" s="109"/>
      <c r="AG199" s="109"/>
      <c r="AH199" s="109"/>
      <c r="AI199" s="109"/>
      <c r="AJ199" s="109"/>
      <c r="AK199" s="109"/>
      <c r="AL199" s="109"/>
      <c r="AM199" s="109"/>
      <c r="AN199" s="109"/>
      <c r="AO199" s="109"/>
      <c r="AP199" s="109"/>
      <c r="AT199" s="149" t="s">
        <v>1444</v>
      </c>
      <c r="AU199" s="94" t="s">
        <v>1821</v>
      </c>
    </row>
    <row r="200" spans="1:47" ht="21" customHeight="1" x14ac:dyDescent="0.35">
      <c r="A200" s="259"/>
      <c r="B200" s="98" t="s">
        <v>17</v>
      </c>
      <c r="C200" s="99" t="s">
        <v>1445</v>
      </c>
      <c r="D200" s="105" t="s">
        <v>1446</v>
      </c>
      <c r="E200" s="99">
        <v>46134</v>
      </c>
      <c r="F200" s="102">
        <f t="shared" si="6"/>
        <v>0</v>
      </c>
      <c r="G200" s="150">
        <f>SUMIF(积分汇总!$B:$B,C200,积分汇总!$E:$E)</f>
        <v>0</v>
      </c>
      <c r="H200" s="150">
        <f>SUMIF(记录巡查问题条数汇总!$B:$B,C200,记录巡查问题条数汇总!$E:$E)</f>
        <v>0</v>
      </c>
      <c r="I200" s="150"/>
      <c r="J200" s="150">
        <f>SUMIF(安全质量事故!$B:$B,C200,安全质量事故!$G:$G)</f>
        <v>0</v>
      </c>
      <c r="K200" s="141">
        <f>COUNTIF(L200:AP200,标准数据!$A$2)*标准数据!$B$2+COUNTIF(L200:AP200,标准数据!$A$3)*标准数据!$B$3+COUNTIF(L200:AP200,标准数据!$A$4)*标准数据!$B$4</f>
        <v>0</v>
      </c>
      <c r="L200" s="109"/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109"/>
      <c r="Y200" s="109"/>
      <c r="Z200" s="109"/>
      <c r="AA200" s="109"/>
      <c r="AB200" s="109"/>
      <c r="AC200" s="109"/>
      <c r="AD200" s="109"/>
      <c r="AE200" s="109"/>
      <c r="AF200" s="109"/>
      <c r="AG200" s="109"/>
      <c r="AH200" s="109"/>
      <c r="AI200" s="109"/>
      <c r="AJ200" s="109"/>
      <c r="AK200" s="109"/>
      <c r="AL200" s="109"/>
      <c r="AM200" s="109"/>
      <c r="AN200" s="109"/>
      <c r="AO200" s="109"/>
      <c r="AP200" s="109"/>
      <c r="AQ200" s="94"/>
      <c r="AR200" s="94"/>
      <c r="AS200" s="94"/>
      <c r="AT200" s="149" t="s">
        <v>1446</v>
      </c>
      <c r="AU200" s="94" t="s">
        <v>1821</v>
      </c>
    </row>
    <row r="201" spans="1:47" ht="21" customHeight="1" x14ac:dyDescent="0.35">
      <c r="A201" s="259"/>
      <c r="B201" s="98" t="s">
        <v>17</v>
      </c>
      <c r="C201" s="100" t="s">
        <v>1447</v>
      </c>
      <c r="D201" s="105" t="s">
        <v>1448</v>
      </c>
      <c r="E201" s="99">
        <v>46134</v>
      </c>
      <c r="F201" s="102">
        <f t="shared" si="6"/>
        <v>0</v>
      </c>
      <c r="G201" s="150">
        <f>SUMIF(积分汇总!$B:$B,C201,积分汇总!$E:$E)</f>
        <v>0</v>
      </c>
      <c r="H201" s="150">
        <f>SUMIF(记录巡查问题条数汇总!$B:$B,C201,记录巡查问题条数汇总!$E:$E)</f>
        <v>0</v>
      </c>
      <c r="I201" s="150"/>
      <c r="J201" s="150">
        <f>SUMIF(安全质量事故!$B:$B,C201,安全质量事故!$G:$G)</f>
        <v>0</v>
      </c>
      <c r="K201" s="141">
        <f>COUNTIF(L201:AP201,标准数据!$A$2)*标准数据!$B$2+COUNTIF(L201:AP201,标准数据!$A$3)*标准数据!$B$3+COUNTIF(L201:AP201,标准数据!$A$4)*标准数据!$B$4</f>
        <v>0</v>
      </c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109"/>
      <c r="Y201" s="109"/>
      <c r="Z201" s="109"/>
      <c r="AA201" s="109"/>
      <c r="AB201" s="109"/>
      <c r="AC201" s="109"/>
      <c r="AD201" s="109"/>
      <c r="AE201" s="109"/>
      <c r="AF201" s="109"/>
      <c r="AG201" s="109"/>
      <c r="AH201" s="109"/>
      <c r="AI201" s="109"/>
      <c r="AJ201" s="109"/>
      <c r="AK201" s="109"/>
      <c r="AL201" s="109"/>
      <c r="AM201" s="109"/>
      <c r="AN201" s="109"/>
      <c r="AO201" s="109"/>
      <c r="AP201" s="109"/>
      <c r="AT201" s="149" t="s">
        <v>1448</v>
      </c>
      <c r="AU201" s="94" t="s">
        <v>1821</v>
      </c>
    </row>
    <row r="202" spans="1:47" s="104" customFormat="1" ht="21" customHeight="1" x14ac:dyDescent="0.35">
      <c r="A202" s="259"/>
      <c r="B202" s="98" t="s">
        <v>17</v>
      </c>
      <c r="C202" s="99" t="s">
        <v>1449</v>
      </c>
      <c r="D202" s="100" t="s">
        <v>1450</v>
      </c>
      <c r="E202" s="101">
        <v>46139</v>
      </c>
      <c r="F202" s="102">
        <f t="shared" si="6"/>
        <v>0</v>
      </c>
      <c r="G202" s="150">
        <f>SUMIF(积分汇总!$B:$B,C202,积分汇总!$E:$E)</f>
        <v>0</v>
      </c>
      <c r="H202" s="150">
        <f>SUMIF(记录巡查问题条数汇总!$B:$B,C202,记录巡查问题条数汇总!$E:$E)</f>
        <v>0</v>
      </c>
      <c r="I202" s="150"/>
      <c r="J202" s="150">
        <f>SUMIF(安全质量事故!$B:$B,C202,安全质量事故!$G:$G)</f>
        <v>0</v>
      </c>
      <c r="K202" s="141">
        <f>COUNTIF(L202:AP202,标准数据!$A$2)*标准数据!$B$2+COUNTIF(L202:AP202,标准数据!$A$3)*标准数据!$B$3+COUNTIF(L202:AP202,标准数据!$A$4)*标准数据!$B$4</f>
        <v>0</v>
      </c>
      <c r="L202" s="109"/>
      <c r="M202" s="109"/>
      <c r="N202" s="109"/>
      <c r="O202" s="109"/>
      <c r="P202" s="109"/>
      <c r="Q202" s="109"/>
      <c r="R202" s="109"/>
      <c r="S202" s="109"/>
      <c r="T202" s="109"/>
      <c r="U202" s="109"/>
      <c r="V202" s="109"/>
      <c r="W202" s="109"/>
      <c r="X202" s="109"/>
      <c r="Y202" s="109"/>
      <c r="Z202" s="109"/>
      <c r="AA202" s="109"/>
      <c r="AB202" s="109"/>
      <c r="AC202" s="109"/>
      <c r="AD202" s="109"/>
      <c r="AE202" s="109"/>
      <c r="AF202" s="109"/>
      <c r="AG202" s="109"/>
      <c r="AH202" s="109"/>
      <c r="AI202" s="109"/>
      <c r="AJ202" s="109"/>
      <c r="AK202" s="109"/>
      <c r="AL202" s="109"/>
      <c r="AM202" s="109"/>
      <c r="AN202" s="109"/>
      <c r="AO202" s="109"/>
      <c r="AP202" s="109"/>
      <c r="AT202" s="149" t="s">
        <v>1450</v>
      </c>
      <c r="AU202" s="94" t="s">
        <v>1821</v>
      </c>
    </row>
    <row r="203" spans="1:47" ht="21" customHeight="1" x14ac:dyDescent="0.35">
      <c r="A203" s="259"/>
      <c r="B203" s="98" t="s">
        <v>17</v>
      </c>
      <c r="C203" s="99" t="s">
        <v>1487</v>
      </c>
      <c r="D203" s="100" t="s">
        <v>1488</v>
      </c>
      <c r="E203" s="101">
        <v>46155</v>
      </c>
      <c r="F203" s="102">
        <f t="shared" si="6"/>
        <v>0</v>
      </c>
      <c r="G203" s="150">
        <f>SUMIF(积分汇总!$B:$B,C203,积分汇总!$E:$E)</f>
        <v>0</v>
      </c>
      <c r="H203" s="150">
        <f>SUMIF(记录巡查问题条数汇总!$B:$B,C203,记录巡查问题条数汇总!$E:$E)</f>
        <v>0</v>
      </c>
      <c r="I203" s="150"/>
      <c r="J203" s="150">
        <f>SUMIF(安全质量事故!$B:$B,C203,安全质量事故!$G:$G)</f>
        <v>0</v>
      </c>
      <c r="K203" s="141">
        <f>COUNTIF(L203:AP203,标准数据!$A$2)*标准数据!$B$2+COUNTIF(L203:AP203,标准数据!$A$3)*标准数据!$B$3+COUNTIF(L203:AP203,标准数据!$A$4)*标准数据!$B$4</f>
        <v>0</v>
      </c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109"/>
      <c r="Y203" s="109"/>
      <c r="Z203" s="109"/>
      <c r="AA203" s="109"/>
      <c r="AB203" s="109"/>
      <c r="AC203" s="109"/>
      <c r="AD203" s="109"/>
      <c r="AE203" s="109"/>
      <c r="AF203" s="109"/>
      <c r="AG203" s="109"/>
      <c r="AH203" s="109"/>
      <c r="AI203" s="109"/>
      <c r="AJ203" s="109"/>
      <c r="AK203" s="109"/>
      <c r="AL203" s="109"/>
      <c r="AM203" s="109"/>
      <c r="AN203" s="109"/>
      <c r="AO203" s="109"/>
      <c r="AP203" s="109"/>
      <c r="AT203" s="149" t="s">
        <v>1488</v>
      </c>
      <c r="AU203" s="94" t="s">
        <v>1823</v>
      </c>
    </row>
    <row r="204" spans="1:47" ht="21" customHeight="1" x14ac:dyDescent="0.35">
      <c r="A204" s="259"/>
      <c r="B204" s="98" t="s">
        <v>17</v>
      </c>
      <c r="C204" s="99" t="s">
        <v>1489</v>
      </c>
      <c r="D204" s="100" t="s">
        <v>1490</v>
      </c>
      <c r="E204" s="101">
        <v>46155</v>
      </c>
      <c r="F204" s="102">
        <f t="shared" si="6"/>
        <v>0</v>
      </c>
      <c r="G204" s="150">
        <f>SUMIF(积分汇总!$B:$B,C204,积分汇总!$E:$E)</f>
        <v>0</v>
      </c>
      <c r="H204" s="150">
        <f>SUMIF(记录巡查问题条数汇总!$B:$B,C204,记录巡查问题条数汇总!$E:$E)</f>
        <v>0</v>
      </c>
      <c r="I204" s="150"/>
      <c r="J204" s="150">
        <f>SUMIF(安全质量事故!$B:$B,C204,安全质量事故!$G:$G)</f>
        <v>0</v>
      </c>
      <c r="K204" s="141">
        <f>COUNTIF(L204:AP204,标准数据!$A$2)*标准数据!$B$2+COUNTIF(L204:AP204,标准数据!$A$3)*标准数据!$B$3+COUNTIF(L204:AP204,标准数据!$A$4)*标准数据!$B$4</f>
        <v>0</v>
      </c>
      <c r="L204" s="109"/>
      <c r="M204" s="109"/>
      <c r="N204" s="109"/>
      <c r="O204" s="109"/>
      <c r="P204" s="109"/>
      <c r="Q204" s="109"/>
      <c r="R204" s="109"/>
      <c r="S204" s="109"/>
      <c r="T204" s="109"/>
      <c r="U204" s="109"/>
      <c r="V204" s="109"/>
      <c r="W204" s="109"/>
      <c r="X204" s="109"/>
      <c r="Y204" s="109"/>
      <c r="Z204" s="109"/>
      <c r="AA204" s="109"/>
      <c r="AB204" s="109"/>
      <c r="AC204" s="109"/>
      <c r="AD204" s="109"/>
      <c r="AE204" s="109"/>
      <c r="AF204" s="109"/>
      <c r="AG204" s="109"/>
      <c r="AH204" s="109"/>
      <c r="AI204" s="109"/>
      <c r="AJ204" s="109"/>
      <c r="AK204" s="109"/>
      <c r="AL204" s="109"/>
      <c r="AM204" s="109"/>
      <c r="AN204" s="109"/>
      <c r="AO204" s="109"/>
      <c r="AP204" s="109"/>
      <c r="AT204" s="149" t="s">
        <v>1490</v>
      </c>
      <c r="AU204" s="94" t="s">
        <v>1823</v>
      </c>
    </row>
    <row r="205" spans="1:47" ht="21" customHeight="1" x14ac:dyDescent="0.35">
      <c r="A205" s="259"/>
      <c r="B205" s="98" t="s">
        <v>17</v>
      </c>
      <c r="C205" s="99" t="s">
        <v>1491</v>
      </c>
      <c r="D205" s="100" t="s">
        <v>1492</v>
      </c>
      <c r="E205" s="101">
        <v>46139</v>
      </c>
      <c r="F205" s="102">
        <f t="shared" ref="F205:F206" si="7">(K205+G205+H205+I205-J205)</f>
        <v>0</v>
      </c>
      <c r="G205" s="150">
        <f>SUMIF(积分汇总!$B:$B,C205,积分汇总!$E:$E)</f>
        <v>0</v>
      </c>
      <c r="H205" s="150">
        <f>SUMIF(记录巡查问题条数汇总!$B:$B,C205,记录巡查问题条数汇总!$E:$E)</f>
        <v>0</v>
      </c>
      <c r="I205" s="150"/>
      <c r="J205" s="150">
        <f>SUMIF(安全质量事故!$B:$B,C205,安全质量事故!$G:$G)</f>
        <v>0</v>
      </c>
      <c r="K205" s="141">
        <f>COUNTIF(L205:AP205,标准数据!$A$2)*标准数据!$B$2+COUNTIF(L205:AP205,标准数据!$A$3)*标准数据!$B$3+COUNTIF(L205:AP205,标准数据!$A$4)*标准数据!$B$4</f>
        <v>0</v>
      </c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  <c r="Y205" s="109"/>
      <c r="Z205" s="109"/>
      <c r="AA205" s="109"/>
      <c r="AB205" s="109"/>
      <c r="AC205" s="109"/>
      <c r="AD205" s="109"/>
      <c r="AE205" s="109"/>
      <c r="AF205" s="109"/>
      <c r="AG205" s="109"/>
      <c r="AH205" s="109"/>
      <c r="AI205" s="109"/>
      <c r="AJ205" s="109"/>
      <c r="AK205" s="109"/>
      <c r="AL205" s="109"/>
      <c r="AM205" s="109"/>
      <c r="AN205" s="109"/>
      <c r="AO205" s="109"/>
      <c r="AP205" s="109"/>
      <c r="AT205" s="149" t="s">
        <v>1492</v>
      </c>
      <c r="AU205" s="94" t="s">
        <v>1823</v>
      </c>
    </row>
    <row r="206" spans="1:47" ht="21" customHeight="1" x14ac:dyDescent="0.35">
      <c r="A206" s="259"/>
      <c r="B206" s="98" t="s">
        <v>17</v>
      </c>
      <c r="C206" s="214" t="s">
        <v>1648</v>
      </c>
      <c r="D206" s="216" t="s">
        <v>1649</v>
      </c>
      <c r="E206" s="217">
        <v>46169</v>
      </c>
      <c r="F206" s="102">
        <f t="shared" si="7"/>
        <v>0</v>
      </c>
      <c r="G206" s="150">
        <f>SUMIF(积分汇总!$B:$B,C206,积分汇总!$E:$E)</f>
        <v>0</v>
      </c>
      <c r="H206" s="150">
        <f>SUMIF(记录巡查问题条数汇总!$B:$B,C206,记录巡查问题条数汇总!$E:$E)</f>
        <v>0</v>
      </c>
      <c r="I206" s="150"/>
      <c r="J206" s="150">
        <f>SUMIF(安全质量事故!$B:$B,C206,安全质量事故!$G:$G)</f>
        <v>0</v>
      </c>
      <c r="K206" s="141">
        <f>COUNTIF(L206:AP206,标准数据!$A$2)*标准数据!$B$2+COUNTIF(L206:AP206,标准数据!$A$3)*标准数据!$B$3+COUNTIF(L206:AP206,标准数据!$A$4)*标准数据!$B$4</f>
        <v>0</v>
      </c>
      <c r="L206" s="109"/>
      <c r="M206" s="109"/>
      <c r="N206" s="109"/>
      <c r="O206" s="109"/>
      <c r="P206" s="109"/>
      <c r="Q206" s="109"/>
      <c r="R206" s="109"/>
      <c r="S206" s="109"/>
      <c r="T206" s="109"/>
      <c r="U206" s="109"/>
      <c r="V206" s="109"/>
      <c r="W206" s="109"/>
      <c r="X206" s="109"/>
      <c r="Y206" s="109"/>
      <c r="Z206" s="109"/>
      <c r="AA206" s="109"/>
      <c r="AB206" s="109"/>
      <c r="AC206" s="109"/>
      <c r="AD206" s="109"/>
      <c r="AE206" s="109"/>
      <c r="AF206" s="109"/>
      <c r="AG206" s="109"/>
      <c r="AH206" s="109"/>
      <c r="AI206" s="109"/>
      <c r="AJ206" s="109"/>
      <c r="AK206" s="109"/>
      <c r="AL206" s="109"/>
      <c r="AM206" s="109"/>
      <c r="AN206" s="109"/>
      <c r="AO206" s="109"/>
      <c r="AP206" s="109"/>
      <c r="AT206" s="149" t="s">
        <v>1649</v>
      </c>
      <c r="AU206" s="94" t="s">
        <v>1821</v>
      </c>
    </row>
    <row r="207" spans="1:47" ht="21" customHeight="1" x14ac:dyDescent="0.35">
      <c r="A207" s="259"/>
      <c r="B207" s="98" t="s">
        <v>17</v>
      </c>
      <c r="C207" s="214" t="s">
        <v>1650</v>
      </c>
      <c r="D207" s="216" t="s">
        <v>1651</v>
      </c>
      <c r="E207" s="217">
        <v>46169</v>
      </c>
      <c r="F207" s="102">
        <f t="shared" si="6"/>
        <v>0</v>
      </c>
      <c r="G207" s="150">
        <f>SUMIF(积分汇总!$B:$B,C207,积分汇总!$E:$E)</f>
        <v>0</v>
      </c>
      <c r="H207" s="150">
        <f>SUMIF(记录巡查问题条数汇总!$B:$B,C207,记录巡查问题条数汇总!$E:$E)</f>
        <v>0</v>
      </c>
      <c r="I207" s="150"/>
      <c r="J207" s="150">
        <f>SUMIF(安全质量事故!$B:$B,C207,安全质量事故!$G:$G)</f>
        <v>0</v>
      </c>
      <c r="K207" s="141">
        <f>COUNTIF(L207:AP207,标准数据!$A$2)*标准数据!$B$2+COUNTIF(L207:AP207,标准数据!$A$3)*标准数据!$B$3+COUNTIF(L207:AP207,标准数据!$A$4)*标准数据!$B$4</f>
        <v>0</v>
      </c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109"/>
      <c r="Y207" s="109"/>
      <c r="Z207" s="109"/>
      <c r="AA207" s="109"/>
      <c r="AB207" s="109"/>
      <c r="AC207" s="109"/>
      <c r="AD207" s="109"/>
      <c r="AE207" s="109"/>
      <c r="AF207" s="109"/>
      <c r="AG207" s="109"/>
      <c r="AH207" s="109"/>
      <c r="AI207" s="109"/>
      <c r="AJ207" s="109"/>
      <c r="AK207" s="109"/>
      <c r="AL207" s="109"/>
      <c r="AM207" s="109"/>
      <c r="AN207" s="109"/>
      <c r="AO207" s="109"/>
      <c r="AP207" s="109"/>
      <c r="AT207" s="149" t="s">
        <v>1651</v>
      </c>
      <c r="AU207" s="94" t="s">
        <v>1821</v>
      </c>
    </row>
    <row r="208" spans="1:47" ht="21" customHeight="1" x14ac:dyDescent="0.35">
      <c r="A208" s="259"/>
      <c r="B208" s="98" t="s">
        <v>17</v>
      </c>
      <c r="C208" s="107" t="s">
        <v>1231</v>
      </c>
      <c r="D208" s="100" t="s">
        <v>1232</v>
      </c>
      <c r="E208" s="101">
        <v>46029</v>
      </c>
      <c r="F208" s="102">
        <f t="shared" si="6"/>
        <v>0</v>
      </c>
      <c r="G208" s="150">
        <f>SUMIF(积分汇总!$B:$B,C208,积分汇总!$E:$E)</f>
        <v>0</v>
      </c>
      <c r="H208" s="150">
        <f>SUMIF(记录巡查问题条数汇总!$B:$B,C208,记录巡查问题条数汇总!$E:$E)</f>
        <v>0</v>
      </c>
      <c r="I208" s="150"/>
      <c r="J208" s="150">
        <f>SUMIF(安全质量事故!$B:$B,C208,安全质量事故!$G:$G)</f>
        <v>0</v>
      </c>
      <c r="K208" s="141">
        <f>COUNTIF(L208:AP208,标准数据!$A$2)*标准数据!$B$2+COUNTIF(L208:AP208,标准数据!$A$3)*标准数据!$B$3+COUNTIF(L208:AP208,标准数据!$A$4)*标准数据!$B$4</f>
        <v>0</v>
      </c>
      <c r="L208" s="109"/>
      <c r="M208" s="109"/>
      <c r="N208" s="109"/>
      <c r="O208" s="109"/>
      <c r="P208" s="109"/>
      <c r="Q208" s="109"/>
      <c r="R208" s="109"/>
      <c r="S208" s="109"/>
      <c r="T208" s="109"/>
      <c r="U208" s="109"/>
      <c r="V208" s="109"/>
      <c r="W208" s="109"/>
      <c r="X208" s="109"/>
      <c r="Y208" s="109"/>
      <c r="Z208" s="109"/>
      <c r="AA208" s="109"/>
      <c r="AB208" s="109"/>
      <c r="AC208" s="109"/>
      <c r="AD208" s="109"/>
      <c r="AE208" s="109"/>
      <c r="AF208" s="109"/>
      <c r="AG208" s="109"/>
      <c r="AH208" s="109"/>
      <c r="AI208" s="109"/>
      <c r="AJ208" s="109"/>
      <c r="AK208" s="109"/>
      <c r="AL208" s="109"/>
      <c r="AM208" s="109"/>
      <c r="AN208" s="109"/>
      <c r="AO208" s="109"/>
      <c r="AP208" s="109"/>
      <c r="AQ208" s="94"/>
      <c r="AR208" s="94"/>
      <c r="AS208" s="94"/>
      <c r="AT208" s="149" t="s">
        <v>1232</v>
      </c>
      <c r="AU208" s="94" t="s">
        <v>1821</v>
      </c>
    </row>
    <row r="209" spans="1:47" ht="21" customHeight="1" x14ac:dyDescent="0.35">
      <c r="A209" s="259"/>
      <c r="B209" s="98" t="s">
        <v>17</v>
      </c>
      <c r="C209" s="107" t="s">
        <v>1233</v>
      </c>
      <c r="D209" s="100" t="s">
        <v>1234</v>
      </c>
      <c r="E209" s="101">
        <v>46029</v>
      </c>
      <c r="F209" s="102">
        <f t="shared" si="6"/>
        <v>0</v>
      </c>
      <c r="G209" s="150">
        <f>SUMIF(积分汇总!$B:$B,C209,积分汇总!$E:$E)</f>
        <v>0</v>
      </c>
      <c r="H209" s="150">
        <f>SUMIF(记录巡查问题条数汇总!$B:$B,C209,记录巡查问题条数汇总!$E:$E)</f>
        <v>0</v>
      </c>
      <c r="I209" s="150"/>
      <c r="J209" s="150">
        <f>SUMIF(安全质量事故!$B:$B,C209,安全质量事故!$G:$G)</f>
        <v>0</v>
      </c>
      <c r="K209" s="141">
        <f>COUNTIF(L209:AP209,标准数据!$A$2)*标准数据!$B$2+COUNTIF(L209:AP209,标准数据!$A$3)*标准数据!$B$3+COUNTIF(L209:AP209,标准数据!$A$4)*标准数据!$B$4</f>
        <v>0</v>
      </c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109"/>
      <c r="Y209" s="109"/>
      <c r="Z209" s="109"/>
      <c r="AA209" s="109"/>
      <c r="AB209" s="109"/>
      <c r="AC209" s="109"/>
      <c r="AD209" s="109"/>
      <c r="AE209" s="109"/>
      <c r="AF209" s="109"/>
      <c r="AG209" s="109"/>
      <c r="AH209" s="109"/>
      <c r="AI209" s="109"/>
      <c r="AJ209" s="109"/>
      <c r="AK209" s="109"/>
      <c r="AL209" s="109"/>
      <c r="AM209" s="109"/>
      <c r="AN209" s="109"/>
      <c r="AO209" s="109"/>
      <c r="AP209" s="109" t="s">
        <v>1621</v>
      </c>
      <c r="AQ209" s="94"/>
      <c r="AR209" s="94"/>
      <c r="AS209" s="94"/>
      <c r="AT209" s="149" t="s">
        <v>1234</v>
      </c>
      <c r="AU209" s="94" t="s">
        <v>1821</v>
      </c>
    </row>
    <row r="210" spans="1:47" ht="21" customHeight="1" x14ac:dyDescent="0.35">
      <c r="A210" s="259"/>
      <c r="B210" s="98" t="s">
        <v>17</v>
      </c>
      <c r="C210" s="107" t="s">
        <v>1235</v>
      </c>
      <c r="D210" s="100" t="s">
        <v>1236</v>
      </c>
      <c r="E210" s="101">
        <v>46029</v>
      </c>
      <c r="F210" s="102">
        <f t="shared" si="6"/>
        <v>0</v>
      </c>
      <c r="G210" s="150">
        <f>SUMIF(积分汇总!$B:$B,C210,积分汇总!$E:$E)</f>
        <v>0</v>
      </c>
      <c r="H210" s="150">
        <f>SUMIF(记录巡查问题条数汇总!$B:$B,C210,记录巡查问题条数汇总!$E:$E)</f>
        <v>0</v>
      </c>
      <c r="I210" s="150"/>
      <c r="J210" s="150">
        <f>SUMIF(安全质量事故!$B:$B,C210,安全质量事故!$G:$G)</f>
        <v>0</v>
      </c>
      <c r="K210" s="141">
        <f>COUNTIF(L210:AP210,标准数据!$A$2)*标准数据!$B$2+COUNTIF(L210:AP210,标准数据!$A$3)*标准数据!$B$3+COUNTIF(L210:AP210,标准数据!$A$4)*标准数据!$B$4</f>
        <v>0</v>
      </c>
      <c r="L210" s="109"/>
      <c r="M210" s="109"/>
      <c r="N210" s="109"/>
      <c r="O210" s="109"/>
      <c r="P210" s="109"/>
      <c r="Q210" s="109"/>
      <c r="R210" s="109"/>
      <c r="S210" s="109"/>
      <c r="T210" s="109"/>
      <c r="U210" s="109"/>
      <c r="V210" s="109"/>
      <c r="W210" s="109"/>
      <c r="X210" s="109"/>
      <c r="Y210" s="109"/>
      <c r="Z210" s="109"/>
      <c r="AA210" s="109"/>
      <c r="AB210" s="109"/>
      <c r="AC210" s="109"/>
      <c r="AD210" s="109"/>
      <c r="AE210" s="109"/>
      <c r="AF210" s="109"/>
      <c r="AG210" s="109"/>
      <c r="AH210" s="109"/>
      <c r="AI210" s="109"/>
      <c r="AJ210" s="109"/>
      <c r="AK210" s="109"/>
      <c r="AL210" s="109"/>
      <c r="AM210" s="109"/>
      <c r="AN210" s="109"/>
      <c r="AO210" s="109"/>
      <c r="AP210" s="109"/>
      <c r="AQ210" s="94"/>
      <c r="AR210" s="94"/>
      <c r="AS210" s="94"/>
      <c r="AT210" s="149" t="s">
        <v>1236</v>
      </c>
      <c r="AU210" s="94" t="s">
        <v>1821</v>
      </c>
    </row>
    <row r="211" spans="1:47" ht="21" customHeight="1" x14ac:dyDescent="0.35">
      <c r="A211" s="259"/>
      <c r="B211" s="98" t="s">
        <v>138</v>
      </c>
      <c r="C211" s="99" t="s">
        <v>279</v>
      </c>
      <c r="D211" s="100" t="s">
        <v>275</v>
      </c>
      <c r="E211" s="101">
        <v>42917</v>
      </c>
      <c r="F211" s="102">
        <f t="shared" si="6"/>
        <v>0</v>
      </c>
      <c r="G211" s="150">
        <f>SUMIF(积分汇总!$B:$B,C211,积分汇总!$E:$E)</f>
        <v>0</v>
      </c>
      <c r="H211" s="150">
        <f>SUMIF(记录巡查问题条数汇总!$B:$B,C211,记录巡查问题条数汇总!$E:$E)</f>
        <v>0</v>
      </c>
      <c r="I211" s="150"/>
      <c r="J211" s="150">
        <f>SUMIF(安全质量事故!$B:$B,C211,安全质量事故!$G:$G)</f>
        <v>0</v>
      </c>
      <c r="K211" s="141">
        <f>COUNTIF(L211:AP211,标准数据!$A$2)*标准数据!$B$2+COUNTIF(L211:AP211,标准数据!$A$3)*标准数据!$B$3+COUNTIF(L211:AP211,标准数据!$A$4)*标准数据!$B$4</f>
        <v>0</v>
      </c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09"/>
      <c r="AJ211" s="109"/>
      <c r="AK211" s="109"/>
      <c r="AL211" s="109"/>
      <c r="AM211" s="109"/>
      <c r="AN211" s="109"/>
      <c r="AO211" s="109"/>
      <c r="AP211" s="109"/>
      <c r="AT211" s="149" t="s">
        <v>275</v>
      </c>
      <c r="AU211" s="94" t="s">
        <v>1821</v>
      </c>
    </row>
    <row r="212" spans="1:47" ht="21" customHeight="1" x14ac:dyDescent="0.35">
      <c r="A212" s="259"/>
      <c r="B212" s="98" t="s">
        <v>138</v>
      </c>
      <c r="C212" s="99" t="s">
        <v>525</v>
      </c>
      <c r="D212" s="100" t="s">
        <v>489</v>
      </c>
      <c r="E212" s="101">
        <v>45847</v>
      </c>
      <c r="F212" s="102">
        <f t="shared" si="6"/>
        <v>0</v>
      </c>
      <c r="G212" s="150">
        <f>SUMIF(积分汇总!$B:$B,C212,积分汇总!$E:$E)</f>
        <v>0</v>
      </c>
      <c r="H212" s="150">
        <f>SUMIF(记录巡查问题条数汇总!$B:$B,C212,记录巡查问题条数汇总!$E:$E)</f>
        <v>0</v>
      </c>
      <c r="I212" s="150"/>
      <c r="J212" s="150">
        <f>SUMIF(安全质量事故!$B:$B,C212,安全质量事故!$G:$G)</f>
        <v>0</v>
      </c>
      <c r="K212" s="141">
        <f>COUNTIF(L212:AP212,标准数据!$A$2)*标准数据!$B$2+COUNTIF(L212:AP212,标准数据!$A$3)*标准数据!$B$3+COUNTIF(L212:AP212,标准数据!$A$4)*标准数据!$B$4</f>
        <v>0</v>
      </c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  <c r="AD212" s="109"/>
      <c r="AE212" s="109"/>
      <c r="AF212" s="109"/>
      <c r="AG212" s="109"/>
      <c r="AH212" s="109"/>
      <c r="AI212" s="109"/>
      <c r="AJ212" s="109"/>
      <c r="AK212" s="109"/>
      <c r="AL212" s="109"/>
      <c r="AM212" s="109"/>
      <c r="AN212" s="109"/>
      <c r="AO212" s="109"/>
      <c r="AP212" s="109"/>
      <c r="AQ212" s="94"/>
      <c r="AR212" s="94"/>
      <c r="AS212" s="94"/>
      <c r="AT212" s="149" t="s">
        <v>489</v>
      </c>
      <c r="AU212" s="94" t="s">
        <v>1821</v>
      </c>
    </row>
    <row r="213" spans="1:47" ht="21" customHeight="1" x14ac:dyDescent="0.35">
      <c r="A213" s="259"/>
      <c r="B213" s="98" t="s">
        <v>138</v>
      </c>
      <c r="C213" s="99" t="s">
        <v>594</v>
      </c>
      <c r="D213" s="100" t="s">
        <v>559</v>
      </c>
      <c r="E213" s="101">
        <v>45889</v>
      </c>
      <c r="F213" s="102">
        <f t="shared" si="6"/>
        <v>0</v>
      </c>
      <c r="G213" s="150">
        <f>SUMIF(积分汇总!$B:$B,C213,积分汇总!$E:$E)</f>
        <v>0</v>
      </c>
      <c r="H213" s="150">
        <f>SUMIF(记录巡查问题条数汇总!$B:$B,C213,记录巡查问题条数汇总!$E:$E)</f>
        <v>0</v>
      </c>
      <c r="I213" s="150"/>
      <c r="J213" s="150">
        <f>SUMIF(安全质量事故!$B:$B,C213,安全质量事故!$G:$G)</f>
        <v>0</v>
      </c>
      <c r="K213" s="141">
        <f>COUNTIF(L213:AP213,标准数据!$A$2)*标准数据!$B$2+COUNTIF(L213:AP213,标准数据!$A$3)*标准数据!$B$3+COUNTIF(L213:AP213,标准数据!$A$4)*标准数据!$B$4</f>
        <v>0</v>
      </c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109"/>
      <c r="Y213" s="109"/>
      <c r="Z213" s="109"/>
      <c r="AA213" s="109"/>
      <c r="AB213" s="109"/>
      <c r="AC213" s="109"/>
      <c r="AD213" s="109"/>
      <c r="AE213" s="109"/>
      <c r="AF213" s="109"/>
      <c r="AG213" s="109"/>
      <c r="AH213" s="109"/>
      <c r="AI213" s="109"/>
      <c r="AJ213" s="109"/>
      <c r="AK213" s="109"/>
      <c r="AL213" s="109"/>
      <c r="AM213" s="109"/>
      <c r="AN213" s="109"/>
      <c r="AO213" s="109"/>
      <c r="AP213" s="109"/>
      <c r="AQ213" s="94"/>
      <c r="AR213" s="94"/>
      <c r="AS213" s="94"/>
      <c r="AT213" s="149" t="s">
        <v>559</v>
      </c>
      <c r="AU213" s="94" t="s">
        <v>1821</v>
      </c>
    </row>
    <row r="214" spans="1:47" ht="21" customHeight="1" x14ac:dyDescent="0.35">
      <c r="A214" s="259"/>
      <c r="B214" s="98" t="s">
        <v>138</v>
      </c>
      <c r="C214" s="99" t="s">
        <v>523</v>
      </c>
      <c r="D214" s="100" t="s">
        <v>486</v>
      </c>
      <c r="E214" s="101">
        <v>44256</v>
      </c>
      <c r="F214" s="102">
        <f t="shared" si="6"/>
        <v>0</v>
      </c>
      <c r="G214" s="150">
        <f>SUMIF(积分汇总!$B:$B,C214,积分汇总!$E:$E)</f>
        <v>0</v>
      </c>
      <c r="H214" s="150">
        <f>SUMIF(记录巡查问题条数汇总!$B:$B,C214,记录巡查问题条数汇总!$E:$E)</f>
        <v>0</v>
      </c>
      <c r="I214" s="150"/>
      <c r="J214" s="150">
        <f>SUMIF(安全质量事故!$B:$B,C214,安全质量事故!$G:$G)</f>
        <v>0</v>
      </c>
      <c r="K214" s="141">
        <f>COUNTIF(L214:AP214,标准数据!$A$2)*标准数据!$B$2+COUNTIF(L214:AP214,标准数据!$A$3)*标准数据!$B$3+COUNTIF(L214:AP214,标准数据!$A$4)*标准数据!$B$4</f>
        <v>0</v>
      </c>
      <c r="L214" s="109"/>
      <c r="M214" s="109"/>
      <c r="N214" s="109"/>
      <c r="O214" s="109"/>
      <c r="P214" s="109"/>
      <c r="Q214" s="109"/>
      <c r="R214" s="109"/>
      <c r="S214" s="109"/>
      <c r="T214" s="109"/>
      <c r="U214" s="109"/>
      <c r="V214" s="109"/>
      <c r="W214" s="109"/>
      <c r="X214" s="109"/>
      <c r="Y214" s="109"/>
      <c r="Z214" s="109"/>
      <c r="AA214" s="109"/>
      <c r="AB214" s="109"/>
      <c r="AC214" s="109"/>
      <c r="AD214" s="109"/>
      <c r="AE214" s="109"/>
      <c r="AF214" s="109"/>
      <c r="AG214" s="109"/>
      <c r="AH214" s="109"/>
      <c r="AI214" s="109"/>
      <c r="AJ214" s="109"/>
      <c r="AK214" s="109"/>
      <c r="AL214" s="109"/>
      <c r="AM214" s="109"/>
      <c r="AN214" s="109"/>
      <c r="AO214" s="109"/>
      <c r="AP214" s="109"/>
      <c r="AT214" s="149" t="s">
        <v>486</v>
      </c>
      <c r="AU214" s="94" t="s">
        <v>1821</v>
      </c>
    </row>
    <row r="215" spans="1:47" ht="21" customHeight="1" x14ac:dyDescent="0.35">
      <c r="A215" s="259"/>
      <c r="B215" s="98" t="s">
        <v>138</v>
      </c>
      <c r="C215" s="99" t="s">
        <v>788</v>
      </c>
      <c r="D215" s="100" t="s">
        <v>744</v>
      </c>
      <c r="E215" s="101">
        <v>45980</v>
      </c>
      <c r="F215" s="102">
        <f t="shared" si="6"/>
        <v>0</v>
      </c>
      <c r="G215" s="150">
        <f>SUMIF(积分汇总!$B:$B,C215,积分汇总!$E:$E)</f>
        <v>0</v>
      </c>
      <c r="H215" s="150">
        <f>SUMIF(记录巡查问题条数汇总!$B:$B,C215,记录巡查问题条数汇总!$E:$E)</f>
        <v>0</v>
      </c>
      <c r="I215" s="150"/>
      <c r="J215" s="150">
        <f>SUMIF(安全质量事故!$B:$B,C215,安全质量事故!$G:$G)</f>
        <v>0</v>
      </c>
      <c r="K215" s="141">
        <f>COUNTIF(L215:AP215,标准数据!$A$2)*标准数据!$B$2+COUNTIF(L215:AP215,标准数据!$A$3)*标准数据!$B$3+COUNTIF(L215:AP215,标准数据!$A$4)*标准数据!$B$4</f>
        <v>0</v>
      </c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9"/>
      <c r="Y215" s="109"/>
      <c r="Z215" s="109"/>
      <c r="AA215" s="109"/>
      <c r="AB215" s="109"/>
      <c r="AC215" s="109"/>
      <c r="AD215" s="109"/>
      <c r="AE215" s="109"/>
      <c r="AF215" s="109"/>
      <c r="AG215" s="109"/>
      <c r="AH215" s="109"/>
      <c r="AI215" s="109"/>
      <c r="AJ215" s="109"/>
      <c r="AK215" s="109"/>
      <c r="AL215" s="109"/>
      <c r="AM215" s="109"/>
      <c r="AN215" s="109"/>
      <c r="AO215" s="109"/>
      <c r="AP215" s="109"/>
      <c r="AQ215" s="94"/>
      <c r="AR215" s="94"/>
      <c r="AS215" s="94"/>
      <c r="AT215" s="149" t="s">
        <v>744</v>
      </c>
      <c r="AU215" s="94" t="s">
        <v>1821</v>
      </c>
    </row>
    <row r="216" spans="1:47" ht="21" customHeight="1" x14ac:dyDescent="0.35">
      <c r="A216" s="259"/>
      <c r="B216" s="98" t="s">
        <v>138</v>
      </c>
      <c r="C216" s="99" t="s">
        <v>899</v>
      </c>
      <c r="D216" s="100" t="s">
        <v>846</v>
      </c>
      <c r="E216" s="101">
        <v>44671</v>
      </c>
      <c r="F216" s="102">
        <f t="shared" si="6"/>
        <v>0</v>
      </c>
      <c r="G216" s="150">
        <f>SUMIF(积分汇总!$B:$B,C216,积分汇总!$E:$E)</f>
        <v>0</v>
      </c>
      <c r="H216" s="150">
        <f>SUMIF(记录巡查问题条数汇总!$B:$B,C216,记录巡查问题条数汇总!$E:$E)</f>
        <v>0</v>
      </c>
      <c r="I216" s="150"/>
      <c r="J216" s="150">
        <f>SUMIF(安全质量事故!$B:$B,C216,安全质量事故!$G:$G)</f>
        <v>0</v>
      </c>
      <c r="K216" s="141">
        <f>COUNTIF(L216:AP216,标准数据!$A$2)*标准数据!$B$2+COUNTIF(L216:AP216,标准数据!$A$3)*标准数据!$B$3+COUNTIF(L216:AP216,标准数据!$A$4)*标准数据!$B$4</f>
        <v>0</v>
      </c>
      <c r="L216" s="109"/>
      <c r="M216" s="109"/>
      <c r="N216" s="109"/>
      <c r="O216" s="109"/>
      <c r="P216" s="109"/>
      <c r="Q216" s="109"/>
      <c r="R216" s="109"/>
      <c r="S216" s="109"/>
      <c r="T216" s="109"/>
      <c r="U216" s="109"/>
      <c r="V216" s="109"/>
      <c r="W216" s="109"/>
      <c r="X216" s="109"/>
      <c r="Y216" s="109"/>
      <c r="Z216" s="109"/>
      <c r="AA216" s="109"/>
      <c r="AB216" s="109"/>
      <c r="AC216" s="109"/>
      <c r="AD216" s="109"/>
      <c r="AE216" s="109"/>
      <c r="AF216" s="109"/>
      <c r="AG216" s="109"/>
      <c r="AH216" s="109"/>
      <c r="AI216" s="109"/>
      <c r="AJ216" s="109"/>
      <c r="AK216" s="109"/>
      <c r="AL216" s="109"/>
      <c r="AM216" s="109"/>
      <c r="AN216" s="109"/>
      <c r="AO216" s="109"/>
      <c r="AP216" s="109"/>
      <c r="AT216" s="149" t="s">
        <v>846</v>
      </c>
      <c r="AU216" s="94" t="s">
        <v>1821</v>
      </c>
    </row>
    <row r="217" spans="1:47" ht="21" customHeight="1" x14ac:dyDescent="0.35">
      <c r="A217" s="259"/>
      <c r="B217" s="98" t="s">
        <v>282</v>
      </c>
      <c r="C217" s="99" t="s">
        <v>1223</v>
      </c>
      <c r="D217" s="100" t="s">
        <v>1224</v>
      </c>
      <c r="E217" s="101">
        <v>46127</v>
      </c>
      <c r="F217" s="102">
        <f t="shared" si="6"/>
        <v>0</v>
      </c>
      <c r="G217" s="150">
        <f>SUMIF(积分汇总!$B:$B,C217,积分汇总!$E:$E)</f>
        <v>0</v>
      </c>
      <c r="H217" s="150">
        <f>SUMIF(记录巡查问题条数汇总!$B:$B,C217,记录巡查问题条数汇总!$E:$E)</f>
        <v>0</v>
      </c>
      <c r="I217" s="150"/>
      <c r="J217" s="150">
        <f>SUMIF(安全质量事故!$B:$B,C217,安全质量事故!$G:$G)</f>
        <v>0</v>
      </c>
      <c r="K217" s="141">
        <f>COUNTIF(L217:AP217,标准数据!$A$2)*标准数据!$B$2+COUNTIF(L217:AP217,标准数据!$A$3)*标准数据!$B$3+COUNTIF(L217:AP217,标准数据!$A$4)*标准数据!$B$4</f>
        <v>0</v>
      </c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109"/>
      <c r="Y217" s="109"/>
      <c r="Z217" s="109"/>
      <c r="AA217" s="109"/>
      <c r="AB217" s="109"/>
      <c r="AC217" s="109"/>
      <c r="AD217" s="109"/>
      <c r="AE217" s="109"/>
      <c r="AF217" s="109"/>
      <c r="AG217" s="109"/>
      <c r="AH217" s="109"/>
      <c r="AI217" s="109"/>
      <c r="AJ217" s="109"/>
      <c r="AK217" s="109"/>
      <c r="AL217" s="109"/>
      <c r="AM217" s="109"/>
      <c r="AN217" s="109"/>
      <c r="AO217" s="109"/>
      <c r="AP217" s="109"/>
      <c r="AT217" s="149" t="s">
        <v>1224</v>
      </c>
      <c r="AU217" s="94" t="s">
        <v>1821</v>
      </c>
    </row>
    <row r="218" spans="1:47" ht="21" customHeight="1" x14ac:dyDescent="0.35">
      <c r="A218" s="259"/>
      <c r="B218" s="98" t="s">
        <v>138</v>
      </c>
      <c r="C218" s="99" t="s">
        <v>1225</v>
      </c>
      <c r="D218" s="100" t="s">
        <v>1226</v>
      </c>
      <c r="E218" s="101">
        <v>46120</v>
      </c>
      <c r="F218" s="102">
        <f t="shared" si="6"/>
        <v>0</v>
      </c>
      <c r="G218" s="150">
        <f>SUMIF(积分汇总!$B:$B,C218,积分汇总!$E:$E)</f>
        <v>0</v>
      </c>
      <c r="H218" s="150">
        <f>SUMIF(记录巡查问题条数汇总!$B:$B,C218,记录巡查问题条数汇总!$E:$E)</f>
        <v>0</v>
      </c>
      <c r="I218" s="150"/>
      <c r="J218" s="150">
        <f>SUMIF(安全质量事故!$B:$B,C218,安全质量事故!$G:$G)</f>
        <v>0</v>
      </c>
      <c r="K218" s="141">
        <f>COUNTIF(L218:AP218,标准数据!$A$2)*标准数据!$B$2+COUNTIF(L218:AP218,标准数据!$A$3)*标准数据!$B$3+COUNTIF(L218:AP218,标准数据!$A$4)*标准数据!$B$4</f>
        <v>0</v>
      </c>
      <c r="L218" s="109"/>
      <c r="M218" s="109"/>
      <c r="N218" s="109"/>
      <c r="O218" s="109"/>
      <c r="P218" s="109"/>
      <c r="Q218" s="109"/>
      <c r="R218" s="109"/>
      <c r="S218" s="109"/>
      <c r="T218" s="109"/>
      <c r="U218" s="109"/>
      <c r="V218" s="109"/>
      <c r="W218" s="109"/>
      <c r="X218" s="109"/>
      <c r="Y218" s="109"/>
      <c r="Z218" s="109"/>
      <c r="AA218" s="109"/>
      <c r="AB218" s="109"/>
      <c r="AC218" s="109"/>
      <c r="AD218" s="109"/>
      <c r="AE218" s="109"/>
      <c r="AF218" s="109"/>
      <c r="AG218" s="109"/>
      <c r="AH218" s="109"/>
      <c r="AI218" s="109"/>
      <c r="AJ218" s="109"/>
      <c r="AK218" s="109"/>
      <c r="AL218" s="109"/>
      <c r="AM218" s="109"/>
      <c r="AN218" s="109"/>
      <c r="AO218" s="109"/>
      <c r="AP218" s="109"/>
      <c r="AQ218" s="94"/>
      <c r="AR218" s="94"/>
      <c r="AS218" s="94"/>
      <c r="AT218" s="149" t="s">
        <v>1226</v>
      </c>
      <c r="AU218" s="94" t="s">
        <v>1821</v>
      </c>
    </row>
    <row r="219" spans="1:47" ht="21" customHeight="1" x14ac:dyDescent="0.35">
      <c r="A219" s="259"/>
      <c r="B219" s="98" t="s">
        <v>138</v>
      </c>
      <c r="C219" s="99" t="s">
        <v>1227</v>
      </c>
      <c r="D219" s="100" t="s">
        <v>1228</v>
      </c>
      <c r="E219" s="101">
        <v>46120</v>
      </c>
      <c r="F219" s="102">
        <f t="shared" si="6"/>
        <v>0</v>
      </c>
      <c r="G219" s="150">
        <f>SUMIF(积分汇总!$B:$B,C219,积分汇总!$E:$E)</f>
        <v>0</v>
      </c>
      <c r="H219" s="150">
        <f>SUMIF(记录巡查问题条数汇总!$B:$B,C219,记录巡查问题条数汇总!$E:$E)</f>
        <v>0</v>
      </c>
      <c r="I219" s="150"/>
      <c r="J219" s="150">
        <f>SUMIF(安全质量事故!$B:$B,C219,安全质量事故!$G:$G)</f>
        <v>0</v>
      </c>
      <c r="K219" s="141">
        <f>COUNTIF(L219:AP219,标准数据!$A$2)*标准数据!$B$2+COUNTIF(L219:AP219,标准数据!$A$3)*标准数据!$B$3+COUNTIF(L219:AP219,标准数据!$A$4)*标准数据!$B$4</f>
        <v>0</v>
      </c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109"/>
      <c r="Y219" s="109"/>
      <c r="Z219" s="109"/>
      <c r="AA219" s="109"/>
      <c r="AB219" s="109"/>
      <c r="AC219" s="109"/>
      <c r="AD219" s="109"/>
      <c r="AE219" s="109"/>
      <c r="AF219" s="109"/>
      <c r="AG219" s="109"/>
      <c r="AH219" s="109"/>
      <c r="AI219" s="109"/>
      <c r="AJ219" s="109"/>
      <c r="AK219" s="109"/>
      <c r="AL219" s="109"/>
      <c r="AM219" s="109"/>
      <c r="AN219" s="109"/>
      <c r="AO219" s="109"/>
      <c r="AP219" s="109"/>
      <c r="AT219" s="149" t="s">
        <v>1228</v>
      </c>
      <c r="AU219" s="94" t="s">
        <v>1821</v>
      </c>
    </row>
    <row r="220" spans="1:47" ht="21" customHeight="1" x14ac:dyDescent="0.35">
      <c r="A220" s="259"/>
      <c r="B220" s="98" t="s">
        <v>138</v>
      </c>
      <c r="C220" s="99" t="s">
        <v>1229</v>
      </c>
      <c r="D220" s="100" t="s">
        <v>1230</v>
      </c>
      <c r="E220" s="101">
        <v>46120</v>
      </c>
      <c r="F220" s="102">
        <f t="shared" si="6"/>
        <v>0</v>
      </c>
      <c r="G220" s="150">
        <f>SUMIF(积分汇总!$B:$B,C220,积分汇总!$E:$E)</f>
        <v>0</v>
      </c>
      <c r="H220" s="150">
        <f>SUMIF(记录巡查问题条数汇总!$B:$B,C220,记录巡查问题条数汇总!$E:$E)</f>
        <v>0</v>
      </c>
      <c r="I220" s="150"/>
      <c r="J220" s="150">
        <f>SUMIF(安全质量事故!$B:$B,C220,安全质量事故!$G:$G)</f>
        <v>0</v>
      </c>
      <c r="K220" s="141">
        <f>COUNTIF(L220:AP220,标准数据!$A$2)*标准数据!$B$2+COUNTIF(L220:AP220,标准数据!$A$3)*标准数据!$B$3+COUNTIF(L220:AP220,标准数据!$A$4)*标准数据!$B$4</f>
        <v>0</v>
      </c>
      <c r="L220" s="109"/>
      <c r="M220" s="109"/>
      <c r="N220" s="109"/>
      <c r="O220" s="109"/>
      <c r="P220" s="109"/>
      <c r="Q220" s="109"/>
      <c r="R220" s="109"/>
      <c r="S220" s="108"/>
      <c r="T220" s="108"/>
      <c r="U220" s="108"/>
      <c r="V220" s="108"/>
      <c r="W220" s="108"/>
      <c r="X220" s="109"/>
      <c r="Y220" s="109"/>
      <c r="Z220" s="109"/>
      <c r="AA220" s="109"/>
      <c r="AB220" s="109"/>
      <c r="AC220" s="109"/>
      <c r="AD220" s="109"/>
      <c r="AE220" s="109"/>
      <c r="AF220" s="109"/>
      <c r="AG220" s="109"/>
      <c r="AH220" s="109"/>
      <c r="AI220" s="109"/>
      <c r="AJ220" s="109"/>
      <c r="AK220" s="109"/>
      <c r="AL220" s="109"/>
      <c r="AM220" s="109"/>
      <c r="AN220" s="109"/>
      <c r="AO220" s="109"/>
      <c r="AP220" s="109"/>
      <c r="AQ220" s="94"/>
      <c r="AR220" s="94"/>
      <c r="AS220" s="94"/>
      <c r="AT220" s="149" t="s">
        <v>1230</v>
      </c>
      <c r="AU220" s="94" t="s">
        <v>1821</v>
      </c>
    </row>
    <row r="221" spans="1:47" ht="21" customHeight="1" x14ac:dyDescent="0.35">
      <c r="A221" s="259"/>
      <c r="B221" s="98" t="s">
        <v>138</v>
      </c>
      <c r="C221" s="99" t="s">
        <v>1424</v>
      </c>
      <c r="D221" s="100" t="s">
        <v>1425</v>
      </c>
      <c r="E221" s="101">
        <v>46134</v>
      </c>
      <c r="F221" s="102">
        <f t="shared" si="6"/>
        <v>0</v>
      </c>
      <c r="G221" s="150">
        <f>SUMIF(积分汇总!$B:$B,C221,积分汇总!$E:$E)</f>
        <v>0</v>
      </c>
      <c r="H221" s="150">
        <f>SUMIF(记录巡查问题条数汇总!$B:$B,C221,记录巡查问题条数汇总!$E:$E)</f>
        <v>0</v>
      </c>
      <c r="I221" s="150"/>
      <c r="J221" s="150">
        <f>SUMIF(安全质量事故!$B:$B,C221,安全质量事故!$G:$G)</f>
        <v>0</v>
      </c>
      <c r="K221" s="141">
        <f>COUNTIF(L221:AP221,标准数据!$A$2)*标准数据!$B$2+COUNTIF(L221:AP221,标准数据!$A$3)*标准数据!$B$3+COUNTIF(L221:AP221,标准数据!$A$4)*标准数据!$B$4</f>
        <v>0</v>
      </c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109"/>
      <c r="Y221" s="109"/>
      <c r="Z221" s="109"/>
      <c r="AA221" s="109"/>
      <c r="AB221" s="109"/>
      <c r="AC221" s="109"/>
      <c r="AD221" s="109"/>
      <c r="AE221" s="109"/>
      <c r="AF221" s="109"/>
      <c r="AG221" s="109"/>
      <c r="AH221" s="109"/>
      <c r="AI221" s="109"/>
      <c r="AJ221" s="109"/>
      <c r="AK221" s="109"/>
      <c r="AL221" s="109"/>
      <c r="AM221" s="109"/>
      <c r="AN221" s="109"/>
      <c r="AO221" s="109"/>
      <c r="AP221" s="109"/>
      <c r="AT221" s="149" t="s">
        <v>1425</v>
      </c>
      <c r="AU221" s="94" t="s">
        <v>1821</v>
      </c>
    </row>
    <row r="222" spans="1:47" ht="21" customHeight="1" x14ac:dyDescent="0.35">
      <c r="A222" s="259"/>
      <c r="B222" s="98" t="s">
        <v>138</v>
      </c>
      <c r="C222" s="99" t="s">
        <v>1426</v>
      </c>
      <c r="D222" s="100" t="s">
        <v>1427</v>
      </c>
      <c r="E222" s="101">
        <v>46134</v>
      </c>
      <c r="F222" s="102">
        <f t="shared" si="6"/>
        <v>0</v>
      </c>
      <c r="G222" s="150">
        <f>SUMIF(积分汇总!$B:$B,C222,积分汇总!$E:$E)</f>
        <v>0</v>
      </c>
      <c r="H222" s="150">
        <f>SUMIF(记录巡查问题条数汇总!$B:$B,C222,记录巡查问题条数汇总!$E:$E)</f>
        <v>0</v>
      </c>
      <c r="I222" s="150"/>
      <c r="J222" s="150">
        <f>SUMIF(安全质量事故!$B:$B,C222,安全质量事故!$G:$G)</f>
        <v>0</v>
      </c>
      <c r="K222" s="141">
        <f>COUNTIF(L222:AP222,标准数据!$A$2)*标准数据!$B$2+COUNTIF(L222:AP222,标准数据!$A$3)*标准数据!$B$3+COUNTIF(L222:AP222,标准数据!$A$4)*标准数据!$B$4</f>
        <v>0</v>
      </c>
      <c r="L222" s="109"/>
      <c r="M222" s="109"/>
      <c r="N222" s="109"/>
      <c r="O222" s="109"/>
      <c r="P222" s="109"/>
      <c r="Q222" s="109"/>
      <c r="R222" s="109"/>
      <c r="S222" s="108"/>
      <c r="T222" s="108"/>
      <c r="U222" s="108"/>
      <c r="V222" s="108"/>
      <c r="W222" s="108"/>
      <c r="X222" s="109"/>
      <c r="Y222" s="109"/>
      <c r="Z222" s="109"/>
      <c r="AA222" s="109"/>
      <c r="AB222" s="109"/>
      <c r="AC222" s="109"/>
      <c r="AD222" s="109"/>
      <c r="AE222" s="109"/>
      <c r="AF222" s="109"/>
      <c r="AG222" s="109"/>
      <c r="AH222" s="109"/>
      <c r="AI222" s="109"/>
      <c r="AJ222" s="109"/>
      <c r="AK222" s="109"/>
      <c r="AL222" s="109"/>
      <c r="AM222" s="109"/>
      <c r="AN222" s="109"/>
      <c r="AO222" s="109"/>
      <c r="AP222" s="109"/>
      <c r="AQ222" s="94"/>
      <c r="AR222" s="94"/>
      <c r="AS222" s="94"/>
      <c r="AT222" s="149" t="s">
        <v>1427</v>
      </c>
      <c r="AU222" s="94" t="s">
        <v>1821</v>
      </c>
    </row>
    <row r="223" spans="1:47" ht="21" customHeight="1" x14ac:dyDescent="0.35">
      <c r="A223" s="259"/>
      <c r="B223" s="98" t="s">
        <v>138</v>
      </c>
      <c r="C223" s="214" t="s">
        <v>1652</v>
      </c>
      <c r="D223" s="216" t="s">
        <v>1653</v>
      </c>
      <c r="E223" s="217">
        <v>46188</v>
      </c>
      <c r="F223" s="102">
        <f t="shared" ref="F223:F224" si="8">(K223+G223+H223+I223-J223)</f>
        <v>0</v>
      </c>
      <c r="G223" s="150">
        <f>SUMIF(积分汇总!$B:$B,C223,积分汇总!$E:$E)</f>
        <v>0</v>
      </c>
      <c r="H223" s="150">
        <f>SUMIF(记录巡查问题条数汇总!$B:$B,C223,记录巡查问题条数汇总!$E:$E)</f>
        <v>0</v>
      </c>
      <c r="I223" s="150"/>
      <c r="J223" s="150">
        <f>SUMIF(安全质量事故!$B:$B,C223,安全质量事故!$G:$G)</f>
        <v>0</v>
      </c>
      <c r="K223" s="141">
        <f>COUNTIF(L223:AP223,标准数据!$A$2)*标准数据!$B$2+COUNTIF(L223:AP223,标准数据!$A$3)*标准数据!$B$3+COUNTIF(L223:AP223,标准数据!$A$4)*标准数据!$B$4</f>
        <v>0</v>
      </c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109"/>
      <c r="Y223" s="109"/>
      <c r="Z223" s="109"/>
      <c r="AA223" s="109"/>
      <c r="AB223" s="109"/>
      <c r="AC223" s="109"/>
      <c r="AD223" s="109"/>
      <c r="AE223" s="109"/>
      <c r="AF223" s="109"/>
      <c r="AG223" s="109"/>
      <c r="AH223" s="109"/>
      <c r="AI223" s="109"/>
      <c r="AJ223" s="109"/>
      <c r="AK223" s="109"/>
      <c r="AL223" s="109"/>
      <c r="AM223" s="109"/>
      <c r="AN223" s="109"/>
      <c r="AO223" s="109"/>
      <c r="AP223" s="109"/>
      <c r="AT223" s="149" t="s">
        <v>1653</v>
      </c>
      <c r="AU223" s="94" t="s">
        <v>1821</v>
      </c>
    </row>
    <row r="224" spans="1:47" ht="21" customHeight="1" x14ac:dyDescent="0.35">
      <c r="A224" s="259"/>
      <c r="B224" s="98" t="s">
        <v>138</v>
      </c>
      <c r="C224" s="214" t="s">
        <v>1654</v>
      </c>
      <c r="D224" s="216" t="s">
        <v>1655</v>
      </c>
      <c r="E224" s="217">
        <v>46174</v>
      </c>
      <c r="F224" s="102">
        <f t="shared" si="8"/>
        <v>0</v>
      </c>
      <c r="G224" s="150">
        <f>SUMIF(积分汇总!$B:$B,C224,积分汇总!$E:$E)</f>
        <v>0</v>
      </c>
      <c r="H224" s="150">
        <f>SUMIF(记录巡查问题条数汇总!$B:$B,C224,记录巡查问题条数汇总!$E:$E)</f>
        <v>0</v>
      </c>
      <c r="I224" s="150"/>
      <c r="J224" s="150">
        <f>SUMIF(安全质量事故!$B:$B,C224,安全质量事故!$G:$G)</f>
        <v>0</v>
      </c>
      <c r="K224" s="141">
        <f>COUNTIF(L224:AP224,标准数据!$A$2)*标准数据!$B$2+COUNTIF(L224:AP224,标准数据!$A$3)*标准数据!$B$3+COUNTIF(L224:AP224,标准数据!$A$4)*标准数据!$B$4</f>
        <v>0</v>
      </c>
      <c r="L224" s="109"/>
      <c r="M224" s="109"/>
      <c r="N224" s="109"/>
      <c r="O224" s="109"/>
      <c r="P224" s="109"/>
      <c r="Q224" s="109"/>
      <c r="R224" s="109"/>
      <c r="S224" s="108"/>
      <c r="T224" s="108"/>
      <c r="U224" s="108"/>
      <c r="V224" s="108"/>
      <c r="W224" s="108"/>
      <c r="X224" s="109"/>
      <c r="Y224" s="109"/>
      <c r="Z224" s="109"/>
      <c r="AA224" s="109"/>
      <c r="AB224" s="109"/>
      <c r="AC224" s="109"/>
      <c r="AD224" s="109"/>
      <c r="AE224" s="109"/>
      <c r="AF224" s="109"/>
      <c r="AG224" s="109"/>
      <c r="AH224" s="109"/>
      <c r="AI224" s="109"/>
      <c r="AJ224" s="109"/>
      <c r="AK224" s="109"/>
      <c r="AL224" s="109"/>
      <c r="AM224" s="109"/>
      <c r="AN224" s="109"/>
      <c r="AO224" s="109"/>
      <c r="AP224" s="109"/>
      <c r="AQ224" s="94"/>
      <c r="AR224" s="94"/>
      <c r="AS224" s="94"/>
      <c r="AT224" s="149" t="s">
        <v>1655</v>
      </c>
      <c r="AU224" s="94" t="s">
        <v>1821</v>
      </c>
    </row>
    <row r="225" spans="1:47" ht="21" customHeight="1" x14ac:dyDescent="0.35">
      <c r="A225" s="259"/>
      <c r="B225" s="98" t="s">
        <v>138</v>
      </c>
      <c r="C225" s="107" t="s">
        <v>789</v>
      </c>
      <c r="D225" s="100" t="s">
        <v>745</v>
      </c>
      <c r="E225" s="101">
        <v>45854</v>
      </c>
      <c r="F225" s="102">
        <f t="shared" si="6"/>
        <v>0</v>
      </c>
      <c r="G225" s="150">
        <f>SUMIF(积分汇总!$B:$B,C225,积分汇总!$E:$E)</f>
        <v>0</v>
      </c>
      <c r="H225" s="150">
        <f>SUMIF(记录巡查问题条数汇总!$B:$B,C225,记录巡查问题条数汇总!$E:$E)</f>
        <v>0</v>
      </c>
      <c r="I225" s="150"/>
      <c r="J225" s="150">
        <f>SUMIF(安全质量事故!$B:$B,C225,安全质量事故!$G:$G)</f>
        <v>0</v>
      </c>
      <c r="K225" s="141">
        <f>COUNTIF(L225:AP225,标准数据!$A$2)*标准数据!$B$2+COUNTIF(L225:AP225,标准数据!$A$3)*标准数据!$B$3+COUNTIF(L225:AP225,标准数据!$A$4)*标准数据!$B$4</f>
        <v>0</v>
      </c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109"/>
      <c r="Y225" s="109"/>
      <c r="Z225" s="109"/>
      <c r="AA225" s="109"/>
      <c r="AB225" s="109"/>
      <c r="AC225" s="109"/>
      <c r="AD225" s="109"/>
      <c r="AE225" s="109"/>
      <c r="AF225" s="109"/>
      <c r="AG225" s="109"/>
      <c r="AH225" s="109"/>
      <c r="AI225" s="109"/>
      <c r="AJ225" s="109"/>
      <c r="AK225" s="109"/>
      <c r="AL225" s="109"/>
      <c r="AM225" s="109"/>
      <c r="AN225" s="109"/>
      <c r="AO225" s="109"/>
      <c r="AP225" s="109"/>
      <c r="AQ225" s="94"/>
      <c r="AR225" s="94"/>
      <c r="AS225" s="94"/>
      <c r="AT225" s="149" t="s">
        <v>745</v>
      </c>
      <c r="AU225" s="94" t="s">
        <v>1821</v>
      </c>
    </row>
    <row r="226" spans="1:47" ht="21" customHeight="1" x14ac:dyDescent="0.35">
      <c r="A226" s="259"/>
      <c r="B226" s="98" t="s">
        <v>158</v>
      </c>
      <c r="C226" s="107" t="s">
        <v>1114</v>
      </c>
      <c r="D226" s="100" t="s">
        <v>1115</v>
      </c>
      <c r="E226" s="101">
        <v>45980</v>
      </c>
      <c r="F226" s="102">
        <f t="shared" si="6"/>
        <v>0</v>
      </c>
      <c r="G226" s="150">
        <f>SUMIF(积分汇总!$B:$B,C226,积分汇总!$E:$E)</f>
        <v>0</v>
      </c>
      <c r="H226" s="150">
        <f>SUMIF(记录巡查问题条数汇总!$B:$B,C226,记录巡查问题条数汇总!$E:$E)</f>
        <v>0</v>
      </c>
      <c r="I226" s="150"/>
      <c r="J226" s="150">
        <f>SUMIF(安全质量事故!$B:$B,C226,安全质量事故!$G:$G)</f>
        <v>0</v>
      </c>
      <c r="K226" s="141">
        <f>COUNTIF(L226:AP226,标准数据!$A$2)*标准数据!$B$2+COUNTIF(L226:AP226,标准数据!$A$3)*标准数据!$B$3+COUNTIF(L226:AP226,标准数据!$A$4)*标准数据!$B$4</f>
        <v>0</v>
      </c>
      <c r="L226" s="109"/>
      <c r="M226" s="109"/>
      <c r="N226" s="109"/>
      <c r="O226" s="109"/>
      <c r="P226" s="109"/>
      <c r="Q226" s="109"/>
      <c r="R226" s="109"/>
      <c r="S226" s="109"/>
      <c r="T226" s="109"/>
      <c r="U226" s="109"/>
      <c r="V226" s="109"/>
      <c r="W226" s="109"/>
      <c r="X226" s="109"/>
      <c r="Y226" s="109"/>
      <c r="Z226" s="109"/>
      <c r="AA226" s="109"/>
      <c r="AB226" s="109"/>
      <c r="AC226" s="109"/>
      <c r="AD226" s="109"/>
      <c r="AE226" s="109"/>
      <c r="AF226" s="109"/>
      <c r="AG226" s="109"/>
      <c r="AH226" s="109"/>
      <c r="AI226" s="109"/>
      <c r="AJ226" s="109"/>
      <c r="AK226" s="109"/>
      <c r="AL226" s="109"/>
      <c r="AM226" s="109"/>
      <c r="AN226" s="109"/>
      <c r="AO226" s="109"/>
      <c r="AP226" s="109"/>
      <c r="AQ226" s="94"/>
      <c r="AR226" s="94"/>
      <c r="AS226" s="94"/>
      <c r="AT226" s="149" t="s">
        <v>1115</v>
      </c>
      <c r="AU226" s="94" t="s">
        <v>1821</v>
      </c>
    </row>
    <row r="227" spans="1:47" ht="21" customHeight="1" x14ac:dyDescent="0.35">
      <c r="A227" s="260" t="s">
        <v>1141</v>
      </c>
      <c r="B227" s="98" t="s">
        <v>89</v>
      </c>
      <c r="C227" s="99" t="s">
        <v>261</v>
      </c>
      <c r="D227" s="105" t="s">
        <v>273</v>
      </c>
      <c r="E227" s="99">
        <v>43661</v>
      </c>
      <c r="F227" s="102">
        <f t="shared" si="6"/>
        <v>0</v>
      </c>
      <c r="G227" s="150">
        <f>SUMIF(积分汇总!$B:$B,C227,积分汇总!$E:$E)</f>
        <v>0</v>
      </c>
      <c r="H227" s="150">
        <f>SUMIF(记录巡查问题条数汇总!$B:$B,C227,记录巡查问题条数汇总!$E:$E)</f>
        <v>0</v>
      </c>
      <c r="I227" s="150"/>
      <c r="J227" s="150">
        <f>SUMIF(安全质量事故!$B:$B,C227,安全质量事故!$G:$G)</f>
        <v>0</v>
      </c>
      <c r="K227" s="141">
        <f>COUNTIF(L227:AP227,标准数据!$A$2)*标准数据!$B$2+COUNTIF(L227:AP227,标准数据!$A$3)*标准数据!$B$3+COUNTIF(L227:AP227,标准数据!$A$4)*标准数据!$B$4</f>
        <v>0</v>
      </c>
      <c r="L227" s="111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  <c r="AA227" s="108"/>
      <c r="AB227" s="108"/>
      <c r="AC227" s="108"/>
      <c r="AD227" s="108"/>
      <c r="AE227" s="108"/>
      <c r="AF227" s="108"/>
      <c r="AG227" s="108"/>
      <c r="AH227" s="108"/>
      <c r="AI227" s="108"/>
      <c r="AJ227" s="108"/>
      <c r="AK227" s="108"/>
      <c r="AL227" s="108"/>
      <c r="AM227" s="108"/>
      <c r="AN227" s="108"/>
      <c r="AO227" s="108"/>
      <c r="AP227" s="108"/>
      <c r="AQ227" s="252" t="s">
        <v>1142</v>
      </c>
      <c r="AR227" s="253"/>
      <c r="AS227" s="253"/>
      <c r="AT227" s="149" t="s">
        <v>1824</v>
      </c>
      <c r="AU227" s="94" t="s">
        <v>1825</v>
      </c>
    </row>
    <row r="228" spans="1:47" s="115" customFormat="1" ht="21" customHeight="1" x14ac:dyDescent="0.35">
      <c r="A228" s="260"/>
      <c r="B228" s="98" t="s">
        <v>89</v>
      </c>
      <c r="C228" s="99" t="s">
        <v>1022</v>
      </c>
      <c r="D228" s="105" t="s">
        <v>973</v>
      </c>
      <c r="E228" s="99">
        <v>46029</v>
      </c>
      <c r="F228" s="102">
        <f t="shared" si="6"/>
        <v>0</v>
      </c>
      <c r="G228" s="150">
        <f>SUMIF(积分汇总!$B:$B,C228,积分汇总!$E:$E)</f>
        <v>0</v>
      </c>
      <c r="H228" s="150">
        <f>SUMIF(记录巡查问题条数汇总!$B:$B,C228,记录巡查问题条数汇总!$E:$E)</f>
        <v>0</v>
      </c>
      <c r="I228" s="150"/>
      <c r="J228" s="150">
        <f>SUMIF(安全质量事故!$B:$B,C228,安全质量事故!$G:$G)</f>
        <v>0</v>
      </c>
      <c r="K228" s="141">
        <f>COUNTIF(L228:AP228,标准数据!$A$2)*标准数据!$B$2+COUNTIF(L228:AP228,标准数据!$A$3)*标准数据!$B$3+COUNTIF(L228:AP228,标准数据!$A$4)*标准数据!$B$4</f>
        <v>0</v>
      </c>
      <c r="L228" s="109"/>
      <c r="M228" s="109"/>
      <c r="N228" s="109"/>
      <c r="O228" s="109"/>
      <c r="P228" s="109"/>
      <c r="Q228" s="109"/>
      <c r="R228" s="109"/>
      <c r="S228" s="109"/>
      <c r="T228" s="109"/>
      <c r="U228" s="109"/>
      <c r="V228" s="109"/>
      <c r="W228" s="109"/>
      <c r="X228" s="109"/>
      <c r="Y228" s="109"/>
      <c r="Z228" s="109"/>
      <c r="AA228" s="109"/>
      <c r="AB228" s="109"/>
      <c r="AC228" s="109"/>
      <c r="AD228" s="109"/>
      <c r="AE228" s="109"/>
      <c r="AF228" s="109"/>
      <c r="AG228" s="109"/>
      <c r="AH228" s="109"/>
      <c r="AI228" s="109"/>
      <c r="AJ228" s="109"/>
      <c r="AK228" s="109"/>
      <c r="AL228" s="109"/>
      <c r="AM228" s="109"/>
      <c r="AN228" s="109"/>
      <c r="AO228" s="109"/>
      <c r="AP228" s="109"/>
      <c r="AQ228" s="158" t="s">
        <v>1138</v>
      </c>
      <c r="AR228" s="159" t="s">
        <v>1134</v>
      </c>
      <c r="AS228" s="159" t="s">
        <v>1135</v>
      </c>
      <c r="AT228" s="149" t="s">
        <v>973</v>
      </c>
      <c r="AU228" s="94" t="s">
        <v>1825</v>
      </c>
    </row>
    <row r="229" spans="1:47" ht="21" customHeight="1" x14ac:dyDescent="0.35">
      <c r="A229" s="260"/>
      <c r="B229" s="98" t="s">
        <v>166</v>
      </c>
      <c r="C229" s="99" t="s">
        <v>245</v>
      </c>
      <c r="D229" s="100" t="s">
        <v>246</v>
      </c>
      <c r="E229" s="101">
        <v>45483</v>
      </c>
      <c r="F229" s="102">
        <f t="shared" si="6"/>
        <v>0</v>
      </c>
      <c r="G229" s="150">
        <f>SUMIF(积分汇总!$B:$B,C229,积分汇总!$E:$E)</f>
        <v>0</v>
      </c>
      <c r="H229" s="150">
        <f>SUMIF(记录巡查问题条数汇总!$B:$B,C229,记录巡查问题条数汇总!$E:$E)</f>
        <v>0</v>
      </c>
      <c r="I229" s="150"/>
      <c r="J229" s="150">
        <f>SUMIF(安全质量事故!$B:$B,C229,安全质量事故!$G:$G)</f>
        <v>0</v>
      </c>
      <c r="K229" s="141">
        <f>COUNTIF(L229:AP229,标准数据!$A$2)*标准数据!$B$2+COUNTIF(L229:AP229,标准数据!$A$3)*标准数据!$B$3+COUNTIF(L229:AP229,标准数据!$A$4)*标准数据!$B$4</f>
        <v>0</v>
      </c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  <c r="AA229" s="108"/>
      <c r="AB229" s="108"/>
      <c r="AC229" s="108"/>
      <c r="AD229" s="108"/>
      <c r="AE229" s="108"/>
      <c r="AF229" s="108"/>
      <c r="AG229" s="108"/>
      <c r="AH229" s="108"/>
      <c r="AI229" s="108"/>
      <c r="AJ229" s="108"/>
      <c r="AK229" s="108"/>
      <c r="AL229" s="108"/>
      <c r="AM229" s="108"/>
      <c r="AN229" s="108"/>
      <c r="AO229" s="108"/>
      <c r="AP229" s="108"/>
      <c r="AQ229" s="117">
        <f>COUNTIF($L$227:$AP$298,"a")</f>
        <v>0</v>
      </c>
      <c r="AR229" s="117">
        <f>COUNTIF($L$227:$AP$298,"b")</f>
        <v>0</v>
      </c>
      <c r="AS229" s="117">
        <f>COUNTIF($L$227:$AP$298,"c")</f>
        <v>0</v>
      </c>
      <c r="AT229" s="149" t="s">
        <v>246</v>
      </c>
      <c r="AU229" s="94" t="s">
        <v>1825</v>
      </c>
    </row>
    <row r="230" spans="1:47" ht="21" customHeight="1" x14ac:dyDescent="0.35">
      <c r="A230" s="260"/>
      <c r="B230" s="98" t="s">
        <v>166</v>
      </c>
      <c r="C230" s="99" t="s">
        <v>144</v>
      </c>
      <c r="D230" s="100" t="s">
        <v>66</v>
      </c>
      <c r="E230" s="101">
        <v>44489</v>
      </c>
      <c r="F230" s="102">
        <f t="shared" si="6"/>
        <v>0</v>
      </c>
      <c r="G230" s="150">
        <f>SUMIF(积分汇总!$B:$B,C230,积分汇总!$E:$E)</f>
        <v>0</v>
      </c>
      <c r="H230" s="150">
        <f>SUMIF(记录巡查问题条数汇总!$B:$B,C230,记录巡查问题条数汇总!$E:$E)</f>
        <v>0</v>
      </c>
      <c r="I230" s="150"/>
      <c r="J230" s="150">
        <f>SUMIF(安全质量事故!$B:$B,C230,安全质量事故!$G:$G)</f>
        <v>0</v>
      </c>
      <c r="K230" s="141">
        <f>COUNTIF(L230:AP230,标准数据!$A$2)*标准数据!$B$2+COUNTIF(L230:AP230,标准数据!$A$3)*标准数据!$B$3+COUNTIF(L230:AP230,标准数据!$A$4)*标准数据!$B$4</f>
        <v>0</v>
      </c>
      <c r="L230" s="109"/>
      <c r="M230" s="109"/>
      <c r="N230" s="109"/>
      <c r="O230" s="109"/>
      <c r="P230" s="109"/>
      <c r="Q230" s="109"/>
      <c r="R230" s="109"/>
      <c r="S230" s="109"/>
      <c r="T230" s="109"/>
      <c r="U230" s="109"/>
      <c r="V230" s="109"/>
      <c r="W230" s="109"/>
      <c r="X230" s="109"/>
      <c r="Y230" s="109"/>
      <c r="Z230" s="109"/>
      <c r="AA230" s="109"/>
      <c r="AB230" s="109"/>
      <c r="AC230" s="109"/>
      <c r="AD230" s="109"/>
      <c r="AE230" s="109"/>
      <c r="AF230" s="109"/>
      <c r="AG230" s="109"/>
      <c r="AH230" s="109"/>
      <c r="AI230" s="109"/>
      <c r="AJ230" s="109"/>
      <c r="AK230" s="109"/>
      <c r="AL230" s="109"/>
      <c r="AM230" s="109"/>
      <c r="AN230" s="109"/>
      <c r="AO230" s="109"/>
      <c r="AP230" s="109"/>
      <c r="AQ230" s="103" t="e">
        <f>AQ229/($AQ$229+$AR$229+$AS$229)</f>
        <v>#DIV/0!</v>
      </c>
      <c r="AR230" s="103" t="e">
        <f>AR229/($AQ$229+$AR$229+$AS$229)</f>
        <v>#DIV/0!</v>
      </c>
      <c r="AS230" s="103" t="e">
        <f>AS229/($AQ$229+$AR$229+$AS$229)</f>
        <v>#DIV/0!</v>
      </c>
      <c r="AT230" s="149" t="s">
        <v>66</v>
      </c>
      <c r="AU230" s="94" t="s">
        <v>1825</v>
      </c>
    </row>
    <row r="231" spans="1:47" ht="21" customHeight="1" x14ac:dyDescent="0.35">
      <c r="A231" s="260"/>
      <c r="B231" s="98" t="s">
        <v>140</v>
      </c>
      <c r="C231" s="99" t="s">
        <v>266</v>
      </c>
      <c r="D231" s="100" t="s">
        <v>247</v>
      </c>
      <c r="E231" s="101">
        <v>44753</v>
      </c>
      <c r="F231" s="102">
        <f t="shared" si="6"/>
        <v>0</v>
      </c>
      <c r="G231" s="150">
        <f>SUMIF(积分汇总!$B:$B,C231,积分汇总!$E:$E)</f>
        <v>0</v>
      </c>
      <c r="H231" s="150">
        <f>SUMIF(记录巡查问题条数汇总!$B:$B,C231,记录巡查问题条数汇总!$E:$E)</f>
        <v>0</v>
      </c>
      <c r="I231" s="150"/>
      <c r="J231" s="150">
        <f>SUMIF(安全质量事故!$B:$B,C231,安全质量事故!$G:$G)</f>
        <v>0</v>
      </c>
      <c r="K231" s="141">
        <f>COUNTIF(L231:AP231,标准数据!$A$2)*标准数据!$B$2+COUNTIF(L231:AP231,标准数据!$A$3)*标准数据!$B$3+COUNTIF(L231:AP231,标准数据!$A$4)*标准数据!$B$4</f>
        <v>0</v>
      </c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109"/>
      <c r="Y231" s="109"/>
      <c r="Z231" s="109"/>
      <c r="AA231" s="109"/>
      <c r="AB231" s="109"/>
      <c r="AC231" s="109"/>
      <c r="AD231" s="109"/>
      <c r="AE231" s="109"/>
      <c r="AF231" s="109"/>
      <c r="AG231" s="109"/>
      <c r="AH231" s="109"/>
      <c r="AI231" s="109"/>
      <c r="AJ231" s="109"/>
      <c r="AK231" s="109"/>
      <c r="AL231" s="109"/>
      <c r="AM231" s="109"/>
      <c r="AN231" s="109"/>
      <c r="AO231" s="109"/>
      <c r="AP231" s="109"/>
      <c r="AQ231" s="94"/>
      <c r="AR231" s="94"/>
      <c r="AS231" s="94"/>
      <c r="AT231" s="149" t="s">
        <v>247</v>
      </c>
      <c r="AU231" s="94" t="s">
        <v>1825</v>
      </c>
    </row>
    <row r="232" spans="1:47" ht="21" customHeight="1" x14ac:dyDescent="0.35">
      <c r="A232" s="260"/>
      <c r="B232" s="98" t="s">
        <v>140</v>
      </c>
      <c r="C232" s="99" t="s">
        <v>208</v>
      </c>
      <c r="D232" s="105" t="s">
        <v>193</v>
      </c>
      <c r="E232" s="99">
        <v>45000</v>
      </c>
      <c r="F232" s="102">
        <f t="shared" si="6"/>
        <v>0</v>
      </c>
      <c r="G232" s="150">
        <f>SUMIF(积分汇总!$B:$B,C232,积分汇总!$E:$E)</f>
        <v>0</v>
      </c>
      <c r="H232" s="150">
        <f>SUMIF(记录巡查问题条数汇总!$B:$B,C232,记录巡查问题条数汇总!$E:$E)</f>
        <v>0</v>
      </c>
      <c r="I232" s="150"/>
      <c r="J232" s="150">
        <f>SUMIF(安全质量事故!$B:$B,C232,安全质量事故!$G:$G)</f>
        <v>0</v>
      </c>
      <c r="K232" s="141">
        <f>COUNTIF(L232:AP232,标准数据!$A$2)*标准数据!$B$2+COUNTIF(L232:AP232,标准数据!$A$3)*标准数据!$B$3+COUNTIF(L232:AP232,标准数据!$A$4)*标准数据!$B$4</f>
        <v>0</v>
      </c>
      <c r="L232" s="109"/>
      <c r="M232" s="109"/>
      <c r="N232" s="109"/>
      <c r="O232" s="109"/>
      <c r="P232" s="109"/>
      <c r="Q232" s="109"/>
      <c r="R232" s="109"/>
      <c r="S232" s="109"/>
      <c r="T232" s="109"/>
      <c r="U232" s="109"/>
      <c r="V232" s="109"/>
      <c r="W232" s="109"/>
      <c r="X232" s="109"/>
      <c r="Y232" s="109"/>
      <c r="Z232" s="109"/>
      <c r="AA232" s="109"/>
      <c r="AB232" s="109"/>
      <c r="AC232" s="109"/>
      <c r="AD232" s="109"/>
      <c r="AE232" s="109"/>
      <c r="AF232" s="109"/>
      <c r="AG232" s="109"/>
      <c r="AH232" s="109"/>
      <c r="AI232" s="109"/>
      <c r="AJ232" s="109"/>
      <c r="AK232" s="109"/>
      <c r="AL232" s="109"/>
      <c r="AM232" s="109"/>
      <c r="AN232" s="109"/>
      <c r="AO232" s="109"/>
      <c r="AP232" s="109"/>
      <c r="AQ232" s="94"/>
      <c r="AR232" s="94"/>
      <c r="AS232" s="94"/>
      <c r="AT232" s="149" t="s">
        <v>193</v>
      </c>
      <c r="AU232" s="94" t="s">
        <v>1825</v>
      </c>
    </row>
    <row r="233" spans="1:47" ht="21" customHeight="1" x14ac:dyDescent="0.35">
      <c r="A233" s="260"/>
      <c r="B233" s="98" t="s">
        <v>17</v>
      </c>
      <c r="C233" s="99" t="s">
        <v>206</v>
      </c>
      <c r="D233" s="105" t="s">
        <v>134</v>
      </c>
      <c r="E233" s="101">
        <v>45245</v>
      </c>
      <c r="F233" s="102">
        <f t="shared" si="6"/>
        <v>0</v>
      </c>
      <c r="G233" s="150">
        <f>SUMIF(积分汇总!$B:$B,C233,积分汇总!$E:$E)</f>
        <v>0</v>
      </c>
      <c r="H233" s="150">
        <f>SUMIF(记录巡查问题条数汇总!$B:$B,C233,记录巡查问题条数汇总!$E:$E)</f>
        <v>0</v>
      </c>
      <c r="I233" s="150"/>
      <c r="J233" s="150">
        <f>SUMIF(安全质量事故!$B:$B,C233,安全质量事故!$G:$G)</f>
        <v>0</v>
      </c>
      <c r="K233" s="141">
        <f>COUNTIF(L233:AP233,标准数据!$A$2)*标准数据!$B$2+COUNTIF(L233:AP233,标准数据!$A$3)*标准数据!$B$3+COUNTIF(L233:AP233,标准数据!$A$4)*标准数据!$B$4</f>
        <v>0</v>
      </c>
      <c r="L233" s="109"/>
      <c r="M233" s="109"/>
      <c r="N233" s="109"/>
      <c r="O233" s="109"/>
      <c r="P233" s="109"/>
      <c r="Q233" s="109"/>
      <c r="R233" s="109"/>
      <c r="S233" s="109"/>
      <c r="T233" s="109"/>
      <c r="U233" s="109"/>
      <c r="V233" s="109"/>
      <c r="W233" s="109"/>
      <c r="X233" s="109"/>
      <c r="Y233" s="109"/>
      <c r="Z233" s="109"/>
      <c r="AA233" s="109"/>
      <c r="AB233" s="109"/>
      <c r="AC233" s="109"/>
      <c r="AD233" s="109"/>
      <c r="AE233" s="109"/>
      <c r="AF233" s="109"/>
      <c r="AG233" s="109"/>
      <c r="AH233" s="109"/>
      <c r="AI233" s="109"/>
      <c r="AJ233" s="109"/>
      <c r="AK233" s="109"/>
      <c r="AL233" s="109"/>
      <c r="AM233" s="109"/>
      <c r="AN233" s="109"/>
      <c r="AO233" s="109"/>
      <c r="AP233" s="109"/>
      <c r="AQ233" s="94"/>
      <c r="AR233" s="94"/>
      <c r="AS233" s="94"/>
      <c r="AT233" s="149" t="s">
        <v>134</v>
      </c>
      <c r="AU233" s="94" t="s">
        <v>1825</v>
      </c>
    </row>
    <row r="234" spans="1:47" s="104" customFormat="1" ht="21" customHeight="1" x14ac:dyDescent="0.35">
      <c r="A234" s="260"/>
      <c r="B234" s="98" t="s">
        <v>17</v>
      </c>
      <c r="C234" s="99" t="s">
        <v>125</v>
      </c>
      <c r="D234" s="105" t="s">
        <v>190</v>
      </c>
      <c r="E234" s="99">
        <v>45194</v>
      </c>
      <c r="F234" s="102">
        <f t="shared" si="6"/>
        <v>0</v>
      </c>
      <c r="G234" s="150">
        <f>SUMIF(积分汇总!$B:$B,C234,积分汇总!$E:$E)</f>
        <v>0</v>
      </c>
      <c r="H234" s="150">
        <f>SUMIF(记录巡查问题条数汇总!$B:$B,C234,记录巡查问题条数汇总!$E:$E)</f>
        <v>0</v>
      </c>
      <c r="I234" s="150"/>
      <c r="J234" s="150">
        <f>SUMIF(安全质量事故!$B:$B,C234,安全质量事故!$G:$G)</f>
        <v>0</v>
      </c>
      <c r="K234" s="141">
        <f>COUNTIF(L234:AP234,标准数据!$A$2)*标准数据!$B$2+COUNTIF(L234:AP234,标准数据!$A$3)*标准数据!$B$3+COUNTIF(L234:AP234,标准数据!$A$4)*标准数据!$B$4</f>
        <v>0</v>
      </c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09"/>
      <c r="AJ234" s="109"/>
      <c r="AK234" s="109"/>
      <c r="AL234" s="109"/>
      <c r="AM234" s="109"/>
      <c r="AN234" s="109"/>
      <c r="AO234" s="109"/>
      <c r="AP234" s="109"/>
      <c r="AT234" s="149" t="s">
        <v>1826</v>
      </c>
      <c r="AU234" s="94" t="s">
        <v>1825</v>
      </c>
    </row>
    <row r="235" spans="1:47" s="104" customFormat="1" ht="21" customHeight="1" x14ac:dyDescent="0.35">
      <c r="A235" s="260"/>
      <c r="B235" s="98" t="s">
        <v>95</v>
      </c>
      <c r="C235" s="99" t="s">
        <v>133</v>
      </c>
      <c r="D235" s="105" t="s">
        <v>189</v>
      </c>
      <c r="E235" s="101">
        <v>45245</v>
      </c>
      <c r="F235" s="102">
        <f t="shared" si="6"/>
        <v>0</v>
      </c>
      <c r="G235" s="150">
        <f>SUMIF(积分汇总!$B:$B,C235,积分汇总!$E:$E)</f>
        <v>0</v>
      </c>
      <c r="H235" s="150">
        <f>SUMIF(记录巡查问题条数汇总!$B:$B,C235,记录巡查问题条数汇总!$E:$E)</f>
        <v>0</v>
      </c>
      <c r="I235" s="150"/>
      <c r="J235" s="150">
        <f>SUMIF(安全质量事故!$B:$B,C235,安全质量事故!$G:$G)</f>
        <v>0</v>
      </c>
      <c r="K235" s="141">
        <f>COUNTIF(L235:AP235,标准数据!$A$2)*标准数据!$B$2+COUNTIF(L235:AP235,标准数据!$A$3)*标准数据!$B$3+COUNTIF(L235:AP235,标准数据!$A$4)*标准数据!$B$4</f>
        <v>0</v>
      </c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  <c r="AD235" s="109"/>
      <c r="AE235" s="109"/>
      <c r="AF235" s="109"/>
      <c r="AG235" s="109"/>
      <c r="AH235" s="109"/>
      <c r="AI235" s="109"/>
      <c r="AJ235" s="109"/>
      <c r="AK235" s="109"/>
      <c r="AL235" s="109"/>
      <c r="AM235" s="109"/>
      <c r="AN235" s="109"/>
      <c r="AO235" s="109"/>
      <c r="AP235" s="109"/>
      <c r="AT235" s="149" t="s">
        <v>1827</v>
      </c>
      <c r="AU235" s="94" t="s">
        <v>1825</v>
      </c>
    </row>
    <row r="236" spans="1:47" ht="21" customHeight="1" x14ac:dyDescent="0.35">
      <c r="A236" s="260"/>
      <c r="B236" s="98" t="s">
        <v>17</v>
      </c>
      <c r="C236" s="99" t="s">
        <v>233</v>
      </c>
      <c r="D236" s="100" t="s">
        <v>234</v>
      </c>
      <c r="E236" s="101">
        <v>45469</v>
      </c>
      <c r="F236" s="102">
        <f t="shared" si="6"/>
        <v>0</v>
      </c>
      <c r="G236" s="150">
        <f>SUMIF(积分汇总!$B:$B,C236,积分汇总!$E:$E)</f>
        <v>0</v>
      </c>
      <c r="H236" s="150">
        <f>SUMIF(记录巡查问题条数汇总!$B:$B,C236,记录巡查问题条数汇总!$E:$E)</f>
        <v>0</v>
      </c>
      <c r="I236" s="150"/>
      <c r="J236" s="150">
        <f>SUMIF(安全质量事故!$B:$B,C236,安全质量事故!$G:$G)</f>
        <v>0</v>
      </c>
      <c r="K236" s="141">
        <f>COUNTIF(L236:AP236,标准数据!$A$2)*标准数据!$B$2+COUNTIF(L236:AP236,标准数据!$A$3)*标准数据!$B$3+COUNTIF(L236:AP236,标准数据!$A$4)*标准数据!$B$4</f>
        <v>0</v>
      </c>
      <c r="L236" s="109"/>
      <c r="M236" s="109"/>
      <c r="N236" s="109"/>
      <c r="O236" s="109"/>
      <c r="P236" s="109"/>
      <c r="Q236" s="109"/>
      <c r="R236" s="109"/>
      <c r="S236" s="109"/>
      <c r="T236" s="109"/>
      <c r="U236" s="109"/>
      <c r="V236" s="109"/>
      <c r="W236" s="109"/>
      <c r="X236" s="109"/>
      <c r="Y236" s="109"/>
      <c r="Z236" s="109"/>
      <c r="AA236" s="109"/>
      <c r="AB236" s="109"/>
      <c r="AC236" s="109"/>
      <c r="AD236" s="109"/>
      <c r="AE236" s="109"/>
      <c r="AF236" s="109"/>
      <c r="AG236" s="109"/>
      <c r="AH236" s="109"/>
      <c r="AI236" s="109"/>
      <c r="AJ236" s="109"/>
      <c r="AK236" s="109"/>
      <c r="AL236" s="109"/>
      <c r="AM236" s="109"/>
      <c r="AN236" s="109"/>
      <c r="AO236" s="109"/>
      <c r="AP236" s="109"/>
      <c r="AT236" s="149" t="s">
        <v>234</v>
      </c>
      <c r="AU236" s="94" t="s">
        <v>1825</v>
      </c>
    </row>
    <row r="237" spans="1:47" ht="21" customHeight="1" x14ac:dyDescent="0.35">
      <c r="A237" s="260"/>
      <c r="B237" s="98" t="s">
        <v>17</v>
      </c>
      <c r="C237" s="99" t="s">
        <v>328</v>
      </c>
      <c r="D237" s="100" t="s">
        <v>311</v>
      </c>
      <c r="E237" s="101">
        <v>45586</v>
      </c>
      <c r="F237" s="102">
        <f t="shared" si="6"/>
        <v>0</v>
      </c>
      <c r="G237" s="150">
        <f>SUMIF(积分汇总!$B:$B,C237,积分汇总!$E:$E)</f>
        <v>0</v>
      </c>
      <c r="H237" s="150">
        <f>SUMIF(记录巡查问题条数汇总!$B:$B,C237,记录巡查问题条数汇总!$E:$E)</f>
        <v>0</v>
      </c>
      <c r="I237" s="150"/>
      <c r="J237" s="150">
        <f>SUMIF(安全质量事故!$B:$B,C237,安全质量事故!$G:$G)</f>
        <v>0</v>
      </c>
      <c r="K237" s="141">
        <f>COUNTIF(L237:AP237,标准数据!$A$2)*标准数据!$B$2+COUNTIF(L237:AP237,标准数据!$A$3)*标准数据!$B$3+COUNTIF(L237:AP237,标准数据!$A$4)*标准数据!$B$4</f>
        <v>0</v>
      </c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109"/>
      <c r="Y237" s="109"/>
      <c r="Z237" s="109"/>
      <c r="AA237" s="109"/>
      <c r="AB237" s="109"/>
      <c r="AC237" s="109"/>
      <c r="AD237" s="109"/>
      <c r="AE237" s="109"/>
      <c r="AF237" s="109"/>
      <c r="AG237" s="109"/>
      <c r="AH237" s="109"/>
      <c r="AI237" s="109"/>
      <c r="AJ237" s="109"/>
      <c r="AK237" s="109"/>
      <c r="AL237" s="109"/>
      <c r="AM237" s="109"/>
      <c r="AN237" s="109"/>
      <c r="AO237" s="109"/>
      <c r="AP237" s="109"/>
      <c r="AQ237" s="94"/>
      <c r="AR237" s="94"/>
      <c r="AS237" s="94"/>
      <c r="AT237" s="149" t="s">
        <v>311</v>
      </c>
      <c r="AU237" s="94" t="s">
        <v>1825</v>
      </c>
    </row>
    <row r="238" spans="1:47" ht="21" customHeight="1" x14ac:dyDescent="0.35">
      <c r="A238" s="260"/>
      <c r="B238" s="98" t="s">
        <v>95</v>
      </c>
      <c r="C238" s="99" t="s">
        <v>348</v>
      </c>
      <c r="D238" s="100" t="s">
        <v>333</v>
      </c>
      <c r="E238" s="101">
        <v>45595</v>
      </c>
      <c r="F238" s="102">
        <f t="shared" si="6"/>
        <v>0</v>
      </c>
      <c r="G238" s="150">
        <f>SUMIF(积分汇总!$B:$B,C238,积分汇总!$E:$E)</f>
        <v>0</v>
      </c>
      <c r="H238" s="150">
        <f>SUMIF(记录巡查问题条数汇总!$B:$B,C238,记录巡查问题条数汇总!$E:$E)</f>
        <v>0</v>
      </c>
      <c r="I238" s="150"/>
      <c r="J238" s="150">
        <f>SUMIF(安全质量事故!$B:$B,C238,安全质量事故!$G:$G)</f>
        <v>0</v>
      </c>
      <c r="K238" s="141">
        <f>COUNTIF(L238:AP238,标准数据!$A$2)*标准数据!$B$2+COUNTIF(L238:AP238,标准数据!$A$3)*标准数据!$B$3+COUNTIF(L238:AP238,标准数据!$A$4)*标准数据!$B$4</f>
        <v>0</v>
      </c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9"/>
      <c r="AA238" s="109"/>
      <c r="AB238" s="109"/>
      <c r="AC238" s="109"/>
      <c r="AD238" s="109"/>
      <c r="AE238" s="109"/>
      <c r="AF238" s="109"/>
      <c r="AG238" s="109"/>
      <c r="AH238" s="109"/>
      <c r="AI238" s="109"/>
      <c r="AJ238" s="109"/>
      <c r="AK238" s="109"/>
      <c r="AL238" s="109"/>
      <c r="AM238" s="109"/>
      <c r="AN238" s="109"/>
      <c r="AO238" s="109"/>
      <c r="AP238" s="109"/>
      <c r="AT238" s="149" t="s">
        <v>333</v>
      </c>
      <c r="AU238" s="94" t="s">
        <v>1825</v>
      </c>
    </row>
    <row r="239" spans="1:47" ht="21" customHeight="1" x14ac:dyDescent="0.35">
      <c r="A239" s="260"/>
      <c r="B239" s="98" t="s">
        <v>17</v>
      </c>
      <c r="C239" s="99" t="s">
        <v>349</v>
      </c>
      <c r="D239" s="100" t="s">
        <v>334</v>
      </c>
      <c r="E239" s="101">
        <v>45600</v>
      </c>
      <c r="F239" s="102">
        <f t="shared" si="6"/>
        <v>0</v>
      </c>
      <c r="G239" s="150">
        <f>SUMIF(积分汇总!$B:$B,C239,积分汇总!$E:$E)</f>
        <v>0</v>
      </c>
      <c r="H239" s="150">
        <f>SUMIF(记录巡查问题条数汇总!$B:$B,C239,记录巡查问题条数汇总!$E:$E)</f>
        <v>0</v>
      </c>
      <c r="I239" s="150"/>
      <c r="J239" s="150">
        <f>SUMIF(安全质量事故!$B:$B,C239,安全质量事故!$G:$G)</f>
        <v>0</v>
      </c>
      <c r="K239" s="141">
        <f>COUNTIF(L239:AP239,标准数据!$A$2)*标准数据!$B$2+COUNTIF(L239:AP239,标准数据!$A$3)*标准数据!$B$3+COUNTIF(L239:AP239,标准数据!$A$4)*标准数据!$B$4</f>
        <v>0</v>
      </c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109"/>
      <c r="Y239" s="109"/>
      <c r="Z239" s="109"/>
      <c r="AA239" s="109"/>
      <c r="AB239" s="109"/>
      <c r="AC239" s="109"/>
      <c r="AD239" s="109"/>
      <c r="AE239" s="109"/>
      <c r="AF239" s="109"/>
      <c r="AG239" s="109"/>
      <c r="AH239" s="109"/>
      <c r="AI239" s="109"/>
      <c r="AJ239" s="109"/>
      <c r="AK239" s="109"/>
      <c r="AL239" s="109"/>
      <c r="AM239" s="109"/>
      <c r="AN239" s="109"/>
      <c r="AO239" s="109"/>
      <c r="AP239" s="109"/>
      <c r="AT239" s="149" t="s">
        <v>334</v>
      </c>
      <c r="AU239" s="94" t="s">
        <v>1825</v>
      </c>
    </row>
    <row r="240" spans="1:47" ht="21" customHeight="1" x14ac:dyDescent="0.35">
      <c r="A240" s="260"/>
      <c r="B240" s="98" t="s">
        <v>17</v>
      </c>
      <c r="C240" s="99" t="s">
        <v>350</v>
      </c>
      <c r="D240" s="100" t="s">
        <v>335</v>
      </c>
      <c r="E240" s="101">
        <v>45609</v>
      </c>
      <c r="F240" s="102">
        <f t="shared" si="6"/>
        <v>0</v>
      </c>
      <c r="G240" s="150">
        <f>SUMIF(积分汇总!$B:$B,C240,积分汇总!$E:$E)</f>
        <v>0</v>
      </c>
      <c r="H240" s="150">
        <f>SUMIF(记录巡查问题条数汇总!$B:$B,C240,记录巡查问题条数汇总!$E:$E)</f>
        <v>0</v>
      </c>
      <c r="I240" s="150"/>
      <c r="J240" s="150">
        <f>SUMIF(安全质量事故!$B:$B,C240,安全质量事故!$G:$G)</f>
        <v>0</v>
      </c>
      <c r="K240" s="141">
        <f>COUNTIF(L240:AP240,标准数据!$A$2)*标准数据!$B$2+COUNTIF(L240:AP240,标准数据!$A$3)*标准数据!$B$3+COUNTIF(L240:AP240,标准数据!$A$4)*标准数据!$B$4</f>
        <v>0</v>
      </c>
      <c r="L240" s="111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  <c r="AA240" s="108"/>
      <c r="AB240" s="108"/>
      <c r="AC240" s="108"/>
      <c r="AD240" s="108"/>
      <c r="AE240" s="108"/>
      <c r="AF240" s="108"/>
      <c r="AG240" s="108"/>
      <c r="AH240" s="108"/>
      <c r="AI240" s="108"/>
      <c r="AJ240" s="108"/>
      <c r="AK240" s="108"/>
      <c r="AL240" s="108"/>
      <c r="AM240" s="108"/>
      <c r="AN240" s="108"/>
      <c r="AO240" s="108"/>
      <c r="AP240" s="108"/>
      <c r="AT240" s="149" t="s">
        <v>335</v>
      </c>
      <c r="AU240" s="94" t="s">
        <v>1825</v>
      </c>
    </row>
    <row r="241" spans="1:47" ht="21" customHeight="1" x14ac:dyDescent="0.35">
      <c r="A241" s="260"/>
      <c r="B241" s="98" t="s">
        <v>17</v>
      </c>
      <c r="C241" s="99" t="s">
        <v>381</v>
      </c>
      <c r="D241" s="100" t="s">
        <v>365</v>
      </c>
      <c r="E241" s="101">
        <v>45635</v>
      </c>
      <c r="F241" s="102">
        <f t="shared" si="6"/>
        <v>0</v>
      </c>
      <c r="G241" s="150">
        <f>SUMIF(积分汇总!$B:$B,C241,积分汇总!$E:$E)</f>
        <v>0</v>
      </c>
      <c r="H241" s="150">
        <f>SUMIF(记录巡查问题条数汇总!$B:$B,C241,记录巡查问题条数汇总!$E:$E)</f>
        <v>0</v>
      </c>
      <c r="I241" s="150"/>
      <c r="J241" s="150">
        <f>SUMIF(安全质量事故!$B:$B,C241,安全质量事故!$G:$G)</f>
        <v>0</v>
      </c>
      <c r="K241" s="141">
        <f>COUNTIF(L241:AP241,标准数据!$A$2)*标准数据!$B$2+COUNTIF(L241:AP241,标准数据!$A$3)*标准数据!$B$3+COUNTIF(L241:AP241,标准数据!$A$4)*标准数据!$B$4</f>
        <v>0</v>
      </c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109"/>
      <c r="Y241" s="109"/>
      <c r="Z241" s="109"/>
      <c r="AA241" s="109"/>
      <c r="AB241" s="109"/>
      <c r="AC241" s="109"/>
      <c r="AD241" s="109"/>
      <c r="AE241" s="109"/>
      <c r="AF241" s="109"/>
      <c r="AG241" s="109"/>
      <c r="AH241" s="109"/>
      <c r="AI241" s="109"/>
      <c r="AJ241" s="109"/>
      <c r="AK241" s="109"/>
      <c r="AL241" s="109"/>
      <c r="AM241" s="109"/>
      <c r="AN241" s="109"/>
      <c r="AO241" s="109"/>
      <c r="AP241" s="109"/>
      <c r="AT241" s="149" t="s">
        <v>365</v>
      </c>
      <c r="AU241" s="94" t="s">
        <v>1825</v>
      </c>
    </row>
    <row r="242" spans="1:47" ht="21" customHeight="1" x14ac:dyDescent="0.35">
      <c r="A242" s="260"/>
      <c r="B242" s="98" t="s">
        <v>95</v>
      </c>
      <c r="C242" s="99" t="s">
        <v>442</v>
      </c>
      <c r="D242" s="105" t="s">
        <v>438</v>
      </c>
      <c r="E242" s="99">
        <v>44396</v>
      </c>
      <c r="F242" s="102">
        <f t="shared" si="6"/>
        <v>0</v>
      </c>
      <c r="G242" s="150">
        <f>SUMIF(积分汇总!$B:$B,C242,积分汇总!$E:$E)</f>
        <v>0</v>
      </c>
      <c r="H242" s="150">
        <f>SUMIF(记录巡查问题条数汇总!$B:$B,C242,记录巡查问题条数汇总!$E:$E)</f>
        <v>0</v>
      </c>
      <c r="I242" s="150"/>
      <c r="J242" s="150">
        <f>SUMIF(安全质量事故!$B:$B,C242,安全质量事故!$G:$G)</f>
        <v>0</v>
      </c>
      <c r="K242" s="141">
        <f>COUNTIF(L242:AP242,标准数据!$A$2)*标准数据!$B$2+COUNTIF(L242:AP242,标准数据!$A$3)*标准数据!$B$3+COUNTIF(L242:AP242,标准数据!$A$4)*标准数据!$B$4</f>
        <v>0</v>
      </c>
      <c r="L242" s="109"/>
      <c r="M242" s="109"/>
      <c r="N242" s="109"/>
      <c r="O242" s="109"/>
      <c r="P242" s="109"/>
      <c r="Q242" s="109"/>
      <c r="R242" s="109"/>
      <c r="S242" s="109"/>
      <c r="T242" s="109"/>
      <c r="U242" s="109"/>
      <c r="V242" s="109"/>
      <c r="W242" s="109"/>
      <c r="X242" s="109"/>
      <c r="Y242" s="109"/>
      <c r="Z242" s="109"/>
      <c r="AA242" s="109"/>
      <c r="AB242" s="109"/>
      <c r="AC242" s="109"/>
      <c r="AD242" s="109"/>
      <c r="AE242" s="109"/>
      <c r="AF242" s="109"/>
      <c r="AG242" s="109"/>
      <c r="AH242" s="109"/>
      <c r="AI242" s="109"/>
      <c r="AJ242" s="109"/>
      <c r="AK242" s="109"/>
      <c r="AL242" s="109"/>
      <c r="AM242" s="109"/>
      <c r="AN242" s="109"/>
      <c r="AO242" s="109"/>
      <c r="AP242" s="109"/>
      <c r="AQ242" s="94"/>
      <c r="AR242" s="94"/>
      <c r="AS242" s="94"/>
      <c r="AT242" s="149" t="s">
        <v>438</v>
      </c>
      <c r="AU242" s="94" t="s">
        <v>1825</v>
      </c>
    </row>
    <row r="243" spans="1:47" ht="21" customHeight="1" x14ac:dyDescent="0.35">
      <c r="A243" s="260"/>
      <c r="B243" s="98" t="s">
        <v>17</v>
      </c>
      <c r="C243" s="99" t="s">
        <v>595</v>
      </c>
      <c r="D243" s="100" t="s">
        <v>561</v>
      </c>
      <c r="E243" s="101">
        <v>45875</v>
      </c>
      <c r="F243" s="102">
        <f t="shared" si="6"/>
        <v>0</v>
      </c>
      <c r="G243" s="150">
        <f>SUMIF(积分汇总!$B:$B,C243,积分汇总!$E:$E)</f>
        <v>0</v>
      </c>
      <c r="H243" s="150">
        <f>SUMIF(记录巡查问题条数汇总!$B:$B,C243,记录巡查问题条数汇总!$E:$E)</f>
        <v>0</v>
      </c>
      <c r="I243" s="150"/>
      <c r="J243" s="150">
        <f>SUMIF(安全质量事故!$B:$B,C243,安全质量事故!$G:$G)</f>
        <v>0</v>
      </c>
      <c r="K243" s="141">
        <f>COUNTIF(L243:AP243,标准数据!$A$2)*标准数据!$B$2+COUNTIF(L243:AP243,标准数据!$A$3)*标准数据!$B$3+COUNTIF(L243:AP243,标准数据!$A$4)*标准数据!$B$4</f>
        <v>0</v>
      </c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109"/>
      <c r="Y243" s="109"/>
      <c r="Z243" s="109"/>
      <c r="AA243" s="109"/>
      <c r="AB243" s="109"/>
      <c r="AC243" s="109"/>
      <c r="AD243" s="109"/>
      <c r="AE243" s="109"/>
      <c r="AF243" s="109"/>
      <c r="AG243" s="109"/>
      <c r="AH243" s="109"/>
      <c r="AI243" s="109"/>
      <c r="AJ243" s="109"/>
      <c r="AK243" s="109"/>
      <c r="AL243" s="109"/>
      <c r="AM243" s="109"/>
      <c r="AN243" s="109"/>
      <c r="AO243" s="109"/>
      <c r="AP243" s="109"/>
      <c r="AT243" s="149" t="s">
        <v>561</v>
      </c>
      <c r="AU243" s="94" t="s">
        <v>1825</v>
      </c>
    </row>
    <row r="244" spans="1:47" ht="21" customHeight="1" x14ac:dyDescent="0.35">
      <c r="A244" s="260"/>
      <c r="B244" s="98" t="s">
        <v>17</v>
      </c>
      <c r="C244" s="99" t="s">
        <v>1037</v>
      </c>
      <c r="D244" s="100" t="s">
        <v>1036</v>
      </c>
      <c r="E244" s="101">
        <v>45917</v>
      </c>
      <c r="F244" s="102">
        <f t="shared" si="6"/>
        <v>0</v>
      </c>
      <c r="G244" s="150">
        <f>SUMIF(积分汇总!$B:$B,C244,积分汇总!$E:$E)</f>
        <v>0</v>
      </c>
      <c r="H244" s="150">
        <f>SUMIF(记录巡查问题条数汇总!$B:$B,C244,记录巡查问题条数汇总!$E:$E)</f>
        <v>0</v>
      </c>
      <c r="I244" s="150"/>
      <c r="J244" s="150">
        <f>SUMIF(安全质量事故!$B:$B,C244,安全质量事故!$G:$G)</f>
        <v>0</v>
      </c>
      <c r="K244" s="141">
        <f>COUNTIF(L244:AP244,标准数据!$A$2)*标准数据!$B$2+COUNTIF(L244:AP244,标准数据!$A$3)*标准数据!$B$3+COUNTIF(L244:AP244,标准数据!$A$4)*标准数据!$B$4</f>
        <v>0</v>
      </c>
      <c r="L244" s="109"/>
      <c r="M244" s="109"/>
      <c r="N244" s="109"/>
      <c r="O244" s="109"/>
      <c r="P244" s="109"/>
      <c r="Q244" s="109"/>
      <c r="R244" s="109"/>
      <c r="S244" s="109"/>
      <c r="T244" s="109"/>
      <c r="U244" s="109"/>
      <c r="V244" s="109"/>
      <c r="W244" s="109"/>
      <c r="X244" s="109"/>
      <c r="Y244" s="109"/>
      <c r="Z244" s="109"/>
      <c r="AA244" s="109"/>
      <c r="AB244" s="109"/>
      <c r="AC244" s="109"/>
      <c r="AD244" s="109"/>
      <c r="AE244" s="109"/>
      <c r="AF244" s="109"/>
      <c r="AG244" s="109"/>
      <c r="AH244" s="109"/>
      <c r="AI244" s="109"/>
      <c r="AJ244" s="109"/>
      <c r="AK244" s="109"/>
      <c r="AL244" s="109"/>
      <c r="AM244" s="109"/>
      <c r="AN244" s="109"/>
      <c r="AO244" s="109"/>
      <c r="AP244" s="109"/>
      <c r="AT244" s="149" t="s">
        <v>1828</v>
      </c>
      <c r="AU244" s="94" t="s">
        <v>1825</v>
      </c>
    </row>
    <row r="245" spans="1:47" ht="21" customHeight="1" x14ac:dyDescent="0.35">
      <c r="A245" s="260"/>
      <c r="B245" s="98" t="s">
        <v>17</v>
      </c>
      <c r="C245" s="99" t="s">
        <v>697</v>
      </c>
      <c r="D245" s="100" t="s">
        <v>635</v>
      </c>
      <c r="E245" s="101">
        <v>45908</v>
      </c>
      <c r="F245" s="102">
        <f t="shared" si="6"/>
        <v>0</v>
      </c>
      <c r="G245" s="150">
        <f>SUMIF(积分汇总!$B:$B,C245,积分汇总!$E:$E)</f>
        <v>0</v>
      </c>
      <c r="H245" s="150">
        <f>SUMIF(记录巡查问题条数汇总!$B:$B,C245,记录巡查问题条数汇总!$E:$E)</f>
        <v>0</v>
      </c>
      <c r="I245" s="150"/>
      <c r="J245" s="150">
        <f>SUMIF(安全质量事故!$B:$B,C245,安全质量事故!$G:$G)</f>
        <v>0</v>
      </c>
      <c r="K245" s="141">
        <f>COUNTIF(L245:AP245,标准数据!$A$2)*标准数据!$B$2+COUNTIF(L245:AP245,标准数据!$A$3)*标准数据!$B$3+COUNTIF(L245:AP245,标准数据!$A$4)*标准数据!$B$4</f>
        <v>0</v>
      </c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109"/>
      <c r="Y245" s="109"/>
      <c r="Z245" s="109"/>
      <c r="AA245" s="109"/>
      <c r="AB245" s="109"/>
      <c r="AC245" s="109"/>
      <c r="AD245" s="109"/>
      <c r="AE245" s="109"/>
      <c r="AF245" s="109"/>
      <c r="AG245" s="109"/>
      <c r="AH245" s="109"/>
      <c r="AI245" s="109"/>
      <c r="AJ245" s="109"/>
      <c r="AK245" s="109"/>
      <c r="AL245" s="109"/>
      <c r="AM245" s="109"/>
      <c r="AN245" s="109"/>
      <c r="AO245" s="109"/>
      <c r="AP245" s="109"/>
      <c r="AT245" s="149" t="s">
        <v>635</v>
      </c>
      <c r="AU245" s="94" t="s">
        <v>1825</v>
      </c>
    </row>
    <row r="246" spans="1:47" ht="21" customHeight="1" x14ac:dyDescent="0.35">
      <c r="A246" s="260"/>
      <c r="B246" s="98" t="s">
        <v>17</v>
      </c>
      <c r="C246" s="99" t="s">
        <v>786</v>
      </c>
      <c r="D246" s="100" t="s">
        <v>748</v>
      </c>
      <c r="E246" s="101">
        <v>45973</v>
      </c>
      <c r="F246" s="102">
        <f t="shared" si="6"/>
        <v>0</v>
      </c>
      <c r="G246" s="150">
        <f>SUMIF(积分汇总!$B:$B,C246,积分汇总!$E:$E)</f>
        <v>0</v>
      </c>
      <c r="H246" s="150">
        <f>SUMIF(记录巡查问题条数汇总!$B:$B,C246,记录巡查问题条数汇总!$E:$E)</f>
        <v>0</v>
      </c>
      <c r="I246" s="150"/>
      <c r="J246" s="150">
        <f>SUMIF(安全质量事故!$B:$B,C246,安全质量事故!$G:$G)</f>
        <v>0</v>
      </c>
      <c r="K246" s="141">
        <f>COUNTIF(L246:AP246,标准数据!$A$2)*标准数据!$B$2+COUNTIF(L246:AP246,标准数据!$A$3)*标准数据!$B$3+COUNTIF(L246:AP246,标准数据!$A$4)*标准数据!$B$4</f>
        <v>0</v>
      </c>
      <c r="L246" s="109"/>
      <c r="M246" s="109"/>
      <c r="N246" s="109"/>
      <c r="O246" s="109"/>
      <c r="P246" s="109"/>
      <c r="Q246" s="109"/>
      <c r="R246" s="109"/>
      <c r="S246" s="109"/>
      <c r="T246" s="109"/>
      <c r="U246" s="109"/>
      <c r="V246" s="109"/>
      <c r="W246" s="109"/>
      <c r="X246" s="109"/>
      <c r="Y246" s="109"/>
      <c r="Z246" s="109"/>
      <c r="AA246" s="109"/>
      <c r="AB246" s="109"/>
      <c r="AC246" s="109"/>
      <c r="AD246" s="109"/>
      <c r="AE246" s="109"/>
      <c r="AF246" s="109"/>
      <c r="AG246" s="109"/>
      <c r="AH246" s="109"/>
      <c r="AI246" s="109"/>
      <c r="AJ246" s="109"/>
      <c r="AK246" s="109"/>
      <c r="AL246" s="109"/>
      <c r="AM246" s="109"/>
      <c r="AN246" s="109"/>
      <c r="AO246" s="109"/>
      <c r="AP246" s="109"/>
      <c r="AT246" s="149" t="s">
        <v>748</v>
      </c>
      <c r="AU246" s="94" t="s">
        <v>1825</v>
      </c>
    </row>
    <row r="247" spans="1:47" ht="21" customHeight="1" x14ac:dyDescent="0.35">
      <c r="A247" s="260"/>
      <c r="B247" s="98" t="s">
        <v>17</v>
      </c>
      <c r="C247" s="99" t="s">
        <v>787</v>
      </c>
      <c r="D247" s="100" t="s">
        <v>751</v>
      </c>
      <c r="E247" s="101">
        <v>45973</v>
      </c>
      <c r="F247" s="102">
        <f t="shared" si="6"/>
        <v>0</v>
      </c>
      <c r="G247" s="150">
        <f>SUMIF(积分汇总!$B:$B,C247,积分汇总!$E:$E)</f>
        <v>0</v>
      </c>
      <c r="H247" s="150">
        <f>SUMIF(记录巡查问题条数汇总!$B:$B,C247,记录巡查问题条数汇总!$E:$E)</f>
        <v>0</v>
      </c>
      <c r="I247" s="150"/>
      <c r="J247" s="150">
        <f>SUMIF(安全质量事故!$B:$B,C247,安全质量事故!$G:$G)</f>
        <v>0</v>
      </c>
      <c r="K247" s="141">
        <f>COUNTIF(L247:AP247,标准数据!$A$2)*标准数据!$B$2+COUNTIF(L247:AP247,标准数据!$A$3)*标准数据!$B$3+COUNTIF(L247:AP247,标准数据!$A$4)*标准数据!$B$4</f>
        <v>0</v>
      </c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109"/>
      <c r="Y247" s="109"/>
      <c r="Z247" s="109"/>
      <c r="AA247" s="109"/>
      <c r="AB247" s="109"/>
      <c r="AC247" s="109"/>
      <c r="AD247" s="109"/>
      <c r="AE247" s="109"/>
      <c r="AF247" s="109"/>
      <c r="AG247" s="109"/>
      <c r="AH247" s="109"/>
      <c r="AI247" s="109"/>
      <c r="AJ247" s="109"/>
      <c r="AK247" s="109"/>
      <c r="AL247" s="109"/>
      <c r="AM247" s="109"/>
      <c r="AN247" s="109"/>
      <c r="AO247" s="109"/>
      <c r="AP247" s="109"/>
      <c r="AT247" s="149" t="s">
        <v>751</v>
      </c>
      <c r="AU247" s="94" t="s">
        <v>1825</v>
      </c>
    </row>
    <row r="248" spans="1:47" ht="21" customHeight="1" x14ac:dyDescent="0.35">
      <c r="A248" s="260"/>
      <c r="B248" s="98" t="s">
        <v>17</v>
      </c>
      <c r="C248" s="99" t="s">
        <v>901</v>
      </c>
      <c r="D248" s="100" t="s">
        <v>850</v>
      </c>
      <c r="E248" s="101">
        <v>45770</v>
      </c>
      <c r="F248" s="102">
        <f t="shared" si="6"/>
        <v>0</v>
      </c>
      <c r="G248" s="150">
        <f>SUMIF(积分汇总!$B:$B,C248,积分汇总!$E:$E)</f>
        <v>0</v>
      </c>
      <c r="H248" s="150">
        <f>SUMIF(记录巡查问题条数汇总!$B:$B,C248,记录巡查问题条数汇总!$E:$E)</f>
        <v>0</v>
      </c>
      <c r="I248" s="150"/>
      <c r="J248" s="150">
        <f>SUMIF(安全质量事故!$B:$B,C248,安全质量事故!$G:$G)</f>
        <v>0</v>
      </c>
      <c r="K248" s="141">
        <f>COUNTIF(L248:AP248,标准数据!$A$2)*标准数据!$B$2+COUNTIF(L248:AP248,标准数据!$A$3)*标准数据!$B$3+COUNTIF(L248:AP248,标准数据!$A$4)*标准数据!$B$4</f>
        <v>0</v>
      </c>
      <c r="L248" s="109"/>
      <c r="M248" s="109"/>
      <c r="N248" s="109"/>
      <c r="O248" s="109"/>
      <c r="P248" s="109"/>
      <c r="Q248" s="109"/>
      <c r="R248" s="109"/>
      <c r="S248" s="109"/>
      <c r="T248" s="109"/>
      <c r="U248" s="109"/>
      <c r="V248" s="109"/>
      <c r="W248" s="109"/>
      <c r="X248" s="109"/>
      <c r="Y248" s="109"/>
      <c r="Z248" s="109"/>
      <c r="AA248" s="109"/>
      <c r="AB248" s="109"/>
      <c r="AC248" s="109"/>
      <c r="AD248" s="109"/>
      <c r="AE248" s="109"/>
      <c r="AF248" s="109"/>
      <c r="AG248" s="109"/>
      <c r="AH248" s="109"/>
      <c r="AI248" s="109"/>
      <c r="AJ248" s="109"/>
      <c r="AK248" s="109"/>
      <c r="AL248" s="109"/>
      <c r="AM248" s="109"/>
      <c r="AN248" s="109"/>
      <c r="AO248" s="109"/>
      <c r="AP248" s="109"/>
      <c r="AT248" s="149" t="s">
        <v>850</v>
      </c>
      <c r="AU248" s="94" t="s">
        <v>1825</v>
      </c>
    </row>
    <row r="249" spans="1:47" ht="21" customHeight="1" x14ac:dyDescent="0.35">
      <c r="A249" s="260"/>
      <c r="B249" s="98" t="s">
        <v>17</v>
      </c>
      <c r="C249" s="99" t="s">
        <v>998</v>
      </c>
      <c r="D249" s="100" t="s">
        <v>970</v>
      </c>
      <c r="E249" s="101">
        <v>46029</v>
      </c>
      <c r="F249" s="102">
        <f t="shared" si="6"/>
        <v>0</v>
      </c>
      <c r="G249" s="150">
        <f>SUMIF(积分汇总!$B:$B,C249,积分汇总!$E:$E)</f>
        <v>0</v>
      </c>
      <c r="H249" s="150">
        <f>SUMIF(记录巡查问题条数汇总!$B:$B,C249,记录巡查问题条数汇总!$E:$E)</f>
        <v>0</v>
      </c>
      <c r="I249" s="150"/>
      <c r="J249" s="150">
        <f>SUMIF(安全质量事故!$B:$B,C249,安全质量事故!$G:$G)</f>
        <v>0</v>
      </c>
      <c r="K249" s="141">
        <f>COUNTIF(L249:AP249,标准数据!$A$2)*标准数据!$B$2+COUNTIF(L249:AP249,标准数据!$A$3)*标准数据!$B$3+COUNTIF(L249:AP249,标准数据!$A$4)*标准数据!$B$4</f>
        <v>0</v>
      </c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109"/>
      <c r="Y249" s="109"/>
      <c r="Z249" s="109"/>
      <c r="AA249" s="109"/>
      <c r="AB249" s="109"/>
      <c r="AC249" s="109"/>
      <c r="AD249" s="109"/>
      <c r="AE249" s="109"/>
      <c r="AF249" s="109"/>
      <c r="AG249" s="109"/>
      <c r="AH249" s="109"/>
      <c r="AI249" s="109"/>
      <c r="AJ249" s="109"/>
      <c r="AK249" s="109"/>
      <c r="AL249" s="109"/>
      <c r="AM249" s="109"/>
      <c r="AN249" s="109"/>
      <c r="AO249" s="109"/>
      <c r="AP249" s="109"/>
      <c r="AT249" s="149" t="s">
        <v>970</v>
      </c>
      <c r="AU249" s="94" t="s">
        <v>1825</v>
      </c>
    </row>
    <row r="250" spans="1:47" ht="21" customHeight="1" x14ac:dyDescent="0.35">
      <c r="A250" s="260"/>
      <c r="B250" s="98" t="s">
        <v>17</v>
      </c>
      <c r="C250" s="99" t="s">
        <v>1084</v>
      </c>
      <c r="D250" s="100" t="s">
        <v>1046</v>
      </c>
      <c r="E250" s="101">
        <v>46057</v>
      </c>
      <c r="F250" s="102">
        <f t="shared" si="6"/>
        <v>0</v>
      </c>
      <c r="G250" s="150">
        <f>SUMIF(积分汇总!$B:$B,C250,积分汇总!$E:$E)</f>
        <v>0</v>
      </c>
      <c r="H250" s="150">
        <f>SUMIF(记录巡查问题条数汇总!$B:$B,C250,记录巡查问题条数汇总!$E:$E)</f>
        <v>0</v>
      </c>
      <c r="I250" s="150"/>
      <c r="J250" s="150">
        <f>SUMIF(安全质量事故!$B:$B,C250,安全质量事故!$G:$G)</f>
        <v>0</v>
      </c>
      <c r="K250" s="141">
        <f>COUNTIF(L250:AP250,标准数据!$A$2)*标准数据!$B$2+COUNTIF(L250:AP250,标准数据!$A$3)*标准数据!$B$3+COUNTIF(L250:AP250,标准数据!$A$4)*标准数据!$B$4</f>
        <v>0</v>
      </c>
      <c r="L250" s="109"/>
      <c r="M250" s="109"/>
      <c r="N250" s="109"/>
      <c r="O250" s="109"/>
      <c r="P250" s="109"/>
      <c r="Q250" s="109"/>
      <c r="R250" s="109"/>
      <c r="S250" s="109"/>
      <c r="T250" s="109"/>
      <c r="U250" s="109"/>
      <c r="V250" s="109"/>
      <c r="W250" s="109"/>
      <c r="X250" s="109"/>
      <c r="Y250" s="109"/>
      <c r="Z250" s="109"/>
      <c r="AA250" s="109"/>
      <c r="AB250" s="109"/>
      <c r="AC250" s="109"/>
      <c r="AD250" s="109"/>
      <c r="AE250" s="109"/>
      <c r="AF250" s="109"/>
      <c r="AG250" s="109"/>
      <c r="AH250" s="109"/>
      <c r="AI250" s="109"/>
      <c r="AJ250" s="109"/>
      <c r="AK250" s="109"/>
      <c r="AL250" s="109"/>
      <c r="AM250" s="109"/>
      <c r="AN250" s="109"/>
      <c r="AO250" s="109"/>
      <c r="AP250" s="109"/>
      <c r="AT250" s="149" t="s">
        <v>1046</v>
      </c>
      <c r="AU250" s="94" t="s">
        <v>1825</v>
      </c>
    </row>
    <row r="251" spans="1:47" ht="21" customHeight="1" x14ac:dyDescent="0.35">
      <c r="A251" s="260"/>
      <c r="B251" s="98" t="s">
        <v>17</v>
      </c>
      <c r="C251" s="99" t="s">
        <v>1243</v>
      </c>
      <c r="D251" s="100" t="s">
        <v>1244</v>
      </c>
      <c r="E251" s="101">
        <v>46113</v>
      </c>
      <c r="F251" s="102">
        <f t="shared" si="6"/>
        <v>0</v>
      </c>
      <c r="G251" s="150">
        <f>SUMIF(积分汇总!$B:$B,C251,积分汇总!$E:$E)</f>
        <v>0</v>
      </c>
      <c r="H251" s="150">
        <f>SUMIF(记录巡查问题条数汇总!$B:$B,C251,记录巡查问题条数汇总!$E:$E)</f>
        <v>0</v>
      </c>
      <c r="I251" s="150"/>
      <c r="J251" s="150">
        <f>SUMIF(安全质量事故!$B:$B,C251,安全质量事故!$G:$G)</f>
        <v>0</v>
      </c>
      <c r="K251" s="141">
        <f>COUNTIF(L251:AP251,标准数据!$A$2)*标准数据!$B$2+COUNTIF(L251:AP251,标准数据!$A$3)*标准数据!$B$3+COUNTIF(L251:AP251,标准数据!$A$4)*标准数据!$B$4</f>
        <v>0</v>
      </c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109"/>
      <c r="Y251" s="109"/>
      <c r="Z251" s="109"/>
      <c r="AA251" s="109"/>
      <c r="AB251" s="109"/>
      <c r="AC251" s="109"/>
      <c r="AD251" s="109"/>
      <c r="AE251" s="109"/>
      <c r="AF251" s="109"/>
      <c r="AG251" s="109"/>
      <c r="AH251" s="109"/>
      <c r="AI251" s="109"/>
      <c r="AJ251" s="109"/>
      <c r="AK251" s="109"/>
      <c r="AL251" s="109"/>
      <c r="AM251" s="109"/>
      <c r="AN251" s="109"/>
      <c r="AO251" s="109"/>
      <c r="AP251" s="109"/>
      <c r="AT251" s="149" t="s">
        <v>1244</v>
      </c>
      <c r="AU251" s="94" t="s">
        <v>1825</v>
      </c>
    </row>
    <row r="252" spans="1:47" ht="21" customHeight="1" x14ac:dyDescent="0.35">
      <c r="A252" s="260"/>
      <c r="B252" s="98" t="s">
        <v>17</v>
      </c>
      <c r="C252" s="99" t="s">
        <v>1245</v>
      </c>
      <c r="D252" s="100" t="s">
        <v>1246</v>
      </c>
      <c r="E252" s="101">
        <v>46113</v>
      </c>
      <c r="F252" s="102">
        <f t="shared" si="6"/>
        <v>0</v>
      </c>
      <c r="G252" s="150">
        <f>SUMIF(积分汇总!$B:$B,C252,积分汇总!$E:$E)</f>
        <v>0</v>
      </c>
      <c r="H252" s="150">
        <f>SUMIF(记录巡查问题条数汇总!$B:$B,C252,记录巡查问题条数汇总!$E:$E)</f>
        <v>0</v>
      </c>
      <c r="I252" s="150"/>
      <c r="J252" s="150">
        <f>SUMIF(安全质量事故!$B:$B,C252,安全质量事故!$G:$G)</f>
        <v>0</v>
      </c>
      <c r="K252" s="141">
        <f>COUNTIF(L252:AP252,标准数据!$A$2)*标准数据!$B$2+COUNTIF(L252:AP252,标准数据!$A$3)*标准数据!$B$3+COUNTIF(L252:AP252,标准数据!$A$4)*标准数据!$B$4</f>
        <v>0</v>
      </c>
      <c r="L252" s="109"/>
      <c r="M252" s="109"/>
      <c r="N252" s="109"/>
      <c r="O252" s="109"/>
      <c r="P252" s="109"/>
      <c r="Q252" s="109"/>
      <c r="R252" s="109"/>
      <c r="S252" s="109"/>
      <c r="T252" s="109"/>
      <c r="U252" s="109"/>
      <c r="V252" s="109"/>
      <c r="W252" s="109"/>
      <c r="X252" s="109"/>
      <c r="Y252" s="109"/>
      <c r="Z252" s="109"/>
      <c r="AA252" s="109"/>
      <c r="AB252" s="109"/>
      <c r="AC252" s="109"/>
      <c r="AD252" s="109"/>
      <c r="AE252" s="109"/>
      <c r="AF252" s="109"/>
      <c r="AG252" s="109"/>
      <c r="AH252" s="109"/>
      <c r="AI252" s="109"/>
      <c r="AJ252" s="109"/>
      <c r="AK252" s="109"/>
      <c r="AL252" s="109"/>
      <c r="AM252" s="109"/>
      <c r="AN252" s="109"/>
      <c r="AO252" s="109"/>
      <c r="AP252" s="109"/>
      <c r="AT252" s="149" t="s">
        <v>1246</v>
      </c>
      <c r="AU252" s="94" t="s">
        <v>1825</v>
      </c>
    </row>
    <row r="253" spans="1:47" ht="21" customHeight="1" x14ac:dyDescent="0.35">
      <c r="A253" s="260"/>
      <c r="B253" s="98" t="s">
        <v>95</v>
      </c>
      <c r="C253" s="99" t="s">
        <v>1247</v>
      </c>
      <c r="D253" s="105" t="s">
        <v>1248</v>
      </c>
      <c r="E253" s="99">
        <v>46113</v>
      </c>
      <c r="F253" s="102">
        <f t="shared" ref="F253:F338" si="9">(K253+G253+H253+I253-J253)</f>
        <v>0</v>
      </c>
      <c r="G253" s="150">
        <f>SUMIF(积分汇总!$B:$B,C253,积分汇总!$E:$E)</f>
        <v>0</v>
      </c>
      <c r="H253" s="150">
        <f>SUMIF(记录巡查问题条数汇总!$B:$B,C253,记录巡查问题条数汇总!$E:$E)</f>
        <v>0</v>
      </c>
      <c r="I253" s="150"/>
      <c r="J253" s="150">
        <f>SUMIF(安全质量事故!$B:$B,C253,安全质量事故!$G:$G)</f>
        <v>0</v>
      </c>
      <c r="K253" s="141">
        <f>COUNTIF(L253:AP253,标准数据!$A$2)*标准数据!$B$2+COUNTIF(L253:AP253,标准数据!$A$3)*标准数据!$B$3+COUNTIF(L253:AP253,标准数据!$A$4)*标准数据!$B$4</f>
        <v>0</v>
      </c>
      <c r="L253" s="109"/>
      <c r="M253" s="109"/>
      <c r="N253" s="109"/>
      <c r="O253" s="109"/>
      <c r="P253" s="109"/>
      <c r="Q253" s="109"/>
      <c r="R253" s="109"/>
      <c r="S253" s="109"/>
      <c r="T253" s="109"/>
      <c r="U253" s="109"/>
      <c r="V253" s="109"/>
      <c r="W253" s="109"/>
      <c r="X253" s="109"/>
      <c r="Y253" s="109"/>
      <c r="Z253" s="109"/>
      <c r="AA253" s="109"/>
      <c r="AB253" s="109"/>
      <c r="AC253" s="109"/>
      <c r="AD253" s="109"/>
      <c r="AE253" s="109"/>
      <c r="AF253" s="109"/>
      <c r="AG253" s="109"/>
      <c r="AH253" s="109"/>
      <c r="AI253" s="109"/>
      <c r="AJ253" s="109"/>
      <c r="AK253" s="109"/>
      <c r="AL253" s="109"/>
      <c r="AM253" s="109"/>
      <c r="AN253" s="109"/>
      <c r="AO253" s="109"/>
      <c r="AP253" s="109"/>
      <c r="AQ253" s="94"/>
      <c r="AR253" s="94"/>
      <c r="AS253" s="94"/>
      <c r="AT253" s="149" t="s">
        <v>1248</v>
      </c>
      <c r="AU253" s="94" t="s">
        <v>1825</v>
      </c>
    </row>
    <row r="254" spans="1:47" ht="21" customHeight="1" x14ac:dyDescent="0.35">
      <c r="A254" s="260"/>
      <c r="B254" s="98" t="s">
        <v>95</v>
      </c>
      <c r="C254" s="99" t="s">
        <v>1249</v>
      </c>
      <c r="D254" s="105" t="s">
        <v>1250</v>
      </c>
      <c r="E254" s="99">
        <v>46113</v>
      </c>
      <c r="F254" s="102">
        <f t="shared" si="9"/>
        <v>0</v>
      </c>
      <c r="G254" s="150">
        <f>SUMIF(积分汇总!$B:$B,C254,积分汇总!$E:$E)</f>
        <v>0</v>
      </c>
      <c r="H254" s="150">
        <f>SUMIF(记录巡查问题条数汇总!$B:$B,C254,记录巡查问题条数汇总!$E:$E)</f>
        <v>0</v>
      </c>
      <c r="I254" s="150"/>
      <c r="J254" s="150">
        <f>SUMIF(安全质量事故!$B:$B,C254,安全质量事故!$G:$G)</f>
        <v>0</v>
      </c>
      <c r="K254" s="141">
        <f>COUNTIF(L254:AP254,标准数据!$A$2)*标准数据!$B$2+COUNTIF(L254:AP254,标准数据!$A$3)*标准数据!$B$3+COUNTIF(L254:AP254,标准数据!$A$4)*标准数据!$B$4</f>
        <v>0</v>
      </c>
      <c r="L254" s="109"/>
      <c r="M254" s="109"/>
      <c r="N254" s="109"/>
      <c r="O254" s="109"/>
      <c r="P254" s="109"/>
      <c r="Q254" s="109"/>
      <c r="R254" s="109"/>
      <c r="S254" s="109"/>
      <c r="T254" s="109"/>
      <c r="U254" s="109"/>
      <c r="V254" s="109"/>
      <c r="W254" s="109"/>
      <c r="X254" s="109"/>
      <c r="Y254" s="109"/>
      <c r="Z254" s="109"/>
      <c r="AA254" s="109"/>
      <c r="AB254" s="109"/>
      <c r="AC254" s="109"/>
      <c r="AD254" s="109"/>
      <c r="AE254" s="109"/>
      <c r="AF254" s="109"/>
      <c r="AG254" s="109"/>
      <c r="AH254" s="109"/>
      <c r="AI254" s="109"/>
      <c r="AJ254" s="109"/>
      <c r="AK254" s="109"/>
      <c r="AL254" s="109"/>
      <c r="AM254" s="109"/>
      <c r="AN254" s="109"/>
      <c r="AO254" s="109"/>
      <c r="AP254" s="109"/>
      <c r="AQ254" s="94"/>
      <c r="AR254" s="94"/>
      <c r="AS254" s="94"/>
      <c r="AT254" s="149" t="s">
        <v>1250</v>
      </c>
      <c r="AU254" s="94" t="s">
        <v>1825</v>
      </c>
    </row>
    <row r="255" spans="1:47" ht="21" customHeight="1" x14ac:dyDescent="0.35">
      <c r="A255" s="260"/>
      <c r="B255" s="98" t="s">
        <v>17</v>
      </c>
      <c r="C255" s="99" t="s">
        <v>1251</v>
      </c>
      <c r="D255" s="100" t="s">
        <v>1252</v>
      </c>
      <c r="E255" s="101">
        <v>46113</v>
      </c>
      <c r="F255" s="102">
        <f t="shared" si="9"/>
        <v>0</v>
      </c>
      <c r="G255" s="150">
        <f>SUMIF(积分汇总!$B:$B,C255,积分汇总!$E:$E)</f>
        <v>0</v>
      </c>
      <c r="H255" s="150">
        <f>SUMIF(记录巡查问题条数汇总!$B:$B,C255,记录巡查问题条数汇总!$E:$E)</f>
        <v>0</v>
      </c>
      <c r="I255" s="150"/>
      <c r="J255" s="150">
        <f>SUMIF(安全质量事故!$B:$B,C255,安全质量事故!$G:$G)</f>
        <v>0</v>
      </c>
      <c r="K255" s="141">
        <f>COUNTIF(L255:AP255,标准数据!$A$2)*标准数据!$B$2+COUNTIF(L255:AP255,标准数据!$A$3)*标准数据!$B$3+COUNTIF(L255:AP255,标准数据!$A$4)*标准数据!$B$4</f>
        <v>0</v>
      </c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109"/>
      <c r="Y255" s="109"/>
      <c r="Z255" s="109"/>
      <c r="AA255" s="109"/>
      <c r="AB255" s="109"/>
      <c r="AC255" s="109"/>
      <c r="AD255" s="109"/>
      <c r="AE255" s="109"/>
      <c r="AF255" s="109"/>
      <c r="AG255" s="109"/>
      <c r="AH255" s="109"/>
      <c r="AI255" s="109"/>
      <c r="AJ255" s="109"/>
      <c r="AK255" s="109"/>
      <c r="AL255" s="109"/>
      <c r="AM255" s="109"/>
      <c r="AN255" s="109"/>
      <c r="AO255" s="109"/>
      <c r="AP255" s="109"/>
      <c r="AT255" s="149" t="s">
        <v>1252</v>
      </c>
      <c r="AU255" s="94" t="s">
        <v>1825</v>
      </c>
    </row>
    <row r="256" spans="1:47" ht="21" customHeight="1" x14ac:dyDescent="0.35">
      <c r="A256" s="260"/>
      <c r="B256" s="98" t="s">
        <v>17</v>
      </c>
      <c r="C256" s="99" t="s">
        <v>1253</v>
      </c>
      <c r="D256" s="100" t="s">
        <v>1254</v>
      </c>
      <c r="E256" s="101">
        <v>46113</v>
      </c>
      <c r="F256" s="102">
        <f t="shared" si="9"/>
        <v>0</v>
      </c>
      <c r="G256" s="150">
        <f>SUMIF(积分汇总!$B:$B,C256,积分汇总!$E:$E)</f>
        <v>0</v>
      </c>
      <c r="H256" s="150">
        <f>SUMIF(记录巡查问题条数汇总!$B:$B,C256,记录巡查问题条数汇总!$E:$E)</f>
        <v>0</v>
      </c>
      <c r="I256" s="150"/>
      <c r="J256" s="150">
        <f>SUMIF(安全质量事故!$B:$B,C256,安全质量事故!$G:$G)</f>
        <v>0</v>
      </c>
      <c r="K256" s="141">
        <f>COUNTIF(L256:AP256,标准数据!$A$2)*标准数据!$B$2+COUNTIF(L256:AP256,标准数据!$A$3)*标准数据!$B$3+COUNTIF(L256:AP256,标准数据!$A$4)*标准数据!$B$4</f>
        <v>0</v>
      </c>
      <c r="L256" s="109"/>
      <c r="M256" s="109"/>
      <c r="N256" s="109"/>
      <c r="O256" s="109"/>
      <c r="P256" s="109"/>
      <c r="Q256" s="109"/>
      <c r="R256" s="109"/>
      <c r="S256" s="109"/>
      <c r="T256" s="109"/>
      <c r="U256" s="109"/>
      <c r="V256" s="109"/>
      <c r="W256" s="109"/>
      <c r="X256" s="109"/>
      <c r="Y256" s="109"/>
      <c r="Z256" s="109"/>
      <c r="AA256" s="109"/>
      <c r="AB256" s="109"/>
      <c r="AC256" s="109"/>
      <c r="AD256" s="109"/>
      <c r="AE256" s="109"/>
      <c r="AF256" s="109"/>
      <c r="AG256" s="109"/>
      <c r="AH256" s="109"/>
      <c r="AI256" s="109"/>
      <c r="AJ256" s="109"/>
      <c r="AK256" s="109"/>
      <c r="AL256" s="109"/>
      <c r="AM256" s="109"/>
      <c r="AN256" s="109"/>
      <c r="AO256" s="109"/>
      <c r="AP256" s="109"/>
      <c r="AT256" s="149" t="s">
        <v>1254</v>
      </c>
      <c r="AU256" s="94" t="s">
        <v>1825</v>
      </c>
    </row>
    <row r="257" spans="1:47" ht="21" customHeight="1" x14ac:dyDescent="0.35">
      <c r="A257" s="260"/>
      <c r="B257" s="98" t="s">
        <v>17</v>
      </c>
      <c r="C257" s="99" t="s">
        <v>1255</v>
      </c>
      <c r="D257" s="100" t="s">
        <v>1256</v>
      </c>
      <c r="E257" s="101">
        <v>46127</v>
      </c>
      <c r="F257" s="102">
        <f t="shared" si="9"/>
        <v>0</v>
      </c>
      <c r="G257" s="150">
        <f>SUMIF(积分汇总!$B:$B,C257,积分汇总!$E:$E)</f>
        <v>0</v>
      </c>
      <c r="H257" s="150">
        <f>SUMIF(记录巡查问题条数汇总!$B:$B,C257,记录巡查问题条数汇总!$E:$E)</f>
        <v>0</v>
      </c>
      <c r="I257" s="150"/>
      <c r="J257" s="150">
        <f>SUMIF(安全质量事故!$B:$B,C257,安全质量事故!$G:$G)</f>
        <v>0</v>
      </c>
      <c r="K257" s="141">
        <f>COUNTIF(L257:AP257,标准数据!$A$2)*标准数据!$B$2+COUNTIF(L257:AP257,标准数据!$A$3)*标准数据!$B$3+COUNTIF(L257:AP257,标准数据!$A$4)*标准数据!$B$4</f>
        <v>0</v>
      </c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09"/>
      <c r="AJ257" s="109"/>
      <c r="AK257" s="109"/>
      <c r="AL257" s="109"/>
      <c r="AM257" s="109"/>
      <c r="AN257" s="109"/>
      <c r="AO257" s="109"/>
      <c r="AP257" s="109"/>
      <c r="AT257" s="149" t="s">
        <v>1256</v>
      </c>
      <c r="AU257" s="94" t="s">
        <v>1825</v>
      </c>
    </row>
    <row r="258" spans="1:47" ht="21" customHeight="1" x14ac:dyDescent="0.35">
      <c r="A258" s="260"/>
      <c r="B258" s="98" t="s">
        <v>17</v>
      </c>
      <c r="C258" s="99" t="s">
        <v>1257</v>
      </c>
      <c r="D258" s="100" t="s">
        <v>1258</v>
      </c>
      <c r="E258" s="101">
        <v>46127</v>
      </c>
      <c r="F258" s="102">
        <f t="shared" si="9"/>
        <v>0</v>
      </c>
      <c r="G258" s="150">
        <f>SUMIF(积分汇总!$B:$B,C258,积分汇总!$E:$E)</f>
        <v>0</v>
      </c>
      <c r="H258" s="150">
        <f>SUMIF(记录巡查问题条数汇总!$B:$B,C258,记录巡查问题条数汇总!$E:$E)</f>
        <v>0</v>
      </c>
      <c r="I258" s="150"/>
      <c r="J258" s="150">
        <f>SUMIF(安全质量事故!$B:$B,C258,安全质量事故!$G:$G)</f>
        <v>0</v>
      </c>
      <c r="K258" s="141">
        <f>COUNTIF(L258:AP258,标准数据!$A$2)*标准数据!$B$2+COUNTIF(L258:AP258,标准数据!$A$3)*标准数据!$B$3+COUNTIF(L258:AP258,标准数据!$A$4)*标准数据!$B$4</f>
        <v>0</v>
      </c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  <c r="AB258" s="109"/>
      <c r="AC258" s="109"/>
      <c r="AD258" s="109"/>
      <c r="AE258" s="109"/>
      <c r="AF258" s="109"/>
      <c r="AG258" s="109"/>
      <c r="AH258" s="109"/>
      <c r="AI258" s="109"/>
      <c r="AJ258" s="109"/>
      <c r="AK258" s="109"/>
      <c r="AL258" s="109"/>
      <c r="AM258" s="109"/>
      <c r="AN258" s="109"/>
      <c r="AO258" s="109"/>
      <c r="AP258" s="109"/>
      <c r="AT258" s="149" t="s">
        <v>1258</v>
      </c>
      <c r="AU258" s="94" t="s">
        <v>1825</v>
      </c>
    </row>
    <row r="259" spans="1:47" ht="21" customHeight="1" x14ac:dyDescent="0.35">
      <c r="A259" s="260"/>
      <c r="B259" s="98" t="s">
        <v>17</v>
      </c>
      <c r="C259" s="99" t="s">
        <v>1259</v>
      </c>
      <c r="D259" s="100" t="s">
        <v>1260</v>
      </c>
      <c r="E259" s="101">
        <v>46127</v>
      </c>
      <c r="F259" s="102">
        <f t="shared" si="9"/>
        <v>0</v>
      </c>
      <c r="G259" s="150">
        <f>SUMIF(积分汇总!$B:$B,C259,积分汇总!$E:$E)</f>
        <v>0</v>
      </c>
      <c r="H259" s="150">
        <f>SUMIF(记录巡查问题条数汇总!$B:$B,C259,记录巡查问题条数汇总!$E:$E)</f>
        <v>0</v>
      </c>
      <c r="I259" s="150"/>
      <c r="J259" s="150">
        <f>SUMIF(安全质量事故!$B:$B,C259,安全质量事故!$G:$G)</f>
        <v>0</v>
      </c>
      <c r="K259" s="141">
        <f>COUNTIF(L259:AP259,标准数据!$A$2)*标准数据!$B$2+COUNTIF(L259:AP259,标准数据!$A$3)*标准数据!$B$3+COUNTIF(L259:AP259,标准数据!$A$4)*标准数据!$B$4</f>
        <v>0</v>
      </c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109"/>
      <c r="Y259" s="109"/>
      <c r="Z259" s="109"/>
      <c r="AA259" s="109"/>
      <c r="AB259" s="109"/>
      <c r="AC259" s="109"/>
      <c r="AD259" s="109"/>
      <c r="AE259" s="109"/>
      <c r="AF259" s="109"/>
      <c r="AG259" s="109"/>
      <c r="AH259" s="109"/>
      <c r="AI259" s="109"/>
      <c r="AJ259" s="109"/>
      <c r="AK259" s="109"/>
      <c r="AL259" s="109"/>
      <c r="AM259" s="109"/>
      <c r="AN259" s="109"/>
      <c r="AO259" s="109"/>
      <c r="AP259" s="109"/>
      <c r="AT259" s="149" t="s">
        <v>1260</v>
      </c>
      <c r="AU259" s="94" t="s">
        <v>1825</v>
      </c>
    </row>
    <row r="260" spans="1:47" ht="21" customHeight="1" x14ac:dyDescent="0.35">
      <c r="A260" s="260"/>
      <c r="B260" s="98" t="s">
        <v>17</v>
      </c>
      <c r="C260" s="99" t="s">
        <v>1261</v>
      </c>
      <c r="D260" s="100" t="s">
        <v>1262</v>
      </c>
      <c r="E260" s="101">
        <v>46127</v>
      </c>
      <c r="F260" s="102">
        <f t="shared" si="9"/>
        <v>0</v>
      </c>
      <c r="G260" s="150">
        <f>SUMIF(积分汇总!$B:$B,C260,积分汇总!$E:$E)</f>
        <v>0</v>
      </c>
      <c r="H260" s="150">
        <f>SUMIF(记录巡查问题条数汇总!$B:$B,C260,记录巡查问题条数汇总!$E:$E)</f>
        <v>0</v>
      </c>
      <c r="I260" s="150"/>
      <c r="J260" s="150">
        <f>SUMIF(安全质量事故!$B:$B,C260,安全质量事故!$G:$G)</f>
        <v>0</v>
      </c>
      <c r="K260" s="141">
        <f>COUNTIF(L260:AP260,标准数据!$A$2)*标准数据!$B$2+COUNTIF(L260:AP260,标准数据!$A$3)*标准数据!$B$3+COUNTIF(L260:AP260,标准数据!$A$4)*标准数据!$B$4</f>
        <v>0</v>
      </c>
      <c r="L260" s="109"/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109"/>
      <c r="Y260" s="109"/>
      <c r="Z260" s="109"/>
      <c r="AA260" s="109"/>
      <c r="AB260" s="109"/>
      <c r="AC260" s="109"/>
      <c r="AD260" s="109"/>
      <c r="AE260" s="109"/>
      <c r="AF260" s="109"/>
      <c r="AG260" s="109"/>
      <c r="AH260" s="109"/>
      <c r="AI260" s="109"/>
      <c r="AJ260" s="109"/>
      <c r="AK260" s="109"/>
      <c r="AL260" s="109"/>
      <c r="AM260" s="109"/>
      <c r="AN260" s="109"/>
      <c r="AO260" s="109"/>
      <c r="AP260" s="109"/>
      <c r="AT260" s="149" t="s">
        <v>1262</v>
      </c>
      <c r="AU260" s="94" t="s">
        <v>1825</v>
      </c>
    </row>
    <row r="261" spans="1:47" ht="21" customHeight="1" x14ac:dyDescent="0.35">
      <c r="A261" s="260"/>
      <c r="B261" s="98" t="s">
        <v>17</v>
      </c>
      <c r="C261" s="99" t="s">
        <v>1263</v>
      </c>
      <c r="D261" s="100" t="s">
        <v>1264</v>
      </c>
      <c r="E261" s="101">
        <v>46127</v>
      </c>
      <c r="F261" s="102">
        <f t="shared" si="9"/>
        <v>0</v>
      </c>
      <c r="G261" s="150">
        <f>SUMIF(积分汇总!$B:$B,C261,积分汇总!$E:$E)</f>
        <v>0</v>
      </c>
      <c r="H261" s="150">
        <f>SUMIF(记录巡查问题条数汇总!$B:$B,C261,记录巡查问题条数汇总!$E:$E)</f>
        <v>0</v>
      </c>
      <c r="I261" s="150"/>
      <c r="J261" s="150">
        <f>SUMIF(安全质量事故!$B:$B,C261,安全质量事故!$G:$G)</f>
        <v>0</v>
      </c>
      <c r="K261" s="141">
        <f>COUNTIF(L261:AP261,标准数据!$A$2)*标准数据!$B$2+COUNTIF(L261:AP261,标准数据!$A$3)*标准数据!$B$3+COUNTIF(L261:AP261,标准数据!$A$4)*标准数据!$B$4</f>
        <v>0</v>
      </c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109"/>
      <c r="Y261" s="109"/>
      <c r="Z261" s="109"/>
      <c r="AA261" s="109"/>
      <c r="AB261" s="109"/>
      <c r="AC261" s="109"/>
      <c r="AD261" s="109"/>
      <c r="AE261" s="109"/>
      <c r="AF261" s="109"/>
      <c r="AG261" s="109"/>
      <c r="AH261" s="109"/>
      <c r="AI261" s="109"/>
      <c r="AJ261" s="109"/>
      <c r="AK261" s="109"/>
      <c r="AL261" s="109"/>
      <c r="AM261" s="109"/>
      <c r="AN261" s="109"/>
      <c r="AO261" s="109"/>
      <c r="AP261" s="109"/>
      <c r="AT261" s="149" t="s">
        <v>1264</v>
      </c>
      <c r="AU261" s="94" t="s">
        <v>1825</v>
      </c>
    </row>
    <row r="262" spans="1:47" ht="21" customHeight="1" x14ac:dyDescent="0.35">
      <c r="A262" s="260"/>
      <c r="B262" s="98" t="s">
        <v>17</v>
      </c>
      <c r="C262" s="99" t="s">
        <v>1265</v>
      </c>
      <c r="D262" s="100" t="s">
        <v>1266</v>
      </c>
      <c r="E262" s="101">
        <v>46127</v>
      </c>
      <c r="F262" s="102">
        <f t="shared" si="9"/>
        <v>0</v>
      </c>
      <c r="G262" s="150">
        <f>SUMIF(积分汇总!$B:$B,C262,积分汇总!$E:$E)</f>
        <v>0</v>
      </c>
      <c r="H262" s="150">
        <f>SUMIF(记录巡查问题条数汇总!$B:$B,C262,记录巡查问题条数汇总!$E:$E)</f>
        <v>0</v>
      </c>
      <c r="I262" s="150"/>
      <c r="J262" s="150">
        <f>SUMIF(安全质量事故!$B:$B,C262,安全质量事故!$G:$G)</f>
        <v>0</v>
      </c>
      <c r="K262" s="141">
        <f>COUNTIF(L262:AP262,标准数据!$A$2)*标准数据!$B$2+COUNTIF(L262:AP262,标准数据!$A$3)*标准数据!$B$3+COUNTIF(L262:AP262,标准数据!$A$4)*标准数据!$B$4</f>
        <v>0</v>
      </c>
      <c r="L262" s="109"/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109"/>
      <c r="Y262" s="109"/>
      <c r="Z262" s="109"/>
      <c r="AA262" s="109"/>
      <c r="AB262" s="109"/>
      <c r="AC262" s="109"/>
      <c r="AD262" s="109"/>
      <c r="AE262" s="109"/>
      <c r="AF262" s="109"/>
      <c r="AG262" s="109"/>
      <c r="AH262" s="109"/>
      <c r="AI262" s="109"/>
      <c r="AJ262" s="109"/>
      <c r="AK262" s="109"/>
      <c r="AL262" s="109"/>
      <c r="AM262" s="109"/>
      <c r="AN262" s="109"/>
      <c r="AO262" s="109"/>
      <c r="AP262" s="109"/>
      <c r="AT262" s="149" t="s">
        <v>1266</v>
      </c>
      <c r="AU262" s="94" t="s">
        <v>1825</v>
      </c>
    </row>
    <row r="263" spans="1:47" ht="21" customHeight="1" x14ac:dyDescent="0.35">
      <c r="A263" s="260"/>
      <c r="B263" s="98" t="s">
        <v>17</v>
      </c>
      <c r="C263" s="99" t="s">
        <v>1267</v>
      </c>
      <c r="D263" s="100" t="s">
        <v>1268</v>
      </c>
      <c r="E263" s="101">
        <v>46127</v>
      </c>
      <c r="F263" s="102">
        <f t="shared" si="9"/>
        <v>0</v>
      </c>
      <c r="G263" s="150">
        <f>SUMIF(积分汇总!$B:$B,C263,积分汇总!$E:$E)</f>
        <v>0</v>
      </c>
      <c r="H263" s="150">
        <f>SUMIF(记录巡查问题条数汇总!$B:$B,C263,记录巡查问题条数汇总!$E:$E)</f>
        <v>0</v>
      </c>
      <c r="I263" s="150"/>
      <c r="J263" s="150">
        <f>SUMIF(安全质量事故!$B:$B,C263,安全质量事故!$G:$G)</f>
        <v>0</v>
      </c>
      <c r="K263" s="141">
        <f>COUNTIF(L263:AP263,标准数据!$A$2)*标准数据!$B$2+COUNTIF(L263:AP263,标准数据!$A$3)*标准数据!$B$3+COUNTIF(L263:AP263,标准数据!$A$4)*标准数据!$B$4</f>
        <v>0</v>
      </c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109"/>
      <c r="Y263" s="109"/>
      <c r="Z263" s="109"/>
      <c r="AA263" s="109"/>
      <c r="AB263" s="109"/>
      <c r="AC263" s="109"/>
      <c r="AD263" s="109"/>
      <c r="AE263" s="109"/>
      <c r="AF263" s="109"/>
      <c r="AG263" s="109"/>
      <c r="AH263" s="109"/>
      <c r="AI263" s="109"/>
      <c r="AJ263" s="109"/>
      <c r="AK263" s="109"/>
      <c r="AL263" s="109"/>
      <c r="AM263" s="109"/>
      <c r="AN263" s="109"/>
      <c r="AO263" s="109"/>
      <c r="AP263" s="109"/>
      <c r="AT263" s="149" t="s">
        <v>1268</v>
      </c>
      <c r="AU263" s="94" t="s">
        <v>1825</v>
      </c>
    </row>
    <row r="264" spans="1:47" ht="21" customHeight="1" x14ac:dyDescent="0.35">
      <c r="A264" s="260"/>
      <c r="B264" s="98" t="s">
        <v>17</v>
      </c>
      <c r="C264" s="99" t="s">
        <v>1269</v>
      </c>
      <c r="D264" s="100" t="s">
        <v>1270</v>
      </c>
      <c r="E264" s="101">
        <v>46127</v>
      </c>
      <c r="F264" s="102">
        <f t="shared" si="9"/>
        <v>0</v>
      </c>
      <c r="G264" s="150">
        <f>SUMIF(积分汇总!$B:$B,C264,积分汇总!$E:$E)</f>
        <v>0</v>
      </c>
      <c r="H264" s="150">
        <f>SUMIF(记录巡查问题条数汇总!$B:$B,C264,记录巡查问题条数汇总!$E:$E)</f>
        <v>0</v>
      </c>
      <c r="I264" s="150"/>
      <c r="J264" s="150">
        <f>SUMIF(安全质量事故!$B:$B,C264,安全质量事故!$G:$G)</f>
        <v>0</v>
      </c>
      <c r="K264" s="141">
        <f>COUNTIF(L264:AP264,标准数据!$A$2)*标准数据!$B$2+COUNTIF(L264:AP264,标准数据!$A$3)*标准数据!$B$3+COUNTIF(L264:AP264,标准数据!$A$4)*标准数据!$B$4</f>
        <v>0</v>
      </c>
      <c r="L264" s="109"/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109"/>
      <c r="Y264" s="109"/>
      <c r="Z264" s="109"/>
      <c r="AA264" s="109"/>
      <c r="AB264" s="109"/>
      <c r="AC264" s="109"/>
      <c r="AD264" s="109"/>
      <c r="AE264" s="109"/>
      <c r="AF264" s="109"/>
      <c r="AG264" s="109"/>
      <c r="AH264" s="109"/>
      <c r="AI264" s="109"/>
      <c r="AJ264" s="109"/>
      <c r="AK264" s="109"/>
      <c r="AL264" s="109"/>
      <c r="AM264" s="109"/>
      <c r="AN264" s="109"/>
      <c r="AO264" s="109"/>
      <c r="AP264" s="109"/>
      <c r="AT264" s="149" t="s">
        <v>1270</v>
      </c>
      <c r="AU264" s="94" t="s">
        <v>1825</v>
      </c>
    </row>
    <row r="265" spans="1:47" ht="21" customHeight="1" x14ac:dyDescent="0.35">
      <c r="A265" s="260"/>
      <c r="B265" s="98" t="s">
        <v>17</v>
      </c>
      <c r="C265" s="99" t="s">
        <v>597</v>
      </c>
      <c r="D265" s="100" t="s">
        <v>563</v>
      </c>
      <c r="E265" s="101">
        <v>45488</v>
      </c>
      <c r="F265" s="102">
        <f t="shared" si="9"/>
        <v>0</v>
      </c>
      <c r="G265" s="150">
        <f>SUMIF(积分汇总!$B:$B,C265,积分汇总!$E:$E)</f>
        <v>0</v>
      </c>
      <c r="H265" s="150">
        <f>SUMIF(记录巡查问题条数汇总!$B:$B,C265,记录巡查问题条数汇总!$E:$E)</f>
        <v>0</v>
      </c>
      <c r="I265" s="150"/>
      <c r="J265" s="150">
        <f>SUMIF(安全质量事故!$B:$B,C265,安全质量事故!$G:$G)</f>
        <v>0</v>
      </c>
      <c r="K265" s="141">
        <f>COUNTIF(L265:AP265,标准数据!$A$2)*标准数据!$B$2+COUNTIF(L265:AP265,标准数据!$A$3)*标准数据!$B$3+COUNTIF(L265:AP265,标准数据!$A$4)*标准数据!$B$4</f>
        <v>0</v>
      </c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109"/>
      <c r="Y265" s="109"/>
      <c r="Z265" s="109"/>
      <c r="AA265" s="109"/>
      <c r="AB265" s="109"/>
      <c r="AC265" s="109"/>
      <c r="AD265" s="109"/>
      <c r="AE265" s="109"/>
      <c r="AF265" s="109"/>
      <c r="AG265" s="109"/>
      <c r="AH265" s="109"/>
      <c r="AI265" s="109"/>
      <c r="AJ265" s="109"/>
      <c r="AK265" s="109"/>
      <c r="AL265" s="109"/>
      <c r="AM265" s="109"/>
      <c r="AN265" s="109"/>
      <c r="AO265" s="109"/>
      <c r="AP265" s="109"/>
      <c r="AT265" s="149" t="s">
        <v>563</v>
      </c>
      <c r="AU265" s="94" t="s">
        <v>1825</v>
      </c>
    </row>
    <row r="266" spans="1:47" ht="21" customHeight="1" x14ac:dyDescent="0.35">
      <c r="A266" s="260"/>
      <c r="B266" s="98" t="s">
        <v>17</v>
      </c>
      <c r="C266" s="99" t="s">
        <v>1451</v>
      </c>
      <c r="D266" s="100" t="s">
        <v>1452</v>
      </c>
      <c r="E266" s="101">
        <v>46134</v>
      </c>
      <c r="F266" s="102">
        <f t="shared" si="9"/>
        <v>0</v>
      </c>
      <c r="G266" s="150">
        <f>SUMIF(积分汇总!$B:$B,C266,积分汇总!$E:$E)</f>
        <v>0</v>
      </c>
      <c r="H266" s="150">
        <f>SUMIF(记录巡查问题条数汇总!$B:$B,C266,记录巡查问题条数汇总!$E:$E)</f>
        <v>0</v>
      </c>
      <c r="I266" s="150"/>
      <c r="J266" s="150">
        <f>SUMIF(安全质量事故!$B:$B,C266,安全质量事故!$G:$G)</f>
        <v>0</v>
      </c>
      <c r="K266" s="141">
        <f>COUNTIF(L266:AP266,标准数据!$A$2)*标准数据!$B$2+COUNTIF(L266:AP266,标准数据!$A$3)*标准数据!$B$3+COUNTIF(L266:AP266,标准数据!$A$4)*标准数据!$B$4</f>
        <v>0</v>
      </c>
      <c r="L266" s="109"/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109"/>
      <c r="Y266" s="109"/>
      <c r="Z266" s="109"/>
      <c r="AA266" s="109"/>
      <c r="AB266" s="109"/>
      <c r="AC266" s="109"/>
      <c r="AD266" s="109"/>
      <c r="AE266" s="109"/>
      <c r="AF266" s="109"/>
      <c r="AG266" s="109"/>
      <c r="AH266" s="109"/>
      <c r="AI266" s="109"/>
      <c r="AJ266" s="109"/>
      <c r="AK266" s="109"/>
      <c r="AL266" s="109"/>
      <c r="AM266" s="109"/>
      <c r="AN266" s="109"/>
      <c r="AO266" s="109"/>
      <c r="AP266" s="109"/>
      <c r="AT266" s="149" t="s">
        <v>1452</v>
      </c>
      <c r="AU266" s="94" t="s">
        <v>1825</v>
      </c>
    </row>
    <row r="267" spans="1:47" ht="21" customHeight="1" x14ac:dyDescent="0.35">
      <c r="A267" s="260"/>
      <c r="B267" s="98" t="s">
        <v>17</v>
      </c>
      <c r="C267" s="99" t="s">
        <v>1453</v>
      </c>
      <c r="D267" s="100" t="s">
        <v>1454</v>
      </c>
      <c r="E267" s="101">
        <v>46132</v>
      </c>
      <c r="F267" s="102">
        <f t="shared" si="9"/>
        <v>0</v>
      </c>
      <c r="G267" s="150">
        <f>SUMIF(积分汇总!$B:$B,C267,积分汇总!$E:$E)</f>
        <v>0</v>
      </c>
      <c r="H267" s="150">
        <f>SUMIF(记录巡查问题条数汇总!$B:$B,C267,记录巡查问题条数汇总!$E:$E)</f>
        <v>0</v>
      </c>
      <c r="I267" s="150"/>
      <c r="J267" s="150">
        <f>SUMIF(安全质量事故!$B:$B,C267,安全质量事故!$G:$G)</f>
        <v>0</v>
      </c>
      <c r="K267" s="141">
        <f>COUNTIF(L267:AP267,标准数据!$A$2)*标准数据!$B$2+COUNTIF(L267:AP267,标准数据!$A$3)*标准数据!$B$3+COUNTIF(L267:AP267,标准数据!$A$4)*标准数据!$B$4</f>
        <v>0</v>
      </c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109"/>
      <c r="Y267" s="109"/>
      <c r="Z267" s="109"/>
      <c r="AA267" s="109"/>
      <c r="AB267" s="109"/>
      <c r="AC267" s="109"/>
      <c r="AD267" s="109"/>
      <c r="AE267" s="109"/>
      <c r="AF267" s="109"/>
      <c r="AG267" s="109"/>
      <c r="AH267" s="109"/>
      <c r="AI267" s="109"/>
      <c r="AJ267" s="109"/>
      <c r="AK267" s="109"/>
      <c r="AL267" s="109"/>
      <c r="AM267" s="109"/>
      <c r="AN267" s="109"/>
      <c r="AO267" s="109"/>
      <c r="AP267" s="109"/>
      <c r="AT267" s="149" t="s">
        <v>1454</v>
      </c>
      <c r="AU267" s="94" t="s">
        <v>1825</v>
      </c>
    </row>
    <row r="268" spans="1:47" ht="21" customHeight="1" x14ac:dyDescent="0.35">
      <c r="A268" s="260"/>
      <c r="B268" s="98" t="s">
        <v>17</v>
      </c>
      <c r="C268" s="99" t="s">
        <v>1455</v>
      </c>
      <c r="D268" s="100" t="s">
        <v>1456</v>
      </c>
      <c r="E268" s="101">
        <v>46134</v>
      </c>
      <c r="F268" s="102">
        <f t="shared" si="9"/>
        <v>0</v>
      </c>
      <c r="G268" s="150">
        <f>SUMIF(积分汇总!$B:$B,C268,积分汇总!$E:$E)</f>
        <v>0</v>
      </c>
      <c r="H268" s="150">
        <f>SUMIF(记录巡查问题条数汇总!$B:$B,C268,记录巡查问题条数汇总!$E:$E)</f>
        <v>0</v>
      </c>
      <c r="I268" s="150"/>
      <c r="J268" s="150">
        <f>SUMIF(安全质量事故!$B:$B,C268,安全质量事故!$G:$G)</f>
        <v>0</v>
      </c>
      <c r="K268" s="141">
        <f>COUNTIF(L268:AP268,标准数据!$A$2)*标准数据!$B$2+COUNTIF(L268:AP268,标准数据!$A$3)*标准数据!$B$3+COUNTIF(L268:AP268,标准数据!$A$4)*标准数据!$B$4</f>
        <v>0</v>
      </c>
      <c r="L268" s="109"/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109"/>
      <c r="Y268" s="109"/>
      <c r="Z268" s="109"/>
      <c r="AA268" s="109"/>
      <c r="AB268" s="109"/>
      <c r="AC268" s="109"/>
      <c r="AD268" s="109"/>
      <c r="AE268" s="109"/>
      <c r="AF268" s="109"/>
      <c r="AG268" s="109"/>
      <c r="AH268" s="109"/>
      <c r="AI268" s="109"/>
      <c r="AJ268" s="109"/>
      <c r="AK268" s="109"/>
      <c r="AL268" s="109"/>
      <c r="AM268" s="109"/>
      <c r="AN268" s="109"/>
      <c r="AO268" s="109"/>
      <c r="AP268" s="109"/>
      <c r="AT268" s="149" t="s">
        <v>1456</v>
      </c>
      <c r="AU268" s="94" t="s">
        <v>1825</v>
      </c>
    </row>
    <row r="269" spans="1:47" ht="21" customHeight="1" x14ac:dyDescent="0.35">
      <c r="A269" s="260"/>
      <c r="B269" s="98" t="s">
        <v>17</v>
      </c>
      <c r="C269" s="99" t="s">
        <v>1457</v>
      </c>
      <c r="D269" s="100" t="s">
        <v>1458</v>
      </c>
      <c r="E269" s="101">
        <v>46134</v>
      </c>
      <c r="F269" s="102">
        <f t="shared" ref="F269:F276" si="10">(K269+G269+H269+I269-J269)</f>
        <v>0</v>
      </c>
      <c r="G269" s="150">
        <f>SUMIF(积分汇总!$B:$B,C269,积分汇总!$E:$E)</f>
        <v>0</v>
      </c>
      <c r="H269" s="150">
        <f>SUMIF(记录巡查问题条数汇总!$B:$B,C269,记录巡查问题条数汇总!$E:$E)</f>
        <v>0</v>
      </c>
      <c r="I269" s="150"/>
      <c r="J269" s="150">
        <f>SUMIF(安全质量事故!$B:$B,C269,安全质量事故!$G:$G)</f>
        <v>0</v>
      </c>
      <c r="K269" s="141">
        <f>COUNTIF(L269:AP269,标准数据!$A$2)*标准数据!$B$2+COUNTIF(L269:AP269,标准数据!$A$3)*标准数据!$B$3+COUNTIF(L269:AP269,标准数据!$A$4)*标准数据!$B$4</f>
        <v>0</v>
      </c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109"/>
      <c r="Y269" s="109"/>
      <c r="Z269" s="109"/>
      <c r="AA269" s="109"/>
      <c r="AB269" s="109"/>
      <c r="AC269" s="109"/>
      <c r="AD269" s="109"/>
      <c r="AE269" s="109"/>
      <c r="AF269" s="109"/>
      <c r="AG269" s="109"/>
      <c r="AH269" s="109"/>
      <c r="AI269" s="109"/>
      <c r="AJ269" s="109"/>
      <c r="AK269" s="109"/>
      <c r="AL269" s="109"/>
      <c r="AM269" s="109"/>
      <c r="AN269" s="109"/>
      <c r="AO269" s="109"/>
      <c r="AP269" s="109"/>
      <c r="AT269" s="149" t="s">
        <v>1458</v>
      </c>
      <c r="AU269" s="94" t="s">
        <v>1825</v>
      </c>
    </row>
    <row r="270" spans="1:47" ht="21" customHeight="1" x14ac:dyDescent="0.35">
      <c r="A270" s="260"/>
      <c r="B270" s="98" t="s">
        <v>17</v>
      </c>
      <c r="C270" s="99" t="s">
        <v>1459</v>
      </c>
      <c r="D270" s="100" t="s">
        <v>1460</v>
      </c>
      <c r="E270" s="101">
        <v>46132</v>
      </c>
      <c r="F270" s="102">
        <f t="shared" si="10"/>
        <v>0</v>
      </c>
      <c r="G270" s="150">
        <f>SUMIF(积分汇总!$B:$B,C270,积分汇总!$E:$E)</f>
        <v>0</v>
      </c>
      <c r="H270" s="150">
        <f>SUMIF(记录巡查问题条数汇总!$B:$B,C270,记录巡查问题条数汇总!$E:$E)</f>
        <v>0</v>
      </c>
      <c r="I270" s="150"/>
      <c r="J270" s="150">
        <f>SUMIF(安全质量事故!$B:$B,C270,安全质量事故!$G:$G)</f>
        <v>0</v>
      </c>
      <c r="K270" s="141">
        <f>COUNTIF(L270:AP270,标准数据!$A$2)*标准数据!$B$2+COUNTIF(L270:AP270,标准数据!$A$3)*标准数据!$B$3+COUNTIF(L270:AP270,标准数据!$A$4)*标准数据!$B$4</f>
        <v>0</v>
      </c>
      <c r="L270" s="109"/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109"/>
      <c r="Y270" s="109"/>
      <c r="Z270" s="109"/>
      <c r="AA270" s="109"/>
      <c r="AB270" s="109"/>
      <c r="AC270" s="109"/>
      <c r="AD270" s="109"/>
      <c r="AE270" s="109"/>
      <c r="AF270" s="109"/>
      <c r="AG270" s="109"/>
      <c r="AH270" s="109"/>
      <c r="AI270" s="109"/>
      <c r="AJ270" s="109"/>
      <c r="AK270" s="109"/>
      <c r="AL270" s="109"/>
      <c r="AM270" s="109"/>
      <c r="AN270" s="109"/>
      <c r="AO270" s="109"/>
      <c r="AP270" s="109"/>
      <c r="AT270" s="149" t="s">
        <v>1460</v>
      </c>
      <c r="AU270" s="94" t="s">
        <v>1825</v>
      </c>
    </row>
    <row r="271" spans="1:47" ht="21" customHeight="1" x14ac:dyDescent="0.35">
      <c r="A271" s="260"/>
      <c r="B271" s="98" t="s">
        <v>17</v>
      </c>
      <c r="C271" s="100" t="s">
        <v>1461</v>
      </c>
      <c r="D271" s="105" t="s">
        <v>1462</v>
      </c>
      <c r="E271" s="99">
        <v>46134</v>
      </c>
      <c r="F271" s="102">
        <f t="shared" si="10"/>
        <v>0</v>
      </c>
      <c r="G271" s="150">
        <f>SUMIF(积分汇总!$B:$B,C271,积分汇总!$E:$E)</f>
        <v>0</v>
      </c>
      <c r="H271" s="150">
        <f>SUMIF(记录巡查问题条数汇总!$B:$B,C271,记录巡查问题条数汇总!$E:$E)</f>
        <v>0</v>
      </c>
      <c r="I271" s="150"/>
      <c r="J271" s="150">
        <f>SUMIF(安全质量事故!$B:$B,C271,安全质量事故!$G:$G)</f>
        <v>0</v>
      </c>
      <c r="K271" s="141">
        <f>COUNTIF(L271:AP271,标准数据!$A$2)*标准数据!$B$2+COUNTIF(L271:AP271,标准数据!$A$3)*标准数据!$B$3+COUNTIF(L271:AP271,标准数据!$A$4)*标准数据!$B$4</f>
        <v>0</v>
      </c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109"/>
      <c r="Y271" s="109"/>
      <c r="Z271" s="109"/>
      <c r="AA271" s="109"/>
      <c r="AB271" s="109"/>
      <c r="AC271" s="109"/>
      <c r="AD271" s="109"/>
      <c r="AE271" s="109"/>
      <c r="AF271" s="109"/>
      <c r="AG271" s="109"/>
      <c r="AH271" s="109"/>
      <c r="AI271" s="109"/>
      <c r="AJ271" s="109"/>
      <c r="AK271" s="109"/>
      <c r="AL271" s="109"/>
      <c r="AM271" s="109"/>
      <c r="AN271" s="109"/>
      <c r="AO271" s="109"/>
      <c r="AP271" s="109"/>
      <c r="AQ271" s="213" t="s">
        <v>1625</v>
      </c>
      <c r="AT271" s="149" t="s">
        <v>1462</v>
      </c>
      <c r="AU271" s="94" t="s">
        <v>1825</v>
      </c>
    </row>
    <row r="272" spans="1:47" ht="21" customHeight="1" x14ac:dyDescent="0.35">
      <c r="A272" s="260"/>
      <c r="B272" s="98" t="s">
        <v>17</v>
      </c>
      <c r="C272" s="99" t="s">
        <v>1463</v>
      </c>
      <c r="D272" s="100" t="s">
        <v>1464</v>
      </c>
      <c r="E272" s="101">
        <v>46134</v>
      </c>
      <c r="F272" s="102">
        <f t="shared" si="10"/>
        <v>0</v>
      </c>
      <c r="G272" s="150">
        <f>SUMIF(积分汇总!$B:$B,C272,积分汇总!$E:$E)</f>
        <v>0</v>
      </c>
      <c r="H272" s="150">
        <f>SUMIF(记录巡查问题条数汇总!$B:$B,C272,记录巡查问题条数汇总!$E:$E)</f>
        <v>0</v>
      </c>
      <c r="I272" s="150"/>
      <c r="J272" s="150">
        <f>SUMIF(安全质量事故!$B:$B,C272,安全质量事故!$G:$G)</f>
        <v>0</v>
      </c>
      <c r="K272" s="141">
        <f>COUNTIF(L272:AP272,标准数据!$A$2)*标准数据!$B$2+COUNTIF(L272:AP272,标准数据!$A$3)*标准数据!$B$3+COUNTIF(L272:AP272,标准数据!$A$4)*标准数据!$B$4</f>
        <v>0</v>
      </c>
      <c r="L272" s="109"/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109"/>
      <c r="Y272" s="109"/>
      <c r="Z272" s="109"/>
      <c r="AA272" s="109"/>
      <c r="AB272" s="109"/>
      <c r="AC272" s="109"/>
      <c r="AD272" s="109"/>
      <c r="AE272" s="109"/>
      <c r="AF272" s="109"/>
      <c r="AG272" s="109"/>
      <c r="AH272" s="109"/>
      <c r="AI272" s="109"/>
      <c r="AJ272" s="109"/>
      <c r="AK272" s="109"/>
      <c r="AL272" s="109"/>
      <c r="AM272" s="109"/>
      <c r="AN272" s="109"/>
      <c r="AO272" s="109"/>
      <c r="AP272" s="109"/>
      <c r="AT272" s="149" t="s">
        <v>1464</v>
      </c>
      <c r="AU272" s="94" t="s">
        <v>1825</v>
      </c>
    </row>
    <row r="273" spans="1:47" ht="21" customHeight="1" x14ac:dyDescent="0.35">
      <c r="A273" s="260"/>
      <c r="B273" s="98" t="s">
        <v>17</v>
      </c>
      <c r="C273" s="99" t="s">
        <v>1493</v>
      </c>
      <c r="D273" s="105" t="s">
        <v>1494</v>
      </c>
      <c r="E273" s="99">
        <v>46139</v>
      </c>
      <c r="F273" s="102">
        <f t="shared" si="10"/>
        <v>0</v>
      </c>
      <c r="G273" s="150">
        <f>SUMIF(积分汇总!$B:$B,C273,积分汇总!$E:$E)</f>
        <v>0</v>
      </c>
      <c r="H273" s="150">
        <f>SUMIF(记录巡查问题条数汇总!$B:$B,C273,记录巡查问题条数汇总!$E:$E)</f>
        <v>0</v>
      </c>
      <c r="I273" s="150"/>
      <c r="J273" s="150">
        <f>SUMIF(安全质量事故!$B:$B,C273,安全质量事故!$G:$G)</f>
        <v>0</v>
      </c>
      <c r="K273" s="141">
        <f>COUNTIF(L273:AP273,标准数据!$A$2)*标准数据!$B$2+COUNTIF(L273:AP273,标准数据!$A$3)*标准数据!$B$3+COUNTIF(L273:AP273,标准数据!$A$4)*标准数据!$B$4</f>
        <v>0</v>
      </c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109"/>
      <c r="Y273" s="109"/>
      <c r="Z273" s="109"/>
      <c r="AA273" s="109"/>
      <c r="AB273" s="109"/>
      <c r="AC273" s="109"/>
      <c r="AD273" s="109"/>
      <c r="AE273" s="109"/>
      <c r="AF273" s="109"/>
      <c r="AG273" s="109"/>
      <c r="AH273" s="109"/>
      <c r="AI273" s="109"/>
      <c r="AJ273" s="109"/>
      <c r="AK273" s="109"/>
      <c r="AL273" s="109"/>
      <c r="AM273" s="109"/>
      <c r="AN273" s="109"/>
      <c r="AO273" s="109"/>
      <c r="AP273" s="109"/>
      <c r="AQ273" s="94"/>
      <c r="AR273" s="94"/>
      <c r="AS273" s="94"/>
      <c r="AT273" s="149" t="s">
        <v>1494</v>
      </c>
      <c r="AU273" s="94" t="s">
        <v>1823</v>
      </c>
    </row>
    <row r="274" spans="1:47" ht="21" customHeight="1" x14ac:dyDescent="0.35">
      <c r="A274" s="260"/>
      <c r="B274" s="98" t="s">
        <v>17</v>
      </c>
      <c r="C274" s="100" t="s">
        <v>1495</v>
      </c>
      <c r="D274" s="105" t="s">
        <v>1496</v>
      </c>
      <c r="E274" s="99">
        <v>46139</v>
      </c>
      <c r="F274" s="102">
        <f t="shared" si="10"/>
        <v>0</v>
      </c>
      <c r="G274" s="150">
        <f>SUMIF(积分汇总!$B:$B,C274,积分汇总!$E:$E)</f>
        <v>0</v>
      </c>
      <c r="H274" s="150">
        <f>SUMIF(记录巡查问题条数汇总!$B:$B,C274,记录巡查问题条数汇总!$E:$E)</f>
        <v>0</v>
      </c>
      <c r="I274" s="150"/>
      <c r="J274" s="150">
        <f>SUMIF(安全质量事故!$B:$B,C274,安全质量事故!$G:$G)</f>
        <v>0</v>
      </c>
      <c r="K274" s="141">
        <f>COUNTIF(L274:AP274,标准数据!$A$2)*标准数据!$B$2+COUNTIF(L274:AP274,标准数据!$A$3)*标准数据!$B$3+COUNTIF(L274:AP274,标准数据!$A$4)*标准数据!$B$4</f>
        <v>0</v>
      </c>
      <c r="L274" s="109"/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109"/>
      <c r="Y274" s="109"/>
      <c r="Z274" s="109"/>
      <c r="AA274" s="109"/>
      <c r="AB274" s="109"/>
      <c r="AC274" s="109"/>
      <c r="AD274" s="109"/>
      <c r="AE274" s="109"/>
      <c r="AF274" s="109"/>
      <c r="AG274" s="109"/>
      <c r="AH274" s="109"/>
      <c r="AI274" s="109"/>
      <c r="AJ274" s="109"/>
      <c r="AK274" s="109"/>
      <c r="AL274" s="109"/>
      <c r="AM274" s="109"/>
      <c r="AN274" s="109"/>
      <c r="AO274" s="109"/>
      <c r="AP274" s="109"/>
      <c r="AT274" s="149" t="s">
        <v>1496</v>
      </c>
      <c r="AU274" s="94" t="s">
        <v>1823</v>
      </c>
    </row>
    <row r="275" spans="1:47" s="104" customFormat="1" ht="21" customHeight="1" x14ac:dyDescent="0.35">
      <c r="A275" s="260"/>
      <c r="B275" s="98" t="s">
        <v>17</v>
      </c>
      <c r="C275" s="99" t="s">
        <v>1497</v>
      </c>
      <c r="D275" s="100" t="s">
        <v>1498</v>
      </c>
      <c r="E275" s="101">
        <v>46155</v>
      </c>
      <c r="F275" s="102">
        <f t="shared" si="10"/>
        <v>0</v>
      </c>
      <c r="G275" s="150">
        <f>SUMIF(积分汇总!$B:$B,C275,积分汇总!$E:$E)</f>
        <v>0</v>
      </c>
      <c r="H275" s="150">
        <f>SUMIF(记录巡查问题条数汇总!$B:$B,C275,记录巡查问题条数汇总!$E:$E)</f>
        <v>0</v>
      </c>
      <c r="I275" s="150"/>
      <c r="J275" s="150">
        <f>SUMIF(安全质量事故!$B:$B,C275,安全质量事故!$G:$G)</f>
        <v>0</v>
      </c>
      <c r="K275" s="141">
        <f>COUNTIF(L275:AP275,标准数据!$A$2)*标准数据!$B$2+COUNTIF(L275:AP275,标准数据!$A$3)*标准数据!$B$3+COUNTIF(L275:AP275,标准数据!$A$4)*标准数据!$B$4</f>
        <v>0</v>
      </c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109"/>
      <c r="Y275" s="109"/>
      <c r="Z275" s="109"/>
      <c r="AA275" s="109"/>
      <c r="AB275" s="109"/>
      <c r="AC275" s="109"/>
      <c r="AD275" s="109"/>
      <c r="AE275" s="109"/>
      <c r="AF275" s="109"/>
      <c r="AG275" s="109"/>
      <c r="AH275" s="109"/>
      <c r="AI275" s="109"/>
      <c r="AJ275" s="109"/>
      <c r="AK275" s="109"/>
      <c r="AL275" s="109"/>
      <c r="AM275" s="109"/>
      <c r="AN275" s="109"/>
      <c r="AO275" s="109"/>
      <c r="AP275" s="109"/>
      <c r="AT275" s="149" t="s">
        <v>1498</v>
      </c>
      <c r="AU275" s="94" t="s">
        <v>1823</v>
      </c>
    </row>
    <row r="276" spans="1:47" ht="21" customHeight="1" x14ac:dyDescent="0.35">
      <c r="A276" s="260"/>
      <c r="B276" s="98" t="s">
        <v>17</v>
      </c>
      <c r="C276" s="99" t="s">
        <v>698</v>
      </c>
      <c r="D276" s="105" t="s">
        <v>636</v>
      </c>
      <c r="E276" s="99">
        <v>45901</v>
      </c>
      <c r="F276" s="102">
        <f t="shared" si="10"/>
        <v>0</v>
      </c>
      <c r="G276" s="150">
        <f>SUMIF(积分汇总!$B:$B,C276,积分汇总!$E:$E)</f>
        <v>0</v>
      </c>
      <c r="H276" s="150">
        <f>SUMIF(记录巡查问题条数汇总!$B:$B,C276,记录巡查问题条数汇总!$E:$E)</f>
        <v>0</v>
      </c>
      <c r="I276" s="150"/>
      <c r="J276" s="150">
        <f>SUMIF(安全质量事故!$B:$B,C276,安全质量事故!$G:$G)</f>
        <v>0</v>
      </c>
      <c r="K276" s="141">
        <f>COUNTIF(L276:AP276,标准数据!$A$2)*标准数据!$B$2+COUNTIF(L276:AP276,标准数据!$A$3)*标准数据!$B$3+COUNTIF(L276:AP276,标准数据!$A$4)*标准数据!$B$4</f>
        <v>0</v>
      </c>
      <c r="L276" s="109"/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109"/>
      <c r="Y276" s="109"/>
      <c r="Z276" s="109"/>
      <c r="AA276" s="109"/>
      <c r="AB276" s="109"/>
      <c r="AC276" s="109"/>
      <c r="AD276" s="109"/>
      <c r="AE276" s="109"/>
      <c r="AF276" s="109"/>
      <c r="AG276" s="109"/>
      <c r="AH276" s="109"/>
      <c r="AI276" s="109"/>
      <c r="AJ276" s="109"/>
      <c r="AK276" s="109"/>
      <c r="AL276" s="109"/>
      <c r="AM276" s="109"/>
      <c r="AN276" s="109"/>
      <c r="AO276" s="109"/>
      <c r="AP276" s="109"/>
      <c r="AQ276" s="94"/>
      <c r="AR276" s="94"/>
      <c r="AS276" s="94"/>
      <c r="AT276" s="149" t="s">
        <v>636</v>
      </c>
      <c r="AU276" s="94" t="s">
        <v>1829</v>
      </c>
    </row>
    <row r="277" spans="1:47" ht="21" customHeight="1" x14ac:dyDescent="0.35">
      <c r="A277" s="260"/>
      <c r="B277" s="98" t="s">
        <v>17</v>
      </c>
      <c r="C277" s="214" t="s">
        <v>1660</v>
      </c>
      <c r="D277" s="216" t="s">
        <v>1661</v>
      </c>
      <c r="E277" s="217">
        <v>46043</v>
      </c>
      <c r="F277" s="102">
        <f t="shared" si="9"/>
        <v>0</v>
      </c>
      <c r="G277" s="150">
        <f>SUMIF(积分汇总!$B:$B,C277,积分汇总!$E:$E)</f>
        <v>0</v>
      </c>
      <c r="H277" s="150">
        <f>SUMIF(记录巡查问题条数汇总!$B:$B,C277,记录巡查问题条数汇总!$E:$E)</f>
        <v>0</v>
      </c>
      <c r="I277" s="150"/>
      <c r="J277" s="150">
        <f>SUMIF(安全质量事故!$B:$B,C277,安全质量事故!$G:$G)</f>
        <v>0</v>
      </c>
      <c r="K277" s="141">
        <f>COUNTIF(L277:AP277,标准数据!$A$2)*标准数据!$B$2+COUNTIF(L277:AP277,标准数据!$A$3)*标准数据!$B$3+COUNTIF(L277:AP277,标准数据!$A$4)*标准数据!$B$4</f>
        <v>0</v>
      </c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109"/>
      <c r="Y277" s="109"/>
      <c r="Z277" s="109"/>
      <c r="AA277" s="109"/>
      <c r="AB277" s="109"/>
      <c r="AC277" s="109"/>
      <c r="AD277" s="109"/>
      <c r="AE277" s="109"/>
      <c r="AF277" s="109"/>
      <c r="AG277" s="109"/>
      <c r="AH277" s="109"/>
      <c r="AI277" s="109"/>
      <c r="AJ277" s="109"/>
      <c r="AK277" s="109"/>
      <c r="AL277" s="109"/>
      <c r="AM277" s="109"/>
      <c r="AN277" s="109"/>
      <c r="AO277" s="109"/>
      <c r="AP277" s="109"/>
      <c r="AQ277" s="104" t="s">
        <v>1674</v>
      </c>
      <c r="AT277" s="149" t="s">
        <v>1661</v>
      </c>
      <c r="AU277" s="94" t="s">
        <v>1825</v>
      </c>
    </row>
    <row r="278" spans="1:47" ht="21" customHeight="1" x14ac:dyDescent="0.35">
      <c r="A278" s="260"/>
      <c r="B278" s="98" t="s">
        <v>17</v>
      </c>
      <c r="C278" s="214" t="s">
        <v>1662</v>
      </c>
      <c r="D278" s="216" t="s">
        <v>1663</v>
      </c>
      <c r="E278" s="217">
        <v>46050</v>
      </c>
      <c r="F278" s="102">
        <f t="shared" si="9"/>
        <v>0</v>
      </c>
      <c r="G278" s="150">
        <f>SUMIF(积分汇总!$B:$B,C278,积分汇总!$E:$E)</f>
        <v>0</v>
      </c>
      <c r="H278" s="150">
        <f>SUMIF(记录巡查问题条数汇总!$B:$B,C278,记录巡查问题条数汇总!$E:$E)</f>
        <v>0</v>
      </c>
      <c r="I278" s="150"/>
      <c r="J278" s="150">
        <f>SUMIF(安全质量事故!$B:$B,C278,安全质量事故!$G:$G)</f>
        <v>0</v>
      </c>
      <c r="K278" s="141">
        <f>COUNTIF(L278:AP278,标准数据!$A$2)*标准数据!$B$2+COUNTIF(L278:AP278,标准数据!$A$3)*标准数据!$B$3+COUNTIF(L278:AP278,标准数据!$A$4)*标准数据!$B$4</f>
        <v>0</v>
      </c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109"/>
      <c r="Y278" s="109"/>
      <c r="Z278" s="109"/>
      <c r="AA278" s="109"/>
      <c r="AB278" s="109"/>
      <c r="AC278" s="109"/>
      <c r="AD278" s="109"/>
      <c r="AE278" s="109"/>
      <c r="AF278" s="109"/>
      <c r="AG278" s="109"/>
      <c r="AH278" s="109"/>
      <c r="AI278" s="109"/>
      <c r="AJ278" s="109"/>
      <c r="AK278" s="109"/>
      <c r="AL278" s="109"/>
      <c r="AM278" s="109"/>
      <c r="AN278" s="109"/>
      <c r="AO278" s="109"/>
      <c r="AP278" s="109"/>
      <c r="AQ278" s="104" t="s">
        <v>1674</v>
      </c>
      <c r="AT278" s="149" t="s">
        <v>1663</v>
      </c>
      <c r="AU278" s="94" t="s">
        <v>1825</v>
      </c>
    </row>
    <row r="279" spans="1:47" ht="21" customHeight="1" x14ac:dyDescent="0.35">
      <c r="A279" s="260"/>
      <c r="B279" s="98" t="s">
        <v>17</v>
      </c>
      <c r="C279" s="216" t="s">
        <v>1664</v>
      </c>
      <c r="D279" s="215" t="s">
        <v>1665</v>
      </c>
      <c r="E279" s="214">
        <v>46050</v>
      </c>
      <c r="F279" s="102">
        <f t="shared" si="9"/>
        <v>0</v>
      </c>
      <c r="G279" s="150">
        <f>SUMIF(积分汇总!$B:$B,C279,积分汇总!$E:$E)</f>
        <v>0</v>
      </c>
      <c r="H279" s="150">
        <f>SUMIF(记录巡查问题条数汇总!$B:$B,C279,记录巡查问题条数汇总!$E:$E)</f>
        <v>0</v>
      </c>
      <c r="I279" s="150"/>
      <c r="J279" s="150">
        <f>SUMIF(安全质量事故!$B:$B,C279,安全质量事故!$G:$G)</f>
        <v>0</v>
      </c>
      <c r="K279" s="141">
        <f>COUNTIF(L279:AP279,标准数据!$A$2)*标准数据!$B$2+COUNTIF(L279:AP279,标准数据!$A$3)*标准数据!$B$3+COUNTIF(L279:AP279,标准数据!$A$4)*标准数据!$B$4</f>
        <v>0</v>
      </c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109"/>
      <c r="Y279" s="109"/>
      <c r="Z279" s="109"/>
      <c r="AA279" s="109"/>
      <c r="AB279" s="109"/>
      <c r="AC279" s="109"/>
      <c r="AD279" s="109"/>
      <c r="AE279" s="109"/>
      <c r="AF279" s="109"/>
      <c r="AG279" s="109"/>
      <c r="AH279" s="109"/>
      <c r="AI279" s="109"/>
      <c r="AJ279" s="109"/>
      <c r="AK279" s="109"/>
      <c r="AL279" s="109"/>
      <c r="AM279" s="109"/>
      <c r="AN279" s="109"/>
      <c r="AO279" s="109"/>
      <c r="AP279" s="109"/>
      <c r="AQ279" s="104" t="s">
        <v>1674</v>
      </c>
      <c r="AT279" s="149" t="s">
        <v>1665</v>
      </c>
      <c r="AU279" s="94" t="s">
        <v>1825</v>
      </c>
    </row>
    <row r="280" spans="1:47" ht="21" customHeight="1" x14ac:dyDescent="0.35">
      <c r="A280" s="260"/>
      <c r="B280" s="98" t="s">
        <v>17</v>
      </c>
      <c r="C280" s="214" t="s">
        <v>1666</v>
      </c>
      <c r="D280" s="216" t="s">
        <v>1667</v>
      </c>
      <c r="E280" s="217">
        <v>46188</v>
      </c>
      <c r="F280" s="102">
        <f t="shared" si="9"/>
        <v>0</v>
      </c>
      <c r="G280" s="150">
        <f>SUMIF(积分汇总!$B:$B,C280,积分汇总!$E:$E)</f>
        <v>0</v>
      </c>
      <c r="H280" s="150">
        <f>SUMIF(记录巡查问题条数汇总!$B:$B,C280,记录巡查问题条数汇总!$E:$E)</f>
        <v>0</v>
      </c>
      <c r="I280" s="150"/>
      <c r="J280" s="150">
        <f>SUMIF(安全质量事故!$B:$B,C280,安全质量事故!$G:$G)</f>
        <v>0</v>
      </c>
      <c r="K280" s="141">
        <f>COUNTIF(L280:AP280,标准数据!$A$2)*标准数据!$B$2+COUNTIF(L280:AP280,标准数据!$A$3)*标准数据!$B$3+COUNTIF(L280:AP280,标准数据!$A$4)*标准数据!$B$4</f>
        <v>0</v>
      </c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09"/>
      <c r="AJ280" s="109"/>
      <c r="AK280" s="109"/>
      <c r="AL280" s="109"/>
      <c r="AM280" s="109"/>
      <c r="AN280" s="109"/>
      <c r="AO280" s="109"/>
      <c r="AP280" s="109"/>
      <c r="AT280" s="149" t="s">
        <v>1667</v>
      </c>
      <c r="AU280" s="94" t="s">
        <v>1825</v>
      </c>
    </row>
    <row r="281" spans="1:47" ht="21" customHeight="1" x14ac:dyDescent="0.35">
      <c r="A281" s="260"/>
      <c r="B281" s="98" t="s">
        <v>17</v>
      </c>
      <c r="C281" s="214" t="s">
        <v>1668</v>
      </c>
      <c r="D281" s="215" t="s">
        <v>1669</v>
      </c>
      <c r="E281" s="214">
        <v>46188</v>
      </c>
      <c r="F281" s="102">
        <f t="shared" si="9"/>
        <v>0</v>
      </c>
      <c r="G281" s="150">
        <f>SUMIF(积分汇总!$B:$B,C281,积分汇总!$E:$E)</f>
        <v>0</v>
      </c>
      <c r="H281" s="150">
        <f>SUMIF(记录巡查问题条数汇总!$B:$B,C281,记录巡查问题条数汇总!$E:$E)</f>
        <v>0</v>
      </c>
      <c r="I281" s="150"/>
      <c r="J281" s="150">
        <f>SUMIF(安全质量事故!$B:$B,C281,安全质量事故!$G:$G)</f>
        <v>0</v>
      </c>
      <c r="K281" s="141">
        <f>COUNTIF(L281:AP281,标准数据!$A$2)*标准数据!$B$2+COUNTIF(L281:AP281,标准数据!$A$3)*标准数据!$B$3+COUNTIF(L281:AP281,标准数据!$A$4)*标准数据!$B$4</f>
        <v>0</v>
      </c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  <c r="AD281" s="109"/>
      <c r="AE281" s="109"/>
      <c r="AF281" s="109"/>
      <c r="AG281" s="109"/>
      <c r="AH281" s="109"/>
      <c r="AI281" s="109"/>
      <c r="AJ281" s="109"/>
      <c r="AK281" s="109"/>
      <c r="AL281" s="109"/>
      <c r="AM281" s="109"/>
      <c r="AN281" s="109"/>
      <c r="AO281" s="109"/>
      <c r="AP281" s="109"/>
      <c r="AQ281" s="94"/>
      <c r="AR281" s="94"/>
      <c r="AS281" s="94"/>
      <c r="AT281" s="149" t="s">
        <v>1669</v>
      </c>
      <c r="AU281" s="94" t="s">
        <v>1825</v>
      </c>
    </row>
    <row r="282" spans="1:47" ht="21" customHeight="1" x14ac:dyDescent="0.35">
      <c r="A282" s="260"/>
      <c r="B282" s="98" t="s">
        <v>17</v>
      </c>
      <c r="C282" s="216" t="s">
        <v>1670</v>
      </c>
      <c r="D282" s="215" t="s">
        <v>1671</v>
      </c>
      <c r="E282" s="214">
        <v>46188</v>
      </c>
      <c r="F282" s="102">
        <f t="shared" si="9"/>
        <v>0</v>
      </c>
      <c r="G282" s="150">
        <f>SUMIF(积分汇总!$B:$B,C282,积分汇总!$E:$E)</f>
        <v>0</v>
      </c>
      <c r="H282" s="150">
        <f>SUMIF(记录巡查问题条数汇总!$B:$B,C282,记录巡查问题条数汇总!$E:$E)</f>
        <v>0</v>
      </c>
      <c r="I282" s="150"/>
      <c r="J282" s="150">
        <f>SUMIF(安全质量事故!$B:$B,C282,安全质量事故!$G:$G)</f>
        <v>0</v>
      </c>
      <c r="K282" s="141">
        <f>COUNTIF(L282:AP282,标准数据!$A$2)*标准数据!$B$2+COUNTIF(L282:AP282,标准数据!$A$3)*标准数据!$B$3+COUNTIF(L282:AP282,标准数据!$A$4)*标准数据!$B$4</f>
        <v>0</v>
      </c>
      <c r="L282" s="109"/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109"/>
      <c r="Y282" s="109"/>
      <c r="Z282" s="109"/>
      <c r="AA282" s="109"/>
      <c r="AB282" s="109"/>
      <c r="AC282" s="109"/>
      <c r="AD282" s="109"/>
      <c r="AE282" s="109"/>
      <c r="AF282" s="109"/>
      <c r="AG282" s="109"/>
      <c r="AH282" s="109"/>
      <c r="AI282" s="109"/>
      <c r="AJ282" s="109"/>
      <c r="AK282" s="109"/>
      <c r="AL282" s="109"/>
      <c r="AM282" s="109"/>
      <c r="AN282" s="109"/>
      <c r="AO282" s="109"/>
      <c r="AP282" s="109"/>
      <c r="AT282" s="149" t="s">
        <v>1671</v>
      </c>
      <c r="AU282" s="94" t="s">
        <v>1825</v>
      </c>
    </row>
    <row r="283" spans="1:47" s="104" customFormat="1" ht="21" customHeight="1" x14ac:dyDescent="0.35">
      <c r="A283" s="260"/>
      <c r="B283" s="98" t="s">
        <v>17</v>
      </c>
      <c r="C283" s="214" t="s">
        <v>1672</v>
      </c>
      <c r="D283" s="216" t="s">
        <v>1673</v>
      </c>
      <c r="E283" s="217">
        <v>46188</v>
      </c>
      <c r="F283" s="102">
        <f t="shared" si="9"/>
        <v>0</v>
      </c>
      <c r="G283" s="150">
        <f>SUMIF(积分汇总!$B:$B,C283,积分汇总!$E:$E)</f>
        <v>0</v>
      </c>
      <c r="H283" s="150">
        <f>SUMIF(记录巡查问题条数汇总!$B:$B,C283,记录巡查问题条数汇总!$E:$E)</f>
        <v>0</v>
      </c>
      <c r="I283" s="150"/>
      <c r="J283" s="150">
        <f>SUMIF(安全质量事故!$B:$B,C283,安全质量事故!$G:$G)</f>
        <v>0</v>
      </c>
      <c r="K283" s="141">
        <f>COUNTIF(L283:AP283,标准数据!$A$2)*标准数据!$B$2+COUNTIF(L283:AP283,标准数据!$A$3)*标准数据!$B$3+COUNTIF(L283:AP283,标准数据!$A$4)*标准数据!$B$4</f>
        <v>0</v>
      </c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109"/>
      <c r="Y283" s="109"/>
      <c r="Z283" s="109"/>
      <c r="AA283" s="109"/>
      <c r="AB283" s="109"/>
      <c r="AC283" s="109"/>
      <c r="AD283" s="109"/>
      <c r="AE283" s="109"/>
      <c r="AF283" s="109"/>
      <c r="AG283" s="109"/>
      <c r="AH283" s="109"/>
      <c r="AI283" s="109"/>
      <c r="AJ283" s="109"/>
      <c r="AK283" s="109"/>
      <c r="AL283" s="109"/>
      <c r="AM283" s="109"/>
      <c r="AN283" s="109"/>
      <c r="AO283" s="109"/>
      <c r="AP283" s="109"/>
      <c r="AT283" s="149" t="s">
        <v>1673</v>
      </c>
      <c r="AU283" s="94" t="s">
        <v>1825</v>
      </c>
    </row>
    <row r="284" spans="1:47" ht="21" customHeight="1" x14ac:dyDescent="0.35">
      <c r="A284" s="260"/>
      <c r="B284" s="98" t="s">
        <v>138</v>
      </c>
      <c r="C284" s="99" t="s">
        <v>303</v>
      </c>
      <c r="D284" s="100" t="s">
        <v>289</v>
      </c>
      <c r="E284" s="101">
        <v>45546</v>
      </c>
      <c r="F284" s="102">
        <f t="shared" si="9"/>
        <v>0</v>
      </c>
      <c r="G284" s="150">
        <f>SUMIF(积分汇总!$B:$B,C284,积分汇总!$E:$E)</f>
        <v>0</v>
      </c>
      <c r="H284" s="150">
        <f>SUMIF(记录巡查问题条数汇总!$B:$B,C284,记录巡查问题条数汇总!$E:$E)</f>
        <v>0</v>
      </c>
      <c r="I284" s="150"/>
      <c r="J284" s="150">
        <f>SUMIF(安全质量事故!$B:$B,C284,安全质量事故!$G:$G)</f>
        <v>0</v>
      </c>
      <c r="K284" s="141">
        <f>COUNTIF(L284:AP284,标准数据!$A$2)*标准数据!$B$2+COUNTIF(L284:AP284,标准数据!$A$3)*标准数据!$B$3+COUNTIF(L284:AP284,标准数据!$A$4)*标准数据!$B$4</f>
        <v>0</v>
      </c>
      <c r="L284" s="109"/>
      <c r="M284" s="109"/>
      <c r="N284" s="109"/>
      <c r="O284" s="109"/>
      <c r="P284" s="109"/>
      <c r="Q284" s="109"/>
      <c r="R284" s="109"/>
      <c r="S284" s="109"/>
      <c r="T284" s="109"/>
      <c r="U284" s="109"/>
      <c r="V284" s="109"/>
      <c r="W284" s="109"/>
      <c r="X284" s="109"/>
      <c r="Y284" s="109"/>
      <c r="Z284" s="109"/>
      <c r="AA284" s="109"/>
      <c r="AB284" s="109"/>
      <c r="AC284" s="109"/>
      <c r="AD284" s="109"/>
      <c r="AE284" s="109"/>
      <c r="AF284" s="109"/>
      <c r="AG284" s="109"/>
      <c r="AH284" s="109"/>
      <c r="AI284" s="109"/>
      <c r="AJ284" s="109"/>
      <c r="AK284" s="109"/>
      <c r="AL284" s="109"/>
      <c r="AM284" s="109"/>
      <c r="AN284" s="109"/>
      <c r="AO284" s="109"/>
      <c r="AP284" s="109"/>
      <c r="AT284" s="149" t="s">
        <v>289</v>
      </c>
      <c r="AU284" s="94" t="s">
        <v>1825</v>
      </c>
    </row>
    <row r="285" spans="1:47" ht="21" customHeight="1" x14ac:dyDescent="0.35">
      <c r="A285" s="260"/>
      <c r="B285" s="98" t="s">
        <v>138</v>
      </c>
      <c r="C285" s="99" t="s">
        <v>1035</v>
      </c>
      <c r="D285" s="100" t="s">
        <v>994</v>
      </c>
      <c r="E285" s="101">
        <v>45847</v>
      </c>
      <c r="F285" s="102">
        <f t="shared" si="9"/>
        <v>0</v>
      </c>
      <c r="G285" s="150">
        <f>SUMIF(积分汇总!$B:$B,C285,积分汇总!$E:$E)</f>
        <v>0</v>
      </c>
      <c r="H285" s="150">
        <f>SUMIF(记录巡查问题条数汇总!$B:$B,C285,记录巡查问题条数汇总!$E:$E)</f>
        <v>0</v>
      </c>
      <c r="I285" s="150"/>
      <c r="J285" s="150">
        <f>SUMIF(安全质量事故!$B:$B,C285,安全质量事故!$G:$G)</f>
        <v>0</v>
      </c>
      <c r="K285" s="141">
        <f>COUNTIF(L285:AP285,标准数据!$A$2)*标准数据!$B$2+COUNTIF(L285:AP285,标准数据!$A$3)*标准数据!$B$3+COUNTIF(L285:AP285,标准数据!$A$4)*标准数据!$B$4</f>
        <v>0</v>
      </c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109"/>
      <c r="Y285" s="109"/>
      <c r="Z285" s="109"/>
      <c r="AA285" s="109"/>
      <c r="AB285" s="109"/>
      <c r="AC285" s="109"/>
      <c r="AD285" s="109"/>
      <c r="AE285" s="109"/>
      <c r="AF285" s="109"/>
      <c r="AG285" s="109"/>
      <c r="AH285" s="109"/>
      <c r="AI285" s="109"/>
      <c r="AJ285" s="109"/>
      <c r="AK285" s="109"/>
      <c r="AL285" s="109"/>
      <c r="AM285" s="109"/>
      <c r="AN285" s="109"/>
      <c r="AO285" s="109"/>
      <c r="AP285" s="109"/>
      <c r="AT285" s="149" t="s">
        <v>994</v>
      </c>
      <c r="AU285" s="94" t="s">
        <v>1825</v>
      </c>
    </row>
    <row r="286" spans="1:47" ht="21" customHeight="1" x14ac:dyDescent="0.35">
      <c r="A286" s="260"/>
      <c r="B286" s="98" t="s">
        <v>138</v>
      </c>
      <c r="C286" s="99" t="s">
        <v>327</v>
      </c>
      <c r="D286" s="100" t="s">
        <v>310</v>
      </c>
      <c r="E286" s="101">
        <v>45574</v>
      </c>
      <c r="F286" s="102">
        <f t="shared" si="9"/>
        <v>0</v>
      </c>
      <c r="G286" s="150">
        <f>SUMIF(积分汇总!$B:$B,C286,积分汇总!$E:$E)</f>
        <v>0</v>
      </c>
      <c r="H286" s="150">
        <f>SUMIF(记录巡查问题条数汇总!$B:$B,C286,记录巡查问题条数汇总!$E:$E)</f>
        <v>0</v>
      </c>
      <c r="I286" s="150"/>
      <c r="J286" s="150">
        <f>SUMIF(安全质量事故!$B:$B,C286,安全质量事故!$G:$G)</f>
        <v>0</v>
      </c>
      <c r="K286" s="141">
        <f>COUNTIF(L286:AP286,标准数据!$A$2)*标准数据!$B$2+COUNTIF(L286:AP286,标准数据!$A$3)*标准数据!$B$3+COUNTIF(L286:AP286,标准数据!$A$4)*标准数据!$B$4</f>
        <v>0</v>
      </c>
      <c r="L286" s="109"/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109"/>
      <c r="Y286" s="109"/>
      <c r="Z286" s="109"/>
      <c r="AA286" s="109"/>
      <c r="AB286" s="109"/>
      <c r="AC286" s="109"/>
      <c r="AD286" s="109"/>
      <c r="AE286" s="109"/>
      <c r="AF286" s="109"/>
      <c r="AG286" s="109"/>
      <c r="AH286" s="109"/>
      <c r="AI286" s="109"/>
      <c r="AJ286" s="109"/>
      <c r="AK286" s="109"/>
      <c r="AL286" s="109"/>
      <c r="AM286" s="109"/>
      <c r="AN286" s="109"/>
      <c r="AO286" s="109"/>
      <c r="AP286" s="109"/>
      <c r="AT286" s="149" t="s">
        <v>310</v>
      </c>
      <c r="AU286" s="94" t="s">
        <v>1825</v>
      </c>
    </row>
    <row r="287" spans="1:47" ht="21" customHeight="1" x14ac:dyDescent="0.35">
      <c r="A287" s="260"/>
      <c r="B287" s="98" t="s">
        <v>138</v>
      </c>
      <c r="C287" s="99" t="s">
        <v>326</v>
      </c>
      <c r="D287" s="100" t="s">
        <v>309</v>
      </c>
      <c r="E287" s="101">
        <v>45574</v>
      </c>
      <c r="F287" s="102">
        <f t="shared" si="9"/>
        <v>0</v>
      </c>
      <c r="G287" s="150">
        <f>SUMIF(积分汇总!$B:$B,C287,积分汇总!$E:$E)</f>
        <v>0</v>
      </c>
      <c r="H287" s="150">
        <f>SUMIF(记录巡查问题条数汇总!$B:$B,C287,记录巡查问题条数汇总!$E:$E)</f>
        <v>0</v>
      </c>
      <c r="I287" s="150"/>
      <c r="J287" s="150">
        <f>SUMIF(安全质量事故!$B:$B,C287,安全质量事故!$G:$G)</f>
        <v>0</v>
      </c>
      <c r="K287" s="141">
        <f>COUNTIF(L287:AP287,标准数据!$A$2)*标准数据!$B$2+COUNTIF(L287:AP287,标准数据!$A$3)*标准数据!$B$3+COUNTIF(L287:AP287,标准数据!$A$4)*标准数据!$B$4</f>
        <v>0</v>
      </c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109"/>
      <c r="Y287" s="109"/>
      <c r="Z287" s="109"/>
      <c r="AA287" s="109"/>
      <c r="AB287" s="109"/>
      <c r="AC287" s="109"/>
      <c r="AD287" s="109"/>
      <c r="AE287" s="109"/>
      <c r="AF287" s="109"/>
      <c r="AG287" s="109"/>
      <c r="AH287" s="109"/>
      <c r="AI287" s="109"/>
      <c r="AJ287" s="109"/>
      <c r="AK287" s="109"/>
      <c r="AL287" s="109"/>
      <c r="AM287" s="109"/>
      <c r="AN287" s="109"/>
      <c r="AO287" s="109"/>
      <c r="AP287" s="109" t="s">
        <v>1622</v>
      </c>
      <c r="AT287" s="149" t="s">
        <v>309</v>
      </c>
      <c r="AU287" s="94" t="s">
        <v>1830</v>
      </c>
    </row>
    <row r="288" spans="1:47" ht="21" customHeight="1" x14ac:dyDescent="0.35">
      <c r="A288" s="260"/>
      <c r="B288" s="98" t="s">
        <v>158</v>
      </c>
      <c r="C288" s="99" t="s">
        <v>203</v>
      </c>
      <c r="D288" s="100" t="s">
        <v>135</v>
      </c>
      <c r="E288" s="101">
        <v>45238</v>
      </c>
      <c r="F288" s="102">
        <f t="shared" si="9"/>
        <v>0</v>
      </c>
      <c r="G288" s="150">
        <f>SUMIF(积分汇总!$B:$B,C288,积分汇总!$E:$E)</f>
        <v>0</v>
      </c>
      <c r="H288" s="150">
        <f>SUMIF(记录巡查问题条数汇总!$B:$B,C288,记录巡查问题条数汇总!$E:$E)</f>
        <v>0</v>
      </c>
      <c r="I288" s="150"/>
      <c r="J288" s="150">
        <f>SUMIF(安全质量事故!$B:$B,C288,安全质量事故!$G:$G)</f>
        <v>0</v>
      </c>
      <c r="K288" s="141">
        <f>COUNTIF(L288:AP288,标准数据!$A$2)*标准数据!$B$2+COUNTIF(L288:AP288,标准数据!$A$3)*标准数据!$B$3+COUNTIF(L288:AP288,标准数据!$A$4)*标准数据!$B$4</f>
        <v>0</v>
      </c>
      <c r="L288" s="109"/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109"/>
      <c r="Y288" s="109"/>
      <c r="Z288" s="109"/>
      <c r="AA288" s="109"/>
      <c r="AB288" s="109"/>
      <c r="AC288" s="109"/>
      <c r="AD288" s="109"/>
      <c r="AE288" s="109"/>
      <c r="AF288" s="109"/>
      <c r="AG288" s="109"/>
      <c r="AH288" s="109"/>
      <c r="AI288" s="109"/>
      <c r="AJ288" s="109"/>
      <c r="AK288" s="109"/>
      <c r="AL288" s="109"/>
      <c r="AM288" s="109"/>
      <c r="AN288" s="109"/>
      <c r="AO288" s="109"/>
      <c r="AP288" s="109"/>
      <c r="AT288" s="149" t="s">
        <v>135</v>
      </c>
      <c r="AU288" s="94" t="s">
        <v>1825</v>
      </c>
    </row>
    <row r="289" spans="1:47" ht="21" customHeight="1" x14ac:dyDescent="0.35">
      <c r="A289" s="260"/>
      <c r="B289" s="98" t="s">
        <v>138</v>
      </c>
      <c r="C289" s="99" t="s">
        <v>375</v>
      </c>
      <c r="D289" s="100" t="s">
        <v>368</v>
      </c>
      <c r="E289" s="101">
        <v>45630</v>
      </c>
      <c r="F289" s="102">
        <f t="shared" si="9"/>
        <v>0</v>
      </c>
      <c r="G289" s="150">
        <f>SUMIF(积分汇总!$B:$B,C289,积分汇总!$E:$E)</f>
        <v>0</v>
      </c>
      <c r="H289" s="150">
        <f>SUMIF(记录巡查问题条数汇总!$B:$B,C289,记录巡查问题条数汇总!$E:$E)</f>
        <v>0</v>
      </c>
      <c r="I289" s="150"/>
      <c r="J289" s="150">
        <f>SUMIF(安全质量事故!$B:$B,C289,安全质量事故!$G:$G)</f>
        <v>0</v>
      </c>
      <c r="K289" s="141">
        <f>COUNTIF(L289:AP289,标准数据!$A$2)*标准数据!$B$2+COUNTIF(L289:AP289,标准数据!$A$3)*标准数据!$B$3+COUNTIF(L289:AP289,标准数据!$A$4)*标准数据!$B$4</f>
        <v>0</v>
      </c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109"/>
      <c r="Y289" s="109"/>
      <c r="Z289" s="109"/>
      <c r="AA289" s="109"/>
      <c r="AB289" s="109"/>
      <c r="AC289" s="109"/>
      <c r="AD289" s="109"/>
      <c r="AE289" s="109"/>
      <c r="AF289" s="109"/>
      <c r="AG289" s="109"/>
      <c r="AH289" s="109"/>
      <c r="AI289" s="109"/>
      <c r="AJ289" s="109"/>
      <c r="AK289" s="109"/>
      <c r="AL289" s="109"/>
      <c r="AM289" s="109"/>
      <c r="AN289" s="109"/>
      <c r="AO289" s="109"/>
      <c r="AP289" s="109"/>
      <c r="AT289" s="149" t="s">
        <v>368</v>
      </c>
      <c r="AU289" s="94" t="s">
        <v>1825</v>
      </c>
    </row>
    <row r="290" spans="1:47" ht="21" customHeight="1" x14ac:dyDescent="0.35">
      <c r="A290" s="260"/>
      <c r="B290" s="98" t="s">
        <v>138</v>
      </c>
      <c r="C290" s="99" t="s">
        <v>527</v>
      </c>
      <c r="D290" s="100" t="s">
        <v>492</v>
      </c>
      <c r="E290" s="101">
        <v>45847</v>
      </c>
      <c r="F290" s="102">
        <f t="shared" si="9"/>
        <v>0</v>
      </c>
      <c r="G290" s="150">
        <f>SUMIF(积分汇总!$B:$B,C290,积分汇总!$E:$E)</f>
        <v>0</v>
      </c>
      <c r="H290" s="150">
        <f>SUMIF(记录巡查问题条数汇总!$B:$B,C290,记录巡查问题条数汇总!$E:$E)</f>
        <v>0</v>
      </c>
      <c r="I290" s="150"/>
      <c r="J290" s="150">
        <f>SUMIF(安全质量事故!$B:$B,C290,安全质量事故!$G:$G)</f>
        <v>0</v>
      </c>
      <c r="K290" s="141">
        <f>COUNTIF(L290:AP290,标准数据!$A$2)*标准数据!$B$2+COUNTIF(L290:AP290,标准数据!$A$3)*标准数据!$B$3+COUNTIF(L290:AP290,标准数据!$A$4)*标准数据!$B$4</f>
        <v>0</v>
      </c>
      <c r="L290" s="109"/>
      <c r="M290" s="109"/>
      <c r="N290" s="109"/>
      <c r="O290" s="109"/>
      <c r="P290" s="109"/>
      <c r="Q290" s="109"/>
      <c r="R290" s="109"/>
      <c r="S290" s="109"/>
      <c r="T290" s="109"/>
      <c r="U290" s="109"/>
      <c r="V290" s="109"/>
      <c r="W290" s="109"/>
      <c r="X290" s="109"/>
      <c r="Y290" s="109"/>
      <c r="Z290" s="109"/>
      <c r="AA290" s="109"/>
      <c r="AB290" s="109"/>
      <c r="AC290" s="109"/>
      <c r="AD290" s="109"/>
      <c r="AE290" s="109"/>
      <c r="AF290" s="109"/>
      <c r="AG290" s="109"/>
      <c r="AH290" s="109"/>
      <c r="AI290" s="109"/>
      <c r="AJ290" s="109"/>
      <c r="AK290" s="109"/>
      <c r="AL290" s="109"/>
      <c r="AM290" s="109"/>
      <c r="AN290" s="109"/>
      <c r="AO290" s="109"/>
      <c r="AP290" s="109"/>
      <c r="AT290" s="149" t="s">
        <v>492</v>
      </c>
      <c r="AU290" s="94" t="s">
        <v>1825</v>
      </c>
    </row>
    <row r="291" spans="1:47" ht="21" customHeight="1" x14ac:dyDescent="0.35">
      <c r="A291" s="260"/>
      <c r="B291" s="98" t="s">
        <v>138</v>
      </c>
      <c r="C291" s="99" t="s">
        <v>835</v>
      </c>
      <c r="D291" s="100" t="s">
        <v>749</v>
      </c>
      <c r="E291" s="101">
        <v>45973</v>
      </c>
      <c r="F291" s="102">
        <f t="shared" si="9"/>
        <v>0</v>
      </c>
      <c r="G291" s="150">
        <f>SUMIF(积分汇总!$B:$B,C291,积分汇总!$E:$E)</f>
        <v>0</v>
      </c>
      <c r="H291" s="150">
        <f>SUMIF(记录巡查问题条数汇总!$B:$B,C291,记录巡查问题条数汇总!$E:$E)</f>
        <v>0</v>
      </c>
      <c r="I291" s="150"/>
      <c r="J291" s="150">
        <f>SUMIF(安全质量事故!$B:$B,C291,安全质量事故!$G:$G)</f>
        <v>0</v>
      </c>
      <c r="K291" s="141">
        <f>COUNTIF(L291:AP291,标准数据!$A$2)*标准数据!$B$2+COUNTIF(L291:AP291,标准数据!$A$3)*标准数据!$B$3+COUNTIF(L291:AP291,标准数据!$A$4)*标准数据!$B$4</f>
        <v>0</v>
      </c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109"/>
      <c r="Y291" s="109"/>
      <c r="Z291" s="109"/>
      <c r="AA291" s="109"/>
      <c r="AB291" s="109"/>
      <c r="AC291" s="109"/>
      <c r="AD291" s="109"/>
      <c r="AE291" s="109"/>
      <c r="AF291" s="109"/>
      <c r="AG291" s="109"/>
      <c r="AH291" s="109"/>
      <c r="AI291" s="109"/>
      <c r="AJ291" s="109"/>
      <c r="AK291" s="109"/>
      <c r="AL291" s="109"/>
      <c r="AM291" s="109"/>
      <c r="AN291" s="109"/>
      <c r="AO291" s="109"/>
      <c r="AP291" s="109"/>
      <c r="AT291" s="149" t="s">
        <v>749</v>
      </c>
      <c r="AU291" s="94" t="s">
        <v>1825</v>
      </c>
    </row>
    <row r="292" spans="1:47" ht="21" customHeight="1" x14ac:dyDescent="0.35">
      <c r="A292" s="260"/>
      <c r="B292" s="98" t="s">
        <v>138</v>
      </c>
      <c r="C292" s="99" t="s">
        <v>522</v>
      </c>
      <c r="D292" s="100" t="s">
        <v>482</v>
      </c>
      <c r="E292" s="101">
        <v>45540</v>
      </c>
      <c r="F292" s="102">
        <f t="shared" si="9"/>
        <v>0</v>
      </c>
      <c r="G292" s="150">
        <f>SUMIF(积分汇总!$B:$B,C292,积分汇总!$E:$E)</f>
        <v>0</v>
      </c>
      <c r="H292" s="150">
        <f>SUMIF(记录巡查问题条数汇总!$B:$B,C292,记录巡查问题条数汇总!$E:$E)</f>
        <v>0</v>
      </c>
      <c r="I292" s="150"/>
      <c r="J292" s="150">
        <f>SUMIF(安全质量事故!$B:$B,C292,安全质量事故!$G:$G)</f>
        <v>0</v>
      </c>
      <c r="K292" s="141">
        <f>COUNTIF(L292:AP292,标准数据!$A$2)*标准数据!$B$2+COUNTIF(L292:AP292,标准数据!$A$3)*标准数据!$B$3+COUNTIF(L292:AP292,标准数据!$A$4)*标准数据!$B$4</f>
        <v>0</v>
      </c>
      <c r="L292" s="109"/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109"/>
      <c r="Y292" s="109"/>
      <c r="Z292" s="109"/>
      <c r="AA292" s="109"/>
      <c r="AB292" s="109"/>
      <c r="AC292" s="109"/>
      <c r="AD292" s="109"/>
      <c r="AE292" s="109"/>
      <c r="AF292" s="109"/>
      <c r="AG292" s="109"/>
      <c r="AH292" s="109"/>
      <c r="AI292" s="109"/>
      <c r="AJ292" s="109"/>
      <c r="AK292" s="109"/>
      <c r="AL292" s="109"/>
      <c r="AM292" s="109"/>
      <c r="AN292" s="109"/>
      <c r="AO292" s="109"/>
      <c r="AP292" s="109"/>
      <c r="AT292" s="149" t="s">
        <v>482</v>
      </c>
      <c r="AU292" s="94" t="s">
        <v>1825</v>
      </c>
    </row>
    <row r="293" spans="1:47" ht="21" customHeight="1" x14ac:dyDescent="0.35">
      <c r="A293" s="260"/>
      <c r="B293" s="98" t="s">
        <v>138</v>
      </c>
      <c r="C293" s="99" t="s">
        <v>1271</v>
      </c>
      <c r="D293" s="100" t="s">
        <v>1272</v>
      </c>
      <c r="E293" s="101">
        <v>46113</v>
      </c>
      <c r="F293" s="102">
        <f t="shared" si="9"/>
        <v>0</v>
      </c>
      <c r="G293" s="150">
        <f>SUMIF(积分汇总!$B:$B,C293,积分汇总!$E:$E)</f>
        <v>0</v>
      </c>
      <c r="H293" s="150">
        <f>SUMIF(记录巡查问题条数汇总!$B:$B,C293,记录巡查问题条数汇总!$E:$E)</f>
        <v>0</v>
      </c>
      <c r="I293" s="150"/>
      <c r="J293" s="150">
        <f>SUMIF(安全质量事故!$B:$B,C293,安全质量事故!$G:$G)</f>
        <v>0</v>
      </c>
      <c r="K293" s="141">
        <f>COUNTIF(L293:AP293,标准数据!$A$2)*标准数据!$B$2+COUNTIF(L293:AP293,标准数据!$A$3)*标准数据!$B$3+COUNTIF(L293:AP293,标准数据!$A$4)*标准数据!$B$4</f>
        <v>0</v>
      </c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109"/>
      <c r="Y293" s="109"/>
      <c r="Z293" s="109"/>
      <c r="AA293" s="109"/>
      <c r="AB293" s="109"/>
      <c r="AC293" s="109"/>
      <c r="AD293" s="109"/>
      <c r="AE293" s="109"/>
      <c r="AF293" s="109"/>
      <c r="AG293" s="109"/>
      <c r="AH293" s="109"/>
      <c r="AI293" s="109"/>
      <c r="AJ293" s="109"/>
      <c r="AK293" s="109"/>
      <c r="AL293" s="109"/>
      <c r="AM293" s="109"/>
      <c r="AN293" s="109"/>
      <c r="AO293" s="109"/>
      <c r="AP293" s="109"/>
      <c r="AT293" s="149" t="s">
        <v>1272</v>
      </c>
      <c r="AU293" s="94" t="s">
        <v>1825</v>
      </c>
    </row>
    <row r="294" spans="1:47" ht="21" customHeight="1" x14ac:dyDescent="0.35">
      <c r="A294" s="260"/>
      <c r="B294" s="98" t="s">
        <v>138</v>
      </c>
      <c r="C294" s="99" t="s">
        <v>600</v>
      </c>
      <c r="D294" s="100" t="s">
        <v>557</v>
      </c>
      <c r="E294" s="101">
        <v>45889</v>
      </c>
      <c r="F294" s="102">
        <f t="shared" si="9"/>
        <v>0</v>
      </c>
      <c r="G294" s="150">
        <f>SUMIF(积分汇总!$B:$B,C294,积分汇总!$E:$E)</f>
        <v>0</v>
      </c>
      <c r="H294" s="150">
        <f>SUMIF(记录巡查问题条数汇总!$B:$B,C294,记录巡查问题条数汇总!$E:$E)</f>
        <v>0</v>
      </c>
      <c r="I294" s="150"/>
      <c r="J294" s="150">
        <f>SUMIF(安全质量事故!$B:$B,C294,安全质量事故!$G:$G)</f>
        <v>0</v>
      </c>
      <c r="K294" s="141">
        <f>COUNTIF(L294:AP294,标准数据!$A$2)*标准数据!$B$2+COUNTIF(L294:AP294,标准数据!$A$3)*标准数据!$B$3+COUNTIF(L294:AP294,标准数据!$A$4)*标准数据!$B$4</f>
        <v>0</v>
      </c>
      <c r="L294" s="109"/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109"/>
      <c r="Y294" s="109"/>
      <c r="Z294" s="109"/>
      <c r="AA294" s="109"/>
      <c r="AB294" s="109"/>
      <c r="AC294" s="109"/>
      <c r="AD294" s="109"/>
      <c r="AE294" s="109"/>
      <c r="AF294" s="109"/>
      <c r="AG294" s="109"/>
      <c r="AH294" s="109"/>
      <c r="AI294" s="109"/>
      <c r="AJ294" s="109"/>
      <c r="AK294" s="109"/>
      <c r="AL294" s="109"/>
      <c r="AM294" s="109"/>
      <c r="AN294" s="109"/>
      <c r="AO294" s="109"/>
      <c r="AP294" s="109"/>
      <c r="AQ294" s="94"/>
      <c r="AR294" s="94"/>
      <c r="AS294" s="94"/>
      <c r="AT294" s="149" t="s">
        <v>557</v>
      </c>
      <c r="AU294" s="94" t="s">
        <v>1829</v>
      </c>
    </row>
    <row r="295" spans="1:47" ht="21" customHeight="1" x14ac:dyDescent="0.35">
      <c r="A295" s="260"/>
      <c r="B295" s="98" t="s">
        <v>138</v>
      </c>
      <c r="C295" s="99" t="s">
        <v>432</v>
      </c>
      <c r="D295" s="100" t="s">
        <v>424</v>
      </c>
      <c r="E295" s="101">
        <v>45770</v>
      </c>
      <c r="F295" s="102">
        <f t="shared" si="9"/>
        <v>0</v>
      </c>
      <c r="G295" s="150">
        <f>SUMIF(积分汇总!$B:$B,C295,积分汇总!$E:$E)</f>
        <v>0</v>
      </c>
      <c r="H295" s="150">
        <f>SUMIF(记录巡查问题条数汇总!$B:$B,C295,记录巡查问题条数汇总!$E:$E)</f>
        <v>0</v>
      </c>
      <c r="I295" s="150"/>
      <c r="J295" s="150">
        <f>SUMIF(安全质量事故!$B:$B,C295,安全质量事故!$G:$G)</f>
        <v>0</v>
      </c>
      <c r="K295" s="141">
        <f>COUNTIF(L295:AP295,标准数据!$A$2)*标准数据!$B$2+COUNTIF(L295:AP295,标准数据!$A$3)*标准数据!$B$3+COUNTIF(L295:AP295,标准数据!$A$4)*标准数据!$B$4</f>
        <v>0</v>
      </c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109"/>
      <c r="Y295" s="109"/>
      <c r="Z295" s="109"/>
      <c r="AA295" s="109"/>
      <c r="AB295" s="109"/>
      <c r="AC295" s="109"/>
      <c r="AD295" s="109"/>
      <c r="AE295" s="109"/>
      <c r="AF295" s="109"/>
      <c r="AG295" s="109"/>
      <c r="AH295" s="109"/>
      <c r="AI295" s="109"/>
      <c r="AJ295" s="109"/>
      <c r="AK295" s="109"/>
      <c r="AL295" s="109"/>
      <c r="AM295" s="109"/>
      <c r="AN295" s="109"/>
      <c r="AO295" s="109"/>
      <c r="AP295" s="109"/>
      <c r="AQ295" s="94"/>
      <c r="AR295" s="94"/>
      <c r="AS295" s="94"/>
      <c r="AT295" s="149" t="s">
        <v>424</v>
      </c>
      <c r="AU295" s="94" t="s">
        <v>1829</v>
      </c>
    </row>
    <row r="296" spans="1:47" ht="21" customHeight="1" x14ac:dyDescent="0.35">
      <c r="A296" s="260"/>
      <c r="B296" s="98" t="s">
        <v>138</v>
      </c>
      <c r="C296" s="107" t="s">
        <v>790</v>
      </c>
      <c r="D296" s="100" t="s">
        <v>750</v>
      </c>
      <c r="E296" s="101">
        <v>45840</v>
      </c>
      <c r="F296" s="102">
        <f t="shared" si="9"/>
        <v>0</v>
      </c>
      <c r="G296" s="150">
        <f>SUMIF(积分汇总!$B:$B,C296,积分汇总!$E:$E)</f>
        <v>0</v>
      </c>
      <c r="H296" s="150">
        <f>SUMIF(记录巡查问题条数汇总!$B:$B,C296,记录巡查问题条数汇总!$E:$E)</f>
        <v>0</v>
      </c>
      <c r="I296" s="150"/>
      <c r="J296" s="150">
        <f>SUMIF(安全质量事故!$B:$B,C296,安全质量事故!$G:$G)</f>
        <v>0</v>
      </c>
      <c r="K296" s="141">
        <f>COUNTIF(L296:AP296,标准数据!$A$2)*标准数据!$B$2+COUNTIF(L296:AP296,标准数据!$A$3)*标准数据!$B$3+COUNTIF(L296:AP296,标准数据!$A$4)*标准数据!$B$4</f>
        <v>0</v>
      </c>
      <c r="L296" s="109"/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109"/>
      <c r="Y296" s="109"/>
      <c r="Z296" s="109"/>
      <c r="AA296" s="109"/>
      <c r="AB296" s="109"/>
      <c r="AC296" s="109"/>
      <c r="AD296" s="109"/>
      <c r="AE296" s="109"/>
      <c r="AF296" s="109"/>
      <c r="AG296" s="109"/>
      <c r="AH296" s="109"/>
      <c r="AI296" s="109"/>
      <c r="AJ296" s="109"/>
      <c r="AK296" s="109"/>
      <c r="AL296" s="109"/>
      <c r="AM296" s="109"/>
      <c r="AN296" s="109"/>
      <c r="AO296" s="109"/>
      <c r="AP296" s="109"/>
      <c r="AT296" s="149" t="s">
        <v>750</v>
      </c>
      <c r="AU296" s="94" t="s">
        <v>1825</v>
      </c>
    </row>
    <row r="297" spans="1:47" ht="21" customHeight="1" x14ac:dyDescent="0.35">
      <c r="A297" s="260"/>
      <c r="B297" s="98" t="s">
        <v>138</v>
      </c>
      <c r="C297" s="107" t="s">
        <v>791</v>
      </c>
      <c r="D297" s="100" t="s">
        <v>752</v>
      </c>
      <c r="E297" s="101">
        <v>45847</v>
      </c>
      <c r="F297" s="102">
        <f t="shared" si="9"/>
        <v>0</v>
      </c>
      <c r="G297" s="150">
        <f>SUMIF(积分汇总!$B:$B,C297,积分汇总!$E:$E)</f>
        <v>0</v>
      </c>
      <c r="H297" s="150">
        <f>SUMIF(记录巡查问题条数汇总!$B:$B,C297,记录巡查问题条数汇总!$E:$E)</f>
        <v>0</v>
      </c>
      <c r="I297" s="150"/>
      <c r="J297" s="150">
        <f>SUMIF(安全质量事故!$B:$B,C297,安全质量事故!$G:$G)</f>
        <v>0</v>
      </c>
      <c r="K297" s="141">
        <f>COUNTIF(L297:AP297,标准数据!$A$2)*标准数据!$B$2+COUNTIF(L297:AP297,标准数据!$A$3)*标准数据!$B$3+COUNTIF(L297:AP297,标准数据!$A$4)*标准数据!$B$4</f>
        <v>0</v>
      </c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109"/>
      <c r="Y297" s="109"/>
      <c r="Z297" s="109"/>
      <c r="AA297" s="109"/>
      <c r="AB297" s="109"/>
      <c r="AC297" s="109"/>
      <c r="AD297" s="109"/>
      <c r="AE297" s="109"/>
      <c r="AF297" s="109"/>
      <c r="AG297" s="109"/>
      <c r="AH297" s="109"/>
      <c r="AI297" s="109"/>
      <c r="AJ297" s="109"/>
      <c r="AK297" s="109"/>
      <c r="AL297" s="109"/>
      <c r="AM297" s="109"/>
      <c r="AN297" s="109"/>
      <c r="AO297" s="109"/>
      <c r="AP297" s="109"/>
      <c r="AQ297" s="212" t="s">
        <v>1623</v>
      </c>
      <c r="AT297" s="149" t="s">
        <v>752</v>
      </c>
      <c r="AU297" s="94" t="s">
        <v>1825</v>
      </c>
    </row>
    <row r="298" spans="1:47" ht="21" customHeight="1" x14ac:dyDescent="0.35">
      <c r="A298" s="260"/>
      <c r="B298" s="98" t="s">
        <v>17</v>
      </c>
      <c r="C298" s="99" t="s">
        <v>191</v>
      </c>
      <c r="D298" s="100" t="s">
        <v>156</v>
      </c>
      <c r="E298" s="101">
        <v>45252</v>
      </c>
      <c r="F298" s="102">
        <f t="shared" si="9"/>
        <v>0</v>
      </c>
      <c r="G298" s="150">
        <f>SUMIF(积分汇总!$B:$B,C298,积分汇总!$E:$E)</f>
        <v>0</v>
      </c>
      <c r="H298" s="150">
        <f>SUMIF(记录巡查问题条数汇总!$B:$B,C298,记录巡查问题条数汇总!$E:$E)</f>
        <v>0</v>
      </c>
      <c r="I298" s="150"/>
      <c r="J298" s="150">
        <f>SUMIF(安全质量事故!$B:$B,C298,安全质量事故!$G:$G)</f>
        <v>0</v>
      </c>
      <c r="K298" s="141">
        <f>COUNTIF(L298:AP298,标准数据!$A$2)*标准数据!$B$2+COUNTIF(L298:AP298,标准数据!$A$3)*标准数据!$B$3+COUNTIF(L298:AP298,标准数据!$A$4)*标准数据!$B$4</f>
        <v>0</v>
      </c>
      <c r="L298" s="109"/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109"/>
      <c r="Y298" s="109"/>
      <c r="Z298" s="109"/>
      <c r="AA298" s="109"/>
      <c r="AB298" s="109"/>
      <c r="AC298" s="109"/>
      <c r="AD298" s="109"/>
      <c r="AE298" s="109"/>
      <c r="AF298" s="109"/>
      <c r="AG298" s="109"/>
      <c r="AH298" s="109"/>
      <c r="AI298" s="109"/>
      <c r="AJ298" s="109"/>
      <c r="AK298" s="109"/>
      <c r="AL298" s="109"/>
      <c r="AM298" s="109"/>
      <c r="AN298" s="109"/>
      <c r="AO298" s="109"/>
      <c r="AP298" s="109"/>
      <c r="AT298" s="149" t="s">
        <v>156</v>
      </c>
      <c r="AU298" s="94" t="s">
        <v>1825</v>
      </c>
    </row>
    <row r="299" spans="1:47" ht="21" customHeight="1" x14ac:dyDescent="0.35">
      <c r="A299" s="259" t="s">
        <v>376</v>
      </c>
      <c r="B299" s="98" t="s">
        <v>529</v>
      </c>
      <c r="C299" s="99" t="s">
        <v>530</v>
      </c>
      <c r="D299" s="100" t="s">
        <v>477</v>
      </c>
      <c r="E299" s="101">
        <v>45833</v>
      </c>
      <c r="F299" s="102">
        <f t="shared" si="9"/>
        <v>0</v>
      </c>
      <c r="G299" s="150">
        <f>SUMIF(积分汇总!$B:$B,C299,积分汇总!$E:$E)</f>
        <v>0</v>
      </c>
      <c r="H299" s="150">
        <f>SUMIF(记录巡查问题条数汇总!$B:$B,C299,记录巡查问题条数汇总!$E:$E)</f>
        <v>0</v>
      </c>
      <c r="I299" s="150"/>
      <c r="J299" s="150">
        <f>SUMIF(安全质量事故!$B:$B,C299,安全质量事故!$G:$G)</f>
        <v>0</v>
      </c>
      <c r="K299" s="141">
        <f>COUNTIF(L299:AP299,标准数据!$A$2)*标准数据!$B$2+COUNTIF(L299:AP299,标准数据!$A$3)*标准数据!$B$3+COUNTIF(L299:AP299,标准数据!$A$4)*标准数据!$B$4</f>
        <v>0</v>
      </c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109"/>
      <c r="Y299" s="109"/>
      <c r="Z299" s="109"/>
      <c r="AA299" s="109"/>
      <c r="AB299" s="109"/>
      <c r="AC299" s="109"/>
      <c r="AD299" s="109"/>
      <c r="AE299" s="109"/>
      <c r="AF299" s="109"/>
      <c r="AG299" s="109"/>
      <c r="AH299" s="109"/>
      <c r="AI299" s="109"/>
      <c r="AJ299" s="109"/>
      <c r="AK299" s="109"/>
      <c r="AL299" s="109"/>
      <c r="AM299" s="109"/>
      <c r="AN299" s="109"/>
      <c r="AO299" s="109"/>
      <c r="AP299" s="109"/>
      <c r="AQ299" s="251" t="s">
        <v>1143</v>
      </c>
      <c r="AR299" s="251"/>
      <c r="AS299" s="252"/>
      <c r="AT299" s="149" t="s">
        <v>477</v>
      </c>
      <c r="AU299" s="94" t="s">
        <v>1831</v>
      </c>
    </row>
    <row r="300" spans="1:47" ht="21" customHeight="1" x14ac:dyDescent="0.35">
      <c r="A300" s="259"/>
      <c r="B300" s="98" t="s">
        <v>89</v>
      </c>
      <c r="C300" s="99" t="s">
        <v>820</v>
      </c>
      <c r="D300" s="100" t="s">
        <v>741</v>
      </c>
      <c r="E300" s="101">
        <v>45971</v>
      </c>
      <c r="F300" s="102">
        <f t="shared" si="9"/>
        <v>0</v>
      </c>
      <c r="G300" s="150">
        <f>SUMIF(积分汇总!$B:$B,C300,积分汇总!$E:$E)</f>
        <v>0</v>
      </c>
      <c r="H300" s="150">
        <f>SUMIF(记录巡查问题条数汇总!$B:$B,C300,记录巡查问题条数汇总!$E:$E)</f>
        <v>0</v>
      </c>
      <c r="I300" s="150"/>
      <c r="J300" s="150">
        <f>SUMIF(安全质量事故!$B:$B,C300,安全质量事故!$G:$G)</f>
        <v>0</v>
      </c>
      <c r="K300" s="141">
        <f>COUNTIF(L300:AP300,标准数据!$A$2)*标准数据!$B$2+COUNTIF(L300:AP300,标准数据!$A$3)*标准数据!$B$3+COUNTIF(L300:AP300,标准数据!$A$4)*标准数据!$B$4</f>
        <v>0</v>
      </c>
      <c r="L300" s="109"/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109"/>
      <c r="Y300" s="109"/>
      <c r="Z300" s="109"/>
      <c r="AA300" s="109"/>
      <c r="AB300" s="109"/>
      <c r="AC300" s="109"/>
      <c r="AD300" s="109"/>
      <c r="AE300" s="109"/>
      <c r="AF300" s="109"/>
      <c r="AG300" s="109"/>
      <c r="AH300" s="109"/>
      <c r="AI300" s="109"/>
      <c r="AJ300" s="109"/>
      <c r="AK300" s="109"/>
      <c r="AL300" s="109"/>
      <c r="AM300" s="109"/>
      <c r="AN300" s="109"/>
      <c r="AO300" s="109"/>
      <c r="AP300" s="109"/>
      <c r="AQ300" s="96" t="s">
        <v>1138</v>
      </c>
      <c r="AR300" s="97" t="s">
        <v>1134</v>
      </c>
      <c r="AS300" s="97" t="s">
        <v>1144</v>
      </c>
      <c r="AT300" s="149" t="s">
        <v>741</v>
      </c>
      <c r="AU300" s="94" t="s">
        <v>1831</v>
      </c>
    </row>
    <row r="301" spans="1:47" ht="21" customHeight="1" x14ac:dyDescent="0.35">
      <c r="A301" s="259"/>
      <c r="B301" s="98" t="s">
        <v>89</v>
      </c>
      <c r="C301" s="99" t="s">
        <v>1024</v>
      </c>
      <c r="D301" s="105" t="s">
        <v>966</v>
      </c>
      <c r="E301" s="99">
        <v>46034</v>
      </c>
      <c r="F301" s="102">
        <f t="shared" si="9"/>
        <v>0</v>
      </c>
      <c r="G301" s="150">
        <f>SUMIF(积分汇总!$B:$B,C301,积分汇总!$E:$E)</f>
        <v>0</v>
      </c>
      <c r="H301" s="150">
        <f>SUMIF(记录巡查问题条数汇总!$B:$B,C301,记录巡查问题条数汇总!$E:$E)</f>
        <v>0</v>
      </c>
      <c r="I301" s="150"/>
      <c r="J301" s="150">
        <f>SUMIF(安全质量事故!$B:$B,C301,安全质量事故!$G:$G)</f>
        <v>0</v>
      </c>
      <c r="K301" s="141">
        <f>COUNTIF(L301:AP301,标准数据!$A$2)*标准数据!$B$2+COUNTIF(L301:AP301,标准数据!$A$3)*标准数据!$B$3+COUNTIF(L301:AP301,标准数据!$A$4)*标准数据!$B$4</f>
        <v>0</v>
      </c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109"/>
      <c r="Y301" s="109"/>
      <c r="Z301" s="109"/>
      <c r="AA301" s="109"/>
      <c r="AB301" s="109"/>
      <c r="AC301" s="109"/>
      <c r="AD301" s="109"/>
      <c r="AE301" s="109"/>
      <c r="AF301" s="109"/>
      <c r="AG301" s="109"/>
      <c r="AH301" s="109"/>
      <c r="AI301" s="109"/>
      <c r="AJ301" s="109"/>
      <c r="AK301" s="109"/>
      <c r="AL301" s="109"/>
      <c r="AM301" s="109"/>
      <c r="AN301" s="109"/>
      <c r="AO301" s="109"/>
      <c r="AP301" s="109"/>
      <c r="AQ301" s="117">
        <f>COUNTIF($L$299:$AP$349,"a")</f>
        <v>0</v>
      </c>
      <c r="AR301" s="117">
        <f>COUNTIF($L$299:$AP$349,"b")</f>
        <v>0</v>
      </c>
      <c r="AS301" s="117">
        <f>COUNTIF($L$299:$AP$349,"c")</f>
        <v>0</v>
      </c>
      <c r="AT301" s="149" t="s">
        <v>966</v>
      </c>
      <c r="AU301" s="94" t="s">
        <v>1831</v>
      </c>
    </row>
    <row r="302" spans="1:47" ht="21" customHeight="1" x14ac:dyDescent="0.35">
      <c r="A302" s="259"/>
      <c r="B302" s="98" t="s">
        <v>166</v>
      </c>
      <c r="C302" s="99" t="s">
        <v>427</v>
      </c>
      <c r="D302" s="100" t="s">
        <v>421</v>
      </c>
      <c r="E302" s="101">
        <v>38803</v>
      </c>
      <c r="F302" s="102">
        <f t="shared" si="9"/>
        <v>0</v>
      </c>
      <c r="G302" s="150">
        <f>SUMIF(积分汇总!$B:$B,C302,积分汇总!$E:$E)</f>
        <v>0</v>
      </c>
      <c r="H302" s="150">
        <f>SUMIF(记录巡查问题条数汇总!$B:$B,C302,记录巡查问题条数汇总!$E:$E)</f>
        <v>0</v>
      </c>
      <c r="I302" s="150"/>
      <c r="J302" s="150">
        <f>SUMIF(安全质量事故!$B:$B,C302,安全质量事故!$G:$G)</f>
        <v>0</v>
      </c>
      <c r="K302" s="141">
        <f>COUNTIF(L302:AP302,标准数据!$A$2)*标准数据!$B$2+COUNTIF(L302:AP302,标准数据!$A$3)*标准数据!$B$3+COUNTIF(L302:AP302,标准数据!$A$4)*标准数据!$B$4</f>
        <v>0</v>
      </c>
      <c r="L302" s="109"/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109"/>
      <c r="Y302" s="109"/>
      <c r="Z302" s="109"/>
      <c r="AA302" s="109"/>
      <c r="AB302" s="109"/>
      <c r="AC302" s="109"/>
      <c r="AD302" s="109"/>
      <c r="AE302" s="109"/>
      <c r="AF302" s="109"/>
      <c r="AG302" s="109"/>
      <c r="AH302" s="109"/>
      <c r="AI302" s="109"/>
      <c r="AJ302" s="109"/>
      <c r="AK302" s="109"/>
      <c r="AL302" s="109"/>
      <c r="AM302" s="109"/>
      <c r="AN302" s="109"/>
      <c r="AO302" s="109"/>
      <c r="AP302" s="109"/>
      <c r="AQ302" s="103" t="e">
        <f>AQ301/($AQ$301+$AR$301+$AS$301)</f>
        <v>#DIV/0!</v>
      </c>
      <c r="AR302" s="113" t="e">
        <f>AR301/($AQ$301+$AR$301+$AS$301)</f>
        <v>#DIV/0!</v>
      </c>
      <c r="AS302" s="113" t="e">
        <f>AS301/($AQ$301+$AR$301+$AS$301)</f>
        <v>#DIV/0!</v>
      </c>
      <c r="AT302" s="149" t="s">
        <v>421</v>
      </c>
      <c r="AU302" s="94" t="s">
        <v>1831</v>
      </c>
    </row>
    <row r="303" spans="1:47" ht="21" customHeight="1" x14ac:dyDescent="0.35">
      <c r="A303" s="259"/>
      <c r="B303" s="98" t="s">
        <v>140</v>
      </c>
      <c r="C303" s="99" t="s">
        <v>377</v>
      </c>
      <c r="D303" s="100" t="s">
        <v>372</v>
      </c>
      <c r="E303" s="101">
        <v>42508</v>
      </c>
      <c r="F303" s="102">
        <f t="shared" si="9"/>
        <v>0</v>
      </c>
      <c r="G303" s="150">
        <f>SUMIF(积分汇总!$B:$B,C303,积分汇总!$E:$E)</f>
        <v>0</v>
      </c>
      <c r="H303" s="150">
        <f>SUMIF(记录巡查问题条数汇总!$B:$B,C303,记录巡查问题条数汇总!$E:$E)</f>
        <v>0</v>
      </c>
      <c r="I303" s="150"/>
      <c r="J303" s="150">
        <f>SUMIF(安全质量事故!$B:$B,C303,安全质量事故!$G:$G)</f>
        <v>0</v>
      </c>
      <c r="K303" s="141">
        <f>COUNTIF(L303:AP303,标准数据!$A$2)*标准数据!$B$2+COUNTIF(L303:AP303,标准数据!$A$3)*标准数据!$B$3+COUNTIF(L303:AP303,标准数据!$A$4)*标准数据!$B$4</f>
        <v>0</v>
      </c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0"/>
      <c r="AC303" s="109"/>
      <c r="AD303" s="109"/>
      <c r="AE303" s="100"/>
      <c r="AF303" s="100"/>
      <c r="AG303" s="100"/>
      <c r="AH303" s="100"/>
      <c r="AI303" s="100"/>
      <c r="AJ303" s="100"/>
      <c r="AK303" s="185"/>
      <c r="AL303" s="185"/>
      <c r="AM303" s="100"/>
      <c r="AN303" s="185"/>
      <c r="AO303" s="185"/>
      <c r="AP303" s="100"/>
      <c r="AQ303" s="94"/>
      <c r="AR303" s="94"/>
      <c r="AS303" s="94"/>
      <c r="AT303" s="149" t="s">
        <v>372</v>
      </c>
      <c r="AU303" s="94" t="s">
        <v>1831</v>
      </c>
    </row>
    <row r="304" spans="1:47" ht="21" customHeight="1" x14ac:dyDescent="0.35">
      <c r="A304" s="259"/>
      <c r="B304" s="98" t="s">
        <v>140</v>
      </c>
      <c r="C304" s="99" t="s">
        <v>428</v>
      </c>
      <c r="D304" s="100" t="s">
        <v>422</v>
      </c>
      <c r="E304" s="101">
        <v>43003</v>
      </c>
      <c r="F304" s="102">
        <f t="shared" si="9"/>
        <v>0</v>
      </c>
      <c r="G304" s="150">
        <f>SUMIF(积分汇总!$B:$B,C304,积分汇总!$E:$E)</f>
        <v>0</v>
      </c>
      <c r="H304" s="150">
        <f>SUMIF(记录巡查问题条数汇总!$B:$B,C304,记录巡查问题条数汇总!$E:$E)</f>
        <v>0</v>
      </c>
      <c r="I304" s="150"/>
      <c r="J304" s="150">
        <f>SUMIF(安全质量事故!$B:$B,C304,安全质量事故!$G:$G)</f>
        <v>0</v>
      </c>
      <c r="K304" s="141">
        <f>COUNTIF(L304:AP304,标准数据!$A$2)*标准数据!$B$2+COUNTIF(L304:AP304,标准数据!$A$3)*标准数据!$B$3+COUNTIF(L304:AP304,标准数据!$A$4)*标准数据!$B$4</f>
        <v>0</v>
      </c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  <c r="AB304" s="109"/>
      <c r="AC304" s="109"/>
      <c r="AD304" s="109"/>
      <c r="AE304" s="109"/>
      <c r="AF304" s="109"/>
      <c r="AG304" s="109"/>
      <c r="AH304" s="109"/>
      <c r="AI304" s="109"/>
      <c r="AJ304" s="109"/>
      <c r="AK304" s="109"/>
      <c r="AL304" s="109"/>
      <c r="AM304" s="109"/>
      <c r="AN304" s="109"/>
      <c r="AO304" s="109"/>
      <c r="AP304" s="109"/>
      <c r="AQ304" s="94"/>
      <c r="AR304" s="94"/>
      <c r="AS304" s="94"/>
      <c r="AT304" s="149" t="s">
        <v>422</v>
      </c>
      <c r="AU304" s="94" t="s">
        <v>1831</v>
      </c>
    </row>
    <row r="305" spans="1:47" ht="21" customHeight="1" x14ac:dyDescent="0.35">
      <c r="A305" s="259"/>
      <c r="B305" s="98" t="s">
        <v>140</v>
      </c>
      <c r="C305" s="99" t="s">
        <v>836</v>
      </c>
      <c r="D305" s="100" t="s">
        <v>423</v>
      </c>
      <c r="E305" s="101">
        <v>41855</v>
      </c>
      <c r="F305" s="102">
        <f t="shared" si="9"/>
        <v>0</v>
      </c>
      <c r="G305" s="150">
        <f>SUMIF(积分汇总!$B:$B,C305,积分汇总!$E:$E)</f>
        <v>0</v>
      </c>
      <c r="H305" s="150">
        <f>SUMIF(记录巡查问题条数汇总!$B:$B,C305,记录巡查问题条数汇总!$E:$E)</f>
        <v>0</v>
      </c>
      <c r="I305" s="150"/>
      <c r="J305" s="150">
        <f>SUMIF(安全质量事故!$B:$B,C305,安全质量事故!$G:$G)</f>
        <v>0</v>
      </c>
      <c r="K305" s="141">
        <f>COUNTIF(L305:AP305,标准数据!$A$2)*标准数据!$B$2+COUNTIF(L305:AP305,标准数据!$A$3)*标准数据!$B$3+COUNTIF(L305:AP305,标准数据!$A$4)*标准数据!$B$4</f>
        <v>0</v>
      </c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109"/>
      <c r="Y305" s="109"/>
      <c r="Z305" s="109"/>
      <c r="AA305" s="109"/>
      <c r="AB305" s="109"/>
      <c r="AC305" s="109"/>
      <c r="AD305" s="109"/>
      <c r="AE305" s="109"/>
      <c r="AF305" s="109"/>
      <c r="AG305" s="109"/>
      <c r="AH305" s="109"/>
      <c r="AI305" s="109"/>
      <c r="AJ305" s="109"/>
      <c r="AK305" s="109"/>
      <c r="AL305" s="109"/>
      <c r="AM305" s="109"/>
      <c r="AN305" s="109"/>
      <c r="AO305" s="109"/>
      <c r="AP305" s="109"/>
      <c r="AQ305" s="94"/>
      <c r="AT305" s="149" t="s">
        <v>423</v>
      </c>
      <c r="AU305" s="94" t="s">
        <v>1831</v>
      </c>
    </row>
    <row r="306" spans="1:47" ht="21" customHeight="1" x14ac:dyDescent="0.35">
      <c r="A306" s="259"/>
      <c r="B306" s="98" t="s">
        <v>140</v>
      </c>
      <c r="C306" s="214" t="s">
        <v>1744</v>
      </c>
      <c r="D306" s="216" t="s">
        <v>1745</v>
      </c>
      <c r="E306" s="217">
        <v>45994</v>
      </c>
      <c r="F306" s="102">
        <f t="shared" ref="F306:F324" si="11">(K306+G306+H306+I306-J306)</f>
        <v>0</v>
      </c>
      <c r="G306" s="150">
        <f>SUMIF(积分汇总!$B:$B,C306,积分汇总!$E:$E)</f>
        <v>0</v>
      </c>
      <c r="H306" s="150">
        <f>SUMIF(记录巡查问题条数汇总!$B:$B,C306,记录巡查问题条数汇总!$E:$E)</f>
        <v>0</v>
      </c>
      <c r="I306" s="150"/>
      <c r="J306" s="150">
        <f>SUMIF(安全质量事故!$B:$B,C306,安全质量事故!$G:$G)</f>
        <v>0</v>
      </c>
      <c r="K306" s="141">
        <f>COUNTIF(L306:AP306,标准数据!$A$2)*标准数据!$B$2+COUNTIF(L306:AP306,标准数据!$A$3)*标准数据!$B$3+COUNTIF(L306:AP306,标准数据!$A$4)*标准数据!$B$4</f>
        <v>0</v>
      </c>
      <c r="L306" s="224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109"/>
      <c r="Y306" s="109"/>
      <c r="Z306" s="109"/>
      <c r="AA306" s="109"/>
      <c r="AB306" s="109"/>
      <c r="AC306" s="109"/>
      <c r="AD306" s="109"/>
      <c r="AE306" s="109"/>
      <c r="AF306" s="109"/>
      <c r="AG306" s="109"/>
      <c r="AH306" s="109"/>
      <c r="AI306" s="109"/>
      <c r="AJ306" s="109"/>
      <c r="AK306" s="109"/>
      <c r="AL306" s="109"/>
      <c r="AM306" s="109"/>
      <c r="AN306" s="109"/>
      <c r="AO306" s="109"/>
      <c r="AP306" s="109"/>
      <c r="AQ306" s="175" t="s">
        <v>1746</v>
      </c>
      <c r="AT306" s="149" t="s">
        <v>1745</v>
      </c>
      <c r="AU306" s="94" t="s">
        <v>1831</v>
      </c>
    </row>
    <row r="307" spans="1:47" ht="21" customHeight="1" x14ac:dyDescent="0.35">
      <c r="A307" s="259"/>
      <c r="B307" s="98" t="s">
        <v>17</v>
      </c>
      <c r="C307" s="99" t="s">
        <v>441</v>
      </c>
      <c r="D307" s="100" t="s">
        <v>437</v>
      </c>
      <c r="E307" s="101">
        <v>45791</v>
      </c>
      <c r="F307" s="102">
        <f t="shared" si="11"/>
        <v>0</v>
      </c>
      <c r="G307" s="150">
        <f>SUMIF(积分汇总!$B:$B,C307,积分汇总!$E:$E)</f>
        <v>0</v>
      </c>
      <c r="H307" s="150">
        <f>SUMIF(记录巡查问题条数汇总!$B:$B,C307,记录巡查问题条数汇总!$E:$E)</f>
        <v>0</v>
      </c>
      <c r="I307" s="150"/>
      <c r="J307" s="150">
        <f>SUMIF(安全质量事故!$B:$B,C307,安全质量事故!$G:$G)</f>
        <v>0</v>
      </c>
      <c r="K307" s="141">
        <f>COUNTIF(L307:AP307,标准数据!$A$2)*标准数据!$B$2+COUNTIF(L307:AP307,标准数据!$A$3)*标准数据!$B$3+COUNTIF(L307:AP307,标准数据!$A$4)*标准数据!$B$4</f>
        <v>0</v>
      </c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109"/>
      <c r="Y307" s="109"/>
      <c r="Z307" s="109"/>
      <c r="AA307" s="109"/>
      <c r="AB307" s="109"/>
      <c r="AC307" s="109"/>
      <c r="AD307" s="109"/>
      <c r="AE307" s="109"/>
      <c r="AF307" s="109"/>
      <c r="AG307" s="109"/>
      <c r="AH307" s="109"/>
      <c r="AI307" s="109"/>
      <c r="AJ307" s="109"/>
      <c r="AK307" s="109"/>
      <c r="AL307" s="109"/>
      <c r="AM307" s="109"/>
      <c r="AN307" s="109"/>
      <c r="AO307" s="109"/>
      <c r="AP307" s="109"/>
      <c r="AQ307" s="94"/>
      <c r="AR307" s="94"/>
      <c r="AS307" s="94"/>
      <c r="AT307" s="149" t="s">
        <v>437</v>
      </c>
      <c r="AU307" s="94" t="s">
        <v>1831</v>
      </c>
    </row>
    <row r="308" spans="1:47" ht="21" customHeight="1" x14ac:dyDescent="0.35">
      <c r="A308" s="259"/>
      <c r="B308" s="98" t="s">
        <v>17</v>
      </c>
      <c r="C308" s="99" t="s">
        <v>447</v>
      </c>
      <c r="D308" s="100" t="s">
        <v>443</v>
      </c>
      <c r="E308" s="101">
        <v>45798</v>
      </c>
      <c r="F308" s="102">
        <f t="shared" si="11"/>
        <v>0</v>
      </c>
      <c r="G308" s="150">
        <f>SUMIF(积分汇总!$B:$B,C308,积分汇总!$E:$E)</f>
        <v>0</v>
      </c>
      <c r="H308" s="150">
        <f>SUMIF(记录巡查问题条数汇总!$B:$B,C308,记录巡查问题条数汇总!$E:$E)</f>
        <v>0</v>
      </c>
      <c r="I308" s="150"/>
      <c r="J308" s="150">
        <f>SUMIF(安全质量事故!$B:$B,C308,安全质量事故!$G:$G)</f>
        <v>0</v>
      </c>
      <c r="K308" s="141">
        <f>COUNTIF(L308:AP308,标准数据!$A$2)*标准数据!$B$2+COUNTIF(L308:AP308,标准数据!$A$3)*标准数据!$B$3+COUNTIF(L308:AP308,标准数据!$A$4)*标准数据!$B$4</f>
        <v>0</v>
      </c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109"/>
      <c r="Y308" s="109"/>
      <c r="Z308" s="185"/>
      <c r="AA308" s="109"/>
      <c r="AB308" s="109"/>
      <c r="AC308" s="109"/>
      <c r="AD308" s="109"/>
      <c r="AE308" s="109"/>
      <c r="AF308" s="109"/>
      <c r="AG308" s="109"/>
      <c r="AH308" s="109"/>
      <c r="AI308" s="100"/>
      <c r="AJ308" s="185"/>
      <c r="AK308" s="109"/>
      <c r="AL308" s="109"/>
      <c r="AM308" s="109"/>
      <c r="AN308" s="109"/>
      <c r="AO308" s="109"/>
      <c r="AP308" s="109"/>
      <c r="AQ308" s="94"/>
      <c r="AT308" s="149" t="s">
        <v>443</v>
      </c>
      <c r="AU308" s="94" t="s">
        <v>1831</v>
      </c>
    </row>
    <row r="309" spans="1:47" ht="21" customHeight="1" x14ac:dyDescent="0.35">
      <c r="A309" s="259"/>
      <c r="B309" s="98" t="s">
        <v>95</v>
      </c>
      <c r="C309" s="99" t="s">
        <v>463</v>
      </c>
      <c r="D309" s="105" t="s">
        <v>457</v>
      </c>
      <c r="E309" s="99">
        <v>45812</v>
      </c>
      <c r="F309" s="102">
        <f t="shared" si="11"/>
        <v>0</v>
      </c>
      <c r="G309" s="150">
        <f>SUMIF(积分汇总!$B:$B,C309,积分汇总!$E:$E)</f>
        <v>0</v>
      </c>
      <c r="H309" s="150">
        <f>SUMIF(记录巡查问题条数汇总!$B:$B,C309,记录巡查问题条数汇总!$E:$E)</f>
        <v>0</v>
      </c>
      <c r="I309" s="150"/>
      <c r="J309" s="150">
        <f>SUMIF(安全质量事故!$B:$B,C309,安全质量事故!$G:$G)</f>
        <v>0</v>
      </c>
      <c r="K309" s="141">
        <f>COUNTIF(L309:AP309,标准数据!$A$2)*标准数据!$B$2+COUNTIF(L309:AP309,标准数据!$A$3)*标准数据!$B$3+COUNTIF(L309:AP309,标准数据!$A$4)*标准数据!$B$4</f>
        <v>0</v>
      </c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109"/>
      <c r="Y309" s="109"/>
      <c r="Z309" s="109"/>
      <c r="AA309" s="109"/>
      <c r="AB309" s="109"/>
      <c r="AC309" s="109"/>
      <c r="AD309" s="109"/>
      <c r="AE309" s="109"/>
      <c r="AF309" s="109"/>
      <c r="AG309" s="109"/>
      <c r="AH309" s="109"/>
      <c r="AI309" s="109"/>
      <c r="AJ309" s="109"/>
      <c r="AK309" s="109"/>
      <c r="AL309" s="109"/>
      <c r="AM309" s="109"/>
      <c r="AN309" s="109"/>
      <c r="AO309" s="109"/>
      <c r="AP309" s="109"/>
      <c r="AQ309" s="94"/>
      <c r="AR309" s="94"/>
      <c r="AS309" s="94"/>
      <c r="AT309" s="149" t="s">
        <v>457</v>
      </c>
      <c r="AU309" s="94" t="s">
        <v>1831</v>
      </c>
    </row>
    <row r="310" spans="1:47" ht="21" customHeight="1" x14ac:dyDescent="0.35">
      <c r="A310" s="259"/>
      <c r="B310" s="98" t="s">
        <v>95</v>
      </c>
      <c r="C310" s="99" t="s">
        <v>387</v>
      </c>
      <c r="D310" s="100" t="s">
        <v>386</v>
      </c>
      <c r="E310" s="101">
        <v>45672</v>
      </c>
      <c r="F310" s="102">
        <f t="shared" si="11"/>
        <v>0</v>
      </c>
      <c r="G310" s="150">
        <f>SUMIF(积分汇总!$B:$B,C310,积分汇总!$E:$E)</f>
        <v>0</v>
      </c>
      <c r="H310" s="150">
        <f>SUMIF(记录巡查问题条数汇总!$B:$B,C310,记录巡查问题条数汇总!$E:$E)</f>
        <v>0</v>
      </c>
      <c r="I310" s="150"/>
      <c r="J310" s="150">
        <f>SUMIF(安全质量事故!$B:$B,C310,安全质量事故!$G:$G)</f>
        <v>0</v>
      </c>
      <c r="K310" s="141">
        <f>COUNTIF(L310:AP310,标准数据!$A$2)*标准数据!$B$2+COUNTIF(L310:AP310,标准数据!$A$3)*标准数据!$B$3+COUNTIF(L310:AP310,标准数据!$A$4)*标准数据!$B$4</f>
        <v>0</v>
      </c>
      <c r="L310" s="109"/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109"/>
      <c r="Y310" s="109"/>
      <c r="Z310" s="109"/>
      <c r="AA310" s="109"/>
      <c r="AB310" s="109"/>
      <c r="AC310" s="109"/>
      <c r="AD310" s="109"/>
      <c r="AE310" s="109"/>
      <c r="AF310" s="109"/>
      <c r="AG310" s="109"/>
      <c r="AH310" s="109"/>
      <c r="AI310" s="109"/>
      <c r="AJ310" s="185"/>
      <c r="AK310" s="185"/>
      <c r="AL310" s="185"/>
      <c r="AM310" s="185"/>
      <c r="AN310" s="185"/>
      <c r="AO310" s="185"/>
      <c r="AP310" s="185"/>
      <c r="AQ310" s="94"/>
      <c r="AR310" s="94"/>
      <c r="AS310" s="94"/>
      <c r="AT310" s="149" t="s">
        <v>386</v>
      </c>
      <c r="AU310" s="94" t="s">
        <v>1831</v>
      </c>
    </row>
    <row r="311" spans="1:47" ht="21" customHeight="1" x14ac:dyDescent="0.35">
      <c r="A311" s="259"/>
      <c r="B311" s="98" t="s">
        <v>17</v>
      </c>
      <c r="C311" s="99" t="s">
        <v>669</v>
      </c>
      <c r="D311" s="100" t="s">
        <v>624</v>
      </c>
      <c r="E311" s="101">
        <v>44389</v>
      </c>
      <c r="F311" s="102">
        <f t="shared" si="11"/>
        <v>0</v>
      </c>
      <c r="G311" s="150">
        <f>SUMIF(积分汇总!$B:$B,C311,积分汇总!$E:$E)</f>
        <v>0</v>
      </c>
      <c r="H311" s="150">
        <f>SUMIF(记录巡查问题条数汇总!$B:$B,C311,记录巡查问题条数汇总!$E:$E)</f>
        <v>0</v>
      </c>
      <c r="I311" s="150"/>
      <c r="J311" s="150">
        <f>SUMIF(安全质量事故!$B:$B,C311,安全质量事故!$G:$G)</f>
        <v>0</v>
      </c>
      <c r="K311" s="141">
        <f>COUNTIF(L311:AP311,标准数据!$A$2)*标准数据!$B$2+COUNTIF(L311:AP311,标准数据!$A$3)*标准数据!$B$3+COUNTIF(L311:AP311,标准数据!$A$4)*标准数据!$B$4</f>
        <v>0</v>
      </c>
      <c r="L311" s="185"/>
      <c r="M311" s="185"/>
      <c r="N311" s="109"/>
      <c r="O311" s="185"/>
      <c r="P311" s="185"/>
      <c r="Q311" s="185"/>
      <c r="R311" s="185"/>
      <c r="S311" s="185"/>
      <c r="T311" s="185"/>
      <c r="U311" s="109"/>
      <c r="V311" s="185"/>
      <c r="W311" s="185"/>
      <c r="X311" s="185"/>
      <c r="Y311" s="185"/>
      <c r="Z311" s="185"/>
      <c r="AA311" s="185"/>
      <c r="AB311" s="109"/>
      <c r="AC311" s="185"/>
      <c r="AD311" s="185"/>
      <c r="AE311" s="185"/>
      <c r="AF311" s="185"/>
      <c r="AG311" s="185"/>
      <c r="AH311" s="109"/>
      <c r="AI311" s="185"/>
      <c r="AJ311" s="185"/>
      <c r="AK311" s="185"/>
      <c r="AL311" s="185"/>
      <c r="AM311" s="109"/>
      <c r="AN311" s="185"/>
      <c r="AO311" s="185"/>
      <c r="AP311" s="109"/>
      <c r="AQ311" s="94"/>
      <c r="AR311" s="94"/>
      <c r="AS311" s="94"/>
      <c r="AT311" s="149" t="s">
        <v>624</v>
      </c>
      <c r="AU311" s="94" t="s">
        <v>1831</v>
      </c>
    </row>
    <row r="312" spans="1:47" ht="21" customHeight="1" x14ac:dyDescent="0.35">
      <c r="A312" s="259"/>
      <c r="B312" s="98" t="s">
        <v>17</v>
      </c>
      <c r="C312" s="99" t="s">
        <v>670</v>
      </c>
      <c r="D312" s="100" t="s">
        <v>625</v>
      </c>
      <c r="E312" s="101">
        <v>45908</v>
      </c>
      <c r="F312" s="102">
        <f t="shared" si="11"/>
        <v>0</v>
      </c>
      <c r="G312" s="150">
        <f>SUMIF(积分汇总!$B:$B,C312,积分汇总!$E:$E)</f>
        <v>0</v>
      </c>
      <c r="H312" s="150">
        <f>SUMIF(记录巡查问题条数汇总!$B:$B,C312,记录巡查问题条数汇总!$E:$E)</f>
        <v>0</v>
      </c>
      <c r="I312" s="150"/>
      <c r="J312" s="150">
        <f>SUMIF(安全质量事故!$B:$B,C312,安全质量事故!$G:$G)</f>
        <v>0</v>
      </c>
      <c r="K312" s="141">
        <f>COUNTIF(L312:AP312,标准数据!$A$2)*标准数据!$B$2+COUNTIF(L312:AP312,标准数据!$A$3)*标准数据!$B$3+COUNTIF(L312:AP312,标准数据!$A$4)*标准数据!$B$4</f>
        <v>0</v>
      </c>
      <c r="L312" s="185"/>
      <c r="M312" s="185"/>
      <c r="N312" s="109"/>
      <c r="O312" s="185"/>
      <c r="P312" s="185"/>
      <c r="Q312" s="185"/>
      <c r="R312" s="185"/>
      <c r="S312" s="185"/>
      <c r="T312" s="185"/>
      <c r="U312" s="109"/>
      <c r="V312" s="185"/>
      <c r="W312" s="185"/>
      <c r="X312" s="185"/>
      <c r="Y312" s="185"/>
      <c r="Z312" s="185"/>
      <c r="AA312" s="185"/>
      <c r="AB312" s="109"/>
      <c r="AC312" s="185"/>
      <c r="AD312" s="185"/>
      <c r="AE312" s="185"/>
      <c r="AF312" s="185"/>
      <c r="AG312" s="185"/>
      <c r="AH312" s="109"/>
      <c r="AI312" s="185"/>
      <c r="AJ312" s="185"/>
      <c r="AK312" s="185"/>
      <c r="AL312" s="185"/>
      <c r="AM312" s="109"/>
      <c r="AN312" s="185"/>
      <c r="AO312" s="185"/>
      <c r="AP312" s="109"/>
      <c r="AQ312" s="94"/>
      <c r="AR312" s="94"/>
      <c r="AS312" s="94"/>
      <c r="AT312" s="149" t="s">
        <v>625</v>
      </c>
      <c r="AU312" s="94" t="s">
        <v>1831</v>
      </c>
    </row>
    <row r="313" spans="1:47" ht="21" customHeight="1" x14ac:dyDescent="0.35">
      <c r="A313" s="259"/>
      <c r="B313" s="98" t="s">
        <v>17</v>
      </c>
      <c r="C313" s="99" t="s">
        <v>671</v>
      </c>
      <c r="D313" s="100" t="s">
        <v>626</v>
      </c>
      <c r="E313" s="101">
        <v>45910</v>
      </c>
      <c r="F313" s="102">
        <f t="shared" si="11"/>
        <v>0</v>
      </c>
      <c r="G313" s="150">
        <f>SUMIF(积分汇总!$B:$B,C313,积分汇总!$E:$E)</f>
        <v>0</v>
      </c>
      <c r="H313" s="150">
        <f>SUMIF(记录巡查问题条数汇总!$B:$B,C313,记录巡查问题条数汇总!$E:$E)</f>
        <v>0</v>
      </c>
      <c r="I313" s="150"/>
      <c r="J313" s="150">
        <f>SUMIF(安全质量事故!$B:$B,C313,安全质量事故!$G:$G)</f>
        <v>0</v>
      </c>
      <c r="K313" s="141">
        <f>COUNTIF(L313:AP313,标准数据!$A$2)*标准数据!$B$2+COUNTIF(L313:AP313,标准数据!$A$3)*标准数据!$B$3+COUNTIF(L313:AP313,标准数据!$A$4)*标准数据!$B$4</f>
        <v>0</v>
      </c>
      <c r="L313" s="185"/>
      <c r="M313" s="185"/>
      <c r="N313" s="109"/>
      <c r="O313" s="185"/>
      <c r="P313" s="185"/>
      <c r="Q313" s="185"/>
      <c r="R313" s="185"/>
      <c r="S313" s="185"/>
      <c r="T313" s="185"/>
      <c r="U313" s="109"/>
      <c r="V313" s="185"/>
      <c r="W313" s="185"/>
      <c r="X313" s="185"/>
      <c r="Y313" s="185"/>
      <c r="Z313" s="185"/>
      <c r="AA313" s="185"/>
      <c r="AB313" s="109"/>
      <c r="AC313" s="185"/>
      <c r="AD313" s="185"/>
      <c r="AE313" s="185"/>
      <c r="AF313" s="185"/>
      <c r="AG313" s="185"/>
      <c r="AH313" s="109"/>
      <c r="AI313" s="185"/>
      <c r="AJ313" s="185"/>
      <c r="AK313" s="185"/>
      <c r="AL313" s="185"/>
      <c r="AM313" s="109"/>
      <c r="AN313" s="185"/>
      <c r="AO313" s="185"/>
      <c r="AP313" s="109"/>
      <c r="AQ313" s="94"/>
      <c r="AR313" s="94"/>
      <c r="AS313" s="94"/>
      <c r="AT313" s="149" t="s">
        <v>626</v>
      </c>
      <c r="AU313" s="94" t="s">
        <v>1831</v>
      </c>
    </row>
    <row r="314" spans="1:47" ht="21" customHeight="1" x14ac:dyDescent="0.35">
      <c r="A314" s="259"/>
      <c r="B314" s="98" t="s">
        <v>17</v>
      </c>
      <c r="C314" s="99" t="s">
        <v>725</v>
      </c>
      <c r="D314" s="100" t="s">
        <v>706</v>
      </c>
      <c r="E314" s="101">
        <v>45924</v>
      </c>
      <c r="F314" s="102">
        <f t="shared" si="11"/>
        <v>0</v>
      </c>
      <c r="G314" s="150">
        <f>SUMIF(积分汇总!$B:$B,C314,积分汇总!$E:$E)</f>
        <v>0</v>
      </c>
      <c r="H314" s="150">
        <f>SUMIF(记录巡查问题条数汇总!$B:$B,C314,记录巡查问题条数汇总!$E:$E)</f>
        <v>0</v>
      </c>
      <c r="I314" s="150"/>
      <c r="J314" s="150">
        <f>SUMIF(安全质量事故!$B:$B,C314,安全质量事故!$G:$G)</f>
        <v>0</v>
      </c>
      <c r="K314" s="141">
        <f>COUNTIF(L314:AP314,标准数据!$A$2)*标准数据!$B$2+COUNTIF(L314:AP314,标准数据!$A$3)*标准数据!$B$3+COUNTIF(L314:AP314,标准数据!$A$4)*标准数据!$B$4</f>
        <v>0</v>
      </c>
      <c r="L314" s="185"/>
      <c r="M314" s="185"/>
      <c r="N314" s="109"/>
      <c r="O314" s="185"/>
      <c r="P314" s="185"/>
      <c r="Q314" s="185"/>
      <c r="R314" s="185"/>
      <c r="S314" s="185"/>
      <c r="T314" s="185"/>
      <c r="U314" s="109"/>
      <c r="V314" s="185"/>
      <c r="W314" s="185"/>
      <c r="X314" s="185"/>
      <c r="Y314" s="185"/>
      <c r="Z314" s="185"/>
      <c r="AA314" s="185"/>
      <c r="AB314" s="109"/>
      <c r="AC314" s="185"/>
      <c r="AD314" s="185"/>
      <c r="AE314" s="185"/>
      <c r="AF314" s="185"/>
      <c r="AG314" s="185"/>
      <c r="AH314" s="109"/>
      <c r="AI314" s="185"/>
      <c r="AJ314" s="185"/>
      <c r="AK314" s="185"/>
      <c r="AL314" s="185"/>
      <c r="AM314" s="109"/>
      <c r="AN314" s="185"/>
      <c r="AO314" s="185"/>
      <c r="AP314" s="109"/>
      <c r="AQ314" s="94"/>
      <c r="AR314" s="94"/>
      <c r="AS314" s="94"/>
      <c r="AT314" s="149" t="s">
        <v>706</v>
      </c>
      <c r="AU314" s="94" t="s">
        <v>1831</v>
      </c>
    </row>
    <row r="315" spans="1:47" ht="21" customHeight="1" x14ac:dyDescent="0.35">
      <c r="A315" s="259"/>
      <c r="B315" s="98" t="s">
        <v>17</v>
      </c>
      <c r="C315" s="99" t="s">
        <v>825</v>
      </c>
      <c r="D315" s="100" t="s">
        <v>740</v>
      </c>
      <c r="E315" s="101">
        <v>45875</v>
      </c>
      <c r="F315" s="102">
        <f t="shared" si="11"/>
        <v>0</v>
      </c>
      <c r="G315" s="150">
        <f>SUMIF(积分汇总!$B:$B,C315,积分汇总!$E:$E)</f>
        <v>0</v>
      </c>
      <c r="H315" s="150">
        <f>SUMIF(记录巡查问题条数汇总!$B:$B,C315,记录巡查问题条数汇总!$E:$E)</f>
        <v>0</v>
      </c>
      <c r="I315" s="150"/>
      <c r="J315" s="150">
        <f>SUMIF(安全质量事故!$B:$B,C315,安全质量事故!$G:$G)</f>
        <v>0</v>
      </c>
      <c r="K315" s="141">
        <f>COUNTIF(L315:AP315,标准数据!$A$2)*标准数据!$B$2+COUNTIF(L315:AP315,标准数据!$A$3)*标准数据!$B$3+COUNTIF(L315:AP315,标准数据!$A$4)*标准数据!$B$4</f>
        <v>0</v>
      </c>
      <c r="L315" s="185"/>
      <c r="M315" s="185"/>
      <c r="N315" s="109"/>
      <c r="O315" s="185"/>
      <c r="P315" s="185"/>
      <c r="Q315" s="185"/>
      <c r="R315" s="185"/>
      <c r="S315" s="185"/>
      <c r="T315" s="185"/>
      <c r="U315" s="109"/>
      <c r="V315" s="185"/>
      <c r="W315" s="185"/>
      <c r="X315" s="185"/>
      <c r="Y315" s="185"/>
      <c r="Z315" s="185"/>
      <c r="AA315" s="185"/>
      <c r="AB315" s="109"/>
      <c r="AC315" s="185"/>
      <c r="AD315" s="185"/>
      <c r="AE315" s="185"/>
      <c r="AF315" s="185"/>
      <c r="AG315" s="185"/>
      <c r="AH315" s="109"/>
      <c r="AI315" s="185"/>
      <c r="AJ315" s="185"/>
      <c r="AK315" s="185"/>
      <c r="AL315" s="185"/>
      <c r="AM315" s="109"/>
      <c r="AN315" s="185"/>
      <c r="AO315" s="185"/>
      <c r="AP315" s="109"/>
      <c r="AQ315" s="94"/>
      <c r="AR315" s="94"/>
      <c r="AS315" s="94"/>
      <c r="AT315" s="149" t="s">
        <v>740</v>
      </c>
      <c r="AU315" s="94" t="s">
        <v>1831</v>
      </c>
    </row>
    <row r="316" spans="1:47" ht="21" customHeight="1" x14ac:dyDescent="0.35">
      <c r="A316" s="259"/>
      <c r="B316" s="98" t="s">
        <v>17</v>
      </c>
      <c r="C316" s="99" t="s">
        <v>826</v>
      </c>
      <c r="D316" s="100" t="s">
        <v>742</v>
      </c>
      <c r="E316" s="101">
        <v>45889</v>
      </c>
      <c r="F316" s="102">
        <f t="shared" si="11"/>
        <v>0</v>
      </c>
      <c r="G316" s="150">
        <f>SUMIF(积分汇总!$B:$B,C316,积分汇总!$E:$E)</f>
        <v>0</v>
      </c>
      <c r="H316" s="150">
        <f>SUMIF(记录巡查问题条数汇总!$B:$B,C316,记录巡查问题条数汇总!$E:$E)</f>
        <v>0</v>
      </c>
      <c r="I316" s="150"/>
      <c r="J316" s="150">
        <f>SUMIF(安全质量事故!$B:$B,C316,安全质量事故!$G:$G)</f>
        <v>0</v>
      </c>
      <c r="K316" s="141">
        <f>COUNTIF(L316:AP316,标准数据!$A$2)*标准数据!$B$2+COUNTIF(L316:AP316,标准数据!$A$3)*标准数据!$B$3+COUNTIF(L316:AP316,标准数据!$A$4)*标准数据!$B$4</f>
        <v>0</v>
      </c>
      <c r="L316" s="185"/>
      <c r="M316" s="185"/>
      <c r="N316" s="109"/>
      <c r="O316" s="185"/>
      <c r="P316" s="185"/>
      <c r="Q316" s="185"/>
      <c r="R316" s="185"/>
      <c r="S316" s="185"/>
      <c r="T316" s="185"/>
      <c r="U316" s="109"/>
      <c r="V316" s="185"/>
      <c r="W316" s="185"/>
      <c r="X316" s="185"/>
      <c r="Y316" s="185"/>
      <c r="Z316" s="185"/>
      <c r="AA316" s="185"/>
      <c r="AB316" s="109"/>
      <c r="AC316" s="185"/>
      <c r="AD316" s="185"/>
      <c r="AE316" s="185"/>
      <c r="AF316" s="185"/>
      <c r="AG316" s="185"/>
      <c r="AH316" s="109"/>
      <c r="AI316" s="185"/>
      <c r="AJ316" s="185"/>
      <c r="AK316" s="185"/>
      <c r="AL316" s="185"/>
      <c r="AM316" s="109"/>
      <c r="AN316" s="185"/>
      <c r="AO316" s="185"/>
      <c r="AP316" s="109"/>
      <c r="AQ316" s="94"/>
      <c r="AR316" s="94"/>
      <c r="AS316" s="94"/>
      <c r="AT316" s="149" t="s">
        <v>742</v>
      </c>
      <c r="AU316" s="94" t="s">
        <v>1831</v>
      </c>
    </row>
    <row r="317" spans="1:47" ht="21" customHeight="1" x14ac:dyDescent="0.35">
      <c r="A317" s="259"/>
      <c r="B317" s="98" t="s">
        <v>17</v>
      </c>
      <c r="C317" s="99" t="s">
        <v>1086</v>
      </c>
      <c r="D317" s="100" t="s">
        <v>1053</v>
      </c>
      <c r="E317" s="101">
        <v>45951</v>
      </c>
      <c r="F317" s="102">
        <f t="shared" si="11"/>
        <v>0</v>
      </c>
      <c r="G317" s="150">
        <f>SUMIF(积分汇总!$B:$B,C317,积分汇总!$E:$E)</f>
        <v>0</v>
      </c>
      <c r="H317" s="150">
        <f>SUMIF(记录巡查问题条数汇总!$B:$B,C317,记录巡查问题条数汇总!$E:$E)</f>
        <v>0</v>
      </c>
      <c r="I317" s="150"/>
      <c r="J317" s="150">
        <f>SUMIF(安全质量事故!$B:$B,C317,安全质量事故!$G:$G)</f>
        <v>0</v>
      </c>
      <c r="K317" s="141">
        <f>COUNTIF(L317:AP317,标准数据!$A$2)*标准数据!$B$2+COUNTIF(L317:AP317,标准数据!$A$3)*标准数据!$B$3+COUNTIF(L317:AP317,标准数据!$A$4)*标准数据!$B$4</f>
        <v>0</v>
      </c>
      <c r="L317" s="185"/>
      <c r="M317" s="185"/>
      <c r="N317" s="109"/>
      <c r="O317" s="185"/>
      <c r="P317" s="185"/>
      <c r="Q317" s="185"/>
      <c r="R317" s="185"/>
      <c r="S317" s="185"/>
      <c r="T317" s="185"/>
      <c r="U317" s="109"/>
      <c r="V317" s="185"/>
      <c r="W317" s="185"/>
      <c r="X317" s="185"/>
      <c r="Y317" s="185"/>
      <c r="Z317" s="185"/>
      <c r="AA317" s="185"/>
      <c r="AB317" s="109"/>
      <c r="AC317" s="185"/>
      <c r="AD317" s="185"/>
      <c r="AE317" s="185"/>
      <c r="AF317" s="185"/>
      <c r="AG317" s="185"/>
      <c r="AH317" s="109"/>
      <c r="AI317" s="185"/>
      <c r="AJ317" s="185"/>
      <c r="AK317" s="185"/>
      <c r="AL317" s="185"/>
      <c r="AM317" s="109"/>
      <c r="AN317" s="185"/>
      <c r="AO317" s="185"/>
      <c r="AP317" s="109"/>
      <c r="AQ317" s="94"/>
      <c r="AR317" s="94"/>
      <c r="AS317" s="94"/>
      <c r="AT317" s="149" t="s">
        <v>1053</v>
      </c>
      <c r="AU317" s="94" t="s">
        <v>1831</v>
      </c>
    </row>
    <row r="318" spans="1:47" ht="21" customHeight="1" x14ac:dyDescent="0.35">
      <c r="A318" s="259"/>
      <c r="B318" s="98" t="s">
        <v>17</v>
      </c>
      <c r="C318" s="99" t="s">
        <v>1087</v>
      </c>
      <c r="D318" s="100" t="s">
        <v>1054</v>
      </c>
      <c r="E318" s="101">
        <v>45965</v>
      </c>
      <c r="F318" s="102">
        <f t="shared" si="11"/>
        <v>0</v>
      </c>
      <c r="G318" s="150">
        <f>SUMIF(积分汇总!$B:$B,C318,积分汇总!$E:$E)</f>
        <v>0</v>
      </c>
      <c r="H318" s="150">
        <f>SUMIF(记录巡查问题条数汇总!$B:$B,C318,记录巡查问题条数汇总!$E:$E)</f>
        <v>0</v>
      </c>
      <c r="I318" s="150"/>
      <c r="J318" s="150">
        <f>SUMIF(安全质量事故!$B:$B,C318,安全质量事故!$G:$G)</f>
        <v>0</v>
      </c>
      <c r="K318" s="141">
        <f>COUNTIF(L318:AP318,标准数据!$A$2)*标准数据!$B$2+COUNTIF(L318:AP318,标准数据!$A$3)*标准数据!$B$3+COUNTIF(L318:AP318,标准数据!$A$4)*标准数据!$B$4</f>
        <v>0</v>
      </c>
      <c r="L318" s="185"/>
      <c r="M318" s="185"/>
      <c r="N318" s="109"/>
      <c r="O318" s="185"/>
      <c r="P318" s="185"/>
      <c r="Q318" s="185"/>
      <c r="R318" s="185"/>
      <c r="S318" s="185"/>
      <c r="T318" s="185"/>
      <c r="U318" s="109"/>
      <c r="V318" s="185"/>
      <c r="W318" s="185"/>
      <c r="X318" s="185"/>
      <c r="Y318" s="185"/>
      <c r="Z318" s="185"/>
      <c r="AA318" s="185"/>
      <c r="AB318" s="109"/>
      <c r="AC318" s="185"/>
      <c r="AD318" s="185"/>
      <c r="AE318" s="185"/>
      <c r="AF318" s="185"/>
      <c r="AG318" s="185"/>
      <c r="AH318" s="109"/>
      <c r="AI318" s="185"/>
      <c r="AJ318" s="185"/>
      <c r="AK318" s="185"/>
      <c r="AL318" s="185"/>
      <c r="AM318" s="109"/>
      <c r="AN318" s="185"/>
      <c r="AO318" s="185"/>
      <c r="AP318" s="109"/>
      <c r="AQ318" s="94"/>
      <c r="AR318" s="94"/>
      <c r="AS318" s="94"/>
      <c r="AT318" s="149" t="s">
        <v>1054</v>
      </c>
      <c r="AU318" s="94" t="s">
        <v>1831</v>
      </c>
    </row>
    <row r="319" spans="1:47" ht="21" customHeight="1" x14ac:dyDescent="0.35">
      <c r="A319" s="259"/>
      <c r="B319" s="98" t="s">
        <v>17</v>
      </c>
      <c r="C319" s="99" t="s">
        <v>1088</v>
      </c>
      <c r="D319" s="100" t="s">
        <v>1055</v>
      </c>
      <c r="E319" s="101">
        <v>45979</v>
      </c>
      <c r="F319" s="102">
        <f t="shared" si="11"/>
        <v>0</v>
      </c>
      <c r="G319" s="150">
        <f>SUMIF(积分汇总!$B:$B,C319,积分汇总!$E:$E)</f>
        <v>0</v>
      </c>
      <c r="H319" s="150">
        <f>SUMIF(记录巡查问题条数汇总!$B:$B,C319,记录巡查问题条数汇总!$E:$E)</f>
        <v>0</v>
      </c>
      <c r="I319" s="150"/>
      <c r="J319" s="150">
        <f>SUMIF(安全质量事故!$B:$B,C319,安全质量事故!$G:$G)</f>
        <v>0</v>
      </c>
      <c r="K319" s="141">
        <f>COUNTIF(L319:AP319,标准数据!$A$2)*标准数据!$B$2+COUNTIF(L319:AP319,标准数据!$A$3)*标准数据!$B$3+COUNTIF(L319:AP319,标准数据!$A$4)*标准数据!$B$4</f>
        <v>0</v>
      </c>
      <c r="L319" s="185"/>
      <c r="M319" s="185"/>
      <c r="N319" s="109"/>
      <c r="O319" s="185"/>
      <c r="P319" s="185"/>
      <c r="Q319" s="185"/>
      <c r="R319" s="185"/>
      <c r="S319" s="185"/>
      <c r="T319" s="185"/>
      <c r="U319" s="109"/>
      <c r="V319" s="185"/>
      <c r="W319" s="185"/>
      <c r="X319" s="185"/>
      <c r="Y319" s="185"/>
      <c r="Z319" s="185"/>
      <c r="AA319" s="185"/>
      <c r="AB319" s="109"/>
      <c r="AC319" s="185"/>
      <c r="AD319" s="185"/>
      <c r="AE319" s="185"/>
      <c r="AF319" s="185"/>
      <c r="AG319" s="185"/>
      <c r="AH319" s="109"/>
      <c r="AI319" s="185"/>
      <c r="AJ319" s="185"/>
      <c r="AK319" s="185"/>
      <c r="AL319" s="185"/>
      <c r="AM319" s="109"/>
      <c r="AN319" s="185"/>
      <c r="AO319" s="185"/>
      <c r="AP319" s="109"/>
      <c r="AQ319" s="94"/>
      <c r="AR319" s="94"/>
      <c r="AS319" s="94"/>
      <c r="AT319" s="149" t="s">
        <v>1055</v>
      </c>
      <c r="AU319" s="94" t="s">
        <v>1831</v>
      </c>
    </row>
    <row r="320" spans="1:47" ht="21" customHeight="1" x14ac:dyDescent="0.35">
      <c r="A320" s="259"/>
      <c r="B320" s="98" t="s">
        <v>17</v>
      </c>
      <c r="C320" s="99" t="s">
        <v>1089</v>
      </c>
      <c r="D320" s="100" t="s">
        <v>1057</v>
      </c>
      <c r="E320" s="101">
        <v>45987</v>
      </c>
      <c r="F320" s="102">
        <f t="shared" si="11"/>
        <v>0</v>
      </c>
      <c r="G320" s="150">
        <f>SUMIF(积分汇总!$B:$B,C320,积分汇总!$E:$E)</f>
        <v>0</v>
      </c>
      <c r="H320" s="150">
        <f>SUMIF(记录巡查问题条数汇总!$B:$B,C320,记录巡查问题条数汇总!$E:$E)</f>
        <v>0</v>
      </c>
      <c r="I320" s="150"/>
      <c r="J320" s="150">
        <f>SUMIF(安全质量事故!$B:$B,C320,安全质量事故!$G:$G)</f>
        <v>0</v>
      </c>
      <c r="K320" s="141">
        <f>COUNTIF(L320:AP320,标准数据!$A$2)*标准数据!$B$2+COUNTIF(L320:AP320,标准数据!$A$3)*标准数据!$B$3+COUNTIF(L320:AP320,标准数据!$A$4)*标准数据!$B$4</f>
        <v>0</v>
      </c>
      <c r="L320" s="185"/>
      <c r="M320" s="185"/>
      <c r="N320" s="109"/>
      <c r="O320" s="185"/>
      <c r="P320" s="185"/>
      <c r="Q320" s="185"/>
      <c r="R320" s="185"/>
      <c r="S320" s="185"/>
      <c r="T320" s="185"/>
      <c r="U320" s="109"/>
      <c r="V320" s="185"/>
      <c r="W320" s="185"/>
      <c r="X320" s="185"/>
      <c r="Y320" s="185"/>
      <c r="Z320" s="185"/>
      <c r="AA320" s="185"/>
      <c r="AB320" s="109"/>
      <c r="AC320" s="185"/>
      <c r="AD320" s="185"/>
      <c r="AE320" s="185"/>
      <c r="AF320" s="185"/>
      <c r="AG320" s="185"/>
      <c r="AH320" s="109"/>
      <c r="AI320" s="185"/>
      <c r="AJ320" s="185"/>
      <c r="AK320" s="185"/>
      <c r="AL320" s="185"/>
      <c r="AM320" s="109"/>
      <c r="AN320" s="185"/>
      <c r="AO320" s="185"/>
      <c r="AP320" s="109"/>
      <c r="AQ320" s="94"/>
      <c r="AR320" s="94"/>
      <c r="AS320" s="94"/>
      <c r="AT320" s="149" t="s">
        <v>1057</v>
      </c>
      <c r="AU320" s="94" t="s">
        <v>1831</v>
      </c>
    </row>
    <row r="321" spans="1:47" ht="21" customHeight="1" x14ac:dyDescent="0.35">
      <c r="A321" s="259"/>
      <c r="B321" s="98" t="s">
        <v>17</v>
      </c>
      <c r="C321" s="99" t="s">
        <v>1108</v>
      </c>
      <c r="D321" s="100" t="s">
        <v>1109</v>
      </c>
      <c r="E321" s="101">
        <v>46085</v>
      </c>
      <c r="F321" s="102">
        <f t="shared" si="11"/>
        <v>0</v>
      </c>
      <c r="G321" s="150">
        <f>SUMIF(积分汇总!$B:$B,C321,积分汇总!$E:$E)</f>
        <v>0</v>
      </c>
      <c r="H321" s="150">
        <f>SUMIF(记录巡查问题条数汇总!$B:$B,C321,记录巡查问题条数汇总!$E:$E)</f>
        <v>0</v>
      </c>
      <c r="I321" s="150"/>
      <c r="J321" s="150">
        <f>SUMIF(安全质量事故!$B:$B,C321,安全质量事故!$G:$G)</f>
        <v>0</v>
      </c>
      <c r="K321" s="141">
        <f>COUNTIF(L321:AP321,标准数据!$A$2)*标准数据!$B$2+COUNTIF(L321:AP321,标准数据!$A$3)*标准数据!$B$3+COUNTIF(L321:AP321,标准数据!$A$4)*标准数据!$B$4</f>
        <v>0</v>
      </c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109"/>
      <c r="Y321" s="109"/>
      <c r="Z321" s="109"/>
      <c r="AA321" s="109"/>
      <c r="AB321" s="109"/>
      <c r="AC321" s="109"/>
      <c r="AD321" s="109"/>
      <c r="AE321" s="109"/>
      <c r="AF321" s="109"/>
      <c r="AG321" s="109"/>
      <c r="AH321" s="109"/>
      <c r="AI321" s="109"/>
      <c r="AJ321" s="109"/>
      <c r="AK321" s="100"/>
      <c r="AL321" s="185"/>
      <c r="AM321" s="109"/>
      <c r="AN321" s="100"/>
      <c r="AO321" s="185"/>
      <c r="AP321" s="109"/>
      <c r="AT321" s="149" t="s">
        <v>1109</v>
      </c>
      <c r="AU321" s="94" t="s">
        <v>1831</v>
      </c>
    </row>
    <row r="322" spans="1:47" ht="21" customHeight="1" x14ac:dyDescent="0.35">
      <c r="A322" s="259"/>
      <c r="B322" s="98" t="s">
        <v>17</v>
      </c>
      <c r="C322" s="99" t="s">
        <v>1112</v>
      </c>
      <c r="D322" s="100" t="s">
        <v>1113</v>
      </c>
      <c r="E322" s="101">
        <v>46085</v>
      </c>
      <c r="F322" s="102">
        <f t="shared" si="11"/>
        <v>0</v>
      </c>
      <c r="G322" s="150">
        <f>SUMIF(积分汇总!$B:$B,C322,积分汇总!$E:$E)</f>
        <v>0</v>
      </c>
      <c r="H322" s="150">
        <f>SUMIF(记录巡查问题条数汇总!$B:$B,C322,记录巡查问题条数汇总!$E:$E)</f>
        <v>0</v>
      </c>
      <c r="I322" s="150"/>
      <c r="J322" s="150">
        <f>SUMIF(安全质量事故!$B:$B,C322,安全质量事故!$G:$G)</f>
        <v>0</v>
      </c>
      <c r="K322" s="141">
        <f>COUNTIF(L322:AP322,标准数据!$A$2)*标准数据!$B$2+COUNTIF(L322:AP322,标准数据!$A$3)*标准数据!$B$3+COUNTIF(L322:AP322,标准数据!$A$4)*标准数据!$B$4</f>
        <v>0</v>
      </c>
      <c r="L322" s="188"/>
      <c r="M322" s="188"/>
      <c r="N322" s="188"/>
      <c r="O322" s="188"/>
      <c r="P322" s="188"/>
      <c r="Q322" s="188"/>
      <c r="R322" s="188"/>
      <c r="S322" s="188"/>
      <c r="T322" s="188"/>
      <c r="U322" s="188"/>
      <c r="V322" s="188"/>
      <c r="W322" s="188"/>
      <c r="X322" s="188"/>
      <c r="Y322" s="188"/>
      <c r="Z322" s="188"/>
      <c r="AA322" s="109"/>
      <c r="AB322" s="109"/>
      <c r="AC322" s="109"/>
      <c r="AD322" s="109"/>
      <c r="AE322" s="109"/>
      <c r="AF322" s="109"/>
      <c r="AG322" s="109"/>
      <c r="AH322" s="109"/>
      <c r="AI322" s="100"/>
      <c r="AJ322" s="185"/>
      <c r="AK322" s="109"/>
      <c r="AL322" s="109"/>
      <c r="AM322" s="109"/>
      <c r="AN322" s="109"/>
      <c r="AO322" s="109"/>
      <c r="AP322" s="109"/>
      <c r="AT322" s="149" t="s">
        <v>1113</v>
      </c>
      <c r="AU322" s="94" t="s">
        <v>1831</v>
      </c>
    </row>
    <row r="323" spans="1:47" ht="21" customHeight="1" x14ac:dyDescent="0.35">
      <c r="A323" s="259"/>
      <c r="B323" s="98" t="s">
        <v>17</v>
      </c>
      <c r="C323" s="99" t="s">
        <v>522</v>
      </c>
      <c r="D323" s="100" t="s">
        <v>1587</v>
      </c>
      <c r="E323" s="101">
        <v>46155</v>
      </c>
      <c r="F323" s="102">
        <f t="shared" si="11"/>
        <v>0</v>
      </c>
      <c r="G323" s="150">
        <f>SUMIF(积分汇总!$B:$B,C323,积分汇总!$E:$E)</f>
        <v>0</v>
      </c>
      <c r="H323" s="150">
        <f>SUMIF(记录巡查问题条数汇总!$B:$B,C323,记录巡查问题条数汇总!$E:$E)</f>
        <v>0</v>
      </c>
      <c r="I323" s="150"/>
      <c r="J323" s="150">
        <f>SUMIF(安全质量事故!$B:$B,C323,安全质量事故!$G:$G)</f>
        <v>0</v>
      </c>
      <c r="K323" s="141">
        <f>COUNTIF(L323:AP323,标准数据!$A$2)*标准数据!$B$2+COUNTIF(L323:AP323,标准数据!$A$3)*标准数据!$B$3+COUNTIF(L323:AP323,标准数据!$A$4)*标准数据!$B$4</f>
        <v>0</v>
      </c>
      <c r="L323" s="185"/>
      <c r="M323" s="185"/>
      <c r="N323" s="185"/>
      <c r="O323" s="185"/>
      <c r="P323" s="185"/>
      <c r="Q323" s="185"/>
      <c r="R323" s="185"/>
      <c r="S323" s="185"/>
      <c r="T323" s="185"/>
      <c r="U323" s="185"/>
      <c r="V323" s="185"/>
      <c r="W323" s="185"/>
      <c r="X323" s="185"/>
      <c r="Y323" s="185"/>
      <c r="Z323" s="185"/>
      <c r="AA323" s="185"/>
      <c r="AB323" s="109"/>
      <c r="AC323" s="185"/>
      <c r="AD323" s="185"/>
      <c r="AE323" s="185"/>
      <c r="AF323" s="185"/>
      <c r="AG323" s="185"/>
      <c r="AH323" s="109"/>
      <c r="AI323" s="185"/>
      <c r="AJ323" s="185"/>
      <c r="AK323" s="185"/>
      <c r="AL323" s="185"/>
      <c r="AM323" s="109"/>
      <c r="AN323" s="185"/>
      <c r="AO323" s="185"/>
      <c r="AP323" s="109"/>
      <c r="AQ323" s="94"/>
      <c r="AR323" s="94"/>
      <c r="AS323" s="94"/>
      <c r="AT323" s="149" t="s">
        <v>1587</v>
      </c>
      <c r="AU323" s="94" t="s">
        <v>1831</v>
      </c>
    </row>
    <row r="324" spans="1:47" ht="21" customHeight="1" x14ac:dyDescent="0.35">
      <c r="A324" s="259"/>
      <c r="B324" s="98" t="s">
        <v>95</v>
      </c>
      <c r="C324" s="214" t="s">
        <v>1752</v>
      </c>
      <c r="D324" s="216" t="s">
        <v>1753</v>
      </c>
      <c r="E324" s="217">
        <v>46043</v>
      </c>
      <c r="F324" s="102">
        <f t="shared" si="11"/>
        <v>0</v>
      </c>
      <c r="G324" s="150">
        <f>SUMIF(积分汇总!$B:$B,C342,积分汇总!$E:$E)</f>
        <v>0</v>
      </c>
      <c r="H324" s="150">
        <f>SUMIF(记录巡查问题条数汇总!$B:$B,C342,记录巡查问题条数汇总!$E:$E)</f>
        <v>0</v>
      </c>
      <c r="I324" s="150"/>
      <c r="J324" s="150">
        <f>SUMIF(安全质量事故!$B:$B,C342,安全质量事故!$G:$G)</f>
        <v>0</v>
      </c>
      <c r="K324" s="141">
        <f>COUNTIF(L324:AP324,标准数据!$A$2)*标准数据!$B$2+COUNTIF(L324:AP324,标准数据!$A$3)*标准数据!$B$3+COUNTIF(L324:AP324,标准数据!$A$4)*标准数据!$B$4</f>
        <v>0</v>
      </c>
      <c r="L324" s="224"/>
      <c r="M324" s="109"/>
      <c r="N324" s="109"/>
      <c r="O324" s="109"/>
      <c r="P324" s="109"/>
      <c r="Q324" s="109"/>
      <c r="R324" s="109"/>
      <c r="S324" s="109"/>
      <c r="T324" s="109"/>
      <c r="U324" s="109"/>
      <c r="V324" s="109"/>
      <c r="W324" s="109"/>
      <c r="X324" s="109"/>
      <c r="Y324" s="109"/>
      <c r="Z324" s="109"/>
      <c r="AA324" s="109"/>
      <c r="AB324" s="109"/>
      <c r="AC324" s="109"/>
      <c r="AD324" s="109"/>
      <c r="AE324" s="109"/>
      <c r="AF324" s="109"/>
      <c r="AG324" s="109"/>
      <c r="AH324" s="109"/>
      <c r="AI324" s="109"/>
      <c r="AJ324" s="109"/>
      <c r="AK324" s="109"/>
      <c r="AL324" s="109"/>
      <c r="AM324" s="109"/>
      <c r="AN324" s="109"/>
      <c r="AO324" s="109"/>
      <c r="AP324" s="109"/>
      <c r="AQ324" s="175" t="s">
        <v>1795</v>
      </c>
      <c r="AT324" s="149" t="s">
        <v>1107</v>
      </c>
      <c r="AU324" s="94" t="s">
        <v>1831</v>
      </c>
    </row>
    <row r="325" spans="1:47" ht="21" customHeight="1" x14ac:dyDescent="0.35">
      <c r="A325" s="259"/>
      <c r="B325" s="98" t="s">
        <v>17</v>
      </c>
      <c r="C325" s="214" t="s">
        <v>1754</v>
      </c>
      <c r="D325" s="216" t="s">
        <v>1755</v>
      </c>
      <c r="E325" s="217">
        <v>44389</v>
      </c>
      <c r="F325" s="102">
        <f t="shared" si="9"/>
        <v>0</v>
      </c>
      <c r="G325" s="150">
        <f>SUMIF(积分汇总!$B:$B,C325,积分汇总!$E:$E)</f>
        <v>0</v>
      </c>
      <c r="H325" s="150">
        <f>SUMIF(记录巡查问题条数汇总!$B:$B,C325,记录巡查问题条数汇总!$E:$E)</f>
        <v>0</v>
      </c>
      <c r="I325" s="150"/>
      <c r="J325" s="150">
        <f>SUMIF(安全质量事故!$B:$B,C325,安全质量事故!$G:$G)</f>
        <v>0</v>
      </c>
      <c r="K325" s="141">
        <f>COUNTIF(L325:AP325,标准数据!$A$2)*标准数据!$B$2+COUNTIF(L325:AP325,标准数据!$A$3)*标准数据!$B$3+COUNTIF(L325:AP325,标准数据!$A$4)*标准数据!$B$4</f>
        <v>0</v>
      </c>
      <c r="L325" s="224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109"/>
      <c r="Y325" s="109"/>
      <c r="Z325" s="109"/>
      <c r="AA325" s="109"/>
      <c r="AB325" s="109"/>
      <c r="AC325" s="109"/>
      <c r="AD325" s="109"/>
      <c r="AE325" s="109"/>
      <c r="AF325" s="109"/>
      <c r="AG325" s="109"/>
      <c r="AH325" s="109"/>
      <c r="AI325" s="109"/>
      <c r="AJ325" s="109"/>
      <c r="AK325" s="109"/>
      <c r="AL325" s="109"/>
      <c r="AM325" s="109"/>
      <c r="AN325" s="109"/>
      <c r="AO325" s="109"/>
      <c r="AP325" s="109"/>
      <c r="AQ325" s="222" t="s">
        <v>1788</v>
      </c>
      <c r="AR325" s="94"/>
      <c r="AS325" s="94"/>
      <c r="AT325" s="149" t="s">
        <v>1755</v>
      </c>
      <c r="AU325" s="94" t="s">
        <v>1831</v>
      </c>
    </row>
    <row r="326" spans="1:47" ht="21" customHeight="1" x14ac:dyDescent="0.35">
      <c r="A326" s="259"/>
      <c r="B326" s="98" t="s">
        <v>17</v>
      </c>
      <c r="C326" s="214" t="s">
        <v>1756</v>
      </c>
      <c r="D326" s="216" t="s">
        <v>1757</v>
      </c>
      <c r="E326" s="217">
        <v>46162</v>
      </c>
      <c r="F326" s="102">
        <f t="shared" si="9"/>
        <v>0</v>
      </c>
      <c r="G326" s="150">
        <f>SUMIF(积分汇总!$B:$B,C326,积分汇总!$E:$E)</f>
        <v>0</v>
      </c>
      <c r="H326" s="150">
        <f>SUMIF(记录巡查问题条数汇总!$B:$B,C326,记录巡查问题条数汇总!$E:$E)</f>
        <v>0</v>
      </c>
      <c r="I326" s="150"/>
      <c r="J326" s="150">
        <f>SUMIF(安全质量事故!$B:$B,C326,安全质量事故!$G:$G)</f>
        <v>0</v>
      </c>
      <c r="K326" s="141">
        <f>COUNTIF(L326:AP326,标准数据!$A$2)*标准数据!$B$2+COUNTIF(L326:AP326,标准数据!$A$3)*标准数据!$B$3+COUNTIF(L326:AP326,标准数据!$A$4)*标准数据!$B$4</f>
        <v>0</v>
      </c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85"/>
      <c r="AA326" s="109"/>
      <c r="AB326" s="109"/>
      <c r="AC326" s="109"/>
      <c r="AD326" s="109"/>
      <c r="AE326" s="109"/>
      <c r="AF326" s="109"/>
      <c r="AG326" s="109"/>
      <c r="AH326" s="109"/>
      <c r="AI326" s="100"/>
      <c r="AJ326" s="185"/>
      <c r="AK326" s="109"/>
      <c r="AL326" s="109"/>
      <c r="AM326" s="109"/>
      <c r="AN326" s="109"/>
      <c r="AO326" s="109"/>
      <c r="AP326" s="109"/>
      <c r="AQ326" s="175" t="s">
        <v>1789</v>
      </c>
      <c r="AT326" s="149" t="s">
        <v>1757</v>
      </c>
      <c r="AU326" s="94" t="s">
        <v>1831</v>
      </c>
    </row>
    <row r="327" spans="1:47" ht="21" customHeight="1" x14ac:dyDescent="0.35">
      <c r="A327" s="259"/>
      <c r="B327" s="98" t="s">
        <v>95</v>
      </c>
      <c r="C327" s="214" t="s">
        <v>1758</v>
      </c>
      <c r="D327" s="215" t="s">
        <v>1759</v>
      </c>
      <c r="E327" s="214">
        <v>46169</v>
      </c>
      <c r="F327" s="102">
        <f t="shared" si="9"/>
        <v>0</v>
      </c>
      <c r="G327" s="150">
        <f>SUMIF(积分汇总!$B:$B,C327,积分汇总!$E:$E)</f>
        <v>0</v>
      </c>
      <c r="H327" s="150">
        <f>SUMIF(记录巡查问题条数汇总!$B:$B,C327,记录巡查问题条数汇总!$E:$E)</f>
        <v>0</v>
      </c>
      <c r="I327" s="150"/>
      <c r="J327" s="150">
        <f>SUMIF(安全质量事故!$B:$B,C327,安全质量事故!$G:$G)</f>
        <v>0</v>
      </c>
      <c r="K327" s="141">
        <f>COUNTIF(L327:AP327,标准数据!$A$2)*标准数据!$B$2+COUNTIF(L327:AP327,标准数据!$A$3)*标准数据!$B$3+COUNTIF(L327:AP327,标准数据!$A$4)*标准数据!$B$4</f>
        <v>0</v>
      </c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  <c r="AB327" s="109"/>
      <c r="AC327" s="109"/>
      <c r="AD327" s="109"/>
      <c r="AE327" s="109"/>
      <c r="AF327" s="109"/>
      <c r="AG327" s="109"/>
      <c r="AH327" s="109"/>
      <c r="AI327" s="109"/>
      <c r="AJ327" s="109"/>
      <c r="AK327" s="109"/>
      <c r="AL327" s="109"/>
      <c r="AM327" s="109"/>
      <c r="AN327" s="109"/>
      <c r="AO327" s="109"/>
      <c r="AP327" s="109"/>
      <c r="AQ327" s="175" t="s">
        <v>1789</v>
      </c>
      <c r="AR327" s="94"/>
      <c r="AS327" s="94"/>
      <c r="AT327" s="149" t="s">
        <v>1759</v>
      </c>
      <c r="AU327" s="94" t="s">
        <v>1831</v>
      </c>
    </row>
    <row r="328" spans="1:47" ht="21" customHeight="1" x14ac:dyDescent="0.35">
      <c r="A328" s="259"/>
      <c r="B328" s="98" t="s">
        <v>95</v>
      </c>
      <c r="C328" s="214" t="s">
        <v>1760</v>
      </c>
      <c r="D328" s="216" t="s">
        <v>1761</v>
      </c>
      <c r="E328" s="217">
        <v>45952</v>
      </c>
      <c r="F328" s="102">
        <f t="shared" si="9"/>
        <v>0</v>
      </c>
      <c r="G328" s="150">
        <f>SUMIF(积分汇总!$B:$B,C328,积分汇总!$E:$E)</f>
        <v>0</v>
      </c>
      <c r="H328" s="150">
        <f>SUMIF(记录巡查问题条数汇总!$B:$B,C328,记录巡查问题条数汇总!$E:$E)</f>
        <v>0</v>
      </c>
      <c r="I328" s="150"/>
      <c r="J328" s="150">
        <f>SUMIF(安全质量事故!$B:$B,C328,安全质量事故!$G:$G)</f>
        <v>0</v>
      </c>
      <c r="K328" s="141">
        <f>COUNTIF(L328:AP328,标准数据!$A$2)*标准数据!$B$2+COUNTIF(L328:AP328,标准数据!$A$3)*标准数据!$B$3+COUNTIF(L328:AP328,标准数据!$A$4)*标准数据!$B$4</f>
        <v>0</v>
      </c>
      <c r="L328" s="226"/>
      <c r="M328" s="109"/>
      <c r="N328" s="109"/>
      <c r="O328" s="109"/>
      <c r="P328" s="109"/>
      <c r="Q328" s="109"/>
      <c r="R328" s="109"/>
      <c r="S328" s="109"/>
      <c r="T328" s="109"/>
      <c r="U328" s="109"/>
      <c r="V328" s="109"/>
      <c r="W328" s="109"/>
      <c r="X328" s="109"/>
      <c r="Y328" s="109"/>
      <c r="Z328" s="109"/>
      <c r="AA328" s="109"/>
      <c r="AB328" s="109"/>
      <c r="AC328" s="109"/>
      <c r="AD328" s="109"/>
      <c r="AE328" s="109"/>
      <c r="AF328" s="109"/>
      <c r="AG328" s="109"/>
      <c r="AH328" s="109"/>
      <c r="AI328" s="109"/>
      <c r="AJ328" s="185"/>
      <c r="AK328" s="185"/>
      <c r="AL328" s="185"/>
      <c r="AM328" s="185"/>
      <c r="AN328" s="185"/>
      <c r="AO328" s="185"/>
      <c r="AP328" s="185"/>
      <c r="AQ328" s="175" t="s">
        <v>1790</v>
      </c>
      <c r="AR328" s="94"/>
      <c r="AS328" s="94"/>
      <c r="AT328" s="149" t="s">
        <v>1761</v>
      </c>
      <c r="AU328" s="94" t="s">
        <v>1831</v>
      </c>
    </row>
    <row r="329" spans="1:47" ht="21" customHeight="1" x14ac:dyDescent="0.35">
      <c r="A329" s="259"/>
      <c r="B329" s="98" t="s">
        <v>17</v>
      </c>
      <c r="C329" s="214" t="s">
        <v>1762</v>
      </c>
      <c r="D329" s="216" t="s">
        <v>1763</v>
      </c>
      <c r="E329" s="217">
        <v>45965</v>
      </c>
      <c r="F329" s="102">
        <f t="shared" si="9"/>
        <v>0</v>
      </c>
      <c r="G329" s="150">
        <f>SUMIF(积分汇总!$B:$B,C329,积分汇总!$E:$E)</f>
        <v>0</v>
      </c>
      <c r="H329" s="150">
        <f>SUMIF(记录巡查问题条数汇总!$B:$B,C329,记录巡查问题条数汇总!$E:$E)</f>
        <v>0</v>
      </c>
      <c r="I329" s="150"/>
      <c r="J329" s="150">
        <f>SUMIF(安全质量事故!$B:$B,C329,安全质量事故!$G:$G)</f>
        <v>0</v>
      </c>
      <c r="K329" s="141">
        <f>COUNTIF(L329:AP329,标准数据!$A$2)*标准数据!$B$2+COUNTIF(L329:AP329,标准数据!$A$3)*标准数据!$B$3+COUNTIF(L329:AP329,标准数据!$A$4)*标准数据!$B$4</f>
        <v>0</v>
      </c>
      <c r="L329" s="226"/>
      <c r="M329" s="185"/>
      <c r="N329" s="109"/>
      <c r="O329" s="185"/>
      <c r="P329" s="185"/>
      <c r="Q329" s="185"/>
      <c r="R329" s="185"/>
      <c r="S329" s="185"/>
      <c r="T329" s="185"/>
      <c r="U329" s="109"/>
      <c r="V329" s="185"/>
      <c r="W329" s="185"/>
      <c r="X329" s="185"/>
      <c r="Y329" s="185"/>
      <c r="Z329" s="185"/>
      <c r="AA329" s="185"/>
      <c r="AB329" s="109"/>
      <c r="AC329" s="185"/>
      <c r="AD329" s="185"/>
      <c r="AE329" s="185"/>
      <c r="AF329" s="185"/>
      <c r="AG329" s="185"/>
      <c r="AH329" s="109"/>
      <c r="AI329" s="185"/>
      <c r="AJ329" s="185"/>
      <c r="AK329" s="185"/>
      <c r="AL329" s="185"/>
      <c r="AM329" s="109"/>
      <c r="AN329" s="185"/>
      <c r="AO329" s="185"/>
      <c r="AP329" s="109"/>
      <c r="AQ329" s="175" t="s">
        <v>1643</v>
      </c>
      <c r="AR329" s="94"/>
      <c r="AS329" s="94"/>
      <c r="AT329" s="149" t="s">
        <v>1763</v>
      </c>
      <c r="AU329" s="94" t="s">
        <v>1831</v>
      </c>
    </row>
    <row r="330" spans="1:47" ht="21" customHeight="1" x14ac:dyDescent="0.35">
      <c r="A330" s="259"/>
      <c r="B330" s="98" t="s">
        <v>17</v>
      </c>
      <c r="C330" s="214" t="s">
        <v>1764</v>
      </c>
      <c r="D330" s="216" t="s">
        <v>1765</v>
      </c>
      <c r="E330" s="217">
        <v>45979</v>
      </c>
      <c r="F330" s="102">
        <f t="shared" si="9"/>
        <v>0</v>
      </c>
      <c r="G330" s="150">
        <f>SUMIF(积分汇总!$B:$B,C330,积分汇总!$E:$E)</f>
        <v>0</v>
      </c>
      <c r="H330" s="150">
        <f>SUMIF(记录巡查问题条数汇总!$B:$B,C330,记录巡查问题条数汇总!$E:$E)</f>
        <v>0</v>
      </c>
      <c r="I330" s="150"/>
      <c r="J330" s="150">
        <f>SUMIF(安全质量事故!$B:$B,C330,安全质量事故!$G:$G)</f>
        <v>0</v>
      </c>
      <c r="K330" s="141">
        <f>COUNTIF(L330:AP330,标准数据!$A$2)*标准数据!$B$2+COUNTIF(L330:AP330,标准数据!$A$3)*标准数据!$B$3+COUNTIF(L330:AP330,标准数据!$A$4)*标准数据!$B$4</f>
        <v>0</v>
      </c>
      <c r="L330" s="226"/>
      <c r="M330" s="185"/>
      <c r="N330" s="109"/>
      <c r="O330" s="185"/>
      <c r="P330" s="185"/>
      <c r="Q330" s="185"/>
      <c r="R330" s="185"/>
      <c r="S330" s="185"/>
      <c r="T330" s="185"/>
      <c r="U330" s="109"/>
      <c r="V330" s="185"/>
      <c r="W330" s="185"/>
      <c r="X330" s="185"/>
      <c r="Y330" s="185"/>
      <c r="Z330" s="185"/>
      <c r="AA330" s="185"/>
      <c r="AB330" s="109"/>
      <c r="AC330" s="185"/>
      <c r="AD330" s="185"/>
      <c r="AE330" s="185"/>
      <c r="AF330" s="185"/>
      <c r="AG330" s="185"/>
      <c r="AH330" s="109"/>
      <c r="AI330" s="185"/>
      <c r="AJ330" s="185"/>
      <c r="AK330" s="185"/>
      <c r="AL330" s="185"/>
      <c r="AM330" s="109"/>
      <c r="AN330" s="185"/>
      <c r="AO330" s="185"/>
      <c r="AP330" s="109"/>
      <c r="AQ330" s="175" t="s">
        <v>1791</v>
      </c>
      <c r="AR330" s="94"/>
      <c r="AS330" s="94"/>
      <c r="AT330" s="149" t="s">
        <v>1765</v>
      </c>
      <c r="AU330" s="94" t="s">
        <v>1831</v>
      </c>
    </row>
    <row r="331" spans="1:47" ht="21" customHeight="1" x14ac:dyDescent="0.35">
      <c r="A331" s="259"/>
      <c r="B331" s="98" t="s">
        <v>17</v>
      </c>
      <c r="C331" s="214" t="s">
        <v>1766</v>
      </c>
      <c r="D331" s="216" t="s">
        <v>1767</v>
      </c>
      <c r="E331" s="217">
        <v>46181</v>
      </c>
      <c r="F331" s="102">
        <f t="shared" si="9"/>
        <v>0</v>
      </c>
      <c r="G331" s="150">
        <f>SUMIF(积分汇总!$B:$B,C331,积分汇总!$E:$E)</f>
        <v>0</v>
      </c>
      <c r="H331" s="150">
        <f>SUMIF(记录巡查问题条数汇总!$B:$B,C331,记录巡查问题条数汇总!$E:$E)</f>
        <v>0</v>
      </c>
      <c r="I331" s="150"/>
      <c r="J331" s="150">
        <f>SUMIF(安全质量事故!$B:$B,C331,安全质量事故!$G:$G)</f>
        <v>0</v>
      </c>
      <c r="K331" s="141">
        <f>COUNTIF(L331:AP331,标准数据!$A$2)*标准数据!$B$2+COUNTIF(L331:AP331,标准数据!$A$3)*标准数据!$B$3+COUNTIF(L331:AP331,标准数据!$A$4)*标准数据!$B$4</f>
        <v>0</v>
      </c>
      <c r="L331" s="185"/>
      <c r="M331" s="185"/>
      <c r="N331" s="109"/>
      <c r="O331" s="185"/>
      <c r="P331" s="185"/>
      <c r="Q331" s="185"/>
      <c r="R331" s="185"/>
      <c r="S331" s="185"/>
      <c r="T331" s="185"/>
      <c r="U331" s="109"/>
      <c r="V331" s="185"/>
      <c r="W331" s="185"/>
      <c r="X331" s="185"/>
      <c r="Y331" s="185"/>
      <c r="Z331" s="185"/>
      <c r="AA331" s="185"/>
      <c r="AB331" s="109"/>
      <c r="AC331" s="185"/>
      <c r="AD331" s="185"/>
      <c r="AE331" s="185"/>
      <c r="AF331" s="185"/>
      <c r="AG331" s="185"/>
      <c r="AH331" s="109"/>
      <c r="AI331" s="185"/>
      <c r="AJ331" s="185"/>
      <c r="AK331" s="185"/>
      <c r="AL331" s="185"/>
      <c r="AM331" s="109"/>
      <c r="AN331" s="185"/>
      <c r="AO331" s="185"/>
      <c r="AP331" s="109"/>
      <c r="AQ331" s="175"/>
      <c r="AR331" s="94"/>
      <c r="AS331" s="94"/>
      <c r="AT331" s="149" t="s">
        <v>1767</v>
      </c>
      <c r="AU331" s="94" t="s">
        <v>1831</v>
      </c>
    </row>
    <row r="332" spans="1:47" ht="21" customHeight="1" x14ac:dyDescent="0.35">
      <c r="A332" s="259"/>
      <c r="B332" s="98" t="s">
        <v>17</v>
      </c>
      <c r="C332" s="214" t="s">
        <v>1768</v>
      </c>
      <c r="D332" s="216" t="s">
        <v>1769</v>
      </c>
      <c r="E332" s="217">
        <v>46183</v>
      </c>
      <c r="F332" s="102">
        <f t="shared" si="9"/>
        <v>0</v>
      </c>
      <c r="G332" s="150">
        <f>SUMIF(积分汇总!$B:$B,C332,积分汇总!$E:$E)</f>
        <v>0</v>
      </c>
      <c r="H332" s="150">
        <f>SUMIF(记录巡查问题条数汇总!$B:$B,C332,记录巡查问题条数汇总!$E:$E)</f>
        <v>0</v>
      </c>
      <c r="I332" s="150"/>
      <c r="J332" s="150">
        <f>SUMIF(安全质量事故!$B:$B,C332,安全质量事故!$G:$G)</f>
        <v>0</v>
      </c>
      <c r="K332" s="141">
        <f>COUNTIF(L332:AP332,标准数据!$A$2)*标准数据!$B$2+COUNTIF(L332:AP332,标准数据!$A$3)*标准数据!$B$3+COUNTIF(L332:AP332,标准数据!$A$4)*标准数据!$B$4</f>
        <v>0</v>
      </c>
      <c r="L332" s="185"/>
      <c r="M332" s="185"/>
      <c r="N332" s="109"/>
      <c r="O332" s="185"/>
      <c r="P332" s="185"/>
      <c r="Q332" s="185"/>
      <c r="R332" s="185"/>
      <c r="S332" s="185"/>
      <c r="T332" s="185"/>
      <c r="U332" s="109"/>
      <c r="V332" s="185"/>
      <c r="W332" s="185"/>
      <c r="X332" s="185"/>
      <c r="Y332" s="185"/>
      <c r="Z332" s="185"/>
      <c r="AA332" s="185"/>
      <c r="AB332" s="109"/>
      <c r="AC332" s="185"/>
      <c r="AD332" s="185"/>
      <c r="AE332" s="185"/>
      <c r="AF332" s="185"/>
      <c r="AG332" s="185"/>
      <c r="AH332" s="109"/>
      <c r="AI332" s="185"/>
      <c r="AJ332" s="185"/>
      <c r="AK332" s="185"/>
      <c r="AL332" s="185"/>
      <c r="AM332" s="109"/>
      <c r="AN332" s="185"/>
      <c r="AO332" s="185"/>
      <c r="AP332" s="109"/>
      <c r="AQ332" s="175"/>
      <c r="AR332" s="94"/>
      <c r="AS332" s="94"/>
      <c r="AT332" s="149" t="s">
        <v>1769</v>
      </c>
      <c r="AU332" s="94" t="s">
        <v>1831</v>
      </c>
    </row>
    <row r="333" spans="1:47" ht="21" customHeight="1" x14ac:dyDescent="0.35">
      <c r="A333" s="259"/>
      <c r="B333" s="98" t="s">
        <v>17</v>
      </c>
      <c r="C333" s="214" t="s">
        <v>1770</v>
      </c>
      <c r="D333" s="216" t="s">
        <v>1771</v>
      </c>
      <c r="E333" s="217">
        <v>44389</v>
      </c>
      <c r="F333" s="102">
        <f t="shared" si="9"/>
        <v>0</v>
      </c>
      <c r="G333" s="150">
        <f>SUMIF(积分汇总!$B:$B,C333,积分汇总!$E:$E)</f>
        <v>0</v>
      </c>
      <c r="H333" s="150">
        <f>SUMIF(记录巡查问题条数汇总!$B:$B,C333,记录巡查问题条数汇总!$E:$E)</f>
        <v>0</v>
      </c>
      <c r="I333" s="150"/>
      <c r="J333" s="150">
        <f>SUMIF(安全质量事故!$B:$B,C333,安全质量事故!$G:$G)</f>
        <v>0</v>
      </c>
      <c r="K333" s="141">
        <f>COUNTIF(L333:AP333,标准数据!$A$2)*标准数据!$B$2+COUNTIF(L333:AP333,标准数据!$A$3)*标准数据!$B$3+COUNTIF(L333:AP333,标准数据!$A$4)*标准数据!$B$4</f>
        <v>0</v>
      </c>
      <c r="L333" s="226"/>
      <c r="M333" s="185"/>
      <c r="N333" s="109"/>
      <c r="O333" s="185"/>
      <c r="P333" s="185"/>
      <c r="Q333" s="185"/>
      <c r="R333" s="185"/>
      <c r="S333" s="185"/>
      <c r="T333" s="185"/>
      <c r="U333" s="109"/>
      <c r="V333" s="185"/>
      <c r="W333" s="185"/>
      <c r="X333" s="185"/>
      <c r="Y333" s="185"/>
      <c r="Z333" s="185"/>
      <c r="AA333" s="185"/>
      <c r="AB333" s="109"/>
      <c r="AC333" s="185"/>
      <c r="AD333" s="185"/>
      <c r="AE333" s="185"/>
      <c r="AF333" s="185"/>
      <c r="AG333" s="185"/>
      <c r="AH333" s="109"/>
      <c r="AI333" s="185"/>
      <c r="AJ333" s="185"/>
      <c r="AK333" s="185"/>
      <c r="AL333" s="185"/>
      <c r="AM333" s="109"/>
      <c r="AN333" s="185"/>
      <c r="AO333" s="185"/>
      <c r="AP333" s="109"/>
      <c r="AQ333" s="175" t="s">
        <v>1792</v>
      </c>
      <c r="AR333" s="94"/>
      <c r="AS333" s="94"/>
      <c r="AT333" s="149" t="s">
        <v>1771</v>
      </c>
      <c r="AU333" s="94" t="s">
        <v>1831</v>
      </c>
    </row>
    <row r="334" spans="1:47" ht="21" customHeight="1" x14ac:dyDescent="0.35">
      <c r="A334" s="259"/>
      <c r="B334" s="98" t="s">
        <v>17</v>
      </c>
      <c r="C334" s="214" t="s">
        <v>1772</v>
      </c>
      <c r="D334" s="216" t="s">
        <v>1773</v>
      </c>
      <c r="E334" s="217">
        <v>45994</v>
      </c>
      <c r="F334" s="102">
        <f t="shared" si="9"/>
        <v>0</v>
      </c>
      <c r="G334" s="150">
        <f>SUMIF(积分汇总!$B:$B,C334,积分汇总!$E:$E)</f>
        <v>0</v>
      </c>
      <c r="H334" s="150">
        <f>SUMIF(记录巡查问题条数汇总!$B:$B,C334,记录巡查问题条数汇总!$E:$E)</f>
        <v>0</v>
      </c>
      <c r="I334" s="150"/>
      <c r="J334" s="150">
        <f>SUMIF(安全质量事故!$B:$B,C334,安全质量事故!$G:$G)</f>
        <v>0</v>
      </c>
      <c r="K334" s="141">
        <f>COUNTIF(L334:AP334,标准数据!$A$2)*标准数据!$B$2+COUNTIF(L334:AP334,标准数据!$A$3)*标准数据!$B$3+COUNTIF(L334:AP334,标准数据!$A$4)*标准数据!$B$4</f>
        <v>0</v>
      </c>
      <c r="L334" s="226"/>
      <c r="M334" s="185"/>
      <c r="N334" s="109"/>
      <c r="O334" s="185"/>
      <c r="P334" s="185"/>
      <c r="Q334" s="185"/>
      <c r="R334" s="185"/>
      <c r="S334" s="185"/>
      <c r="T334" s="185"/>
      <c r="U334" s="109"/>
      <c r="V334" s="185"/>
      <c r="W334" s="185"/>
      <c r="X334" s="185"/>
      <c r="Y334" s="185"/>
      <c r="Z334" s="185"/>
      <c r="AA334" s="185"/>
      <c r="AB334" s="109"/>
      <c r="AC334" s="185"/>
      <c r="AD334" s="185"/>
      <c r="AE334" s="185"/>
      <c r="AF334" s="185"/>
      <c r="AG334" s="185"/>
      <c r="AH334" s="109"/>
      <c r="AI334" s="185"/>
      <c r="AJ334" s="185"/>
      <c r="AK334" s="185"/>
      <c r="AL334" s="185"/>
      <c r="AM334" s="109"/>
      <c r="AN334" s="185"/>
      <c r="AO334" s="185"/>
      <c r="AP334" s="109"/>
      <c r="AQ334" s="175" t="s">
        <v>1790</v>
      </c>
      <c r="AR334" s="94"/>
      <c r="AS334" s="94"/>
      <c r="AT334" s="149" t="s">
        <v>1773</v>
      </c>
      <c r="AU334" s="94" t="s">
        <v>1831</v>
      </c>
    </row>
    <row r="335" spans="1:47" ht="21" customHeight="1" x14ac:dyDescent="0.35">
      <c r="A335" s="259"/>
      <c r="B335" s="98" t="s">
        <v>17</v>
      </c>
      <c r="C335" s="214" t="s">
        <v>1774</v>
      </c>
      <c r="D335" s="216" t="s">
        <v>1775</v>
      </c>
      <c r="E335" s="217">
        <v>45945</v>
      </c>
      <c r="F335" s="102">
        <f t="shared" si="9"/>
        <v>0</v>
      </c>
      <c r="G335" s="150">
        <f>SUMIF(积分汇总!$B:$B,C335,积分汇总!$E:$E)</f>
        <v>0</v>
      </c>
      <c r="H335" s="150">
        <f>SUMIF(记录巡查问题条数汇总!$B:$B,C335,记录巡查问题条数汇总!$E:$E)</f>
        <v>0</v>
      </c>
      <c r="I335" s="150"/>
      <c r="J335" s="150">
        <f>SUMIF(安全质量事故!$B:$B,C335,安全质量事故!$G:$G)</f>
        <v>0</v>
      </c>
      <c r="K335" s="141">
        <f>COUNTIF(L335:AP335,标准数据!$A$2)*标准数据!$B$2+COUNTIF(L335:AP335,标准数据!$A$3)*标准数据!$B$3+COUNTIF(L335:AP335,标准数据!$A$4)*标准数据!$B$4</f>
        <v>0</v>
      </c>
      <c r="L335" s="226"/>
      <c r="M335" s="185"/>
      <c r="N335" s="109"/>
      <c r="O335" s="185"/>
      <c r="P335" s="185"/>
      <c r="Q335" s="185"/>
      <c r="R335" s="185"/>
      <c r="S335" s="185"/>
      <c r="T335" s="185"/>
      <c r="U335" s="109"/>
      <c r="V335" s="185"/>
      <c r="W335" s="185"/>
      <c r="X335" s="185"/>
      <c r="Y335" s="185"/>
      <c r="Z335" s="185"/>
      <c r="AA335" s="185"/>
      <c r="AB335" s="109"/>
      <c r="AC335" s="185"/>
      <c r="AD335" s="185"/>
      <c r="AE335" s="185"/>
      <c r="AF335" s="185"/>
      <c r="AG335" s="185"/>
      <c r="AH335" s="109"/>
      <c r="AI335" s="185"/>
      <c r="AJ335" s="185"/>
      <c r="AK335" s="185"/>
      <c r="AL335" s="185"/>
      <c r="AM335" s="109"/>
      <c r="AN335" s="185"/>
      <c r="AO335" s="185"/>
      <c r="AP335" s="109"/>
      <c r="AQ335" s="175" t="s">
        <v>1793</v>
      </c>
      <c r="AR335" s="94"/>
      <c r="AS335" s="94"/>
      <c r="AT335" s="149" t="s">
        <v>1775</v>
      </c>
      <c r="AU335" s="94" t="s">
        <v>1831</v>
      </c>
    </row>
    <row r="336" spans="1:47" ht="21" customHeight="1" x14ac:dyDescent="0.35">
      <c r="A336" s="259"/>
      <c r="B336" s="98" t="s">
        <v>17</v>
      </c>
      <c r="C336" s="214" t="s">
        <v>1776</v>
      </c>
      <c r="D336" s="216" t="s">
        <v>1777</v>
      </c>
      <c r="E336" s="217">
        <v>46162</v>
      </c>
      <c r="F336" s="102">
        <f t="shared" si="9"/>
        <v>0</v>
      </c>
      <c r="G336" s="150">
        <f>SUMIF(积分汇总!$B:$B,C336,积分汇总!$E:$E)</f>
        <v>0</v>
      </c>
      <c r="H336" s="150">
        <f>SUMIF(记录巡查问题条数汇总!$B:$B,C336,记录巡查问题条数汇总!$E:$E)</f>
        <v>0</v>
      </c>
      <c r="I336" s="150"/>
      <c r="J336" s="150">
        <f>SUMIF(安全质量事故!$B:$B,C336,安全质量事故!$G:$G)</f>
        <v>0</v>
      </c>
      <c r="K336" s="141">
        <f>COUNTIF(L336:AP336,标准数据!$A$2)*标准数据!$B$2+COUNTIF(L336:AP336,标准数据!$A$3)*标准数据!$B$3+COUNTIF(L336:AP336,标准数据!$A$4)*标准数据!$B$4</f>
        <v>0</v>
      </c>
      <c r="L336" s="185"/>
      <c r="M336" s="185"/>
      <c r="N336" s="109"/>
      <c r="O336" s="185"/>
      <c r="P336" s="185"/>
      <c r="Q336" s="185"/>
      <c r="R336" s="185"/>
      <c r="S336" s="185"/>
      <c r="T336" s="185"/>
      <c r="U336" s="109"/>
      <c r="V336" s="185"/>
      <c r="W336" s="185"/>
      <c r="X336" s="185"/>
      <c r="Y336" s="185"/>
      <c r="Z336" s="185"/>
      <c r="AA336" s="185"/>
      <c r="AB336" s="109"/>
      <c r="AC336" s="185"/>
      <c r="AD336" s="185"/>
      <c r="AE336" s="185"/>
      <c r="AF336" s="185"/>
      <c r="AG336" s="185"/>
      <c r="AH336" s="109"/>
      <c r="AI336" s="185"/>
      <c r="AJ336" s="185"/>
      <c r="AK336" s="185"/>
      <c r="AL336" s="185"/>
      <c r="AM336" s="109"/>
      <c r="AN336" s="185"/>
      <c r="AO336" s="185"/>
      <c r="AP336" s="109"/>
      <c r="AQ336" s="175"/>
      <c r="AR336" s="94"/>
      <c r="AS336" s="94"/>
      <c r="AT336" s="149" t="s">
        <v>1777</v>
      </c>
      <c r="AU336" s="94" t="s">
        <v>1831</v>
      </c>
    </row>
    <row r="337" spans="1:47" ht="21" customHeight="1" x14ac:dyDescent="0.35">
      <c r="A337" s="259"/>
      <c r="B337" s="98" t="s">
        <v>17</v>
      </c>
      <c r="C337" s="214" t="s">
        <v>1778</v>
      </c>
      <c r="D337" s="216" t="s">
        <v>1779</v>
      </c>
      <c r="E337" s="217">
        <v>46176</v>
      </c>
      <c r="F337" s="102">
        <f t="shared" si="9"/>
        <v>0</v>
      </c>
      <c r="G337" s="150">
        <f>SUMIF(积分汇总!$B:$B,C337,积分汇总!$E:$E)</f>
        <v>0</v>
      </c>
      <c r="H337" s="150">
        <f>SUMIF(记录巡查问题条数汇总!$B:$B,C337,记录巡查问题条数汇总!$E:$E)</f>
        <v>0</v>
      </c>
      <c r="I337" s="150"/>
      <c r="J337" s="150">
        <f>SUMIF(安全质量事故!$B:$B,C337,安全质量事故!$G:$G)</f>
        <v>0</v>
      </c>
      <c r="K337" s="141">
        <f>COUNTIF(L337:AP337,标准数据!$A$2)*标准数据!$B$2+COUNTIF(L337:AP337,标准数据!$A$3)*标准数据!$B$3+COUNTIF(L337:AP337,标准数据!$A$4)*标准数据!$B$4</f>
        <v>0</v>
      </c>
      <c r="L337" s="185"/>
      <c r="M337" s="185"/>
      <c r="N337" s="109"/>
      <c r="O337" s="185"/>
      <c r="P337" s="185"/>
      <c r="Q337" s="185"/>
      <c r="R337" s="185"/>
      <c r="S337" s="185"/>
      <c r="T337" s="185"/>
      <c r="U337" s="109"/>
      <c r="V337" s="185"/>
      <c r="W337" s="185"/>
      <c r="X337" s="185"/>
      <c r="Y337" s="185"/>
      <c r="Z337" s="185"/>
      <c r="AA337" s="185"/>
      <c r="AB337" s="109"/>
      <c r="AC337" s="185"/>
      <c r="AD337" s="185"/>
      <c r="AE337" s="185"/>
      <c r="AF337" s="185"/>
      <c r="AG337" s="185"/>
      <c r="AH337" s="109"/>
      <c r="AI337" s="185"/>
      <c r="AJ337" s="185"/>
      <c r="AK337" s="185"/>
      <c r="AL337" s="185"/>
      <c r="AM337" s="109"/>
      <c r="AN337" s="185"/>
      <c r="AO337" s="185"/>
      <c r="AP337" s="109"/>
      <c r="AQ337" s="175"/>
      <c r="AR337" s="94"/>
      <c r="AS337" s="94"/>
      <c r="AT337" s="149" t="s">
        <v>1779</v>
      </c>
      <c r="AU337" s="94" t="s">
        <v>1831</v>
      </c>
    </row>
    <row r="338" spans="1:47" ht="21" customHeight="1" x14ac:dyDescent="0.35">
      <c r="A338" s="259"/>
      <c r="B338" s="98" t="s">
        <v>17</v>
      </c>
      <c r="C338" s="214" t="s">
        <v>1780</v>
      </c>
      <c r="D338" s="216" t="s">
        <v>1781</v>
      </c>
      <c r="E338" s="217">
        <v>45945</v>
      </c>
      <c r="F338" s="102">
        <f t="shared" si="9"/>
        <v>0</v>
      </c>
      <c r="G338" s="150">
        <f>SUMIF(积分汇总!$B:$B,C338,积分汇总!$E:$E)</f>
        <v>0</v>
      </c>
      <c r="H338" s="150">
        <f>SUMIF(记录巡查问题条数汇总!$B:$B,C338,记录巡查问题条数汇总!$E:$E)</f>
        <v>0</v>
      </c>
      <c r="I338" s="150"/>
      <c r="J338" s="150">
        <f>SUMIF(安全质量事故!$B:$B,C338,安全质量事故!$G:$G)</f>
        <v>0</v>
      </c>
      <c r="K338" s="141">
        <f>COUNTIF(L338:AP338,标准数据!$A$2)*标准数据!$B$2+COUNTIF(L338:AP338,标准数据!$A$3)*标准数据!$B$3+COUNTIF(L338:AP338,标准数据!$A$4)*标准数据!$B$4</f>
        <v>0</v>
      </c>
      <c r="L338" s="226"/>
      <c r="M338" s="185"/>
      <c r="N338" s="109"/>
      <c r="O338" s="185"/>
      <c r="P338" s="185"/>
      <c r="Q338" s="185"/>
      <c r="R338" s="185"/>
      <c r="S338" s="185"/>
      <c r="T338" s="185"/>
      <c r="U338" s="109"/>
      <c r="V338" s="185"/>
      <c r="W338" s="185"/>
      <c r="X338" s="185"/>
      <c r="Y338" s="185"/>
      <c r="Z338" s="185"/>
      <c r="AA338" s="185"/>
      <c r="AB338" s="109"/>
      <c r="AC338" s="185"/>
      <c r="AD338" s="185"/>
      <c r="AE338" s="185"/>
      <c r="AF338" s="185"/>
      <c r="AG338" s="185"/>
      <c r="AH338" s="109"/>
      <c r="AI338" s="185"/>
      <c r="AJ338" s="185"/>
      <c r="AK338" s="185"/>
      <c r="AL338" s="185"/>
      <c r="AM338" s="109"/>
      <c r="AN338" s="185"/>
      <c r="AO338" s="185"/>
      <c r="AP338" s="109"/>
      <c r="AQ338" s="175" t="s">
        <v>1791</v>
      </c>
      <c r="AR338" s="94"/>
      <c r="AS338" s="94"/>
      <c r="AT338" s="149" t="s">
        <v>1781</v>
      </c>
      <c r="AU338" s="94" t="s">
        <v>1831</v>
      </c>
    </row>
    <row r="339" spans="1:47" ht="21" customHeight="1" x14ac:dyDescent="0.35">
      <c r="A339" s="259"/>
      <c r="B339" s="98" t="s">
        <v>17</v>
      </c>
      <c r="C339" s="214" t="s">
        <v>1782</v>
      </c>
      <c r="D339" s="216" t="s">
        <v>1783</v>
      </c>
      <c r="E339" s="217">
        <v>46160</v>
      </c>
      <c r="F339" s="102">
        <f t="shared" ref="F339:F399" si="12">(K339+G339+H339+I339-J339)</f>
        <v>0</v>
      </c>
      <c r="G339" s="150">
        <f>SUMIF(积分汇总!$B:$B,C339,积分汇总!$E:$E)</f>
        <v>0</v>
      </c>
      <c r="H339" s="150">
        <f>SUMIF(记录巡查问题条数汇总!$B:$B,C339,记录巡查问题条数汇总!$E:$E)</f>
        <v>0</v>
      </c>
      <c r="I339" s="150"/>
      <c r="J339" s="150">
        <f>SUMIF(安全质量事故!$B:$B,C339,安全质量事故!$G:$G)</f>
        <v>0</v>
      </c>
      <c r="K339" s="141">
        <f>COUNTIF(L339:AP339,标准数据!$A$2)*标准数据!$B$2+COUNTIF(L339:AP339,标准数据!$A$3)*标准数据!$B$3+COUNTIF(L339:AP339,标准数据!$A$4)*标准数据!$B$4</f>
        <v>0</v>
      </c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109"/>
      <c r="Y339" s="109"/>
      <c r="Z339" s="109"/>
      <c r="AA339" s="109"/>
      <c r="AB339" s="109"/>
      <c r="AC339" s="109"/>
      <c r="AD339" s="109"/>
      <c r="AE339" s="109"/>
      <c r="AF339" s="109"/>
      <c r="AG339" s="109"/>
      <c r="AH339" s="109"/>
      <c r="AI339" s="109"/>
      <c r="AJ339" s="109"/>
      <c r="AK339" s="100"/>
      <c r="AL339" s="185"/>
      <c r="AM339" s="109"/>
      <c r="AN339" s="100"/>
      <c r="AO339" s="185"/>
      <c r="AP339" s="109"/>
      <c r="AQ339" s="175"/>
      <c r="AT339" s="149" t="s">
        <v>1783</v>
      </c>
      <c r="AU339" s="94" t="s">
        <v>1831</v>
      </c>
    </row>
    <row r="340" spans="1:47" ht="21" customHeight="1" x14ac:dyDescent="0.35">
      <c r="A340" s="259"/>
      <c r="B340" s="98" t="s">
        <v>17</v>
      </c>
      <c r="C340" s="214" t="s">
        <v>1784</v>
      </c>
      <c r="D340" s="216" t="s">
        <v>1785</v>
      </c>
      <c r="E340" s="217">
        <v>45959</v>
      </c>
      <c r="F340" s="102">
        <f t="shared" si="12"/>
        <v>0</v>
      </c>
      <c r="G340" s="150">
        <f>SUMIF(积分汇总!$B:$B,C340,积分汇总!$E:$E)</f>
        <v>0</v>
      </c>
      <c r="H340" s="150">
        <f>SUMIF(记录巡查问题条数汇总!$B:$B,C340,记录巡查问题条数汇总!$E:$E)</f>
        <v>0</v>
      </c>
      <c r="I340" s="150"/>
      <c r="J340" s="150">
        <f>SUMIF(安全质量事故!$B:$B,C340,安全质量事故!$G:$G)</f>
        <v>0</v>
      </c>
      <c r="K340" s="141">
        <f>COUNTIF(L340:AP340,标准数据!$A$2)*标准数据!$B$2+COUNTIF(L340:AP340,标准数据!$A$3)*标准数据!$B$3+COUNTIF(L340:AP340,标准数据!$A$4)*标准数据!$B$4</f>
        <v>0</v>
      </c>
      <c r="L340" s="226"/>
      <c r="M340" s="188"/>
      <c r="N340" s="188"/>
      <c r="O340" s="188"/>
      <c r="P340" s="188"/>
      <c r="Q340" s="188"/>
      <c r="R340" s="188"/>
      <c r="S340" s="188"/>
      <c r="T340" s="188"/>
      <c r="U340" s="188"/>
      <c r="V340" s="188"/>
      <c r="W340" s="188"/>
      <c r="X340" s="188"/>
      <c r="Y340" s="188"/>
      <c r="Z340" s="188"/>
      <c r="AA340" s="109"/>
      <c r="AB340" s="109"/>
      <c r="AC340" s="109"/>
      <c r="AD340" s="109"/>
      <c r="AE340" s="109"/>
      <c r="AF340" s="109"/>
      <c r="AG340" s="109"/>
      <c r="AH340" s="109"/>
      <c r="AI340" s="100"/>
      <c r="AJ340" s="185"/>
      <c r="AK340" s="109"/>
      <c r="AL340" s="109"/>
      <c r="AM340" s="109"/>
      <c r="AN340" s="109"/>
      <c r="AO340" s="109"/>
      <c r="AP340" s="109"/>
      <c r="AQ340" s="175" t="s">
        <v>1794</v>
      </c>
      <c r="AT340" s="149" t="s">
        <v>1785</v>
      </c>
      <c r="AU340" s="94" t="s">
        <v>1831</v>
      </c>
    </row>
    <row r="341" spans="1:47" ht="21" customHeight="1" x14ac:dyDescent="0.35">
      <c r="A341" s="259"/>
      <c r="B341" s="98" t="s">
        <v>17</v>
      </c>
      <c r="C341" s="214" t="s">
        <v>1786</v>
      </c>
      <c r="D341" s="216" t="s">
        <v>1787</v>
      </c>
      <c r="E341" s="217">
        <v>46169</v>
      </c>
      <c r="F341" s="102">
        <f t="shared" si="12"/>
        <v>0</v>
      </c>
      <c r="G341" s="150">
        <f>SUMIF(积分汇总!$B:$B,C341,积分汇总!$E:$E)</f>
        <v>0</v>
      </c>
      <c r="H341" s="150">
        <f>SUMIF(记录巡查问题条数汇总!$B:$B,C341,记录巡查问题条数汇总!$E:$E)</f>
        <v>0</v>
      </c>
      <c r="I341" s="150"/>
      <c r="J341" s="150">
        <f>SUMIF(安全质量事故!$B:$B,C341,安全质量事故!$G:$G)</f>
        <v>0</v>
      </c>
      <c r="K341" s="141">
        <f>COUNTIF(L341:AP341,标准数据!$A$2)*标准数据!$B$2+COUNTIF(L341:AP341,标准数据!$A$3)*标准数据!$B$3+COUNTIF(L341:AP341,标准数据!$A$4)*标准数据!$B$4</f>
        <v>0</v>
      </c>
      <c r="L341" s="185"/>
      <c r="M341" s="185"/>
      <c r="N341" s="185"/>
      <c r="O341" s="185"/>
      <c r="P341" s="185"/>
      <c r="Q341" s="185"/>
      <c r="R341" s="185"/>
      <c r="S341" s="185"/>
      <c r="T341" s="185"/>
      <c r="U341" s="185"/>
      <c r="V341" s="185"/>
      <c r="W341" s="185"/>
      <c r="X341" s="185"/>
      <c r="Y341" s="185"/>
      <c r="Z341" s="185"/>
      <c r="AA341" s="185"/>
      <c r="AB341" s="109"/>
      <c r="AC341" s="185"/>
      <c r="AD341" s="185"/>
      <c r="AE341" s="185"/>
      <c r="AF341" s="185"/>
      <c r="AG341" s="185"/>
      <c r="AH341" s="109"/>
      <c r="AI341" s="185"/>
      <c r="AJ341" s="185"/>
      <c r="AK341" s="185"/>
      <c r="AL341" s="185"/>
      <c r="AM341" s="109"/>
      <c r="AN341" s="185"/>
      <c r="AO341" s="185"/>
      <c r="AP341" s="109"/>
      <c r="AQ341" s="175"/>
      <c r="AR341" s="94"/>
      <c r="AS341" s="94"/>
      <c r="AT341" s="149" t="s">
        <v>1787</v>
      </c>
      <c r="AU341" s="94" t="s">
        <v>1831</v>
      </c>
    </row>
    <row r="342" spans="1:47" ht="21" customHeight="1" x14ac:dyDescent="0.35">
      <c r="A342" s="259"/>
      <c r="B342" s="98" t="s">
        <v>1124</v>
      </c>
      <c r="C342" s="107" t="s">
        <v>1082</v>
      </c>
      <c r="D342" s="100" t="s">
        <v>1107</v>
      </c>
      <c r="E342" s="101">
        <v>45985</v>
      </c>
      <c r="F342" s="102">
        <f t="shared" si="12"/>
        <v>0</v>
      </c>
      <c r="G342" s="150">
        <f>SUMIF(积分汇总!$B:$B,#REF!,积分汇总!$E:$E)</f>
        <v>0</v>
      </c>
      <c r="H342" s="150">
        <f>SUMIF(记录巡查问题条数汇总!$B:$B,#REF!,记录巡查问题条数汇总!$E:$E)</f>
        <v>0</v>
      </c>
      <c r="I342" s="150"/>
      <c r="J342" s="150">
        <f>SUMIF(安全质量事故!$B:$B,#REF!,安全质量事故!$G:$G)</f>
        <v>0</v>
      </c>
      <c r="K342" s="141">
        <f>COUNTIF(L342:AP342,标准数据!$A$2)*标准数据!$B$2+COUNTIF(L342:AP342,标准数据!$A$3)*标准数据!$B$3+COUNTIF(L342:AP342,标准数据!$A$4)*标准数据!$B$4</f>
        <v>0</v>
      </c>
      <c r="L342" s="109"/>
      <c r="M342" s="109"/>
      <c r="N342" s="109"/>
      <c r="O342" s="109"/>
      <c r="P342" s="109"/>
      <c r="Q342" s="109"/>
      <c r="R342" s="109"/>
      <c r="S342" s="109"/>
      <c r="T342" s="109"/>
      <c r="U342" s="109"/>
      <c r="V342" s="109"/>
      <c r="W342" s="109"/>
      <c r="X342" s="109"/>
      <c r="Y342" s="109"/>
      <c r="Z342" s="109"/>
      <c r="AA342" s="109"/>
      <c r="AB342" s="109"/>
      <c r="AC342" s="109"/>
      <c r="AD342" s="109"/>
      <c r="AE342" s="109"/>
      <c r="AF342" s="109"/>
      <c r="AG342" s="109"/>
      <c r="AH342" s="109"/>
      <c r="AI342" s="109"/>
      <c r="AJ342" s="109"/>
      <c r="AK342" s="109"/>
      <c r="AL342" s="109"/>
      <c r="AM342" s="109"/>
      <c r="AN342" s="109"/>
      <c r="AO342" s="109"/>
      <c r="AP342" s="109"/>
      <c r="AT342" s="149" t="s">
        <v>1107</v>
      </c>
      <c r="AU342" s="94" t="s">
        <v>1831</v>
      </c>
    </row>
    <row r="343" spans="1:47" ht="21" customHeight="1" x14ac:dyDescent="0.35">
      <c r="A343" s="259"/>
      <c r="B343" s="98" t="s">
        <v>138</v>
      </c>
      <c r="C343" s="99" t="s">
        <v>414</v>
      </c>
      <c r="D343" s="100" t="s">
        <v>411</v>
      </c>
      <c r="E343" s="101">
        <v>45735</v>
      </c>
      <c r="F343" s="102">
        <f t="shared" si="12"/>
        <v>0</v>
      </c>
      <c r="G343" s="150">
        <f>SUMIF(积分汇总!$B:$B,C343,积分汇总!$E:$E)</f>
        <v>0</v>
      </c>
      <c r="H343" s="150">
        <f>SUMIF(记录巡查问题条数汇总!$B:$B,C343,记录巡查问题条数汇总!$E:$E)</f>
        <v>0</v>
      </c>
      <c r="I343" s="150"/>
      <c r="J343" s="150">
        <f>SUMIF(安全质量事故!$B:$B,C343,安全质量事故!$G:$G)</f>
        <v>0</v>
      </c>
      <c r="K343" s="141">
        <f>COUNTIF(L343:AP343,标准数据!$A$2)*标准数据!$B$2+COUNTIF(L343:AP343,标准数据!$A$3)*标准数据!$B$3+COUNTIF(L343:AP343,标准数据!$A$4)*标准数据!$B$4</f>
        <v>0</v>
      </c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109"/>
      <c r="Y343" s="109"/>
      <c r="Z343" s="109"/>
      <c r="AA343" s="109"/>
      <c r="AB343" s="109"/>
      <c r="AC343" s="109"/>
      <c r="AD343" s="109"/>
      <c r="AE343" s="109"/>
      <c r="AF343" s="109"/>
      <c r="AG343" s="109"/>
      <c r="AH343" s="109"/>
      <c r="AI343" s="109"/>
      <c r="AJ343" s="109"/>
      <c r="AK343" s="109"/>
      <c r="AL343" s="109"/>
      <c r="AM343" s="109"/>
      <c r="AN343" s="109"/>
      <c r="AO343" s="109"/>
      <c r="AP343" s="109"/>
      <c r="AT343" s="149" t="s">
        <v>411</v>
      </c>
      <c r="AU343" s="94" t="s">
        <v>1831</v>
      </c>
    </row>
    <row r="344" spans="1:47" ht="21" customHeight="1" x14ac:dyDescent="0.35">
      <c r="A344" s="259"/>
      <c r="B344" s="98" t="s">
        <v>138</v>
      </c>
      <c r="C344" s="99" t="s">
        <v>672</v>
      </c>
      <c r="D344" s="100" t="s">
        <v>627</v>
      </c>
      <c r="E344" s="101">
        <v>45896</v>
      </c>
      <c r="F344" s="102">
        <f t="shared" si="12"/>
        <v>0</v>
      </c>
      <c r="G344" s="150">
        <f>SUMIF(积分汇总!$B:$B,C344,积分汇总!$E:$E)</f>
        <v>0</v>
      </c>
      <c r="H344" s="150">
        <f>SUMIF(记录巡查问题条数汇总!$B:$B,C344,记录巡查问题条数汇总!$E:$E)</f>
        <v>0</v>
      </c>
      <c r="I344" s="150"/>
      <c r="J344" s="150">
        <f>SUMIF(安全质量事故!$B:$B,C344,安全质量事故!$G:$G)</f>
        <v>0</v>
      </c>
      <c r="K344" s="141">
        <f>COUNTIF(L344:AP344,标准数据!$A$2)*标准数据!$B$2+COUNTIF(L344:AP344,标准数据!$A$3)*标准数据!$B$3+COUNTIF(L344:AP344,标准数据!$A$4)*标准数据!$B$4</f>
        <v>0</v>
      </c>
      <c r="L344" s="188"/>
      <c r="M344" s="188"/>
      <c r="N344" s="188"/>
      <c r="O344" s="188"/>
      <c r="P344" s="188"/>
      <c r="Q344" s="188"/>
      <c r="R344" s="188"/>
      <c r="S344" s="188"/>
      <c r="T344" s="188"/>
      <c r="U344" s="188"/>
      <c r="V344" s="188"/>
      <c r="W344" s="188"/>
      <c r="X344" s="188"/>
      <c r="Y344" s="188"/>
      <c r="Z344" s="188"/>
      <c r="AA344" s="109"/>
      <c r="AB344" s="109"/>
      <c r="AC344" s="109"/>
      <c r="AD344" s="109"/>
      <c r="AE344" s="109"/>
      <c r="AF344" s="109"/>
      <c r="AG344" s="109"/>
      <c r="AH344" s="109"/>
      <c r="AI344" s="100"/>
      <c r="AJ344" s="185"/>
      <c r="AK344" s="109"/>
      <c r="AL344" s="109"/>
      <c r="AM344" s="109"/>
      <c r="AN344" s="109"/>
      <c r="AO344" s="109"/>
      <c r="AP344" s="109"/>
      <c r="AT344" s="149" t="s">
        <v>627</v>
      </c>
      <c r="AU344" s="94" t="s">
        <v>1831</v>
      </c>
    </row>
    <row r="345" spans="1:47" ht="21" customHeight="1" x14ac:dyDescent="0.35">
      <c r="A345" s="259"/>
      <c r="B345" s="98" t="s">
        <v>138</v>
      </c>
      <c r="C345" s="99" t="s">
        <v>1033</v>
      </c>
      <c r="D345" s="100" t="s">
        <v>967</v>
      </c>
      <c r="E345" s="101">
        <v>45903</v>
      </c>
      <c r="F345" s="102">
        <f t="shared" si="12"/>
        <v>0</v>
      </c>
      <c r="G345" s="150">
        <f>SUMIF(积分汇总!$B:$B,C345,积分汇总!$E:$E)</f>
        <v>0</v>
      </c>
      <c r="H345" s="150">
        <f>SUMIF(记录巡查问题条数汇总!$B:$B,C345,记录巡查问题条数汇总!$E:$E)</f>
        <v>0</v>
      </c>
      <c r="I345" s="150"/>
      <c r="J345" s="150">
        <f>SUMIF(安全质量事故!$B:$B,C345,安全质量事故!$G:$G)</f>
        <v>0</v>
      </c>
      <c r="K345" s="141">
        <f>COUNTIF(L345:AP345,标准数据!$A$2)*标准数据!$B$2+COUNTIF(L345:AP345,标准数据!$A$3)*标准数据!$B$3+COUNTIF(L345:AP345,标准数据!$A$4)*标准数据!$B$4</f>
        <v>0</v>
      </c>
      <c r="L345" s="188"/>
      <c r="M345" s="188"/>
      <c r="N345" s="188"/>
      <c r="O345" s="188"/>
      <c r="P345" s="188"/>
      <c r="Q345" s="188"/>
      <c r="R345" s="188"/>
      <c r="S345" s="188"/>
      <c r="T345" s="188"/>
      <c r="U345" s="188"/>
      <c r="V345" s="188"/>
      <c r="W345" s="188"/>
      <c r="X345" s="188"/>
      <c r="Y345" s="188"/>
      <c r="Z345" s="188"/>
      <c r="AA345" s="109"/>
      <c r="AB345" s="109"/>
      <c r="AC345" s="109"/>
      <c r="AD345" s="109"/>
      <c r="AE345" s="109"/>
      <c r="AF345" s="109"/>
      <c r="AG345" s="109"/>
      <c r="AH345" s="109"/>
      <c r="AI345" s="100"/>
      <c r="AJ345" s="185"/>
      <c r="AK345" s="109"/>
      <c r="AL345" s="109"/>
      <c r="AM345" s="109"/>
      <c r="AN345" s="109"/>
      <c r="AO345" s="109"/>
      <c r="AP345" s="109"/>
      <c r="AT345" s="149" t="s">
        <v>967</v>
      </c>
      <c r="AU345" s="94" t="s">
        <v>1831</v>
      </c>
    </row>
    <row r="346" spans="1:47" ht="21" customHeight="1" x14ac:dyDescent="0.35">
      <c r="A346" s="259"/>
      <c r="B346" s="98" t="s">
        <v>138</v>
      </c>
      <c r="C346" s="99" t="s">
        <v>1094</v>
      </c>
      <c r="D346" s="100" t="s">
        <v>1056</v>
      </c>
      <c r="E346" s="101">
        <v>45952</v>
      </c>
      <c r="F346" s="102">
        <f t="shared" si="12"/>
        <v>0</v>
      </c>
      <c r="G346" s="150">
        <f>SUMIF(积分汇总!$B:$B,C346,积分汇总!$E:$E)</f>
        <v>0</v>
      </c>
      <c r="H346" s="150">
        <f>SUMIF(记录巡查问题条数汇总!$B:$B,C346,记录巡查问题条数汇总!$E:$E)</f>
        <v>0</v>
      </c>
      <c r="I346" s="150"/>
      <c r="J346" s="150">
        <f>SUMIF(安全质量事故!$B:$B,C346,安全质量事故!$G:$G)</f>
        <v>0</v>
      </c>
      <c r="K346" s="141">
        <f>COUNTIF(L346:AP346,标准数据!$A$2)*标准数据!$B$2+COUNTIF(L346:AP346,标准数据!$A$3)*标准数据!$B$3+COUNTIF(L346:AP346,标准数据!$A$4)*标准数据!$B$4</f>
        <v>0</v>
      </c>
      <c r="L346" s="188"/>
      <c r="M346" s="188"/>
      <c r="N346" s="188"/>
      <c r="O346" s="188"/>
      <c r="P346" s="188"/>
      <c r="Q346" s="188"/>
      <c r="R346" s="188"/>
      <c r="S346" s="188"/>
      <c r="T346" s="188"/>
      <c r="U346" s="188"/>
      <c r="V346" s="188"/>
      <c r="W346" s="188"/>
      <c r="X346" s="188"/>
      <c r="Y346" s="188"/>
      <c r="Z346" s="188"/>
      <c r="AA346" s="109"/>
      <c r="AB346" s="109"/>
      <c r="AC346" s="109"/>
      <c r="AD346" s="109"/>
      <c r="AE346" s="109"/>
      <c r="AF346" s="109"/>
      <c r="AG346" s="109"/>
      <c r="AH346" s="109"/>
      <c r="AI346" s="100"/>
      <c r="AJ346" s="185"/>
      <c r="AK346" s="109"/>
      <c r="AL346" s="109"/>
      <c r="AM346" s="109"/>
      <c r="AN346" s="109"/>
      <c r="AO346" s="109"/>
      <c r="AP346" s="109"/>
      <c r="AT346" s="149" t="s">
        <v>1056</v>
      </c>
      <c r="AU346" s="94" t="s">
        <v>1831</v>
      </c>
    </row>
    <row r="347" spans="1:47" ht="21" customHeight="1" x14ac:dyDescent="0.35">
      <c r="A347" s="259"/>
      <c r="B347" s="98" t="s">
        <v>158</v>
      </c>
      <c r="C347" s="99" t="s">
        <v>1585</v>
      </c>
      <c r="D347" s="100" t="s">
        <v>1586</v>
      </c>
      <c r="E347" s="101">
        <v>45791</v>
      </c>
      <c r="F347" s="102">
        <f t="shared" si="12"/>
        <v>0</v>
      </c>
      <c r="G347" s="150">
        <f>SUMIF(积分汇总!$B:$B,C347,积分汇总!$E:$E)</f>
        <v>0</v>
      </c>
      <c r="H347" s="150">
        <f>SUMIF(记录巡查问题条数汇总!$B:$B,C347,记录巡查问题条数汇总!$E:$E)</f>
        <v>0</v>
      </c>
      <c r="I347" s="150"/>
      <c r="J347" s="150">
        <f>SUMIF(安全质量事故!$B:$B,C347,安全质量事故!$G:$G)</f>
        <v>0</v>
      </c>
      <c r="K347" s="141">
        <f>COUNTIF(L347:AP347,标准数据!$A$2)*标准数据!$B$2+COUNTIF(L347:AP347,标准数据!$A$3)*标准数据!$B$3+COUNTIF(L347:AP347,标准数据!$A$4)*标准数据!$B$4</f>
        <v>0</v>
      </c>
      <c r="L347" s="188"/>
      <c r="M347" s="188"/>
      <c r="N347" s="188"/>
      <c r="O347" s="188"/>
      <c r="P347" s="188"/>
      <c r="Q347" s="188"/>
      <c r="R347" s="188"/>
      <c r="S347" s="188"/>
      <c r="T347" s="188"/>
      <c r="U347" s="188"/>
      <c r="V347" s="188"/>
      <c r="W347" s="188"/>
      <c r="X347" s="188"/>
      <c r="Y347" s="188"/>
      <c r="Z347" s="188"/>
      <c r="AA347" s="109"/>
      <c r="AB347" s="109"/>
      <c r="AC347" s="109"/>
      <c r="AD347" s="109"/>
      <c r="AE347" s="109"/>
      <c r="AF347" s="109"/>
      <c r="AG347" s="109"/>
      <c r="AH347" s="109"/>
      <c r="AI347" s="100"/>
      <c r="AJ347" s="185"/>
      <c r="AK347" s="109"/>
      <c r="AL347" s="109"/>
      <c r="AM347" s="109"/>
      <c r="AN347" s="109"/>
      <c r="AO347" s="109"/>
      <c r="AP347" s="109"/>
      <c r="AT347" s="149" t="s">
        <v>1586</v>
      </c>
      <c r="AU347" s="94" t="s">
        <v>1831</v>
      </c>
    </row>
    <row r="348" spans="1:47" ht="21" customHeight="1" x14ac:dyDescent="0.35">
      <c r="A348" s="259"/>
      <c r="B348" s="98" t="s">
        <v>158</v>
      </c>
      <c r="C348" s="99" t="s">
        <v>1110</v>
      </c>
      <c r="D348" s="100" t="s">
        <v>1111</v>
      </c>
      <c r="E348" s="101">
        <v>46085</v>
      </c>
      <c r="F348" s="102">
        <f t="shared" ref="F348" si="13">(K348+G348+H348+I348-J348)</f>
        <v>0</v>
      </c>
      <c r="G348" s="150">
        <f>SUMIF(积分汇总!$B:$B,C348,积分汇总!$E:$E)</f>
        <v>0</v>
      </c>
      <c r="H348" s="150">
        <f>SUMIF(记录巡查问题条数汇总!$B:$B,C348,记录巡查问题条数汇总!$E:$E)</f>
        <v>0</v>
      </c>
      <c r="I348" s="150"/>
      <c r="J348" s="150">
        <f>SUMIF(安全质量事故!$B:$B,C348,安全质量事故!$G:$G)</f>
        <v>0</v>
      </c>
      <c r="K348" s="141">
        <f>COUNTIF(L348:AP348,标准数据!$A$2)*标准数据!$B$2+COUNTIF(L348:AP348,标准数据!$A$3)*标准数据!$B$3+COUNTIF(L348:AP348,标准数据!$A$4)*标准数据!$B$4</f>
        <v>0</v>
      </c>
      <c r="L348" s="188"/>
      <c r="M348" s="188"/>
      <c r="N348" s="188"/>
      <c r="O348" s="188"/>
      <c r="P348" s="188"/>
      <c r="Q348" s="188"/>
      <c r="R348" s="188"/>
      <c r="S348" s="188"/>
      <c r="T348" s="188"/>
      <c r="U348" s="188"/>
      <c r="V348" s="188"/>
      <c r="W348" s="188"/>
      <c r="X348" s="188"/>
      <c r="Y348" s="188"/>
      <c r="Z348" s="188"/>
      <c r="AA348" s="109"/>
      <c r="AB348" s="109"/>
      <c r="AC348" s="109"/>
      <c r="AD348" s="109"/>
      <c r="AE348" s="109"/>
      <c r="AF348" s="109"/>
      <c r="AG348" s="109"/>
      <c r="AH348" s="109"/>
      <c r="AI348" s="100"/>
      <c r="AJ348" s="185"/>
      <c r="AK348" s="109"/>
      <c r="AL348" s="109"/>
      <c r="AM348" s="109"/>
      <c r="AN348" s="109"/>
      <c r="AO348" s="109"/>
      <c r="AP348" s="109"/>
      <c r="AT348" s="149" t="s">
        <v>1111</v>
      </c>
      <c r="AU348" s="94" t="s">
        <v>1831</v>
      </c>
    </row>
    <row r="349" spans="1:47" ht="21" customHeight="1" x14ac:dyDescent="0.35">
      <c r="A349" s="259"/>
      <c r="B349" s="98" t="s">
        <v>158</v>
      </c>
      <c r="C349" s="214" t="s">
        <v>1747</v>
      </c>
      <c r="D349" s="216" t="s">
        <v>1748</v>
      </c>
      <c r="E349" s="217">
        <v>46162</v>
      </c>
      <c r="F349" s="102">
        <f t="shared" si="12"/>
        <v>0</v>
      </c>
      <c r="G349" s="150">
        <f>SUMIF(积分汇总!$B:$B,C349,积分汇总!$E:$E)</f>
        <v>0</v>
      </c>
      <c r="H349" s="150">
        <f>SUMIF(记录巡查问题条数汇总!$B:$B,C349,记录巡查问题条数汇总!$E:$E)</f>
        <v>0</v>
      </c>
      <c r="I349" s="150"/>
      <c r="J349" s="150">
        <f>SUMIF(安全质量事故!$B:$B,C349,安全质量事故!$G:$G)</f>
        <v>0</v>
      </c>
      <c r="K349" s="141">
        <f>COUNTIF(L349:AP349,标准数据!$A$2)*标准数据!$B$2+COUNTIF(L349:AP349,标准数据!$A$3)*标准数据!$B$3+COUNTIF(L349:AP349,标准数据!$A$4)*标准数据!$B$4</f>
        <v>0</v>
      </c>
      <c r="L349" s="188"/>
      <c r="M349" s="188"/>
      <c r="N349" s="188"/>
      <c r="O349" s="188"/>
      <c r="P349" s="188"/>
      <c r="Q349" s="188"/>
      <c r="R349" s="188"/>
      <c r="S349" s="188"/>
      <c r="T349" s="188"/>
      <c r="U349" s="188"/>
      <c r="V349" s="188"/>
      <c r="W349" s="188"/>
      <c r="X349" s="188"/>
      <c r="Y349" s="188"/>
      <c r="Z349" s="188"/>
      <c r="AA349" s="109"/>
      <c r="AB349" s="109"/>
      <c r="AC349" s="109"/>
      <c r="AD349" s="109"/>
      <c r="AE349" s="109"/>
      <c r="AF349" s="109"/>
      <c r="AG349" s="109"/>
      <c r="AH349" s="109"/>
      <c r="AI349" s="100"/>
      <c r="AJ349" s="185"/>
      <c r="AK349" s="109"/>
      <c r="AL349" s="109"/>
      <c r="AM349" s="109"/>
      <c r="AN349" s="109"/>
      <c r="AO349" s="109"/>
      <c r="AP349" s="109"/>
      <c r="AT349" s="149" t="s">
        <v>1748</v>
      </c>
      <c r="AU349" s="94" t="s">
        <v>1831</v>
      </c>
    </row>
    <row r="350" spans="1:47" ht="21" customHeight="1" x14ac:dyDescent="0.35">
      <c r="A350" s="261" t="s">
        <v>542</v>
      </c>
      <c r="B350" s="98" t="s">
        <v>89</v>
      </c>
      <c r="C350" s="99" t="s">
        <v>598</v>
      </c>
      <c r="D350" s="105" t="s">
        <v>564</v>
      </c>
      <c r="E350" s="99">
        <v>44188</v>
      </c>
      <c r="F350" s="102">
        <f t="shared" si="12"/>
        <v>0</v>
      </c>
      <c r="G350" s="150">
        <f>SUMIF(积分汇总!$B:$B,C350,积分汇总!$E:$E)</f>
        <v>0</v>
      </c>
      <c r="H350" s="150">
        <f>SUMIF(记录巡查问题条数汇总!$B:$B,C350,记录巡查问题条数汇总!$E:$E)</f>
        <v>0</v>
      </c>
      <c r="I350" s="150"/>
      <c r="J350" s="150">
        <f>SUMIF(安全质量事故!$B:$B,C350,安全质量事故!$G:$G)</f>
        <v>0</v>
      </c>
      <c r="K350" s="141">
        <f>COUNTIF(L350:AP350,标准数据!$A$2)*标准数据!$B$2+COUNTIF(L350:AP350,标准数据!$A$3)*标准数据!$B$3+COUNTIF(L350:AP350,标准数据!$A$4)*标准数据!$B$4</f>
        <v>0</v>
      </c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  <c r="AA350" s="108"/>
      <c r="AB350" s="108"/>
      <c r="AC350" s="108"/>
      <c r="AD350" s="108"/>
      <c r="AE350" s="108"/>
      <c r="AF350" s="108"/>
      <c r="AG350" s="108"/>
      <c r="AH350" s="108"/>
      <c r="AI350" s="108"/>
      <c r="AJ350" s="108"/>
      <c r="AK350" s="108"/>
      <c r="AL350" s="108"/>
      <c r="AM350" s="108"/>
      <c r="AN350" s="108"/>
      <c r="AO350" s="108"/>
      <c r="AP350" s="108"/>
      <c r="AQ350" s="250" t="s">
        <v>1145</v>
      </c>
      <c r="AR350" s="251"/>
      <c r="AS350" s="252"/>
      <c r="AT350" s="149" t="s">
        <v>564</v>
      </c>
      <c r="AU350" s="94" t="s">
        <v>1832</v>
      </c>
    </row>
    <row r="351" spans="1:47" ht="21" customHeight="1" x14ac:dyDescent="0.35">
      <c r="A351" s="262"/>
      <c r="B351" s="98" t="s">
        <v>89</v>
      </c>
      <c r="C351" s="99" t="s">
        <v>792</v>
      </c>
      <c r="D351" s="105" t="s">
        <v>770</v>
      </c>
      <c r="E351" s="99">
        <v>44151</v>
      </c>
      <c r="F351" s="102">
        <f t="shared" si="12"/>
        <v>0</v>
      </c>
      <c r="G351" s="150">
        <f>SUMIF(积分汇总!$B:$B,C351,积分汇总!$E:$E)</f>
        <v>0</v>
      </c>
      <c r="H351" s="150">
        <f>SUMIF(记录巡查问题条数汇总!$B:$B,C351,记录巡查问题条数汇总!$E:$E)</f>
        <v>0</v>
      </c>
      <c r="I351" s="150"/>
      <c r="J351" s="150">
        <f>SUMIF(安全质量事故!$B:$B,C351,安全质量事故!$G:$G)</f>
        <v>0</v>
      </c>
      <c r="K351" s="141">
        <f>COUNTIF(L351:AP351,标准数据!$A$2)*标准数据!$B$2+COUNTIF(L351:AP351,标准数据!$A$3)*标准数据!$B$3+COUNTIF(L351:AP351,标准数据!$A$4)*标准数据!$B$4</f>
        <v>0</v>
      </c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  <c r="AA351" s="108"/>
      <c r="AB351" s="108"/>
      <c r="AC351" s="108"/>
      <c r="AD351" s="108"/>
      <c r="AE351" s="108"/>
      <c r="AF351" s="108"/>
      <c r="AG351" s="108"/>
      <c r="AH351" s="108"/>
      <c r="AI351" s="108"/>
      <c r="AJ351" s="108"/>
      <c r="AK351" s="108"/>
      <c r="AL351" s="108"/>
      <c r="AM351" s="108"/>
      <c r="AN351" s="108"/>
      <c r="AO351" s="108"/>
      <c r="AP351" s="108"/>
      <c r="AQ351" s="96" t="s">
        <v>1138</v>
      </c>
      <c r="AR351" s="97" t="s">
        <v>1134</v>
      </c>
      <c r="AS351" s="97" t="s">
        <v>1144</v>
      </c>
      <c r="AT351" s="149" t="s">
        <v>770</v>
      </c>
      <c r="AU351" s="94" t="s">
        <v>1833</v>
      </c>
    </row>
    <row r="352" spans="1:47" ht="21" customHeight="1" x14ac:dyDescent="0.35">
      <c r="A352" s="262"/>
      <c r="B352" s="98" t="s">
        <v>89</v>
      </c>
      <c r="C352" s="99" t="s">
        <v>902</v>
      </c>
      <c r="D352" s="105" t="s">
        <v>851</v>
      </c>
      <c r="E352" s="99">
        <v>43299</v>
      </c>
      <c r="F352" s="102">
        <f t="shared" si="12"/>
        <v>0</v>
      </c>
      <c r="G352" s="150">
        <f>SUMIF(积分汇总!$B:$B,C352,积分汇总!$E:$E)</f>
        <v>0</v>
      </c>
      <c r="H352" s="150">
        <f>SUMIF(记录巡查问题条数汇总!$B:$B,C352,记录巡查问题条数汇总!$E:$E)</f>
        <v>0</v>
      </c>
      <c r="I352" s="150"/>
      <c r="J352" s="150">
        <f>SUMIF(安全质量事故!$B:$B,C352,安全质量事故!$G:$G)</f>
        <v>0</v>
      </c>
      <c r="K352" s="141">
        <f>COUNTIF(L352:AP352,标准数据!$A$2)*标准数据!$B$2+COUNTIF(L352:AP352,标准数据!$A$3)*标准数据!$B$3+COUNTIF(L352:AP352,标准数据!$A$4)*标准数据!$B$4</f>
        <v>0</v>
      </c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  <c r="AA352" s="108"/>
      <c r="AB352" s="108"/>
      <c r="AC352" s="108"/>
      <c r="AD352" s="108"/>
      <c r="AE352" s="108"/>
      <c r="AF352" s="108"/>
      <c r="AG352" s="108"/>
      <c r="AH352" s="108"/>
      <c r="AI352" s="108"/>
      <c r="AJ352" s="108"/>
      <c r="AK352" s="108"/>
      <c r="AL352" s="108"/>
      <c r="AM352" s="108"/>
      <c r="AN352" s="108"/>
      <c r="AO352" s="108"/>
      <c r="AP352" s="108"/>
      <c r="AQ352" s="117">
        <f>COUNTIF($L$350:$AP$522,"a")</f>
        <v>0</v>
      </c>
      <c r="AR352" s="117">
        <f>COUNTIF($L$350:$AP$522,"b")</f>
        <v>0</v>
      </c>
      <c r="AS352" s="117">
        <f>COUNTIF($L$350:$AP$522,"c")</f>
        <v>0</v>
      </c>
      <c r="AT352" s="149" t="s">
        <v>851</v>
      </c>
      <c r="AU352" s="94" t="s">
        <v>1832</v>
      </c>
    </row>
    <row r="353" spans="1:47" ht="21" customHeight="1" x14ac:dyDescent="0.35">
      <c r="A353" s="262"/>
      <c r="B353" s="98" t="s">
        <v>89</v>
      </c>
      <c r="C353" s="99" t="s">
        <v>1485</v>
      </c>
      <c r="D353" s="100" t="s">
        <v>1486</v>
      </c>
      <c r="E353" s="101">
        <v>46155</v>
      </c>
      <c r="F353" s="102">
        <f t="shared" si="12"/>
        <v>0</v>
      </c>
      <c r="G353" s="150">
        <f>SUMIF(积分汇总!$B:$B,C353,积分汇总!$E:$E)</f>
        <v>0</v>
      </c>
      <c r="H353" s="150">
        <f>SUMIF(记录巡查问题条数汇总!$B:$B,C353,记录巡查问题条数汇总!$E:$E)</f>
        <v>0</v>
      </c>
      <c r="I353" s="150"/>
      <c r="J353" s="150">
        <f>SUMIF(安全质量事故!$B:$B,C353,安全质量事故!$G:$G)</f>
        <v>0</v>
      </c>
      <c r="K353" s="141">
        <f>COUNTIF(L353:AP353,标准数据!$A$2)*标准数据!$B$2+COUNTIF(L353:AP353,标准数据!$A$3)*标准数据!$B$3+COUNTIF(L353:AP353,标准数据!$A$4)*标准数据!$B$4</f>
        <v>0</v>
      </c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  <c r="AA353" s="108"/>
      <c r="AB353" s="108"/>
      <c r="AC353" s="108"/>
      <c r="AD353" s="108"/>
      <c r="AE353" s="108"/>
      <c r="AF353" s="108"/>
      <c r="AG353" s="108"/>
      <c r="AH353" s="108"/>
      <c r="AI353" s="108"/>
      <c r="AJ353" s="108"/>
      <c r="AK353" s="108"/>
      <c r="AL353" s="108"/>
      <c r="AM353" s="108"/>
      <c r="AN353" s="108"/>
      <c r="AO353" s="108"/>
      <c r="AP353" s="108"/>
      <c r="AQ353" s="103" t="e">
        <f>AQ352/($AQ$352+$AR$352+$AS$352)</f>
        <v>#DIV/0!</v>
      </c>
      <c r="AR353" s="113" t="e">
        <f>AR352/($AQ$352+$AR$352+$AS$352)</f>
        <v>#DIV/0!</v>
      </c>
      <c r="AS353" s="113" t="e">
        <f>AS352/($AQ$352+$AR$352+$AS$352)</f>
        <v>#DIV/0!</v>
      </c>
      <c r="AT353" s="149" t="s">
        <v>1486</v>
      </c>
      <c r="AU353" s="94" t="s">
        <v>1833</v>
      </c>
    </row>
    <row r="354" spans="1:47" ht="21" customHeight="1" x14ac:dyDescent="0.35">
      <c r="A354" s="262"/>
      <c r="B354" s="98" t="s">
        <v>610</v>
      </c>
      <c r="C354" s="99" t="s">
        <v>609</v>
      </c>
      <c r="D354" s="100" t="s">
        <v>566</v>
      </c>
      <c r="E354" s="101">
        <v>45875</v>
      </c>
      <c r="F354" s="102">
        <f t="shared" si="12"/>
        <v>0</v>
      </c>
      <c r="G354" s="150">
        <f>SUMIF(积分汇总!$B:$B,C354,积分汇总!$E:$E)</f>
        <v>0</v>
      </c>
      <c r="H354" s="150">
        <f>SUMIF(记录巡查问题条数汇总!$B:$B,C354,记录巡查问题条数汇总!$E:$E)</f>
        <v>0</v>
      </c>
      <c r="I354" s="150"/>
      <c r="J354" s="150">
        <f>SUMIF(安全质量事故!$B:$B,C354,安全质量事故!$G:$G)</f>
        <v>0</v>
      </c>
      <c r="K354" s="141">
        <f>COUNTIF(L354:AP354,标准数据!$A$2)*标准数据!$B$2+COUNTIF(L354:AP354,标准数据!$A$3)*标准数据!$B$3+COUNTIF(L354:AP354,标准数据!$A$4)*标准数据!$B$4</f>
        <v>0</v>
      </c>
      <c r="L354" s="185"/>
      <c r="M354" s="185"/>
      <c r="N354" s="185"/>
      <c r="O354" s="185"/>
      <c r="P354" s="185"/>
      <c r="Q354" s="109"/>
      <c r="R354" s="109"/>
      <c r="S354" s="109"/>
      <c r="T354" s="109"/>
      <c r="U354" s="109"/>
      <c r="V354" s="109"/>
      <c r="W354" s="109"/>
      <c r="X354" s="109"/>
      <c r="Y354" s="109"/>
      <c r="Z354" s="109"/>
      <c r="AA354" s="109"/>
      <c r="AB354" s="109"/>
      <c r="AC354" s="109"/>
      <c r="AD354" s="109"/>
      <c r="AE354" s="109"/>
      <c r="AF354" s="109"/>
      <c r="AG354" s="109"/>
      <c r="AH354" s="109"/>
      <c r="AI354" s="109"/>
      <c r="AJ354" s="109"/>
      <c r="AK354" s="109"/>
      <c r="AL354" s="109"/>
      <c r="AM354" s="109"/>
      <c r="AN354" s="109"/>
      <c r="AO354" s="109"/>
      <c r="AP354" s="109"/>
      <c r="AQ354" s="94"/>
      <c r="AR354" s="94"/>
      <c r="AS354" s="94"/>
      <c r="AT354" s="149" t="s">
        <v>566</v>
      </c>
      <c r="AU354" s="94" t="s">
        <v>1832</v>
      </c>
    </row>
    <row r="355" spans="1:47" ht="21" customHeight="1" x14ac:dyDescent="0.35">
      <c r="A355" s="262"/>
      <c r="B355" s="98" t="s">
        <v>166</v>
      </c>
      <c r="C355" s="99" t="s">
        <v>925</v>
      </c>
      <c r="D355" s="100" t="s">
        <v>852</v>
      </c>
      <c r="E355" s="101">
        <v>44018</v>
      </c>
      <c r="F355" s="102">
        <f t="shared" si="12"/>
        <v>0</v>
      </c>
      <c r="G355" s="150">
        <f>SUMIF(积分汇总!$B:$B,C355,积分汇总!$E:$E)</f>
        <v>0</v>
      </c>
      <c r="H355" s="150">
        <f>SUMIF(记录巡查问题条数汇总!$B:$B,C355,记录巡查问题条数汇总!$E:$E)</f>
        <v>0</v>
      </c>
      <c r="I355" s="150"/>
      <c r="J355" s="150">
        <f>SUMIF(安全质量事故!$B:$B,C355,安全质量事故!$G:$G)</f>
        <v>0</v>
      </c>
      <c r="K355" s="141">
        <f>COUNTIF(L355:AP355,标准数据!$A$2)*标准数据!$B$2+COUNTIF(L355:AP355,标准数据!$A$3)*标准数据!$B$3+COUNTIF(L355:AP355,标准数据!$A$4)*标准数据!$B$4</f>
        <v>0</v>
      </c>
      <c r="L355" s="185"/>
      <c r="M355" s="185"/>
      <c r="N355" s="185"/>
      <c r="O355" s="185"/>
      <c r="P355" s="185"/>
      <c r="Q355" s="109"/>
      <c r="R355" s="109"/>
      <c r="S355" s="109"/>
      <c r="T355" s="109"/>
      <c r="U355" s="109"/>
      <c r="V355" s="109"/>
      <c r="W355" s="109"/>
      <c r="X355" s="109"/>
      <c r="Y355" s="109"/>
      <c r="Z355" s="109"/>
      <c r="AA355" s="109"/>
      <c r="AB355" s="109"/>
      <c r="AC355" s="109"/>
      <c r="AD355" s="109"/>
      <c r="AE355" s="109"/>
      <c r="AF355" s="109"/>
      <c r="AG355" s="109"/>
      <c r="AH355" s="109"/>
      <c r="AI355" s="109"/>
      <c r="AJ355" s="109"/>
      <c r="AK355" s="109"/>
      <c r="AL355" s="109"/>
      <c r="AM355" s="109"/>
      <c r="AN355" s="109"/>
      <c r="AO355" s="109"/>
      <c r="AP355" s="109"/>
      <c r="AQ355" s="94"/>
      <c r="AR355" s="94"/>
      <c r="AS355" s="94"/>
      <c r="AT355" s="149" t="s">
        <v>852</v>
      </c>
      <c r="AU355" s="94" t="s">
        <v>1832</v>
      </c>
    </row>
    <row r="356" spans="1:47" ht="21" customHeight="1" x14ac:dyDescent="0.35">
      <c r="A356" s="262"/>
      <c r="B356" s="98" t="s">
        <v>166</v>
      </c>
      <c r="C356" s="99" t="s">
        <v>926</v>
      </c>
      <c r="D356" s="100" t="s">
        <v>868</v>
      </c>
      <c r="E356" s="101">
        <v>41340</v>
      </c>
      <c r="F356" s="102">
        <f t="shared" si="12"/>
        <v>0</v>
      </c>
      <c r="G356" s="150">
        <f>SUMIF(积分汇总!$B:$B,C356,积分汇总!$E:$E)</f>
        <v>0</v>
      </c>
      <c r="H356" s="150">
        <f>SUMIF(记录巡查问题条数汇总!$B:$B,C356,记录巡查问题条数汇总!$E:$E)</f>
        <v>0</v>
      </c>
      <c r="I356" s="150"/>
      <c r="J356" s="150">
        <f>SUMIF(安全质量事故!$B:$B,C356,安全质量事故!$G:$G)</f>
        <v>0</v>
      </c>
      <c r="K356" s="141">
        <f>COUNTIF(L356:AP356,标准数据!$A$2)*标准数据!$B$2+COUNTIF(L356:AP356,标准数据!$A$3)*标准数据!$B$3+COUNTIF(L356:AP356,标准数据!$A$4)*标准数据!$B$4</f>
        <v>0</v>
      </c>
      <c r="L356" s="185"/>
      <c r="M356" s="185"/>
      <c r="N356" s="185"/>
      <c r="O356" s="185"/>
      <c r="P356" s="185"/>
      <c r="Q356" s="109"/>
      <c r="R356" s="109"/>
      <c r="S356" s="109"/>
      <c r="T356" s="109"/>
      <c r="U356" s="109"/>
      <c r="V356" s="109"/>
      <c r="W356" s="109"/>
      <c r="X356" s="109"/>
      <c r="Y356" s="109"/>
      <c r="Z356" s="109"/>
      <c r="AA356" s="109"/>
      <c r="AB356" s="109"/>
      <c r="AC356" s="109"/>
      <c r="AD356" s="109"/>
      <c r="AE356" s="109"/>
      <c r="AF356" s="109"/>
      <c r="AG356" s="109"/>
      <c r="AH356" s="109"/>
      <c r="AI356" s="109"/>
      <c r="AJ356" s="109"/>
      <c r="AK356" s="109"/>
      <c r="AL356" s="109"/>
      <c r="AM356" s="109"/>
      <c r="AN356" s="109"/>
      <c r="AO356" s="109"/>
      <c r="AP356" s="109"/>
      <c r="AQ356" s="94"/>
      <c r="AR356" s="94"/>
      <c r="AS356" s="94"/>
      <c r="AT356" s="149" t="s">
        <v>868</v>
      </c>
      <c r="AU356" s="94" t="s">
        <v>1832</v>
      </c>
    </row>
    <row r="357" spans="1:47" ht="21" customHeight="1" x14ac:dyDescent="0.35">
      <c r="A357" s="262"/>
      <c r="B357" s="98" t="s">
        <v>166</v>
      </c>
      <c r="C357" s="99" t="s">
        <v>262</v>
      </c>
      <c r="D357" s="100" t="s">
        <v>237</v>
      </c>
      <c r="E357" s="101">
        <v>44446</v>
      </c>
      <c r="F357" s="102">
        <f t="shared" si="12"/>
        <v>0</v>
      </c>
      <c r="G357" s="150">
        <f>SUMIF(积分汇总!$B:$B,C357,积分汇总!$E:$E)</f>
        <v>0</v>
      </c>
      <c r="H357" s="150">
        <f>SUMIF(记录巡查问题条数汇总!$B:$B,C357,记录巡查问题条数汇总!$E:$E)</f>
        <v>0</v>
      </c>
      <c r="I357" s="150"/>
      <c r="J357" s="150">
        <f>SUMIF(安全质量事故!$B:$B,C357,安全质量事故!$G:$G)</f>
        <v>0</v>
      </c>
      <c r="K357" s="141">
        <f>COUNTIF(L357:AP357,标准数据!$A$2)*标准数据!$B$2+COUNTIF(L357:AP357,标准数据!$A$3)*标准数据!$B$3+COUNTIF(L357:AP357,标准数据!$A$4)*标准数据!$B$4</f>
        <v>0</v>
      </c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109"/>
      <c r="Y357" s="109"/>
      <c r="Z357" s="109"/>
      <c r="AA357" s="109"/>
      <c r="AB357" s="109"/>
      <c r="AC357" s="109"/>
      <c r="AD357" s="109"/>
      <c r="AE357" s="109"/>
      <c r="AF357" s="109"/>
      <c r="AG357" s="109"/>
      <c r="AH357" s="109"/>
      <c r="AI357" s="109"/>
      <c r="AJ357" s="109"/>
      <c r="AK357" s="109"/>
      <c r="AL357" s="109"/>
      <c r="AM357" s="109"/>
      <c r="AN357" s="109"/>
      <c r="AO357" s="109"/>
      <c r="AP357" s="109"/>
      <c r="AQ357" s="94"/>
      <c r="AR357" s="94"/>
      <c r="AS357" s="94"/>
      <c r="AT357" s="149" t="s">
        <v>237</v>
      </c>
      <c r="AU357" s="94" t="s">
        <v>1832</v>
      </c>
    </row>
    <row r="358" spans="1:47" ht="21" customHeight="1" x14ac:dyDescent="0.35">
      <c r="A358" s="262"/>
      <c r="B358" s="98" t="s">
        <v>166</v>
      </c>
      <c r="C358" s="99" t="s">
        <v>300</v>
      </c>
      <c r="D358" s="100" t="s">
        <v>286</v>
      </c>
      <c r="E358" s="101">
        <v>45539</v>
      </c>
      <c r="F358" s="102">
        <f t="shared" si="12"/>
        <v>0</v>
      </c>
      <c r="G358" s="150">
        <f>SUMIF(积分汇总!$B:$B,C358,积分汇总!$E:$E)</f>
        <v>0</v>
      </c>
      <c r="H358" s="150">
        <f>SUMIF(记录巡查问题条数汇总!$B:$B,C358,记录巡查问题条数汇总!$E:$E)</f>
        <v>0</v>
      </c>
      <c r="I358" s="150"/>
      <c r="J358" s="150">
        <f>SUMIF(安全质量事故!$B:$B,C358,安全质量事故!$G:$G)</f>
        <v>0</v>
      </c>
      <c r="K358" s="141">
        <f>COUNTIF(L358:AP358,标准数据!$A$2)*标准数据!$B$2+COUNTIF(L358:AP358,标准数据!$A$3)*标准数据!$B$3+COUNTIF(L358:AP358,标准数据!$A$4)*标准数据!$B$4</f>
        <v>0</v>
      </c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109"/>
      <c r="Y358" s="109"/>
      <c r="Z358" s="109"/>
      <c r="AA358" s="109"/>
      <c r="AB358" s="109"/>
      <c r="AC358" s="109"/>
      <c r="AD358" s="109"/>
      <c r="AE358" s="109"/>
      <c r="AF358" s="109"/>
      <c r="AG358" s="109"/>
      <c r="AH358" s="109"/>
      <c r="AI358" s="109"/>
      <c r="AJ358" s="109"/>
      <c r="AK358" s="109"/>
      <c r="AL358" s="109"/>
      <c r="AM358" s="109"/>
      <c r="AN358" s="109"/>
      <c r="AO358" s="109"/>
      <c r="AP358" s="109"/>
      <c r="AQ358" s="94"/>
      <c r="AR358" s="94"/>
      <c r="AS358" s="94"/>
      <c r="AT358" s="149" t="s">
        <v>286</v>
      </c>
      <c r="AU358" s="94" t="s">
        <v>1832</v>
      </c>
    </row>
    <row r="359" spans="1:47" s="104" customFormat="1" ht="21" customHeight="1" x14ac:dyDescent="0.35">
      <c r="A359" s="262"/>
      <c r="B359" s="98" t="s">
        <v>166</v>
      </c>
      <c r="C359" s="99" t="s">
        <v>723</v>
      </c>
      <c r="D359" s="100" t="s">
        <v>709</v>
      </c>
      <c r="E359" s="101">
        <v>45943</v>
      </c>
      <c r="F359" s="102">
        <f t="shared" si="12"/>
        <v>0</v>
      </c>
      <c r="G359" s="150">
        <f>SUMIF(积分汇总!$B:$B,C359,积分汇总!$E:$E)</f>
        <v>0</v>
      </c>
      <c r="H359" s="150">
        <f>SUMIF(记录巡查问题条数汇总!$B:$B,C359,记录巡查问题条数汇总!$E:$E)</f>
        <v>0</v>
      </c>
      <c r="I359" s="150"/>
      <c r="J359" s="150">
        <f>SUMIF(安全质量事故!$B:$B,C359,安全质量事故!$G:$G)</f>
        <v>0</v>
      </c>
      <c r="K359" s="141">
        <f>COUNTIF(L359:AP359,标准数据!$A$2)*标准数据!$B$2+COUNTIF(L359:AP359,标准数据!$A$3)*标准数据!$B$3+COUNTIF(L359:AP359,标准数据!$A$4)*标准数据!$B$4</f>
        <v>0</v>
      </c>
      <c r="L359" s="185"/>
      <c r="M359" s="185"/>
      <c r="N359" s="185"/>
      <c r="O359" s="185"/>
      <c r="P359" s="185"/>
      <c r="Q359" s="109"/>
      <c r="R359" s="109"/>
      <c r="S359" s="109"/>
      <c r="T359" s="109"/>
      <c r="U359" s="109"/>
      <c r="V359" s="109"/>
      <c r="W359" s="109"/>
      <c r="X359" s="109"/>
      <c r="Y359" s="109"/>
      <c r="Z359" s="109"/>
      <c r="AA359" s="109"/>
      <c r="AB359" s="109"/>
      <c r="AC359" s="109"/>
      <c r="AD359" s="109"/>
      <c r="AE359" s="109"/>
      <c r="AF359" s="109"/>
      <c r="AG359" s="109"/>
      <c r="AH359" s="109"/>
      <c r="AI359" s="109"/>
      <c r="AJ359" s="109"/>
      <c r="AK359" s="109"/>
      <c r="AL359" s="109"/>
      <c r="AM359" s="109"/>
      <c r="AN359" s="109"/>
      <c r="AO359" s="109"/>
      <c r="AP359" s="109"/>
      <c r="AQ359" s="94"/>
      <c r="AR359" s="94"/>
      <c r="AS359" s="94"/>
      <c r="AT359" s="149" t="s">
        <v>709</v>
      </c>
      <c r="AU359" s="94" t="s">
        <v>1833</v>
      </c>
    </row>
    <row r="360" spans="1:47" ht="21" customHeight="1" x14ac:dyDescent="0.35">
      <c r="A360" s="262"/>
      <c r="B360" s="98" t="s">
        <v>166</v>
      </c>
      <c r="C360" s="99" t="s">
        <v>785</v>
      </c>
      <c r="D360" s="100" t="s">
        <v>746</v>
      </c>
      <c r="E360" s="101">
        <v>45980</v>
      </c>
      <c r="F360" s="102">
        <f t="shared" si="12"/>
        <v>0</v>
      </c>
      <c r="G360" s="150">
        <f>SUMIF(积分汇总!$B:$B,C360,积分汇总!$E:$E)</f>
        <v>0</v>
      </c>
      <c r="H360" s="150">
        <f>SUMIF(记录巡查问题条数汇总!$B:$B,C360,记录巡查问题条数汇总!$E:$E)</f>
        <v>0</v>
      </c>
      <c r="I360" s="150"/>
      <c r="J360" s="150">
        <f>SUMIF(安全质量事故!$B:$B,C360,安全质量事故!$G:$G)</f>
        <v>0</v>
      </c>
      <c r="K360" s="141">
        <f>COUNTIF(L360:AP360,标准数据!$A$2)*标准数据!$B$2+COUNTIF(L360:AP360,标准数据!$A$3)*标准数据!$B$3+COUNTIF(L360:AP360,标准数据!$A$4)*标准数据!$B$4</f>
        <v>0</v>
      </c>
      <c r="L360" s="109"/>
      <c r="M360" s="109"/>
      <c r="N360" s="109"/>
      <c r="O360" s="109"/>
      <c r="P360" s="109"/>
      <c r="Q360" s="109"/>
      <c r="R360" s="109"/>
      <c r="S360" s="109"/>
      <c r="T360" s="109"/>
      <c r="U360" s="109"/>
      <c r="V360" s="109"/>
      <c r="W360" s="109"/>
      <c r="X360" s="109"/>
      <c r="Y360" s="109"/>
      <c r="Z360" s="109"/>
      <c r="AA360" s="109"/>
      <c r="AB360" s="109"/>
      <c r="AC360" s="109"/>
      <c r="AD360" s="109"/>
      <c r="AE360" s="109"/>
      <c r="AF360" s="109"/>
      <c r="AG360" s="109"/>
      <c r="AH360" s="109"/>
      <c r="AI360" s="109"/>
      <c r="AJ360" s="109"/>
      <c r="AK360" s="109"/>
      <c r="AL360" s="109"/>
      <c r="AM360" s="109"/>
      <c r="AN360" s="109"/>
      <c r="AO360" s="109"/>
      <c r="AP360" s="109"/>
      <c r="AQ360" s="94"/>
      <c r="AR360" s="94"/>
      <c r="AS360" s="94"/>
      <c r="AT360" s="149" t="s">
        <v>746</v>
      </c>
      <c r="AU360" s="94" t="s">
        <v>1832</v>
      </c>
    </row>
    <row r="361" spans="1:47" ht="21" customHeight="1" x14ac:dyDescent="0.35">
      <c r="A361" s="262"/>
      <c r="B361" s="98" t="s">
        <v>166</v>
      </c>
      <c r="C361" s="214" t="s">
        <v>1700</v>
      </c>
      <c r="D361" s="216" t="s">
        <v>1701</v>
      </c>
      <c r="E361" s="217">
        <v>46183</v>
      </c>
      <c r="F361" s="102">
        <f t="shared" ref="F361" si="14">(K361+G361+H361+I361-J361)</f>
        <v>0</v>
      </c>
      <c r="G361" s="150">
        <f>SUMIF(积分汇总!$B:$B,C361,积分汇总!$E:$E)</f>
        <v>0</v>
      </c>
      <c r="H361" s="150">
        <f>SUMIF(记录巡查问题条数汇总!$B:$B,C361,记录巡查问题条数汇总!$E:$E)</f>
        <v>0</v>
      </c>
      <c r="I361" s="150"/>
      <c r="J361" s="150">
        <f>SUMIF(安全质量事故!$B:$B,C361,安全质量事故!$G:$G)</f>
        <v>0</v>
      </c>
      <c r="K361" s="141">
        <f>COUNTIF(L361:AP361,标准数据!$A$2)*标准数据!$B$2+COUNTIF(L361:AP361,标准数据!$A$3)*标准数据!$B$3+COUNTIF(L361:AP361,标准数据!$A$4)*标准数据!$B$4</f>
        <v>0</v>
      </c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  <c r="X361" s="109"/>
      <c r="Y361" s="109"/>
      <c r="Z361" s="109"/>
      <c r="AA361" s="109"/>
      <c r="AB361" s="109"/>
      <c r="AC361" s="109"/>
      <c r="AD361" s="109"/>
      <c r="AE361" s="109"/>
      <c r="AF361" s="109"/>
      <c r="AG361" s="109"/>
      <c r="AH361" s="109"/>
      <c r="AI361" s="109"/>
      <c r="AJ361" s="109"/>
      <c r="AK361" s="109"/>
      <c r="AL361" s="109"/>
      <c r="AM361" s="109"/>
      <c r="AN361" s="109"/>
      <c r="AO361" s="109"/>
      <c r="AP361" s="109"/>
      <c r="AQ361" s="219" t="s">
        <v>1702</v>
      </c>
      <c r="AR361" s="94"/>
      <c r="AS361" s="94"/>
      <c r="AT361" s="149" t="s">
        <v>1701</v>
      </c>
      <c r="AU361" s="94" t="s">
        <v>1834</v>
      </c>
    </row>
    <row r="362" spans="1:47" ht="21" customHeight="1" x14ac:dyDescent="0.35">
      <c r="A362" s="262"/>
      <c r="B362" s="98" t="s">
        <v>17</v>
      </c>
      <c r="C362" s="99" t="s">
        <v>612</v>
      </c>
      <c r="D362" s="100" t="s">
        <v>568</v>
      </c>
      <c r="E362" s="101">
        <v>45875</v>
      </c>
      <c r="F362" s="102">
        <f t="shared" si="12"/>
        <v>0</v>
      </c>
      <c r="G362" s="150">
        <f>SUMIF(积分汇总!$B:$B,C362,积分汇总!$E:$E)</f>
        <v>0</v>
      </c>
      <c r="H362" s="150">
        <f>SUMIF(记录巡查问题条数汇总!$B:$B,C362,记录巡查问题条数汇总!$E:$E)</f>
        <v>0</v>
      </c>
      <c r="I362" s="150"/>
      <c r="J362" s="150">
        <f>SUMIF(安全质量事故!$B:$B,C362,安全质量事故!$G:$G)</f>
        <v>0</v>
      </c>
      <c r="K362" s="141">
        <f>COUNTIF(L362:AP362,标准数据!$A$2)*标准数据!$B$2+COUNTIF(L362:AP362,标准数据!$A$3)*标准数据!$B$3+COUNTIF(L362:AP362,标准数据!$A$4)*标准数据!$B$4</f>
        <v>0</v>
      </c>
      <c r="L362" s="185"/>
      <c r="M362" s="185"/>
      <c r="N362" s="185"/>
      <c r="O362" s="185"/>
      <c r="P362" s="185"/>
      <c r="Q362" s="185"/>
      <c r="R362" s="185"/>
      <c r="S362" s="185"/>
      <c r="T362" s="185"/>
      <c r="U362" s="185"/>
      <c r="V362" s="185"/>
      <c r="W362" s="185"/>
      <c r="X362" s="185"/>
      <c r="Y362" s="185"/>
      <c r="Z362" s="185"/>
      <c r="AA362" s="185"/>
      <c r="AB362" s="185"/>
      <c r="AC362" s="185"/>
      <c r="AD362" s="185"/>
      <c r="AE362" s="109"/>
      <c r="AF362" s="109"/>
      <c r="AG362" s="109"/>
      <c r="AH362" s="109"/>
      <c r="AI362" s="109"/>
      <c r="AJ362" s="109"/>
      <c r="AK362" s="109"/>
      <c r="AL362" s="109"/>
      <c r="AM362" s="109"/>
      <c r="AN362" s="109"/>
      <c r="AO362" s="109"/>
      <c r="AP362" s="109"/>
      <c r="AQ362" s="94"/>
      <c r="AR362" s="94"/>
      <c r="AS362" s="94"/>
      <c r="AT362" s="149" t="s">
        <v>568</v>
      </c>
      <c r="AU362" s="94" t="s">
        <v>1833</v>
      </c>
    </row>
    <row r="363" spans="1:47" ht="21" customHeight="1" x14ac:dyDescent="0.35">
      <c r="A363" s="262"/>
      <c r="B363" s="98" t="s">
        <v>17</v>
      </c>
      <c r="C363" s="99" t="s">
        <v>613</v>
      </c>
      <c r="D363" s="100" t="s">
        <v>569</v>
      </c>
      <c r="E363" s="101">
        <v>45889</v>
      </c>
      <c r="F363" s="102">
        <f t="shared" si="12"/>
        <v>0</v>
      </c>
      <c r="G363" s="150">
        <f>SUMIF(积分汇总!$B:$B,C363,积分汇总!$E:$E)</f>
        <v>0</v>
      </c>
      <c r="H363" s="150">
        <f>SUMIF(记录巡查问题条数汇总!$B:$B,C363,记录巡查问题条数汇总!$E:$E)</f>
        <v>0</v>
      </c>
      <c r="I363" s="150"/>
      <c r="J363" s="150">
        <f>SUMIF(安全质量事故!$B:$B,C363,安全质量事故!$G:$G)</f>
        <v>0</v>
      </c>
      <c r="K363" s="141">
        <f>COUNTIF(L363:AP363,标准数据!$A$2)*标准数据!$B$2+COUNTIF(L363:AP363,标准数据!$A$3)*标准数据!$B$3+COUNTIF(L363:AP363,标准数据!$A$4)*标准数据!$B$4</f>
        <v>0</v>
      </c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109"/>
      <c r="Y363" s="109"/>
      <c r="Z363" s="109"/>
      <c r="AA363" s="109"/>
      <c r="AB363" s="109"/>
      <c r="AC363" s="109"/>
      <c r="AD363" s="109"/>
      <c r="AE363" s="109"/>
      <c r="AF363" s="109"/>
      <c r="AG363" s="109"/>
      <c r="AH363" s="109"/>
      <c r="AI363" s="109"/>
      <c r="AJ363" s="109"/>
      <c r="AK363" s="109"/>
      <c r="AL363" s="109"/>
      <c r="AM363" s="109"/>
      <c r="AN363" s="109"/>
      <c r="AO363" s="109"/>
      <c r="AP363" s="109"/>
      <c r="AT363" s="149" t="s">
        <v>569</v>
      </c>
      <c r="AU363" s="94" t="s">
        <v>1832</v>
      </c>
    </row>
    <row r="364" spans="1:47" ht="21" customHeight="1" x14ac:dyDescent="0.35">
      <c r="A364" s="262"/>
      <c r="B364" s="98" t="s">
        <v>17</v>
      </c>
      <c r="C364" s="99" t="s">
        <v>263</v>
      </c>
      <c r="D364" s="100" t="s">
        <v>238</v>
      </c>
      <c r="E364" s="101">
        <v>44753</v>
      </c>
      <c r="F364" s="102">
        <f t="shared" si="12"/>
        <v>0</v>
      </c>
      <c r="G364" s="150">
        <f>SUMIF(积分汇总!$B:$B,C364,积分汇总!$E:$E)</f>
        <v>0</v>
      </c>
      <c r="H364" s="150">
        <f>SUMIF(记录巡查问题条数汇总!$B:$B,C364,记录巡查问题条数汇总!$E:$E)</f>
        <v>0</v>
      </c>
      <c r="I364" s="150"/>
      <c r="J364" s="150">
        <f>SUMIF(安全质量事故!$B:$B,C364,安全质量事故!$G:$G)</f>
        <v>0</v>
      </c>
      <c r="K364" s="141">
        <f>COUNTIF(L364:AP364,标准数据!$A$2)*标准数据!$B$2+COUNTIF(L364:AP364,标准数据!$A$3)*标准数据!$B$3+COUNTIF(L364:AP364,标准数据!$A$4)*标准数据!$B$4</f>
        <v>0</v>
      </c>
      <c r="L364" s="109"/>
      <c r="M364" s="109"/>
      <c r="N364" s="109"/>
      <c r="O364" s="109"/>
      <c r="P364" s="109"/>
      <c r="Q364" s="109"/>
      <c r="R364" s="109"/>
      <c r="S364" s="109"/>
      <c r="T364" s="109"/>
      <c r="U364" s="109"/>
      <c r="V364" s="109"/>
      <c r="W364" s="109"/>
      <c r="X364" s="109"/>
      <c r="Y364" s="109"/>
      <c r="Z364" s="109"/>
      <c r="AA364" s="109"/>
      <c r="AB364" s="109"/>
      <c r="AC364" s="109"/>
      <c r="AD364" s="109"/>
      <c r="AE364" s="109"/>
      <c r="AF364" s="109"/>
      <c r="AG364" s="109"/>
      <c r="AH364" s="109"/>
      <c r="AI364" s="109"/>
      <c r="AJ364" s="109"/>
      <c r="AK364" s="109"/>
      <c r="AL364" s="109"/>
      <c r="AM364" s="109"/>
      <c r="AN364" s="109"/>
      <c r="AO364" s="109"/>
      <c r="AP364" s="109"/>
      <c r="AT364" s="149" t="s">
        <v>238</v>
      </c>
      <c r="AU364" s="94" t="s">
        <v>1832</v>
      </c>
    </row>
    <row r="365" spans="1:47" ht="21" customHeight="1" x14ac:dyDescent="0.35">
      <c r="A365" s="262"/>
      <c r="B365" s="98" t="s">
        <v>17</v>
      </c>
      <c r="C365" s="99" t="s">
        <v>611</v>
      </c>
      <c r="D365" s="100" t="s">
        <v>567</v>
      </c>
      <c r="E365" s="101">
        <v>45139</v>
      </c>
      <c r="F365" s="102">
        <f t="shared" si="12"/>
        <v>0</v>
      </c>
      <c r="G365" s="150">
        <f>SUMIF(积分汇总!$B:$B,C365,积分汇总!$E:$E)</f>
        <v>0</v>
      </c>
      <c r="H365" s="150">
        <f>SUMIF(记录巡查问题条数汇总!$B:$B,C365,记录巡查问题条数汇总!$E:$E)</f>
        <v>0</v>
      </c>
      <c r="I365" s="150"/>
      <c r="J365" s="150">
        <f>SUMIF(安全质量事故!$B:$B,C365,安全质量事故!$G:$G)</f>
        <v>0</v>
      </c>
      <c r="K365" s="141">
        <f>COUNTIF(L365:AP365,标准数据!$A$2)*标准数据!$B$2+COUNTIF(L365:AP365,标准数据!$A$3)*标准数据!$B$3+COUNTIF(L365:AP365,标准数据!$A$4)*标准数据!$B$4</f>
        <v>0</v>
      </c>
      <c r="L365" s="185"/>
      <c r="M365" s="185"/>
      <c r="N365" s="185"/>
      <c r="O365" s="185"/>
      <c r="P365" s="185"/>
      <c r="Q365" s="185"/>
      <c r="R365" s="185"/>
      <c r="S365" s="185"/>
      <c r="T365" s="109"/>
      <c r="U365" s="109"/>
      <c r="V365" s="109"/>
      <c r="W365" s="109"/>
      <c r="X365" s="109"/>
      <c r="Y365" s="109"/>
      <c r="Z365" s="109"/>
      <c r="AA365" s="109"/>
      <c r="AB365" s="109"/>
      <c r="AC365" s="109"/>
      <c r="AD365" s="109"/>
      <c r="AE365" s="109"/>
      <c r="AF365" s="109"/>
      <c r="AG365" s="109"/>
      <c r="AH365" s="109"/>
      <c r="AI365" s="109"/>
      <c r="AJ365" s="109"/>
      <c r="AK365" s="109"/>
      <c r="AL365" s="109"/>
      <c r="AM365" s="109"/>
      <c r="AN365" s="109"/>
      <c r="AO365" s="109"/>
      <c r="AP365" s="109"/>
      <c r="AT365" s="149" t="s">
        <v>567</v>
      </c>
      <c r="AU365" s="94" t="s">
        <v>1832</v>
      </c>
    </row>
    <row r="366" spans="1:47" ht="21" customHeight="1" x14ac:dyDescent="0.35">
      <c r="A366" s="262"/>
      <c r="B366" s="98" t="s">
        <v>17</v>
      </c>
      <c r="C366" s="99" t="s">
        <v>675</v>
      </c>
      <c r="D366" s="100" t="s">
        <v>638</v>
      </c>
      <c r="E366" s="101" t="s">
        <v>1146</v>
      </c>
      <c r="F366" s="102">
        <f t="shared" si="12"/>
        <v>0</v>
      </c>
      <c r="G366" s="150">
        <f>SUMIF(积分汇总!$B:$B,C366,积分汇总!$E:$E)</f>
        <v>0</v>
      </c>
      <c r="H366" s="150">
        <f>SUMIF(记录巡查问题条数汇总!$B:$B,C366,记录巡查问题条数汇总!$E:$E)</f>
        <v>0</v>
      </c>
      <c r="I366" s="150"/>
      <c r="J366" s="150">
        <f>SUMIF(安全质量事故!$B:$B,C366,安全质量事故!$G:$G)</f>
        <v>0</v>
      </c>
      <c r="K366" s="141">
        <f>COUNTIF(L366:AP366,标准数据!$A$2)*标准数据!$B$2+COUNTIF(L366:AP366,标准数据!$A$3)*标准数据!$B$3+COUNTIF(L366:AP366,标准数据!$A$4)*标准数据!$B$4</f>
        <v>0</v>
      </c>
      <c r="L366" s="185"/>
      <c r="M366" s="185"/>
      <c r="N366" s="185"/>
      <c r="O366" s="185"/>
      <c r="P366" s="185"/>
      <c r="Q366" s="109"/>
      <c r="R366" s="109"/>
      <c r="S366" s="109"/>
      <c r="T366" s="109"/>
      <c r="U366" s="109"/>
      <c r="V366" s="109"/>
      <c r="W366" s="109"/>
      <c r="X366" s="109"/>
      <c r="Y366" s="109"/>
      <c r="Z366" s="109"/>
      <c r="AA366" s="109"/>
      <c r="AB366" s="109"/>
      <c r="AC366" s="109"/>
      <c r="AD366" s="109"/>
      <c r="AE366" s="109"/>
      <c r="AF366" s="109"/>
      <c r="AG366" s="109"/>
      <c r="AH366" s="109"/>
      <c r="AI366" s="109"/>
      <c r="AJ366" s="109"/>
      <c r="AK366" s="109"/>
      <c r="AL366" s="109"/>
      <c r="AM366" s="109"/>
      <c r="AN366" s="109"/>
      <c r="AO366" s="109"/>
      <c r="AP366" s="109"/>
      <c r="AQ366" s="212" t="s">
        <v>1627</v>
      </c>
      <c r="AT366" s="149" t="s">
        <v>638</v>
      </c>
      <c r="AU366" s="94" t="s">
        <v>1833</v>
      </c>
    </row>
    <row r="367" spans="1:47" ht="21" customHeight="1" x14ac:dyDescent="0.35">
      <c r="A367" s="262"/>
      <c r="B367" s="98" t="s">
        <v>17</v>
      </c>
      <c r="C367" s="99" t="s">
        <v>676</v>
      </c>
      <c r="D367" s="100" t="s">
        <v>639</v>
      </c>
      <c r="E367" s="101" t="s">
        <v>1146</v>
      </c>
      <c r="F367" s="102">
        <f t="shared" si="12"/>
        <v>0</v>
      </c>
      <c r="G367" s="150">
        <f>SUMIF(积分汇总!$B:$B,C367,积分汇总!$E:$E)</f>
        <v>0</v>
      </c>
      <c r="H367" s="150">
        <f>SUMIF(记录巡查问题条数汇总!$B:$B,C367,记录巡查问题条数汇总!$E:$E)</f>
        <v>0</v>
      </c>
      <c r="I367" s="150"/>
      <c r="J367" s="150">
        <f>SUMIF(安全质量事故!$B:$B,C367,安全质量事故!$G:$G)</f>
        <v>0</v>
      </c>
      <c r="K367" s="141">
        <f>COUNTIF(L367:AP367,标准数据!$A$2)*标准数据!$B$2+COUNTIF(L367:AP367,标准数据!$A$3)*标准数据!$B$3+COUNTIF(L367:AP367,标准数据!$A$4)*标准数据!$B$4</f>
        <v>0</v>
      </c>
      <c r="L367" s="185"/>
      <c r="M367" s="185"/>
      <c r="N367" s="185"/>
      <c r="O367" s="185"/>
      <c r="P367" s="185"/>
      <c r="Q367" s="185"/>
      <c r="R367" s="185"/>
      <c r="S367" s="185"/>
      <c r="T367" s="185"/>
      <c r="U367" s="185"/>
      <c r="V367" s="185"/>
      <c r="W367" s="185"/>
      <c r="X367" s="185"/>
      <c r="Y367" s="185"/>
      <c r="Z367" s="185"/>
      <c r="AA367" s="185"/>
      <c r="AB367" s="185"/>
      <c r="AC367" s="185"/>
      <c r="AD367" s="185"/>
      <c r="AE367" s="109"/>
      <c r="AF367" s="109"/>
      <c r="AG367" s="109"/>
      <c r="AH367" s="109"/>
      <c r="AI367" s="109"/>
      <c r="AJ367" s="109"/>
      <c r="AK367" s="109"/>
      <c r="AL367" s="109"/>
      <c r="AM367" s="109"/>
      <c r="AN367" s="109"/>
      <c r="AO367" s="109"/>
      <c r="AP367" s="109"/>
      <c r="AT367" s="149" t="s">
        <v>639</v>
      </c>
      <c r="AU367" s="94" t="s">
        <v>1832</v>
      </c>
    </row>
    <row r="368" spans="1:47" ht="21" customHeight="1" x14ac:dyDescent="0.35">
      <c r="A368" s="262"/>
      <c r="B368" s="98" t="s">
        <v>17</v>
      </c>
      <c r="C368" s="99" t="s">
        <v>677</v>
      </c>
      <c r="D368" s="100" t="s">
        <v>640</v>
      </c>
      <c r="E368" s="101" t="s">
        <v>1146</v>
      </c>
      <c r="F368" s="102">
        <f t="shared" si="12"/>
        <v>0</v>
      </c>
      <c r="G368" s="150">
        <f>SUMIF(积分汇总!$B:$B,C368,积分汇总!$E:$E)</f>
        <v>0</v>
      </c>
      <c r="H368" s="150">
        <f>SUMIF(记录巡查问题条数汇总!$B:$B,C368,记录巡查问题条数汇总!$E:$E)</f>
        <v>0</v>
      </c>
      <c r="I368" s="150"/>
      <c r="J368" s="150">
        <f>SUMIF(安全质量事故!$B:$B,C368,安全质量事故!$G:$G)</f>
        <v>0</v>
      </c>
      <c r="K368" s="141">
        <f>COUNTIF(L368:AP368,标准数据!$A$2)*标准数据!$B$2+COUNTIF(L368:AP368,标准数据!$A$3)*标准数据!$B$3+COUNTIF(L368:AP368,标准数据!$A$4)*标准数据!$B$4</f>
        <v>0</v>
      </c>
      <c r="L368" s="185"/>
      <c r="M368" s="185"/>
      <c r="N368" s="185"/>
      <c r="O368" s="185"/>
      <c r="P368" s="185"/>
      <c r="Q368" s="109"/>
      <c r="R368" s="109"/>
      <c r="S368" s="109"/>
      <c r="T368" s="109"/>
      <c r="U368" s="109"/>
      <c r="V368" s="109"/>
      <c r="W368" s="109"/>
      <c r="X368" s="109"/>
      <c r="Y368" s="109"/>
      <c r="Z368" s="109"/>
      <c r="AA368" s="109"/>
      <c r="AB368" s="109"/>
      <c r="AC368" s="109"/>
      <c r="AD368" s="109"/>
      <c r="AE368" s="109"/>
      <c r="AF368" s="109"/>
      <c r="AG368" s="109"/>
      <c r="AH368" s="109"/>
      <c r="AI368" s="109"/>
      <c r="AJ368" s="109"/>
      <c r="AK368" s="109"/>
      <c r="AL368" s="109"/>
      <c r="AM368" s="109"/>
      <c r="AN368" s="109"/>
      <c r="AO368" s="109"/>
      <c r="AP368" s="109"/>
      <c r="AT368" s="149" t="s">
        <v>640</v>
      </c>
      <c r="AU368" s="94" t="s">
        <v>1832</v>
      </c>
    </row>
    <row r="369" spans="1:47" ht="21" customHeight="1" x14ac:dyDescent="0.35">
      <c r="A369" s="262"/>
      <c r="B369" s="98" t="s">
        <v>17</v>
      </c>
      <c r="C369" s="99" t="s">
        <v>678</v>
      </c>
      <c r="D369" s="100" t="s">
        <v>642</v>
      </c>
      <c r="E369" s="101">
        <v>45910</v>
      </c>
      <c r="F369" s="102">
        <f t="shared" si="12"/>
        <v>0</v>
      </c>
      <c r="G369" s="150">
        <f>SUMIF(积分汇总!$B:$B,C369,积分汇总!$E:$E)</f>
        <v>0</v>
      </c>
      <c r="H369" s="150">
        <f>SUMIF(记录巡查问题条数汇总!$B:$B,C369,记录巡查问题条数汇总!$E:$E)</f>
        <v>0</v>
      </c>
      <c r="I369" s="150"/>
      <c r="J369" s="150">
        <f>SUMIF(安全质量事故!$B:$B,C369,安全质量事故!$G:$G)</f>
        <v>0</v>
      </c>
      <c r="K369" s="141">
        <f>COUNTIF(L369:AP369,标准数据!$A$2)*标准数据!$B$2+COUNTIF(L369:AP369,标准数据!$A$3)*标准数据!$B$3+COUNTIF(L369:AP369,标准数据!$A$4)*标准数据!$B$4</f>
        <v>0</v>
      </c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109"/>
      <c r="Y369" s="109"/>
      <c r="Z369" s="109"/>
      <c r="AA369" s="109"/>
      <c r="AB369" s="109"/>
      <c r="AC369" s="109"/>
      <c r="AD369" s="109"/>
      <c r="AE369" s="109"/>
      <c r="AF369" s="109"/>
      <c r="AG369" s="109"/>
      <c r="AH369" s="109"/>
      <c r="AI369" s="109"/>
      <c r="AJ369" s="109"/>
      <c r="AK369" s="109"/>
      <c r="AL369" s="109"/>
      <c r="AM369" s="109"/>
      <c r="AN369" s="109"/>
      <c r="AO369" s="109"/>
      <c r="AP369" s="109"/>
      <c r="AT369" s="149" t="s">
        <v>642</v>
      </c>
      <c r="AU369" s="94" t="s">
        <v>1833</v>
      </c>
    </row>
    <row r="370" spans="1:47" ht="21" customHeight="1" x14ac:dyDescent="0.35">
      <c r="A370" s="262"/>
      <c r="B370" s="98" t="s">
        <v>17</v>
      </c>
      <c r="C370" s="99" t="s">
        <v>243</v>
      </c>
      <c r="D370" s="100" t="s">
        <v>244</v>
      </c>
      <c r="E370" s="101">
        <v>45483</v>
      </c>
      <c r="F370" s="102">
        <f t="shared" si="12"/>
        <v>0</v>
      </c>
      <c r="G370" s="150">
        <f>SUMIF(积分汇总!$B:$B,C370,积分汇总!$E:$E)</f>
        <v>0</v>
      </c>
      <c r="H370" s="150">
        <f>SUMIF(记录巡查问题条数汇总!$B:$B,C370,记录巡查问题条数汇总!$E:$E)</f>
        <v>0</v>
      </c>
      <c r="I370" s="150"/>
      <c r="J370" s="150">
        <f>SUMIF(安全质量事故!$B:$B,C370,安全质量事故!$G:$G)</f>
        <v>0</v>
      </c>
      <c r="K370" s="141">
        <f>COUNTIF(L370:AP370,标准数据!$A$2)*标准数据!$B$2+COUNTIF(L370:AP370,标准数据!$A$3)*标准数据!$B$3+COUNTIF(L370:AP370,标准数据!$A$4)*标准数据!$B$4</f>
        <v>0</v>
      </c>
      <c r="L370" s="109"/>
      <c r="M370" s="109"/>
      <c r="N370" s="109"/>
      <c r="O370" s="109"/>
      <c r="P370" s="109"/>
      <c r="Q370" s="109"/>
      <c r="R370" s="109"/>
      <c r="S370" s="109"/>
      <c r="T370" s="109"/>
      <c r="U370" s="109"/>
      <c r="V370" s="109"/>
      <c r="W370" s="109"/>
      <c r="X370" s="109"/>
      <c r="Y370" s="109"/>
      <c r="Z370" s="109"/>
      <c r="AA370" s="109"/>
      <c r="AB370" s="109"/>
      <c r="AC370" s="109"/>
      <c r="AD370" s="109"/>
      <c r="AE370" s="109"/>
      <c r="AF370" s="109"/>
      <c r="AG370" s="109"/>
      <c r="AH370" s="109"/>
      <c r="AI370" s="109"/>
      <c r="AJ370" s="109"/>
      <c r="AK370" s="109"/>
      <c r="AL370" s="109"/>
      <c r="AM370" s="109"/>
      <c r="AN370" s="109"/>
      <c r="AO370" s="109"/>
      <c r="AP370" s="109"/>
      <c r="AT370" s="149" t="s">
        <v>244</v>
      </c>
      <c r="AU370" s="94" t="s">
        <v>1832</v>
      </c>
    </row>
    <row r="371" spans="1:47" ht="21" customHeight="1" x14ac:dyDescent="0.35">
      <c r="A371" s="262"/>
      <c r="B371" s="98" t="s">
        <v>95</v>
      </c>
      <c r="C371" s="99" t="s">
        <v>599</v>
      </c>
      <c r="D371" s="100" t="s">
        <v>560</v>
      </c>
      <c r="E371" s="101">
        <v>45889</v>
      </c>
      <c r="F371" s="102">
        <f t="shared" si="12"/>
        <v>0</v>
      </c>
      <c r="G371" s="150">
        <f>SUMIF(积分汇总!$B:$B,C371,积分汇总!$E:$E)</f>
        <v>0</v>
      </c>
      <c r="H371" s="150">
        <f>SUMIF(记录巡查问题条数汇总!$B:$B,C371,记录巡查问题条数汇总!$E:$E)</f>
        <v>0</v>
      </c>
      <c r="I371" s="150"/>
      <c r="J371" s="150">
        <f>SUMIF(安全质量事故!$B:$B,C371,安全质量事故!$G:$G)</f>
        <v>0</v>
      </c>
      <c r="K371" s="141">
        <f>COUNTIF(L371:AP371,标准数据!$A$2)*标准数据!$B$2+COUNTIF(L371:AP371,标准数据!$A$3)*标准数据!$B$3+COUNTIF(L371:AP371,标准数据!$A$4)*标准数据!$B$4</f>
        <v>0</v>
      </c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109"/>
      <c r="Y371" s="109"/>
      <c r="Z371" s="109"/>
      <c r="AA371" s="109"/>
      <c r="AB371" s="109"/>
      <c r="AC371" s="109"/>
      <c r="AD371" s="109"/>
      <c r="AE371" s="109"/>
      <c r="AF371" s="109"/>
      <c r="AG371" s="109"/>
      <c r="AH371" s="109"/>
      <c r="AI371" s="109"/>
      <c r="AJ371" s="109"/>
      <c r="AK371" s="109"/>
      <c r="AL371" s="109"/>
      <c r="AM371" s="109"/>
      <c r="AN371" s="109"/>
      <c r="AO371" s="109"/>
      <c r="AP371" s="109"/>
      <c r="AQ371" s="94"/>
      <c r="AR371" s="94"/>
      <c r="AS371" s="94"/>
      <c r="AT371" s="149" t="s">
        <v>560</v>
      </c>
      <c r="AU371" s="94" t="s">
        <v>1832</v>
      </c>
    </row>
    <row r="372" spans="1:47" ht="21" customHeight="1" x14ac:dyDescent="0.35">
      <c r="A372" s="262"/>
      <c r="B372" s="98" t="s">
        <v>17</v>
      </c>
      <c r="C372" s="99" t="s">
        <v>536</v>
      </c>
      <c r="D372" s="100" t="s">
        <v>485</v>
      </c>
      <c r="E372" s="101">
        <v>45854</v>
      </c>
      <c r="F372" s="102">
        <f t="shared" si="12"/>
        <v>0</v>
      </c>
      <c r="G372" s="150">
        <f>SUMIF(积分汇总!$B:$B,C372,积分汇总!$E:$E)</f>
        <v>0</v>
      </c>
      <c r="H372" s="150">
        <f>SUMIF(记录巡查问题条数汇总!$B:$B,C372,记录巡查问题条数汇总!$E:$E)</f>
        <v>0</v>
      </c>
      <c r="I372" s="150"/>
      <c r="J372" s="150">
        <f>SUMIF(安全质量事故!$B:$B,C372,安全质量事故!$G:$G)</f>
        <v>0</v>
      </c>
      <c r="K372" s="141">
        <f>COUNTIF(L372:AP372,标准数据!$A$2)*标准数据!$B$2+COUNTIF(L372:AP372,标准数据!$A$3)*标准数据!$B$3+COUNTIF(L372:AP372,标准数据!$A$4)*标准数据!$B$4</f>
        <v>0</v>
      </c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09"/>
      <c r="AJ372" s="109"/>
      <c r="AK372" s="109"/>
      <c r="AL372" s="109"/>
      <c r="AM372" s="109"/>
      <c r="AN372" s="109"/>
      <c r="AO372" s="109"/>
      <c r="AP372" s="109"/>
      <c r="AT372" s="149" t="s">
        <v>485</v>
      </c>
      <c r="AU372" s="94" t="s">
        <v>1835</v>
      </c>
    </row>
    <row r="373" spans="1:47" ht="21" customHeight="1" x14ac:dyDescent="0.35">
      <c r="A373" s="262"/>
      <c r="B373" s="98" t="s">
        <v>95</v>
      </c>
      <c r="C373" s="99" t="s">
        <v>699</v>
      </c>
      <c r="D373" s="100" t="s">
        <v>628</v>
      </c>
      <c r="E373" s="101">
        <v>45896</v>
      </c>
      <c r="F373" s="102">
        <f t="shared" si="12"/>
        <v>0</v>
      </c>
      <c r="G373" s="150">
        <f>SUMIF(积分汇总!$B:$B,C373,积分汇总!$E:$E)</f>
        <v>0</v>
      </c>
      <c r="H373" s="150">
        <f>SUMIF(记录巡查问题条数汇总!$B:$B,C373,记录巡查问题条数汇总!$E:$E)</f>
        <v>0</v>
      </c>
      <c r="I373" s="150"/>
      <c r="J373" s="150">
        <f>SUMIF(安全质量事故!$B:$B,C373,安全质量事故!$G:$G)</f>
        <v>0</v>
      </c>
      <c r="K373" s="141">
        <f>COUNTIF(L373:AP373,标准数据!$A$2)*标准数据!$B$2+COUNTIF(L373:AP373,标准数据!$A$3)*标准数据!$B$3+COUNTIF(L373:AP373,标准数据!$A$4)*标准数据!$B$4</f>
        <v>0</v>
      </c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109"/>
      <c r="AE373" s="109"/>
      <c r="AF373" s="109"/>
      <c r="AG373" s="109"/>
      <c r="AH373" s="109"/>
      <c r="AI373" s="109"/>
      <c r="AJ373" s="109"/>
      <c r="AK373" s="109"/>
      <c r="AL373" s="109"/>
      <c r="AM373" s="109"/>
      <c r="AN373" s="109"/>
      <c r="AO373" s="109"/>
      <c r="AP373" s="109"/>
      <c r="AQ373" s="94"/>
      <c r="AR373" s="94"/>
      <c r="AS373" s="94"/>
      <c r="AT373" s="149" t="s">
        <v>628</v>
      </c>
      <c r="AU373" s="94" t="s">
        <v>1832</v>
      </c>
    </row>
    <row r="374" spans="1:47" ht="21" customHeight="1" x14ac:dyDescent="0.35">
      <c r="A374" s="262"/>
      <c r="B374" s="98" t="s">
        <v>17</v>
      </c>
      <c r="C374" s="99" t="s">
        <v>700</v>
      </c>
      <c r="D374" s="100" t="s">
        <v>630</v>
      </c>
      <c r="E374" s="101">
        <v>45896</v>
      </c>
      <c r="F374" s="102">
        <f t="shared" si="12"/>
        <v>0</v>
      </c>
      <c r="G374" s="150">
        <f>SUMIF(积分汇总!$B:$B,C374,积分汇总!$E:$E)</f>
        <v>0</v>
      </c>
      <c r="H374" s="150">
        <f>SUMIF(记录巡查问题条数汇总!$B:$B,C374,记录巡查问题条数汇总!$E:$E)</f>
        <v>0</v>
      </c>
      <c r="I374" s="150"/>
      <c r="J374" s="150">
        <f>SUMIF(安全质量事故!$B:$B,C374,安全质量事故!$G:$G)</f>
        <v>0</v>
      </c>
      <c r="K374" s="141">
        <f>COUNTIF(L374:AP374,标准数据!$A$2)*标准数据!$B$2+COUNTIF(L374:AP374,标准数据!$A$3)*标准数据!$B$3+COUNTIF(L374:AP374,标准数据!$A$4)*标准数据!$B$4</f>
        <v>0</v>
      </c>
      <c r="L374" s="109"/>
      <c r="M374" s="109"/>
      <c r="N374" s="109"/>
      <c r="O374" s="109"/>
      <c r="P374" s="109"/>
      <c r="Q374" s="109"/>
      <c r="R374" s="109"/>
      <c r="S374" s="109"/>
      <c r="T374" s="109"/>
      <c r="U374" s="109"/>
      <c r="V374" s="109"/>
      <c r="W374" s="109"/>
      <c r="X374" s="109"/>
      <c r="Y374" s="109"/>
      <c r="Z374" s="109"/>
      <c r="AA374" s="109"/>
      <c r="AB374" s="109"/>
      <c r="AC374" s="109"/>
      <c r="AD374" s="109"/>
      <c r="AE374" s="109"/>
      <c r="AF374" s="109"/>
      <c r="AG374" s="109"/>
      <c r="AH374" s="109"/>
      <c r="AI374" s="109"/>
      <c r="AJ374" s="109"/>
      <c r="AK374" s="109"/>
      <c r="AL374" s="109"/>
      <c r="AM374" s="109"/>
      <c r="AN374" s="109"/>
      <c r="AO374" s="109"/>
      <c r="AP374" s="109"/>
      <c r="AT374" s="149" t="s">
        <v>630</v>
      </c>
      <c r="AU374" s="94" t="s">
        <v>1832</v>
      </c>
    </row>
    <row r="375" spans="1:47" ht="21" customHeight="1" x14ac:dyDescent="0.35">
      <c r="A375" s="262"/>
      <c r="B375" s="98" t="s">
        <v>17</v>
      </c>
      <c r="C375" s="99" t="s">
        <v>694</v>
      </c>
      <c r="D375" s="100" t="s">
        <v>632</v>
      </c>
      <c r="E375" s="101">
        <v>45910</v>
      </c>
      <c r="F375" s="102">
        <f t="shared" si="12"/>
        <v>0</v>
      </c>
      <c r="G375" s="150">
        <f>SUMIF(积分汇总!$B:$B,C375,积分汇总!$E:$E)</f>
        <v>0</v>
      </c>
      <c r="H375" s="150">
        <f>SUMIF(记录巡查问题条数汇总!$B:$B,C375,记录巡查问题条数汇总!$E:$E)</f>
        <v>0</v>
      </c>
      <c r="I375" s="150"/>
      <c r="J375" s="150">
        <f>SUMIF(安全质量事故!$B:$B,C375,安全质量事故!$G:$G)</f>
        <v>0</v>
      </c>
      <c r="K375" s="141">
        <f>COUNTIF(L375:AP375,标准数据!$A$2)*标准数据!$B$2+COUNTIF(L375:AP375,标准数据!$A$3)*标准数据!$B$3+COUNTIF(L375:AP375,标准数据!$A$4)*标准数据!$B$4</f>
        <v>0</v>
      </c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109"/>
      <c r="Y375" s="109"/>
      <c r="Z375" s="109"/>
      <c r="AA375" s="109"/>
      <c r="AB375" s="109"/>
      <c r="AC375" s="109"/>
      <c r="AD375" s="109"/>
      <c r="AE375" s="109"/>
      <c r="AF375" s="109"/>
      <c r="AG375" s="109"/>
      <c r="AH375" s="109"/>
      <c r="AI375" s="109"/>
      <c r="AJ375" s="109"/>
      <c r="AK375" s="109"/>
      <c r="AL375" s="109"/>
      <c r="AM375" s="109"/>
      <c r="AN375" s="109"/>
      <c r="AO375" s="109"/>
      <c r="AP375" s="109"/>
      <c r="AT375" s="149" t="s">
        <v>632</v>
      </c>
      <c r="AU375" s="94" t="s">
        <v>1833</v>
      </c>
    </row>
    <row r="376" spans="1:47" ht="21" customHeight="1" x14ac:dyDescent="0.35">
      <c r="A376" s="262"/>
      <c r="B376" s="98" t="s">
        <v>95</v>
      </c>
      <c r="C376" s="99" t="s">
        <v>695</v>
      </c>
      <c r="D376" s="105" t="s">
        <v>633</v>
      </c>
      <c r="E376" s="99">
        <v>45910</v>
      </c>
      <c r="F376" s="102">
        <f t="shared" si="12"/>
        <v>0</v>
      </c>
      <c r="G376" s="150">
        <f>SUMIF(积分汇总!$B:$B,C376,积分汇总!$E:$E)</f>
        <v>0</v>
      </c>
      <c r="H376" s="150">
        <f>SUMIF(记录巡查问题条数汇总!$B:$B,C376,记录巡查问题条数汇总!$E:$E)</f>
        <v>0</v>
      </c>
      <c r="I376" s="150"/>
      <c r="J376" s="150">
        <f>SUMIF(安全质量事故!$B:$B,C376,安全质量事故!$G:$G)</f>
        <v>0</v>
      </c>
      <c r="K376" s="141">
        <f>COUNTIF(L376:AP376,标准数据!$A$2)*标准数据!$B$2+COUNTIF(L376:AP376,标准数据!$A$3)*标准数据!$B$3+COUNTIF(L376:AP376,标准数据!$A$4)*标准数据!$B$4</f>
        <v>0</v>
      </c>
      <c r="L376" s="109"/>
      <c r="M376" s="109"/>
      <c r="N376" s="109"/>
      <c r="O376" s="109"/>
      <c r="P376" s="109"/>
      <c r="Q376" s="109"/>
      <c r="R376" s="109"/>
      <c r="S376" s="109"/>
      <c r="T376" s="109"/>
      <c r="U376" s="109"/>
      <c r="V376" s="109"/>
      <c r="W376" s="109"/>
      <c r="X376" s="109"/>
      <c r="Y376" s="109"/>
      <c r="Z376" s="109"/>
      <c r="AA376" s="109"/>
      <c r="AB376" s="109"/>
      <c r="AC376" s="109"/>
      <c r="AD376" s="109"/>
      <c r="AE376" s="109"/>
      <c r="AF376" s="109"/>
      <c r="AG376" s="109"/>
      <c r="AH376" s="109"/>
      <c r="AI376" s="109"/>
      <c r="AJ376" s="109"/>
      <c r="AK376" s="109"/>
      <c r="AL376" s="109"/>
      <c r="AM376" s="109"/>
      <c r="AN376" s="109"/>
      <c r="AO376" s="109"/>
      <c r="AP376" s="109"/>
      <c r="AQ376" s="94"/>
      <c r="AR376" s="94"/>
      <c r="AS376" s="94"/>
      <c r="AT376" s="149" t="s">
        <v>633</v>
      </c>
      <c r="AU376" s="94" t="s">
        <v>1833</v>
      </c>
    </row>
    <row r="377" spans="1:47" ht="21" customHeight="1" x14ac:dyDescent="0.35">
      <c r="A377" s="262"/>
      <c r="B377" s="98" t="s">
        <v>95</v>
      </c>
      <c r="C377" s="99" t="s">
        <v>793</v>
      </c>
      <c r="D377" s="105" t="s">
        <v>753</v>
      </c>
      <c r="E377" s="99">
        <v>45509</v>
      </c>
      <c r="F377" s="102">
        <f t="shared" si="12"/>
        <v>0</v>
      </c>
      <c r="G377" s="150">
        <f>SUMIF(积分汇总!$B:$B,C377,积分汇总!$E:$E)</f>
        <v>0</v>
      </c>
      <c r="H377" s="150">
        <f>SUMIF(记录巡查问题条数汇总!$B:$B,C377,记录巡查问题条数汇总!$E:$E)</f>
        <v>0</v>
      </c>
      <c r="I377" s="150"/>
      <c r="J377" s="150">
        <f>SUMIF(安全质量事故!$B:$B,C377,安全质量事故!$G:$G)</f>
        <v>0</v>
      </c>
      <c r="K377" s="141">
        <f>COUNTIF(L377:AP377,标准数据!$A$2)*标准数据!$B$2+COUNTIF(L377:AP377,标准数据!$A$3)*标准数据!$B$3+COUNTIF(L377:AP377,标准数据!$A$4)*标准数据!$B$4</f>
        <v>0</v>
      </c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109"/>
      <c r="Y377" s="109"/>
      <c r="Z377" s="109"/>
      <c r="AA377" s="109"/>
      <c r="AB377" s="109"/>
      <c r="AC377" s="109"/>
      <c r="AD377" s="109"/>
      <c r="AE377" s="109"/>
      <c r="AF377" s="109"/>
      <c r="AG377" s="109"/>
      <c r="AH377" s="109"/>
      <c r="AI377" s="109"/>
      <c r="AJ377" s="109"/>
      <c r="AK377" s="109"/>
      <c r="AL377" s="109"/>
      <c r="AM377" s="109"/>
      <c r="AN377" s="109"/>
      <c r="AO377" s="109"/>
      <c r="AP377" s="109"/>
      <c r="AQ377" s="94"/>
      <c r="AR377" s="94"/>
      <c r="AS377" s="94"/>
      <c r="AT377" s="149" t="s">
        <v>753</v>
      </c>
      <c r="AU377" s="94" t="s">
        <v>1832</v>
      </c>
    </row>
    <row r="378" spans="1:47" ht="21" customHeight="1" x14ac:dyDescent="0.35">
      <c r="A378" s="262"/>
      <c r="B378" s="98" t="s">
        <v>95</v>
      </c>
      <c r="C378" s="99" t="s">
        <v>794</v>
      </c>
      <c r="D378" s="105" t="s">
        <v>754</v>
      </c>
      <c r="E378" s="99">
        <v>45475</v>
      </c>
      <c r="F378" s="102">
        <f t="shared" si="12"/>
        <v>0</v>
      </c>
      <c r="G378" s="150">
        <f>SUMIF(积分汇总!$B:$B,C378,积分汇总!$E:$E)</f>
        <v>0</v>
      </c>
      <c r="H378" s="150">
        <f>SUMIF(记录巡查问题条数汇总!$B:$B,C378,记录巡查问题条数汇总!$E:$E)</f>
        <v>0</v>
      </c>
      <c r="I378" s="150"/>
      <c r="J378" s="150">
        <f>SUMIF(安全质量事故!$B:$B,C378,安全质量事故!$G:$G)</f>
        <v>0</v>
      </c>
      <c r="K378" s="141">
        <f>COUNTIF(L378:AP378,标准数据!$A$2)*标准数据!$B$2+COUNTIF(L378:AP378,标准数据!$A$3)*标准数据!$B$3+COUNTIF(L378:AP378,标准数据!$A$4)*标准数据!$B$4</f>
        <v>0</v>
      </c>
      <c r="L378" s="109"/>
      <c r="M378" s="109"/>
      <c r="N378" s="109"/>
      <c r="O378" s="109"/>
      <c r="P378" s="109"/>
      <c r="Q378" s="109"/>
      <c r="R378" s="109"/>
      <c r="S378" s="109"/>
      <c r="T378" s="109"/>
      <c r="U378" s="109"/>
      <c r="V378" s="109"/>
      <c r="W378" s="109"/>
      <c r="X378" s="109"/>
      <c r="Y378" s="109"/>
      <c r="Z378" s="109"/>
      <c r="AA378" s="109"/>
      <c r="AB378" s="109"/>
      <c r="AC378" s="109"/>
      <c r="AD378" s="109"/>
      <c r="AE378" s="109"/>
      <c r="AF378" s="109"/>
      <c r="AG378" s="109"/>
      <c r="AH378" s="109"/>
      <c r="AI378" s="109"/>
      <c r="AJ378" s="109"/>
      <c r="AK378" s="109"/>
      <c r="AL378" s="109"/>
      <c r="AM378" s="109"/>
      <c r="AN378" s="109"/>
      <c r="AO378" s="109"/>
      <c r="AP378" s="109"/>
      <c r="AQ378" s="94"/>
      <c r="AR378" s="94"/>
      <c r="AS378" s="94"/>
      <c r="AT378" s="149" t="s">
        <v>754</v>
      </c>
      <c r="AU378" s="94" t="s">
        <v>1833</v>
      </c>
    </row>
    <row r="379" spans="1:47" ht="21" customHeight="1" x14ac:dyDescent="0.35">
      <c r="A379" s="262"/>
      <c r="B379" s="98" t="s">
        <v>17</v>
      </c>
      <c r="C379" s="99" t="s">
        <v>795</v>
      </c>
      <c r="D379" s="100" t="s">
        <v>755</v>
      </c>
      <c r="E379" s="101">
        <v>45966</v>
      </c>
      <c r="F379" s="102">
        <f t="shared" si="12"/>
        <v>0</v>
      </c>
      <c r="G379" s="150">
        <f>SUMIF(积分汇总!$B:$B,C379,积分汇总!$E:$E)</f>
        <v>0</v>
      </c>
      <c r="H379" s="150">
        <f>SUMIF(记录巡查问题条数汇总!$B:$B,C379,记录巡查问题条数汇总!$E:$E)</f>
        <v>0</v>
      </c>
      <c r="I379" s="150"/>
      <c r="J379" s="150">
        <f>SUMIF(安全质量事故!$B:$B,C379,安全质量事故!$G:$G)</f>
        <v>0</v>
      </c>
      <c r="K379" s="141">
        <f>COUNTIF(L379:AP379,标准数据!$A$2)*标准数据!$B$2+COUNTIF(L379:AP379,标准数据!$A$3)*标准数据!$B$3+COUNTIF(L379:AP379,标准数据!$A$4)*标准数据!$B$4</f>
        <v>0</v>
      </c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109"/>
      <c r="Y379" s="109"/>
      <c r="Z379" s="109"/>
      <c r="AA379" s="109"/>
      <c r="AB379" s="109"/>
      <c r="AC379" s="109"/>
      <c r="AD379" s="109"/>
      <c r="AE379" s="109"/>
      <c r="AF379" s="109"/>
      <c r="AG379" s="109"/>
      <c r="AH379" s="109"/>
      <c r="AI379" s="109"/>
      <c r="AJ379" s="109"/>
      <c r="AK379" s="109"/>
      <c r="AL379" s="109"/>
      <c r="AM379" s="109"/>
      <c r="AN379" s="109"/>
      <c r="AO379" s="109"/>
      <c r="AP379" s="109"/>
      <c r="AQ379" s="94"/>
      <c r="AR379" s="94"/>
      <c r="AS379" s="94"/>
      <c r="AT379" s="149" t="s">
        <v>755</v>
      </c>
      <c r="AU379" s="94" t="s">
        <v>1835</v>
      </c>
    </row>
    <row r="380" spans="1:47" ht="21" customHeight="1" x14ac:dyDescent="0.35">
      <c r="A380" s="262"/>
      <c r="B380" s="98" t="s">
        <v>17</v>
      </c>
      <c r="C380" s="99" t="s">
        <v>796</v>
      </c>
      <c r="D380" s="100" t="s">
        <v>756</v>
      </c>
      <c r="E380" s="101">
        <v>45966</v>
      </c>
      <c r="F380" s="102">
        <f t="shared" si="12"/>
        <v>0</v>
      </c>
      <c r="G380" s="150">
        <f>SUMIF(积分汇总!$B:$B,C380,积分汇总!$E:$E)</f>
        <v>0</v>
      </c>
      <c r="H380" s="150">
        <f>SUMIF(记录巡查问题条数汇总!$B:$B,C380,记录巡查问题条数汇总!$E:$E)</f>
        <v>0</v>
      </c>
      <c r="I380" s="150"/>
      <c r="J380" s="150">
        <f>SUMIF(安全质量事故!$B:$B,C380,安全质量事故!$G:$G)</f>
        <v>0</v>
      </c>
      <c r="K380" s="141">
        <f>COUNTIF(L380:AP380,标准数据!$A$2)*标准数据!$B$2+COUNTIF(L380:AP380,标准数据!$A$3)*标准数据!$B$3+COUNTIF(L380:AP380,标准数据!$A$4)*标准数据!$B$4</f>
        <v>0</v>
      </c>
      <c r="L380" s="109"/>
      <c r="M380" s="109"/>
      <c r="N380" s="109"/>
      <c r="O380" s="109"/>
      <c r="P380" s="109"/>
      <c r="Q380" s="109"/>
      <c r="R380" s="109"/>
      <c r="S380" s="109"/>
      <c r="T380" s="109"/>
      <c r="U380" s="109"/>
      <c r="V380" s="109"/>
      <c r="W380" s="109"/>
      <c r="X380" s="109"/>
      <c r="Y380" s="109"/>
      <c r="Z380" s="109"/>
      <c r="AA380" s="109"/>
      <c r="AB380" s="109"/>
      <c r="AC380" s="109"/>
      <c r="AD380" s="109"/>
      <c r="AE380" s="109"/>
      <c r="AF380" s="109"/>
      <c r="AG380" s="109"/>
      <c r="AH380" s="109"/>
      <c r="AI380" s="109"/>
      <c r="AJ380" s="109"/>
      <c r="AK380" s="109"/>
      <c r="AL380" s="109"/>
      <c r="AM380" s="109"/>
      <c r="AN380" s="109"/>
      <c r="AO380" s="109"/>
      <c r="AP380" s="109"/>
      <c r="AT380" s="149" t="s">
        <v>756</v>
      </c>
      <c r="AU380" s="94" t="s">
        <v>1832</v>
      </c>
    </row>
    <row r="381" spans="1:47" ht="21" customHeight="1" x14ac:dyDescent="0.35">
      <c r="A381" s="262"/>
      <c r="B381" s="98" t="s">
        <v>95</v>
      </c>
      <c r="C381" s="99" t="s">
        <v>797</v>
      </c>
      <c r="D381" s="105" t="s">
        <v>757</v>
      </c>
      <c r="E381" s="99">
        <v>45966</v>
      </c>
      <c r="F381" s="102">
        <f t="shared" si="12"/>
        <v>0</v>
      </c>
      <c r="G381" s="150">
        <f>SUMIF(积分汇总!$B:$B,C381,积分汇总!$E:$E)</f>
        <v>0</v>
      </c>
      <c r="H381" s="150">
        <f>SUMIF(记录巡查问题条数汇总!$B:$B,C381,记录巡查问题条数汇总!$E:$E)</f>
        <v>0</v>
      </c>
      <c r="I381" s="150"/>
      <c r="J381" s="150">
        <f>SUMIF(安全质量事故!$B:$B,C381,安全质量事故!$G:$G)</f>
        <v>0</v>
      </c>
      <c r="K381" s="141">
        <f>COUNTIF(L381:AP381,标准数据!$A$2)*标准数据!$B$2+COUNTIF(L381:AP381,标准数据!$A$3)*标准数据!$B$3+COUNTIF(L381:AP381,标准数据!$A$4)*标准数据!$B$4</f>
        <v>0</v>
      </c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109"/>
      <c r="Y381" s="109"/>
      <c r="Z381" s="109"/>
      <c r="AA381" s="109"/>
      <c r="AB381" s="109"/>
      <c r="AC381" s="109"/>
      <c r="AD381" s="109"/>
      <c r="AE381" s="109"/>
      <c r="AF381" s="109"/>
      <c r="AG381" s="109"/>
      <c r="AH381" s="109"/>
      <c r="AI381" s="109"/>
      <c r="AJ381" s="109"/>
      <c r="AK381" s="109"/>
      <c r="AL381" s="109"/>
      <c r="AM381" s="109"/>
      <c r="AN381" s="109"/>
      <c r="AO381" s="109"/>
      <c r="AP381" s="109"/>
      <c r="AQ381" s="94"/>
      <c r="AR381" s="94"/>
      <c r="AS381" s="94"/>
      <c r="AT381" s="149" t="s">
        <v>757</v>
      </c>
      <c r="AU381" s="94" t="s">
        <v>1832</v>
      </c>
    </row>
    <row r="382" spans="1:47" ht="21" customHeight="1" x14ac:dyDescent="0.35">
      <c r="A382" s="262"/>
      <c r="B382" s="98" t="s">
        <v>95</v>
      </c>
      <c r="C382" s="99" t="s">
        <v>798</v>
      </c>
      <c r="D382" s="105" t="s">
        <v>758</v>
      </c>
      <c r="E382" s="99">
        <v>45966</v>
      </c>
      <c r="F382" s="102">
        <f t="shared" si="12"/>
        <v>0</v>
      </c>
      <c r="G382" s="150">
        <f>SUMIF(积分汇总!$B:$B,C382,积分汇总!$E:$E)</f>
        <v>0</v>
      </c>
      <c r="H382" s="150">
        <f>SUMIF(记录巡查问题条数汇总!$B:$B,C382,记录巡查问题条数汇总!$E:$E)</f>
        <v>0</v>
      </c>
      <c r="I382" s="150"/>
      <c r="J382" s="150">
        <f>SUMIF(安全质量事故!$B:$B,C382,安全质量事故!$G:$G)</f>
        <v>0</v>
      </c>
      <c r="K382" s="141">
        <f>COUNTIF(L382:AP382,标准数据!$A$2)*标准数据!$B$2+COUNTIF(L382:AP382,标准数据!$A$3)*标准数据!$B$3+COUNTIF(L382:AP382,标准数据!$A$4)*标准数据!$B$4</f>
        <v>0</v>
      </c>
      <c r="L382" s="109"/>
      <c r="M382" s="109"/>
      <c r="N382" s="109"/>
      <c r="O382" s="109"/>
      <c r="P382" s="109"/>
      <c r="Q382" s="109"/>
      <c r="R382" s="109"/>
      <c r="S382" s="109"/>
      <c r="T382" s="109"/>
      <c r="U382" s="109"/>
      <c r="V382" s="109"/>
      <c r="W382" s="109"/>
      <c r="X382" s="109"/>
      <c r="Y382" s="109"/>
      <c r="Z382" s="109"/>
      <c r="AA382" s="109"/>
      <c r="AB382" s="109"/>
      <c r="AC382" s="109"/>
      <c r="AD382" s="109"/>
      <c r="AE382" s="109"/>
      <c r="AF382" s="109"/>
      <c r="AG382" s="109"/>
      <c r="AH382" s="109"/>
      <c r="AI382" s="109"/>
      <c r="AJ382" s="109"/>
      <c r="AK382" s="109"/>
      <c r="AL382" s="109"/>
      <c r="AM382" s="109"/>
      <c r="AN382" s="109"/>
      <c r="AO382" s="109"/>
      <c r="AP382" s="109"/>
      <c r="AQ382" s="94"/>
      <c r="AR382" s="94"/>
      <c r="AS382" s="94"/>
      <c r="AT382" s="149" t="s">
        <v>758</v>
      </c>
      <c r="AU382" s="94" t="s">
        <v>1832</v>
      </c>
    </row>
    <row r="383" spans="1:47" ht="21" customHeight="1" x14ac:dyDescent="0.35">
      <c r="A383" s="262"/>
      <c r="B383" s="98" t="s">
        <v>17</v>
      </c>
      <c r="C383" s="99" t="s">
        <v>799</v>
      </c>
      <c r="D383" s="105" t="s">
        <v>759</v>
      </c>
      <c r="E383" s="101">
        <v>45971</v>
      </c>
      <c r="F383" s="102">
        <f t="shared" si="12"/>
        <v>0</v>
      </c>
      <c r="G383" s="150">
        <f>SUMIF(积分汇总!$B:$B,C383,积分汇总!$E:$E)</f>
        <v>0</v>
      </c>
      <c r="H383" s="150">
        <f>SUMIF(记录巡查问题条数汇总!$B:$B,C383,记录巡查问题条数汇总!$E:$E)</f>
        <v>0</v>
      </c>
      <c r="I383" s="150"/>
      <c r="J383" s="150">
        <f>SUMIF(安全质量事故!$B:$B,C383,安全质量事故!$G:$G)</f>
        <v>0</v>
      </c>
      <c r="K383" s="141">
        <f>COUNTIF(L383:AP383,标准数据!$A$2)*标准数据!$B$2+COUNTIF(L383:AP383,标准数据!$A$3)*标准数据!$B$3+COUNTIF(L383:AP383,标准数据!$A$4)*标准数据!$B$4</f>
        <v>0</v>
      </c>
      <c r="L383" s="185"/>
      <c r="M383" s="185"/>
      <c r="N383" s="185"/>
      <c r="O383" s="185"/>
      <c r="P383" s="185"/>
      <c r="Q383" s="185"/>
      <c r="R383" s="185"/>
      <c r="S383" s="185"/>
      <c r="T383" s="185"/>
      <c r="U383" s="185"/>
      <c r="V383" s="185"/>
      <c r="W383" s="185"/>
      <c r="X383" s="185"/>
      <c r="Y383" s="185"/>
      <c r="Z383" s="185"/>
      <c r="AA383" s="185"/>
      <c r="AB383" s="185"/>
      <c r="AC383" s="185"/>
      <c r="AD383" s="185"/>
      <c r="AE383" s="185"/>
      <c r="AF383" s="185"/>
      <c r="AG383" s="185"/>
      <c r="AH383" s="185"/>
      <c r="AI383" s="185"/>
      <c r="AJ383" s="185"/>
      <c r="AK383" s="185"/>
      <c r="AL383" s="185"/>
      <c r="AM383" s="185"/>
      <c r="AN383" s="185"/>
      <c r="AO383" s="185"/>
      <c r="AP383" s="185"/>
      <c r="AT383" s="149" t="s">
        <v>759</v>
      </c>
      <c r="AU383" s="94" t="s">
        <v>1832</v>
      </c>
    </row>
    <row r="384" spans="1:47" ht="21" customHeight="1" x14ac:dyDescent="0.35">
      <c r="A384" s="262"/>
      <c r="B384" s="98" t="s">
        <v>95</v>
      </c>
      <c r="C384" s="99" t="s">
        <v>800</v>
      </c>
      <c r="D384" s="105" t="s">
        <v>760</v>
      </c>
      <c r="E384" s="99">
        <v>45985</v>
      </c>
      <c r="F384" s="102">
        <f t="shared" si="12"/>
        <v>0</v>
      </c>
      <c r="G384" s="150">
        <f>SUMIF(积分汇总!$B:$B,C384,积分汇总!$E:$E)</f>
        <v>0</v>
      </c>
      <c r="H384" s="150">
        <f>SUMIF(记录巡查问题条数汇总!$B:$B,C384,记录巡查问题条数汇总!$E:$E)</f>
        <v>0</v>
      </c>
      <c r="I384" s="150"/>
      <c r="J384" s="150">
        <f>SUMIF(安全质量事故!$B:$B,C384,安全质量事故!$G:$G)</f>
        <v>0</v>
      </c>
      <c r="K384" s="141">
        <f>COUNTIF(L384:AP384,标准数据!$A$2)*标准数据!$B$2+COUNTIF(L384:AP384,标准数据!$A$3)*标准数据!$B$3+COUNTIF(L384:AP384,标准数据!$A$4)*标准数据!$B$4</f>
        <v>0</v>
      </c>
      <c r="L384" s="109"/>
      <c r="M384" s="109"/>
      <c r="N384" s="109"/>
      <c r="O384" s="109"/>
      <c r="P384" s="109"/>
      <c r="Q384" s="109"/>
      <c r="R384" s="109"/>
      <c r="S384" s="109"/>
      <c r="T384" s="109"/>
      <c r="U384" s="109"/>
      <c r="V384" s="109"/>
      <c r="W384" s="109"/>
      <c r="X384" s="109"/>
      <c r="Y384" s="109"/>
      <c r="Z384" s="109"/>
      <c r="AA384" s="109"/>
      <c r="AB384" s="109"/>
      <c r="AC384" s="109"/>
      <c r="AD384" s="109"/>
      <c r="AE384" s="109"/>
      <c r="AF384" s="109"/>
      <c r="AG384" s="109"/>
      <c r="AH384" s="109"/>
      <c r="AI384" s="109"/>
      <c r="AJ384" s="109"/>
      <c r="AK384" s="109"/>
      <c r="AL384" s="109"/>
      <c r="AM384" s="109"/>
      <c r="AN384" s="109"/>
      <c r="AO384" s="109"/>
      <c r="AP384" s="109"/>
      <c r="AQ384" s="94"/>
      <c r="AR384" s="94"/>
      <c r="AS384" s="94"/>
      <c r="AT384" s="149" t="s">
        <v>760</v>
      </c>
      <c r="AU384" s="94" t="s">
        <v>1833</v>
      </c>
    </row>
    <row r="385" spans="1:47" ht="21" customHeight="1" x14ac:dyDescent="0.35">
      <c r="A385" s="262"/>
      <c r="B385" s="98" t="s">
        <v>95</v>
      </c>
      <c r="C385" s="99" t="s">
        <v>801</v>
      </c>
      <c r="D385" s="105" t="s">
        <v>767</v>
      </c>
      <c r="E385" s="99">
        <v>45959</v>
      </c>
      <c r="F385" s="102">
        <f t="shared" si="12"/>
        <v>0</v>
      </c>
      <c r="G385" s="150">
        <f>SUMIF(积分汇总!$B:$B,C385,积分汇总!$E:$E)</f>
        <v>0</v>
      </c>
      <c r="H385" s="150">
        <f>SUMIF(记录巡查问题条数汇总!$B:$B,C385,记录巡查问题条数汇总!$E:$E)</f>
        <v>0</v>
      </c>
      <c r="I385" s="150"/>
      <c r="J385" s="150">
        <f>SUMIF(安全质量事故!$B:$B,C385,安全质量事故!$G:$G)</f>
        <v>0</v>
      </c>
      <c r="K385" s="141">
        <f>COUNTIF(L385:AP385,标准数据!$A$2)*标准数据!$B$2+COUNTIF(L385:AP385,标准数据!$A$3)*标准数据!$B$3+COUNTIF(L385:AP385,标准数据!$A$4)*标准数据!$B$4</f>
        <v>0</v>
      </c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109"/>
      <c r="Y385" s="109"/>
      <c r="Z385" s="109"/>
      <c r="AA385" s="109"/>
      <c r="AB385" s="109"/>
      <c r="AC385" s="109"/>
      <c r="AD385" s="109"/>
      <c r="AE385" s="109"/>
      <c r="AF385" s="109"/>
      <c r="AG385" s="109"/>
      <c r="AH385" s="109"/>
      <c r="AI385" s="109"/>
      <c r="AJ385" s="109"/>
      <c r="AK385" s="109"/>
      <c r="AL385" s="109"/>
      <c r="AM385" s="109"/>
      <c r="AN385" s="109"/>
      <c r="AO385" s="109"/>
      <c r="AP385" s="109"/>
      <c r="AQ385" s="94"/>
      <c r="AR385" s="94"/>
      <c r="AS385" s="94"/>
      <c r="AT385" s="149" t="s">
        <v>767</v>
      </c>
      <c r="AU385" s="94" t="s">
        <v>1833</v>
      </c>
    </row>
    <row r="386" spans="1:47" ht="21" customHeight="1" x14ac:dyDescent="0.35">
      <c r="A386" s="262"/>
      <c r="B386" s="98" t="s">
        <v>17</v>
      </c>
      <c r="C386" s="99" t="s">
        <v>802</v>
      </c>
      <c r="D386" s="105" t="s">
        <v>768</v>
      </c>
      <c r="E386" s="101">
        <v>45959</v>
      </c>
      <c r="F386" s="102">
        <f t="shared" si="12"/>
        <v>0</v>
      </c>
      <c r="G386" s="150">
        <f>SUMIF(积分汇总!$B:$B,C386,积分汇总!$E:$E)</f>
        <v>0</v>
      </c>
      <c r="H386" s="150">
        <f>SUMIF(记录巡查问题条数汇总!$B:$B,C386,记录巡查问题条数汇总!$E:$E)</f>
        <v>0</v>
      </c>
      <c r="I386" s="150"/>
      <c r="J386" s="150">
        <f>SUMIF(安全质量事故!$B:$B,C386,安全质量事故!$G:$G)</f>
        <v>0</v>
      </c>
      <c r="K386" s="141">
        <f>COUNTIF(L386:AP386,标准数据!$A$2)*标准数据!$B$2+COUNTIF(L386:AP386,标准数据!$A$3)*标准数据!$B$3+COUNTIF(L386:AP386,标准数据!$A$4)*标准数据!$B$4</f>
        <v>0</v>
      </c>
      <c r="L386" s="185"/>
      <c r="M386" s="185"/>
      <c r="N386" s="185"/>
      <c r="O386" s="185"/>
      <c r="P386" s="185"/>
      <c r="Q386" s="185"/>
      <c r="R386" s="185"/>
      <c r="S386" s="185"/>
      <c r="T386" s="185"/>
      <c r="U386" s="185"/>
      <c r="V386" s="185"/>
      <c r="W386" s="185"/>
      <c r="X386" s="185"/>
      <c r="Y386" s="185"/>
      <c r="Z386" s="185"/>
      <c r="AA386" s="185"/>
      <c r="AB386" s="185"/>
      <c r="AC386" s="185"/>
      <c r="AD386" s="185"/>
      <c r="AE386" s="185"/>
      <c r="AF386" s="185"/>
      <c r="AG386" s="185"/>
      <c r="AH386" s="185"/>
      <c r="AI386" s="185"/>
      <c r="AJ386" s="185"/>
      <c r="AK386" s="185"/>
      <c r="AL386" s="185"/>
      <c r="AM386" s="185"/>
      <c r="AN386" s="185"/>
      <c r="AO386" s="185"/>
      <c r="AP386" s="185"/>
      <c r="AT386" s="149" t="s">
        <v>768</v>
      </c>
      <c r="AU386" s="94" t="s">
        <v>1833</v>
      </c>
    </row>
    <row r="387" spans="1:47" ht="21" customHeight="1" x14ac:dyDescent="0.35">
      <c r="A387" s="262"/>
      <c r="B387" s="98" t="s">
        <v>17</v>
      </c>
      <c r="C387" s="99" t="s">
        <v>690</v>
      </c>
      <c r="D387" s="100" t="s">
        <v>653</v>
      </c>
      <c r="E387" s="101" t="s">
        <v>1146</v>
      </c>
      <c r="F387" s="102">
        <f t="shared" si="12"/>
        <v>0</v>
      </c>
      <c r="G387" s="150">
        <f>SUMIF(积分汇总!$B:$B,C387,积分汇总!$E:$E)</f>
        <v>0</v>
      </c>
      <c r="H387" s="150">
        <f>SUMIF(记录巡查问题条数汇总!$B:$B,C387,记录巡查问题条数汇总!$E:$E)</f>
        <v>0</v>
      </c>
      <c r="I387" s="150"/>
      <c r="J387" s="150">
        <f>SUMIF(安全质量事故!$B:$B,C387,安全质量事故!$G:$G)</f>
        <v>0</v>
      </c>
      <c r="K387" s="141">
        <f>COUNTIF(L387:AP387,标准数据!$A$2)*标准数据!$B$2+COUNTIF(L387:AP387,标准数据!$A$3)*标准数据!$B$3+COUNTIF(L387:AP387,标准数据!$A$4)*标准数据!$B$4</f>
        <v>0</v>
      </c>
      <c r="L387" s="185"/>
      <c r="M387" s="185"/>
      <c r="N387" s="185"/>
      <c r="O387" s="185"/>
      <c r="P387" s="185"/>
      <c r="Q387" s="185"/>
      <c r="R387" s="185"/>
      <c r="S387" s="185"/>
      <c r="T387" s="185"/>
      <c r="U387" s="185"/>
      <c r="V387" s="185"/>
      <c r="W387" s="185"/>
      <c r="X387" s="185"/>
      <c r="Y387" s="185"/>
      <c r="Z387" s="185"/>
      <c r="AA387" s="185"/>
      <c r="AB387" s="185"/>
      <c r="AC387" s="185"/>
      <c r="AD387" s="185"/>
      <c r="AE387" s="185"/>
      <c r="AF387" s="185"/>
      <c r="AG387" s="185"/>
      <c r="AH387" s="185"/>
      <c r="AI387" s="185"/>
      <c r="AJ387" s="185"/>
      <c r="AK387" s="185"/>
      <c r="AL387" s="185"/>
      <c r="AM387" s="185"/>
      <c r="AN387" s="185"/>
      <c r="AO387" s="185"/>
      <c r="AP387" s="185"/>
      <c r="AQ387" s="94"/>
      <c r="AR387" s="94"/>
      <c r="AS387" s="94"/>
      <c r="AT387" s="149" t="s">
        <v>653</v>
      </c>
      <c r="AU387" s="94" t="s">
        <v>1833</v>
      </c>
    </row>
    <row r="388" spans="1:47" ht="21" customHeight="1" x14ac:dyDescent="0.35">
      <c r="A388" s="262"/>
      <c r="B388" s="98" t="s">
        <v>95</v>
      </c>
      <c r="C388" s="99" t="s">
        <v>903</v>
      </c>
      <c r="D388" s="105" t="s">
        <v>854</v>
      </c>
      <c r="E388" s="99">
        <v>45987</v>
      </c>
      <c r="F388" s="102">
        <f t="shared" si="12"/>
        <v>0</v>
      </c>
      <c r="G388" s="150">
        <f>SUMIF(积分汇总!$B:$B,C388,积分汇总!$E:$E)</f>
        <v>0</v>
      </c>
      <c r="H388" s="150">
        <f>SUMIF(记录巡查问题条数汇总!$B:$B,C388,记录巡查问题条数汇总!$E:$E)</f>
        <v>0</v>
      </c>
      <c r="I388" s="150"/>
      <c r="J388" s="150">
        <f>SUMIF(安全质量事故!$B:$B,C388,安全质量事故!$G:$G)</f>
        <v>0</v>
      </c>
      <c r="K388" s="141">
        <f>COUNTIF(L388:AP388,标准数据!$A$2)*标准数据!$B$2+COUNTIF(L388:AP388,标准数据!$A$3)*标准数据!$B$3+COUNTIF(L388:AP388,标准数据!$A$4)*标准数据!$B$4</f>
        <v>0</v>
      </c>
      <c r="L388" s="109"/>
      <c r="M388" s="109"/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/>
      <c r="Y388" s="109"/>
      <c r="Z388" s="109"/>
      <c r="AA388" s="109"/>
      <c r="AB388" s="109"/>
      <c r="AC388" s="109"/>
      <c r="AD388" s="109"/>
      <c r="AE388" s="109"/>
      <c r="AF388" s="109"/>
      <c r="AG388" s="109"/>
      <c r="AH388" s="109"/>
      <c r="AI388" s="109"/>
      <c r="AJ388" s="109"/>
      <c r="AK388" s="109"/>
      <c r="AL388" s="109"/>
      <c r="AM388" s="109"/>
      <c r="AN388" s="109"/>
      <c r="AO388" s="109"/>
      <c r="AP388" s="109"/>
      <c r="AQ388" s="94"/>
      <c r="AR388" s="94"/>
      <c r="AS388" s="94"/>
      <c r="AT388" s="149" t="s">
        <v>854</v>
      </c>
      <c r="AU388" s="94" t="s">
        <v>1833</v>
      </c>
    </row>
    <row r="389" spans="1:47" ht="21" customHeight="1" x14ac:dyDescent="0.35">
      <c r="A389" s="262"/>
      <c r="B389" s="98" t="s">
        <v>17</v>
      </c>
      <c r="C389" s="99" t="s">
        <v>904</v>
      </c>
      <c r="D389" s="105" t="s">
        <v>855</v>
      </c>
      <c r="E389" s="101">
        <v>45994</v>
      </c>
      <c r="F389" s="102">
        <f t="shared" si="12"/>
        <v>0</v>
      </c>
      <c r="G389" s="150">
        <f>SUMIF(积分汇总!$B:$B,C389,积分汇总!$E:$E)</f>
        <v>0</v>
      </c>
      <c r="H389" s="150">
        <f>SUMIF(记录巡查问题条数汇总!$B:$B,C389,记录巡查问题条数汇总!$E:$E)</f>
        <v>0</v>
      </c>
      <c r="I389" s="150"/>
      <c r="J389" s="150">
        <f>SUMIF(安全质量事故!$B:$B,C389,安全质量事故!$G:$G)</f>
        <v>0</v>
      </c>
      <c r="K389" s="141">
        <f>COUNTIF(L389:AP389,标准数据!$A$2)*标准数据!$B$2+COUNTIF(L389:AP389,标准数据!$A$3)*标准数据!$B$3+COUNTIF(L389:AP389,标准数据!$A$4)*标准数据!$B$4</f>
        <v>0</v>
      </c>
      <c r="L389" s="185"/>
      <c r="M389" s="185"/>
      <c r="N389" s="185"/>
      <c r="O389" s="185"/>
      <c r="P389" s="185"/>
      <c r="Q389" s="185"/>
      <c r="R389" s="185"/>
      <c r="S389" s="185"/>
      <c r="T389" s="185"/>
      <c r="U389" s="185"/>
      <c r="V389" s="185"/>
      <c r="W389" s="185"/>
      <c r="X389" s="185"/>
      <c r="Y389" s="185"/>
      <c r="Z389" s="185"/>
      <c r="AA389" s="185"/>
      <c r="AB389" s="185"/>
      <c r="AC389" s="185"/>
      <c r="AD389" s="185"/>
      <c r="AE389" s="185"/>
      <c r="AF389" s="185"/>
      <c r="AG389" s="185"/>
      <c r="AH389" s="185"/>
      <c r="AI389" s="185"/>
      <c r="AJ389" s="185"/>
      <c r="AK389" s="185"/>
      <c r="AL389" s="185"/>
      <c r="AM389" s="185"/>
      <c r="AN389" s="185"/>
      <c r="AO389" s="185"/>
      <c r="AP389" s="185"/>
      <c r="AT389" s="149" t="s">
        <v>855</v>
      </c>
      <c r="AU389" s="94" t="s">
        <v>1832</v>
      </c>
    </row>
    <row r="390" spans="1:47" ht="21" customHeight="1" x14ac:dyDescent="0.35">
      <c r="A390" s="262"/>
      <c r="B390" s="98" t="s">
        <v>17</v>
      </c>
      <c r="C390" s="99" t="s">
        <v>905</v>
      </c>
      <c r="D390" s="100" t="s">
        <v>856</v>
      </c>
      <c r="E390" s="101">
        <v>45896</v>
      </c>
      <c r="F390" s="102">
        <f t="shared" si="12"/>
        <v>0</v>
      </c>
      <c r="G390" s="150">
        <f>SUMIF(积分汇总!$B:$B,C390,积分汇总!$E:$E)</f>
        <v>0</v>
      </c>
      <c r="H390" s="150">
        <f>SUMIF(记录巡查问题条数汇总!$B:$B,C390,记录巡查问题条数汇总!$E:$E)</f>
        <v>0</v>
      </c>
      <c r="I390" s="150"/>
      <c r="J390" s="150">
        <f>SUMIF(安全质量事故!$B:$B,C390,安全质量事故!$G:$G)</f>
        <v>0</v>
      </c>
      <c r="K390" s="141">
        <f>COUNTIF(L390:AP390,标准数据!$A$2)*标准数据!$B$2+COUNTIF(L390:AP390,标准数据!$A$3)*标准数据!$B$3+COUNTIF(L390:AP390,标准数据!$A$4)*标准数据!$B$4</f>
        <v>0</v>
      </c>
      <c r="L390" s="109"/>
      <c r="M390" s="109"/>
      <c r="N390" s="109"/>
      <c r="O390" s="109"/>
      <c r="P390" s="109"/>
      <c r="Q390" s="109"/>
      <c r="R390" s="109"/>
      <c r="S390" s="109"/>
      <c r="T390" s="109"/>
      <c r="U390" s="109"/>
      <c r="V390" s="109"/>
      <c r="W390" s="109"/>
      <c r="X390" s="109"/>
      <c r="Y390" s="109"/>
      <c r="Z390" s="109"/>
      <c r="AA390" s="109"/>
      <c r="AB390" s="109"/>
      <c r="AC390" s="109"/>
      <c r="AD390" s="109"/>
      <c r="AE390" s="109"/>
      <c r="AF390" s="109"/>
      <c r="AG390" s="109"/>
      <c r="AH390" s="109"/>
      <c r="AI390" s="109"/>
      <c r="AJ390" s="109"/>
      <c r="AK390" s="109"/>
      <c r="AL390" s="109"/>
      <c r="AM390" s="109"/>
      <c r="AN390" s="109"/>
      <c r="AO390" s="109"/>
      <c r="AP390" s="109"/>
      <c r="AQ390" s="94"/>
      <c r="AR390" s="94"/>
      <c r="AS390" s="94"/>
      <c r="AT390" s="149" t="s">
        <v>856</v>
      </c>
      <c r="AU390" s="94" t="s">
        <v>1832</v>
      </c>
    </row>
    <row r="391" spans="1:47" ht="21" customHeight="1" x14ac:dyDescent="0.35">
      <c r="A391" s="262"/>
      <c r="B391" s="98" t="s">
        <v>17</v>
      </c>
      <c r="C391" s="99" t="s">
        <v>954</v>
      </c>
      <c r="D391" s="100" t="s">
        <v>857</v>
      </c>
      <c r="E391" s="101">
        <v>45896</v>
      </c>
      <c r="F391" s="102">
        <f t="shared" si="12"/>
        <v>0</v>
      </c>
      <c r="G391" s="150">
        <f>SUMIF(积分汇总!$B:$B,C391,积分汇总!$E:$E)</f>
        <v>0</v>
      </c>
      <c r="H391" s="150">
        <f>SUMIF(记录巡查问题条数汇总!$B:$B,C391,记录巡查问题条数汇总!$E:$E)</f>
        <v>0</v>
      </c>
      <c r="I391" s="150"/>
      <c r="J391" s="150">
        <f>SUMIF(安全质量事故!$B:$B,C391,安全质量事故!$G:$G)</f>
        <v>0</v>
      </c>
      <c r="K391" s="141">
        <f>COUNTIF(L391:AP391,标准数据!$A$2)*标准数据!$B$2+COUNTIF(L391:AP391,标准数据!$A$3)*标准数据!$B$3+COUNTIF(L391:AP391,标准数据!$A$4)*标准数据!$B$4</f>
        <v>0</v>
      </c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109"/>
      <c r="Y391" s="109"/>
      <c r="Z391" s="109"/>
      <c r="AA391" s="109"/>
      <c r="AB391" s="109"/>
      <c r="AC391" s="109"/>
      <c r="AD391" s="109"/>
      <c r="AE391" s="109"/>
      <c r="AF391" s="109"/>
      <c r="AG391" s="109"/>
      <c r="AH391" s="109"/>
      <c r="AI391" s="109"/>
      <c r="AJ391" s="109"/>
      <c r="AK391" s="109"/>
      <c r="AL391" s="109"/>
      <c r="AM391" s="109"/>
      <c r="AN391" s="109"/>
      <c r="AO391" s="109"/>
      <c r="AP391" s="109"/>
      <c r="AT391" s="149" t="s">
        <v>857</v>
      </c>
      <c r="AU391" s="94" t="s">
        <v>1832</v>
      </c>
    </row>
    <row r="392" spans="1:47" ht="21" customHeight="1" x14ac:dyDescent="0.35">
      <c r="A392" s="262"/>
      <c r="B392" s="98" t="s">
        <v>95</v>
      </c>
      <c r="C392" s="99" t="s">
        <v>906</v>
      </c>
      <c r="D392" s="105" t="s">
        <v>858</v>
      </c>
      <c r="E392" s="99">
        <v>45994</v>
      </c>
      <c r="F392" s="102">
        <f t="shared" si="12"/>
        <v>0</v>
      </c>
      <c r="G392" s="150">
        <f>SUMIF(积分汇总!$B:$B,C392,积分汇总!$E:$E)</f>
        <v>0</v>
      </c>
      <c r="H392" s="150">
        <f>SUMIF(记录巡查问题条数汇总!$B:$B,C392,记录巡查问题条数汇总!$E:$E)</f>
        <v>0</v>
      </c>
      <c r="I392" s="150"/>
      <c r="J392" s="150">
        <f>SUMIF(安全质量事故!$B:$B,C392,安全质量事故!$G:$G)</f>
        <v>0</v>
      </c>
      <c r="K392" s="141">
        <f>COUNTIF(L392:AP392,标准数据!$A$2)*标准数据!$B$2+COUNTIF(L392:AP392,标准数据!$A$3)*标准数据!$B$3+COUNTIF(L392:AP392,标准数据!$A$4)*标准数据!$B$4</f>
        <v>0</v>
      </c>
      <c r="L392" s="109"/>
      <c r="M392" s="109"/>
      <c r="N392" s="109"/>
      <c r="O392" s="109"/>
      <c r="P392" s="109"/>
      <c r="Q392" s="109"/>
      <c r="R392" s="109"/>
      <c r="S392" s="109"/>
      <c r="T392" s="109"/>
      <c r="U392" s="109"/>
      <c r="V392" s="109"/>
      <c r="W392" s="109"/>
      <c r="X392" s="109"/>
      <c r="Y392" s="109"/>
      <c r="Z392" s="109"/>
      <c r="AA392" s="109"/>
      <c r="AB392" s="109"/>
      <c r="AC392" s="109"/>
      <c r="AD392" s="109"/>
      <c r="AE392" s="109"/>
      <c r="AF392" s="109"/>
      <c r="AG392" s="109"/>
      <c r="AH392" s="109"/>
      <c r="AI392" s="109"/>
      <c r="AJ392" s="109"/>
      <c r="AK392" s="109"/>
      <c r="AL392" s="109"/>
      <c r="AM392" s="109"/>
      <c r="AN392" s="109"/>
      <c r="AO392" s="109"/>
      <c r="AP392" s="109"/>
      <c r="AQ392" s="94"/>
      <c r="AR392" s="94"/>
      <c r="AS392" s="94"/>
      <c r="AT392" s="149" t="s">
        <v>858</v>
      </c>
      <c r="AU392" s="94" t="s">
        <v>1832</v>
      </c>
    </row>
    <row r="393" spans="1:47" ht="21" customHeight="1" x14ac:dyDescent="0.35">
      <c r="A393" s="262"/>
      <c r="B393" s="98" t="s">
        <v>17</v>
      </c>
      <c r="C393" s="99" t="s">
        <v>909</v>
      </c>
      <c r="D393" s="100" t="s">
        <v>861</v>
      </c>
      <c r="E393" s="101">
        <v>46001</v>
      </c>
      <c r="F393" s="102">
        <f t="shared" si="12"/>
        <v>0</v>
      </c>
      <c r="G393" s="150">
        <f>SUMIF(积分汇总!$B:$B,C393,积分汇总!$E:$E)</f>
        <v>0</v>
      </c>
      <c r="H393" s="150">
        <f>SUMIF(记录巡查问题条数汇总!$B:$B,C393,记录巡查问题条数汇总!$E:$E)</f>
        <v>0</v>
      </c>
      <c r="I393" s="150"/>
      <c r="J393" s="150">
        <f>SUMIF(安全质量事故!$B:$B,C393,安全质量事故!$G:$G)</f>
        <v>0</v>
      </c>
      <c r="K393" s="141">
        <f>COUNTIF(L393:AP393,标准数据!$A$2)*标准数据!$B$2+COUNTIF(L393:AP393,标准数据!$A$3)*标准数据!$B$3+COUNTIF(L393:AP393,标准数据!$A$4)*标准数据!$B$4</f>
        <v>0</v>
      </c>
      <c r="L393" s="185"/>
      <c r="M393" s="185"/>
      <c r="N393" s="185"/>
      <c r="O393" s="185"/>
      <c r="P393" s="185"/>
      <c r="Q393" s="185"/>
      <c r="R393" s="185"/>
      <c r="S393" s="185"/>
      <c r="T393" s="185"/>
      <c r="U393" s="185"/>
      <c r="V393" s="185"/>
      <c r="W393" s="185"/>
      <c r="X393" s="185"/>
      <c r="Y393" s="185"/>
      <c r="Z393" s="185"/>
      <c r="AA393" s="185"/>
      <c r="AB393" s="185"/>
      <c r="AC393" s="185"/>
      <c r="AD393" s="185"/>
      <c r="AE393" s="185"/>
      <c r="AF393" s="185"/>
      <c r="AG393" s="185"/>
      <c r="AH393" s="185"/>
      <c r="AI393" s="185"/>
      <c r="AJ393" s="185"/>
      <c r="AK393" s="185"/>
      <c r="AL393" s="185"/>
      <c r="AM393" s="185"/>
      <c r="AN393" s="185"/>
      <c r="AO393" s="185"/>
      <c r="AP393" s="185"/>
      <c r="AQ393" s="94"/>
      <c r="AR393" s="94"/>
      <c r="AS393" s="94"/>
      <c r="AT393" s="149" t="s">
        <v>861</v>
      </c>
      <c r="AU393" s="94" t="s">
        <v>1832</v>
      </c>
    </row>
    <row r="394" spans="1:47" ht="21" customHeight="1" x14ac:dyDescent="0.35">
      <c r="A394" s="262"/>
      <c r="B394" s="98" t="s">
        <v>17</v>
      </c>
      <c r="C394" s="99" t="s">
        <v>911</v>
      </c>
      <c r="D394" s="105" t="s">
        <v>863</v>
      </c>
      <c r="E394" s="101">
        <v>46001</v>
      </c>
      <c r="F394" s="102">
        <f t="shared" si="12"/>
        <v>0</v>
      </c>
      <c r="G394" s="150">
        <f>SUMIF(积分汇总!$B:$B,C394,积分汇总!$E:$E)</f>
        <v>0</v>
      </c>
      <c r="H394" s="150">
        <f>SUMIF(记录巡查问题条数汇总!$B:$B,C394,记录巡查问题条数汇总!$E:$E)</f>
        <v>0</v>
      </c>
      <c r="I394" s="150"/>
      <c r="J394" s="150">
        <f>SUMIF(安全质量事故!$B:$B,C394,安全质量事故!$G:$G)</f>
        <v>0</v>
      </c>
      <c r="K394" s="141">
        <f>COUNTIF(L394:AP394,标准数据!$A$2)*标准数据!$B$2+COUNTIF(L394:AP394,标准数据!$A$3)*标准数据!$B$3+COUNTIF(L394:AP394,标准数据!$A$4)*标准数据!$B$4</f>
        <v>0</v>
      </c>
      <c r="L394" s="185"/>
      <c r="M394" s="185"/>
      <c r="N394" s="185"/>
      <c r="O394" s="185"/>
      <c r="P394" s="185"/>
      <c r="Q394" s="185"/>
      <c r="R394" s="185"/>
      <c r="S394" s="185"/>
      <c r="T394" s="185"/>
      <c r="U394" s="185"/>
      <c r="V394" s="185"/>
      <c r="W394" s="185"/>
      <c r="X394" s="185"/>
      <c r="Y394" s="185"/>
      <c r="Z394" s="185"/>
      <c r="AA394" s="185"/>
      <c r="AB394" s="185"/>
      <c r="AC394" s="185"/>
      <c r="AD394" s="185"/>
      <c r="AE394" s="185"/>
      <c r="AF394" s="185"/>
      <c r="AG394" s="185"/>
      <c r="AH394" s="185"/>
      <c r="AI394" s="185"/>
      <c r="AJ394" s="185"/>
      <c r="AK394" s="185"/>
      <c r="AL394" s="185"/>
      <c r="AM394" s="185"/>
      <c r="AN394" s="185"/>
      <c r="AO394" s="185"/>
      <c r="AP394" s="185"/>
      <c r="AT394" s="149" t="s">
        <v>863</v>
      </c>
      <c r="AU394" s="94" t="s">
        <v>1833</v>
      </c>
    </row>
    <row r="395" spans="1:47" ht="21" customHeight="1" x14ac:dyDescent="0.35">
      <c r="A395" s="262"/>
      <c r="B395" s="98" t="s">
        <v>17</v>
      </c>
      <c r="C395" s="99" t="s">
        <v>912</v>
      </c>
      <c r="D395" s="100" t="s">
        <v>864</v>
      </c>
      <c r="E395" s="101">
        <v>46008</v>
      </c>
      <c r="F395" s="102">
        <f t="shared" si="12"/>
        <v>0</v>
      </c>
      <c r="G395" s="150">
        <f>SUMIF(积分汇总!$B:$B,C395,积分汇总!$E:$E)</f>
        <v>0</v>
      </c>
      <c r="H395" s="150">
        <f>SUMIF(记录巡查问题条数汇总!$B:$B,C395,记录巡查问题条数汇总!$E:$E)</f>
        <v>0</v>
      </c>
      <c r="I395" s="150"/>
      <c r="J395" s="150">
        <f>SUMIF(安全质量事故!$B:$B,C395,安全质量事故!$G:$G)</f>
        <v>0</v>
      </c>
      <c r="K395" s="141">
        <f>COUNTIF(L395:AP395,标准数据!$A$2)*标准数据!$B$2+COUNTIF(L395:AP395,标准数据!$A$3)*标准数据!$B$3+COUNTIF(L395:AP395,标准数据!$A$4)*标准数据!$B$4</f>
        <v>0</v>
      </c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09"/>
      <c r="AJ395" s="109"/>
      <c r="AK395" s="109"/>
      <c r="AL395" s="109"/>
      <c r="AM395" s="109"/>
      <c r="AN395" s="109"/>
      <c r="AO395" s="109"/>
      <c r="AP395" s="109"/>
      <c r="AT395" s="149" t="s">
        <v>864</v>
      </c>
      <c r="AU395" s="94" t="s">
        <v>1832</v>
      </c>
    </row>
    <row r="396" spans="1:47" ht="21" customHeight="1" x14ac:dyDescent="0.35">
      <c r="A396" s="262"/>
      <c r="B396" s="98" t="s">
        <v>95</v>
      </c>
      <c r="C396" s="99" t="s">
        <v>913</v>
      </c>
      <c r="D396" s="105" t="s">
        <v>867</v>
      </c>
      <c r="E396" s="99">
        <v>45987</v>
      </c>
      <c r="F396" s="102">
        <f t="shared" si="12"/>
        <v>0</v>
      </c>
      <c r="G396" s="150">
        <f>SUMIF(积分汇总!$B:$B,C396,积分汇总!$E:$E)</f>
        <v>0</v>
      </c>
      <c r="H396" s="150">
        <f>SUMIF(记录巡查问题条数汇总!$B:$B,C396,记录巡查问题条数汇总!$E:$E)</f>
        <v>0</v>
      </c>
      <c r="I396" s="150"/>
      <c r="J396" s="150">
        <f>SUMIF(安全质量事故!$B:$B,C396,安全质量事故!$G:$G)</f>
        <v>0</v>
      </c>
      <c r="K396" s="141">
        <f>COUNTIF(L396:AP396,标准数据!$A$2)*标准数据!$B$2+COUNTIF(L396:AP396,标准数据!$A$3)*标准数据!$B$3+COUNTIF(L396:AP396,标准数据!$A$4)*标准数据!$B$4</f>
        <v>0</v>
      </c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09"/>
      <c r="AE396" s="109"/>
      <c r="AF396" s="109"/>
      <c r="AG396" s="109"/>
      <c r="AH396" s="109"/>
      <c r="AI396" s="109"/>
      <c r="AJ396" s="109"/>
      <c r="AK396" s="109"/>
      <c r="AL396" s="109"/>
      <c r="AM396" s="109"/>
      <c r="AN396" s="109"/>
      <c r="AO396" s="109"/>
      <c r="AP396" s="109"/>
      <c r="AQ396" s="94"/>
      <c r="AR396" s="94"/>
      <c r="AS396" s="94"/>
      <c r="AT396" s="149" t="s">
        <v>867</v>
      </c>
      <c r="AU396" s="94" t="s">
        <v>1832</v>
      </c>
    </row>
    <row r="397" spans="1:47" ht="21" customHeight="1" x14ac:dyDescent="0.35">
      <c r="A397" s="262"/>
      <c r="B397" s="98" t="s">
        <v>95</v>
      </c>
      <c r="C397" s="99" t="s">
        <v>914</v>
      </c>
      <c r="D397" s="105" t="s">
        <v>869</v>
      </c>
      <c r="E397" s="99">
        <v>45987</v>
      </c>
      <c r="F397" s="102">
        <f t="shared" si="12"/>
        <v>0</v>
      </c>
      <c r="G397" s="150">
        <f>SUMIF(积分汇总!$B:$B,C397,积分汇总!$E:$E)</f>
        <v>0</v>
      </c>
      <c r="H397" s="150">
        <f>SUMIF(记录巡查问题条数汇总!$B:$B,C397,记录巡查问题条数汇总!$E:$E)</f>
        <v>0</v>
      </c>
      <c r="I397" s="150"/>
      <c r="J397" s="150">
        <f>SUMIF(安全质量事故!$B:$B,C397,安全质量事故!$G:$G)</f>
        <v>0</v>
      </c>
      <c r="K397" s="141">
        <f>COUNTIF(L397:AP397,标准数据!$A$2)*标准数据!$B$2+COUNTIF(L397:AP397,标准数据!$A$3)*标准数据!$B$3+COUNTIF(L397:AP397,标准数据!$A$4)*标准数据!$B$4</f>
        <v>0</v>
      </c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109"/>
      <c r="Y397" s="109"/>
      <c r="Z397" s="109"/>
      <c r="AA397" s="109"/>
      <c r="AB397" s="109"/>
      <c r="AC397" s="109"/>
      <c r="AD397" s="109"/>
      <c r="AE397" s="109"/>
      <c r="AF397" s="109"/>
      <c r="AG397" s="109"/>
      <c r="AH397" s="109"/>
      <c r="AI397" s="109"/>
      <c r="AJ397" s="109"/>
      <c r="AK397" s="109"/>
      <c r="AL397" s="109"/>
      <c r="AM397" s="109"/>
      <c r="AN397" s="109"/>
      <c r="AO397" s="109"/>
      <c r="AP397" s="109"/>
      <c r="AQ397" s="94"/>
      <c r="AR397" s="94"/>
      <c r="AS397" s="94"/>
      <c r="AT397" s="149" t="s">
        <v>869</v>
      </c>
      <c r="AU397" s="94" t="s">
        <v>1832</v>
      </c>
    </row>
    <row r="398" spans="1:47" ht="21" customHeight="1" x14ac:dyDescent="0.35">
      <c r="A398" s="262"/>
      <c r="B398" s="98" t="s">
        <v>17</v>
      </c>
      <c r="C398" s="99" t="s">
        <v>915</v>
      </c>
      <c r="D398" s="100" t="s">
        <v>872</v>
      </c>
      <c r="E398" s="101">
        <v>43922</v>
      </c>
      <c r="F398" s="102">
        <f t="shared" si="12"/>
        <v>0</v>
      </c>
      <c r="G398" s="150">
        <f>SUMIF(积分汇总!$B:$B,C398,积分汇总!$E:$E)</f>
        <v>0</v>
      </c>
      <c r="H398" s="150">
        <f>SUMIF(记录巡查问题条数汇总!$B:$B,C398,记录巡查问题条数汇总!$E:$E)</f>
        <v>0</v>
      </c>
      <c r="I398" s="150"/>
      <c r="J398" s="150">
        <f>SUMIF(安全质量事故!$B:$B,C398,安全质量事故!$G:$G)</f>
        <v>0</v>
      </c>
      <c r="K398" s="141">
        <f>COUNTIF(L398:AP398,标准数据!$A$2)*标准数据!$B$2+COUNTIF(L398:AP398,标准数据!$A$3)*标准数据!$B$3+COUNTIF(L398:AP398,标准数据!$A$4)*标准数据!$B$4</f>
        <v>0</v>
      </c>
      <c r="L398" s="109"/>
      <c r="M398" s="109"/>
      <c r="N398" s="109"/>
      <c r="O398" s="109"/>
      <c r="P398" s="109"/>
      <c r="Q398" s="109"/>
      <c r="R398" s="109"/>
      <c r="S398" s="109"/>
      <c r="T398" s="109"/>
      <c r="U398" s="109"/>
      <c r="V398" s="109"/>
      <c r="W398" s="109"/>
      <c r="X398" s="109"/>
      <c r="Y398" s="109"/>
      <c r="Z398" s="109"/>
      <c r="AA398" s="109"/>
      <c r="AB398" s="109"/>
      <c r="AC398" s="109"/>
      <c r="AD398" s="109"/>
      <c r="AE398" s="109"/>
      <c r="AF398" s="109"/>
      <c r="AG398" s="109"/>
      <c r="AH398" s="109"/>
      <c r="AI398" s="109"/>
      <c r="AJ398" s="109"/>
      <c r="AK398" s="109"/>
      <c r="AL398" s="109"/>
      <c r="AM398" s="109"/>
      <c r="AN398" s="109"/>
      <c r="AO398" s="109"/>
      <c r="AP398" s="109"/>
      <c r="AQ398" s="94"/>
      <c r="AR398" s="94"/>
      <c r="AS398" s="94"/>
      <c r="AT398" s="149" t="s">
        <v>872</v>
      </c>
      <c r="AU398" s="94" t="s">
        <v>1832</v>
      </c>
    </row>
    <row r="399" spans="1:47" ht="21" customHeight="1" x14ac:dyDescent="0.35">
      <c r="A399" s="262"/>
      <c r="B399" s="98" t="s">
        <v>17</v>
      </c>
      <c r="C399" s="99" t="s">
        <v>916</v>
      </c>
      <c r="D399" s="100" t="s">
        <v>873</v>
      </c>
      <c r="E399" s="101">
        <v>44706</v>
      </c>
      <c r="F399" s="102">
        <f t="shared" si="12"/>
        <v>0</v>
      </c>
      <c r="G399" s="150">
        <f>SUMIF(积分汇总!$B:$B,C399,积分汇总!$E:$E)</f>
        <v>0</v>
      </c>
      <c r="H399" s="150">
        <f>SUMIF(记录巡查问题条数汇总!$B:$B,C399,记录巡查问题条数汇总!$E:$E)</f>
        <v>0</v>
      </c>
      <c r="I399" s="150"/>
      <c r="J399" s="150">
        <f>SUMIF(安全质量事故!$B:$B,C399,安全质量事故!$G:$G)</f>
        <v>0</v>
      </c>
      <c r="K399" s="141">
        <f>COUNTIF(L399:AP399,标准数据!$A$2)*标准数据!$B$2+COUNTIF(L399:AP399,标准数据!$A$3)*标准数据!$B$3+COUNTIF(L399:AP399,标准数据!$A$4)*标准数据!$B$4</f>
        <v>0</v>
      </c>
      <c r="L399" s="185"/>
      <c r="M399" s="185"/>
      <c r="N399" s="185"/>
      <c r="O399" s="185"/>
      <c r="P399" s="185"/>
      <c r="Q399" s="185"/>
      <c r="R399" s="185"/>
      <c r="S399" s="185"/>
      <c r="T399" s="185"/>
      <c r="U399" s="185"/>
      <c r="V399" s="185"/>
      <c r="W399" s="185"/>
      <c r="X399" s="185"/>
      <c r="Y399" s="185"/>
      <c r="Z399" s="185"/>
      <c r="AA399" s="185"/>
      <c r="AB399" s="185"/>
      <c r="AC399" s="185"/>
      <c r="AD399" s="185"/>
      <c r="AE399" s="185"/>
      <c r="AF399" s="185"/>
      <c r="AG399" s="185"/>
      <c r="AH399" s="185"/>
      <c r="AI399" s="185"/>
      <c r="AJ399" s="185"/>
      <c r="AK399" s="185"/>
      <c r="AL399" s="185"/>
      <c r="AM399" s="185"/>
      <c r="AN399" s="185"/>
      <c r="AO399" s="185"/>
      <c r="AP399" s="185"/>
      <c r="AQ399" s="94"/>
      <c r="AR399" s="94"/>
      <c r="AS399" s="94"/>
      <c r="AT399" s="149" t="s">
        <v>873</v>
      </c>
      <c r="AU399" s="94" t="s">
        <v>1832</v>
      </c>
    </row>
    <row r="400" spans="1:47" ht="21" customHeight="1" x14ac:dyDescent="0.35">
      <c r="A400" s="262"/>
      <c r="B400" s="98" t="s">
        <v>17</v>
      </c>
      <c r="C400" s="99" t="s">
        <v>917</v>
      </c>
      <c r="D400" s="100" t="s">
        <v>874</v>
      </c>
      <c r="E400" s="101">
        <v>44760</v>
      </c>
      <c r="F400" s="102">
        <f t="shared" ref="F400:F456" si="15">(K400+G400+H400+I400-J400)</f>
        <v>0</v>
      </c>
      <c r="G400" s="150">
        <f>SUMIF(积分汇总!$B:$B,C400,积分汇总!$E:$E)</f>
        <v>0</v>
      </c>
      <c r="H400" s="150">
        <f>SUMIF(记录巡查问题条数汇总!$B:$B,C400,记录巡查问题条数汇总!$E:$E)</f>
        <v>0</v>
      </c>
      <c r="I400" s="150"/>
      <c r="J400" s="150">
        <f>SUMIF(安全质量事故!$B:$B,C400,安全质量事故!$G:$G)</f>
        <v>0</v>
      </c>
      <c r="K400" s="141">
        <f>COUNTIF(L400:AP400,标准数据!$A$2)*标准数据!$B$2+COUNTIF(L400:AP400,标准数据!$A$3)*标准数据!$B$3+COUNTIF(L400:AP400,标准数据!$A$4)*标准数据!$B$4</f>
        <v>0</v>
      </c>
      <c r="L400" s="185"/>
      <c r="M400" s="185"/>
      <c r="N400" s="185"/>
      <c r="O400" s="185"/>
      <c r="P400" s="185"/>
      <c r="Q400" s="185"/>
      <c r="R400" s="185"/>
      <c r="S400" s="185"/>
      <c r="T400" s="185"/>
      <c r="U400" s="185"/>
      <c r="V400" s="185"/>
      <c r="W400" s="185"/>
      <c r="X400" s="185"/>
      <c r="Y400" s="185"/>
      <c r="Z400" s="185"/>
      <c r="AA400" s="185"/>
      <c r="AB400" s="185"/>
      <c r="AC400" s="185"/>
      <c r="AD400" s="185"/>
      <c r="AE400" s="185"/>
      <c r="AF400" s="185"/>
      <c r="AG400" s="185"/>
      <c r="AH400" s="185"/>
      <c r="AI400" s="185"/>
      <c r="AJ400" s="185"/>
      <c r="AK400" s="185"/>
      <c r="AL400" s="185"/>
      <c r="AM400" s="185"/>
      <c r="AN400" s="185"/>
      <c r="AO400" s="185"/>
      <c r="AP400" s="185"/>
      <c r="AQ400" s="94"/>
      <c r="AR400" s="94"/>
      <c r="AS400" s="94"/>
      <c r="AT400" s="149" t="s">
        <v>874</v>
      </c>
      <c r="AU400" s="94" t="s">
        <v>1832</v>
      </c>
    </row>
    <row r="401" spans="1:47" ht="21" customHeight="1" x14ac:dyDescent="0.35">
      <c r="A401" s="262"/>
      <c r="B401" s="98" t="s">
        <v>95</v>
      </c>
      <c r="C401" s="99" t="s">
        <v>918</v>
      </c>
      <c r="D401" s="105" t="s">
        <v>875</v>
      </c>
      <c r="E401" s="99">
        <v>45896</v>
      </c>
      <c r="F401" s="102">
        <f t="shared" si="15"/>
        <v>0</v>
      </c>
      <c r="G401" s="150">
        <f>SUMIF(积分汇总!$B:$B,C401,积分汇总!$E:$E)</f>
        <v>0</v>
      </c>
      <c r="H401" s="150">
        <f>SUMIF(记录巡查问题条数汇总!$B:$B,C401,记录巡查问题条数汇总!$E:$E)</f>
        <v>0</v>
      </c>
      <c r="I401" s="150"/>
      <c r="J401" s="150">
        <f>SUMIF(安全质量事故!$B:$B,C401,安全质量事故!$G:$G)</f>
        <v>0</v>
      </c>
      <c r="K401" s="141">
        <f>COUNTIF(L401:AP401,标准数据!$A$2)*标准数据!$B$2+COUNTIF(L401:AP401,标准数据!$A$3)*标准数据!$B$3+COUNTIF(L401:AP401,标准数据!$A$4)*标准数据!$B$4</f>
        <v>0</v>
      </c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109"/>
      <c r="Y401" s="109"/>
      <c r="Z401" s="109"/>
      <c r="AA401" s="109"/>
      <c r="AB401" s="109"/>
      <c r="AC401" s="109"/>
      <c r="AD401" s="109"/>
      <c r="AE401" s="109"/>
      <c r="AF401" s="109"/>
      <c r="AG401" s="109"/>
      <c r="AH401" s="109"/>
      <c r="AI401" s="109"/>
      <c r="AJ401" s="109"/>
      <c r="AK401" s="109"/>
      <c r="AL401" s="109"/>
      <c r="AM401" s="109"/>
      <c r="AN401" s="109"/>
      <c r="AO401" s="109"/>
      <c r="AP401" s="109"/>
      <c r="AQ401" s="94"/>
      <c r="AR401" s="94"/>
      <c r="AS401" s="94"/>
      <c r="AT401" s="149" t="s">
        <v>875</v>
      </c>
      <c r="AU401" s="94" t="s">
        <v>1832</v>
      </c>
    </row>
    <row r="402" spans="1:47" ht="21" customHeight="1" x14ac:dyDescent="0.35">
      <c r="A402" s="262"/>
      <c r="B402" s="98" t="s">
        <v>17</v>
      </c>
      <c r="C402" s="99" t="s">
        <v>919</v>
      </c>
      <c r="D402" s="100" t="s">
        <v>876</v>
      </c>
      <c r="E402" s="101">
        <v>45987</v>
      </c>
      <c r="F402" s="102">
        <f t="shared" si="15"/>
        <v>0</v>
      </c>
      <c r="G402" s="150">
        <f>SUMIF(积分汇总!$B:$B,C402,积分汇总!$E:$E)</f>
        <v>0</v>
      </c>
      <c r="H402" s="150">
        <f>SUMIF(记录巡查问题条数汇总!$B:$B,C402,记录巡查问题条数汇总!$E:$E)</f>
        <v>0</v>
      </c>
      <c r="I402" s="150"/>
      <c r="J402" s="150">
        <f>SUMIF(安全质量事故!$B:$B,C402,安全质量事故!$G:$G)</f>
        <v>0</v>
      </c>
      <c r="K402" s="141">
        <f>COUNTIF(L402:AP402,标准数据!$A$2)*标准数据!$B$2+COUNTIF(L402:AP402,标准数据!$A$3)*标准数据!$B$3+COUNTIF(L402:AP402,标准数据!$A$4)*标准数据!$B$4</f>
        <v>0</v>
      </c>
      <c r="L402" s="109"/>
      <c r="M402" s="109"/>
      <c r="N402" s="109"/>
      <c r="O402" s="109"/>
      <c r="P402" s="109"/>
      <c r="Q402" s="109"/>
      <c r="R402" s="109"/>
      <c r="S402" s="109"/>
      <c r="T402" s="109"/>
      <c r="U402" s="109"/>
      <c r="V402" s="109"/>
      <c r="W402" s="109"/>
      <c r="X402" s="109"/>
      <c r="Y402" s="109"/>
      <c r="Z402" s="109"/>
      <c r="AA402" s="109"/>
      <c r="AB402" s="109"/>
      <c r="AC402" s="109"/>
      <c r="AD402" s="109"/>
      <c r="AE402" s="109"/>
      <c r="AF402" s="109"/>
      <c r="AG402" s="109"/>
      <c r="AH402" s="109"/>
      <c r="AI402" s="109"/>
      <c r="AJ402" s="109"/>
      <c r="AK402" s="109"/>
      <c r="AL402" s="109"/>
      <c r="AM402" s="109"/>
      <c r="AN402" s="109"/>
      <c r="AO402" s="109"/>
      <c r="AP402" s="109"/>
      <c r="AQ402" s="94"/>
      <c r="AR402" s="94"/>
      <c r="AS402" s="94"/>
      <c r="AT402" s="149" t="s">
        <v>876</v>
      </c>
      <c r="AU402" s="94" t="s">
        <v>1832</v>
      </c>
    </row>
    <row r="403" spans="1:47" ht="21" customHeight="1" x14ac:dyDescent="0.35">
      <c r="A403" s="262"/>
      <c r="B403" s="98" t="s">
        <v>17</v>
      </c>
      <c r="C403" s="99" t="s">
        <v>924</v>
      </c>
      <c r="D403" s="100" t="s">
        <v>881</v>
      </c>
      <c r="E403" s="101">
        <v>45994</v>
      </c>
      <c r="F403" s="102">
        <f t="shared" si="15"/>
        <v>0</v>
      </c>
      <c r="G403" s="150">
        <f>SUMIF(积分汇总!$B:$B,C403,积分汇总!$E:$E)</f>
        <v>0</v>
      </c>
      <c r="H403" s="150">
        <f>SUMIF(记录巡查问题条数汇总!$B:$B,C403,记录巡查问题条数汇总!$E:$E)</f>
        <v>0</v>
      </c>
      <c r="I403" s="150"/>
      <c r="J403" s="150">
        <f>SUMIF(安全质量事故!$B:$B,C403,安全质量事故!$G:$G)</f>
        <v>0</v>
      </c>
      <c r="K403" s="141">
        <f>COUNTIF(L403:AP403,标准数据!$A$2)*标准数据!$B$2+COUNTIF(L403:AP403,标准数据!$A$3)*标准数据!$B$3+COUNTIF(L403:AP403,标准数据!$A$4)*标准数据!$B$4</f>
        <v>0</v>
      </c>
      <c r="L403" s="185"/>
      <c r="M403" s="185"/>
      <c r="N403" s="185"/>
      <c r="O403" s="185"/>
      <c r="P403" s="185"/>
      <c r="Q403" s="185"/>
      <c r="R403" s="185"/>
      <c r="S403" s="185"/>
      <c r="T403" s="185"/>
      <c r="U403" s="185"/>
      <c r="V403" s="185"/>
      <c r="W403" s="185"/>
      <c r="X403" s="185"/>
      <c r="Y403" s="185"/>
      <c r="Z403" s="185"/>
      <c r="AA403" s="185"/>
      <c r="AB403" s="185"/>
      <c r="AC403" s="185"/>
      <c r="AD403" s="185"/>
      <c r="AE403" s="185"/>
      <c r="AF403" s="185"/>
      <c r="AG403" s="185"/>
      <c r="AH403" s="185"/>
      <c r="AI403" s="185"/>
      <c r="AJ403" s="185"/>
      <c r="AK403" s="185"/>
      <c r="AL403" s="185"/>
      <c r="AM403" s="185"/>
      <c r="AN403" s="185"/>
      <c r="AO403" s="185"/>
      <c r="AP403" s="185"/>
      <c r="AQ403" s="94"/>
      <c r="AR403" s="94"/>
      <c r="AS403" s="94"/>
      <c r="AT403" s="149" t="s">
        <v>881</v>
      </c>
      <c r="AU403" s="94" t="s">
        <v>1833</v>
      </c>
    </row>
    <row r="404" spans="1:47" ht="21" customHeight="1" x14ac:dyDescent="0.35">
      <c r="A404" s="262"/>
      <c r="B404" s="98" t="s">
        <v>17</v>
      </c>
      <c r="C404" s="99" t="s">
        <v>602</v>
      </c>
      <c r="D404" s="105" t="s">
        <v>574</v>
      </c>
      <c r="E404" s="101">
        <v>45875</v>
      </c>
      <c r="F404" s="102">
        <f t="shared" si="15"/>
        <v>0</v>
      </c>
      <c r="G404" s="150">
        <f>SUMIF(积分汇总!$B:$B,C404,积分汇总!$E:$E)</f>
        <v>0</v>
      </c>
      <c r="H404" s="150">
        <f>SUMIF(记录巡查问题条数汇总!$B:$B,C404,记录巡查问题条数汇总!$E:$E)</f>
        <v>0</v>
      </c>
      <c r="I404" s="150"/>
      <c r="J404" s="150">
        <f>SUMIF(安全质量事故!$B:$B,C404,安全质量事故!$G:$G)</f>
        <v>0</v>
      </c>
      <c r="K404" s="141">
        <f>COUNTIF(L404:AP404,标准数据!$A$2)*标准数据!$B$2+COUNTIF(L404:AP404,标准数据!$A$3)*标准数据!$B$3+COUNTIF(L404:AP404,标准数据!$A$4)*标准数据!$B$4</f>
        <v>0</v>
      </c>
      <c r="L404" s="185"/>
      <c r="M404" s="185"/>
      <c r="N404" s="185"/>
      <c r="O404" s="185"/>
      <c r="P404" s="185"/>
      <c r="Q404" s="185"/>
      <c r="R404" s="185"/>
      <c r="S404" s="185"/>
      <c r="T404" s="185"/>
      <c r="U404" s="185"/>
      <c r="V404" s="185"/>
      <c r="W404" s="185"/>
      <c r="X404" s="185"/>
      <c r="Y404" s="185"/>
      <c r="Z404" s="185"/>
      <c r="AA404" s="185"/>
      <c r="AB404" s="185"/>
      <c r="AC404" s="185"/>
      <c r="AD404" s="185"/>
      <c r="AE404" s="185"/>
      <c r="AF404" s="185"/>
      <c r="AG404" s="185"/>
      <c r="AH404" s="185"/>
      <c r="AI404" s="185"/>
      <c r="AJ404" s="185"/>
      <c r="AK404" s="185"/>
      <c r="AL404" s="185"/>
      <c r="AM404" s="185"/>
      <c r="AN404" s="185"/>
      <c r="AO404" s="185"/>
      <c r="AP404" s="185"/>
      <c r="AT404" s="149" t="s">
        <v>574</v>
      </c>
      <c r="AU404" s="94" t="s">
        <v>1833</v>
      </c>
    </row>
    <row r="405" spans="1:47" ht="21" customHeight="1" x14ac:dyDescent="0.35">
      <c r="A405" s="262"/>
      <c r="B405" s="98" t="s">
        <v>17</v>
      </c>
      <c r="C405" s="99" t="s">
        <v>696</v>
      </c>
      <c r="D405" s="100" t="s">
        <v>634</v>
      </c>
      <c r="E405" s="101">
        <v>45896</v>
      </c>
      <c r="F405" s="102">
        <f t="shared" si="15"/>
        <v>0</v>
      </c>
      <c r="G405" s="150">
        <f>SUMIF(积分汇总!$B:$B,C405,积分汇总!$E:$E)</f>
        <v>0</v>
      </c>
      <c r="H405" s="150">
        <f>SUMIF(记录巡查问题条数汇总!$B:$B,C405,记录巡查问题条数汇总!$E:$E)</f>
        <v>0</v>
      </c>
      <c r="I405" s="150"/>
      <c r="J405" s="150">
        <f>SUMIF(安全质量事故!$B:$B,C405,安全质量事故!$G:$G)</f>
        <v>0</v>
      </c>
      <c r="K405" s="141">
        <f>COUNTIF(L405:AP405,标准数据!$A$2)*标准数据!$B$2+COUNTIF(L405:AP405,标准数据!$A$3)*标准数据!$B$3+COUNTIF(L405:AP405,标准数据!$A$4)*标准数据!$B$4</f>
        <v>0</v>
      </c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109"/>
      <c r="Y405" s="109"/>
      <c r="Z405" s="109"/>
      <c r="AA405" s="109"/>
      <c r="AB405" s="109"/>
      <c r="AC405" s="109"/>
      <c r="AD405" s="109"/>
      <c r="AE405" s="109"/>
      <c r="AF405" s="109"/>
      <c r="AG405" s="109"/>
      <c r="AH405" s="109"/>
      <c r="AI405" s="109"/>
      <c r="AJ405" s="109"/>
      <c r="AK405" s="109"/>
      <c r="AL405" s="109"/>
      <c r="AM405" s="109"/>
      <c r="AN405" s="109"/>
      <c r="AO405" s="109"/>
      <c r="AP405" s="109"/>
      <c r="AT405" s="149" t="s">
        <v>634</v>
      </c>
      <c r="AU405" s="94" t="s">
        <v>1833</v>
      </c>
    </row>
    <row r="406" spans="1:47" ht="21" customHeight="1" x14ac:dyDescent="0.35">
      <c r="A406" s="262"/>
      <c r="B406" s="98" t="s">
        <v>17</v>
      </c>
      <c r="C406" s="99" t="s">
        <v>382</v>
      </c>
      <c r="D406" s="100" t="s">
        <v>366</v>
      </c>
      <c r="E406" s="101">
        <v>45637</v>
      </c>
      <c r="F406" s="102">
        <f t="shared" si="15"/>
        <v>0</v>
      </c>
      <c r="G406" s="150">
        <f>SUMIF(积分汇总!$B:$B,C406,积分汇总!$E:$E)</f>
        <v>0</v>
      </c>
      <c r="H406" s="150">
        <f>SUMIF(记录巡查问题条数汇总!$B:$B,C406,记录巡查问题条数汇总!$E:$E)</f>
        <v>0</v>
      </c>
      <c r="I406" s="150"/>
      <c r="J406" s="150">
        <f>SUMIF(安全质量事故!$B:$B,C406,安全质量事故!$G:$G)</f>
        <v>0</v>
      </c>
      <c r="K406" s="141">
        <f>COUNTIF(L406:AP406,标准数据!$A$2)*标准数据!$B$2+COUNTIF(L406:AP406,标准数据!$A$3)*标准数据!$B$3+COUNTIF(L406:AP406,标准数据!$A$4)*标准数据!$B$4</f>
        <v>0</v>
      </c>
      <c r="L406" s="109"/>
      <c r="M406" s="109"/>
      <c r="N406" s="109"/>
      <c r="O406" s="109"/>
      <c r="P406" s="109"/>
      <c r="Q406" s="109"/>
      <c r="R406" s="109"/>
      <c r="S406" s="109"/>
      <c r="T406" s="109"/>
      <c r="U406" s="109"/>
      <c r="V406" s="109"/>
      <c r="W406" s="109"/>
      <c r="X406" s="109"/>
      <c r="Y406" s="109"/>
      <c r="Z406" s="109"/>
      <c r="AA406" s="109"/>
      <c r="AB406" s="109"/>
      <c r="AC406" s="109"/>
      <c r="AD406" s="109"/>
      <c r="AE406" s="109"/>
      <c r="AF406" s="109"/>
      <c r="AG406" s="109"/>
      <c r="AH406" s="109"/>
      <c r="AI406" s="109"/>
      <c r="AJ406" s="109"/>
      <c r="AK406" s="109"/>
      <c r="AL406" s="109"/>
      <c r="AM406" s="109"/>
      <c r="AN406" s="109"/>
      <c r="AO406" s="109"/>
      <c r="AP406" s="109"/>
      <c r="AQ406" s="94"/>
      <c r="AR406" s="94"/>
      <c r="AS406" s="94"/>
      <c r="AT406" s="149" t="s">
        <v>366</v>
      </c>
      <c r="AU406" s="94" t="s">
        <v>1832</v>
      </c>
    </row>
    <row r="407" spans="1:47" ht="21" customHeight="1" x14ac:dyDescent="0.35">
      <c r="A407" s="262"/>
      <c r="B407" s="98" t="s">
        <v>17</v>
      </c>
      <c r="C407" s="99" t="s">
        <v>1004</v>
      </c>
      <c r="D407" s="100" t="s">
        <v>974</v>
      </c>
      <c r="E407" s="101">
        <v>45916</v>
      </c>
      <c r="F407" s="102">
        <f t="shared" si="15"/>
        <v>0</v>
      </c>
      <c r="G407" s="150">
        <f>SUMIF(积分汇总!$B:$B,C407,积分汇总!$E:$E)</f>
        <v>0</v>
      </c>
      <c r="H407" s="150">
        <f>SUMIF(记录巡查问题条数汇总!$B:$B,C407,记录巡查问题条数汇总!$E:$E)</f>
        <v>0</v>
      </c>
      <c r="I407" s="150"/>
      <c r="J407" s="150">
        <f>SUMIF(安全质量事故!$B:$B,C407,安全质量事故!$G:$G)</f>
        <v>0</v>
      </c>
      <c r="K407" s="141">
        <f>COUNTIF(L407:AP407,标准数据!$A$2)*标准数据!$B$2+COUNTIF(L407:AP407,标准数据!$A$3)*标准数据!$B$3+COUNTIF(L407:AP407,标准数据!$A$4)*标准数据!$B$4</f>
        <v>0</v>
      </c>
      <c r="L407" s="185"/>
      <c r="M407" s="185"/>
      <c r="N407" s="185"/>
      <c r="O407" s="185"/>
      <c r="P407" s="185"/>
      <c r="Q407" s="109"/>
      <c r="R407" s="109"/>
      <c r="S407" s="109"/>
      <c r="T407" s="109"/>
      <c r="U407" s="109"/>
      <c r="V407" s="109"/>
      <c r="W407" s="109"/>
      <c r="X407" s="109"/>
      <c r="Y407" s="109"/>
      <c r="Z407" s="109"/>
      <c r="AA407" s="109"/>
      <c r="AB407" s="109"/>
      <c r="AC407" s="109"/>
      <c r="AD407" s="109"/>
      <c r="AE407" s="109"/>
      <c r="AF407" s="109"/>
      <c r="AG407" s="109"/>
      <c r="AH407" s="109"/>
      <c r="AI407" s="109"/>
      <c r="AJ407" s="109"/>
      <c r="AK407" s="109"/>
      <c r="AL407" s="109"/>
      <c r="AM407" s="109"/>
      <c r="AN407" s="109"/>
      <c r="AO407" s="109"/>
      <c r="AP407" s="109"/>
      <c r="AT407" s="149" t="s">
        <v>974</v>
      </c>
      <c r="AU407" s="94" t="s">
        <v>1832</v>
      </c>
    </row>
    <row r="408" spans="1:47" ht="21" customHeight="1" x14ac:dyDescent="0.35">
      <c r="A408" s="262"/>
      <c r="B408" s="98" t="s">
        <v>17</v>
      </c>
      <c r="C408" s="99" t="s">
        <v>1005</v>
      </c>
      <c r="D408" s="100" t="s">
        <v>975</v>
      </c>
      <c r="E408" s="101">
        <v>45901</v>
      </c>
      <c r="F408" s="102">
        <f t="shared" si="15"/>
        <v>0</v>
      </c>
      <c r="G408" s="150">
        <f>SUMIF(积分汇总!$B:$B,C408,积分汇总!$E:$E)</f>
        <v>0</v>
      </c>
      <c r="H408" s="150">
        <f>SUMIF(记录巡查问题条数汇总!$B:$B,C408,记录巡查问题条数汇总!$E:$E)</f>
        <v>0</v>
      </c>
      <c r="I408" s="150"/>
      <c r="J408" s="150">
        <f>SUMIF(安全质量事故!$B:$B,C408,安全质量事故!$G:$G)</f>
        <v>0</v>
      </c>
      <c r="K408" s="141">
        <f>COUNTIF(L408:AP408,标准数据!$A$2)*标准数据!$B$2+COUNTIF(L408:AP408,标准数据!$A$3)*标准数据!$B$3+COUNTIF(L408:AP408,标准数据!$A$4)*标准数据!$B$4</f>
        <v>0</v>
      </c>
      <c r="L408" s="109"/>
      <c r="M408" s="109"/>
      <c r="N408" s="109"/>
      <c r="O408" s="109"/>
      <c r="P408" s="109"/>
      <c r="Q408" s="109"/>
      <c r="R408" s="109"/>
      <c r="S408" s="109"/>
      <c r="T408" s="109"/>
      <c r="U408" s="109"/>
      <c r="V408" s="109"/>
      <c r="W408" s="109"/>
      <c r="X408" s="109"/>
      <c r="Y408" s="109"/>
      <c r="Z408" s="109"/>
      <c r="AA408" s="109"/>
      <c r="AB408" s="109"/>
      <c r="AC408" s="109"/>
      <c r="AD408" s="109"/>
      <c r="AE408" s="109"/>
      <c r="AF408" s="109"/>
      <c r="AG408" s="109"/>
      <c r="AH408" s="109"/>
      <c r="AI408" s="109"/>
      <c r="AJ408" s="109"/>
      <c r="AK408" s="109"/>
      <c r="AL408" s="109"/>
      <c r="AM408" s="109"/>
      <c r="AN408" s="109"/>
      <c r="AO408" s="109"/>
      <c r="AP408" s="109"/>
      <c r="AT408" s="149" t="s">
        <v>975</v>
      </c>
      <c r="AU408" s="94" t="s">
        <v>1833</v>
      </c>
    </row>
    <row r="409" spans="1:47" ht="21" customHeight="1" x14ac:dyDescent="0.35">
      <c r="A409" s="262"/>
      <c r="B409" s="98" t="s">
        <v>17</v>
      </c>
      <c r="C409" s="99" t="s">
        <v>1006</v>
      </c>
      <c r="D409" s="100" t="s">
        <v>976</v>
      </c>
      <c r="E409" s="101">
        <v>45896</v>
      </c>
      <c r="F409" s="102">
        <f t="shared" si="15"/>
        <v>0</v>
      </c>
      <c r="G409" s="150">
        <f>SUMIF(积分汇总!$B:$B,C409,积分汇总!$E:$E)</f>
        <v>0</v>
      </c>
      <c r="H409" s="150">
        <f>SUMIF(记录巡查问题条数汇总!$B:$B,C409,记录巡查问题条数汇总!$E:$E)</f>
        <v>0</v>
      </c>
      <c r="I409" s="150"/>
      <c r="J409" s="150">
        <f>SUMIF(安全质量事故!$B:$B,C409,安全质量事故!$G:$G)</f>
        <v>0</v>
      </c>
      <c r="K409" s="141">
        <f>COUNTIF(L409:AP409,标准数据!$A$2)*标准数据!$B$2+COUNTIF(L409:AP409,标准数据!$A$3)*标准数据!$B$3+COUNTIF(L409:AP409,标准数据!$A$4)*标准数据!$B$4</f>
        <v>0</v>
      </c>
      <c r="L409" s="185"/>
      <c r="M409" s="185"/>
      <c r="N409" s="185"/>
      <c r="O409" s="185"/>
      <c r="P409" s="185"/>
      <c r="Q409" s="109"/>
      <c r="R409" s="109"/>
      <c r="S409" s="109"/>
      <c r="T409" s="109"/>
      <c r="U409" s="109"/>
      <c r="V409" s="109"/>
      <c r="W409" s="109"/>
      <c r="X409" s="109"/>
      <c r="Y409" s="109"/>
      <c r="Z409" s="109"/>
      <c r="AA409" s="109"/>
      <c r="AB409" s="109"/>
      <c r="AC409" s="109"/>
      <c r="AD409" s="109"/>
      <c r="AE409" s="109"/>
      <c r="AF409" s="109"/>
      <c r="AG409" s="109"/>
      <c r="AH409" s="109"/>
      <c r="AI409" s="109"/>
      <c r="AJ409" s="109"/>
      <c r="AK409" s="109"/>
      <c r="AL409" s="109"/>
      <c r="AM409" s="109"/>
      <c r="AN409" s="109"/>
      <c r="AO409" s="109"/>
      <c r="AP409" s="109"/>
      <c r="AT409" s="149" t="s">
        <v>976</v>
      </c>
      <c r="AU409" s="94" t="s">
        <v>1833</v>
      </c>
    </row>
    <row r="410" spans="1:47" ht="21" customHeight="1" x14ac:dyDescent="0.35">
      <c r="A410" s="262"/>
      <c r="B410" s="98" t="s">
        <v>17</v>
      </c>
      <c r="C410" s="100" t="s">
        <v>1019</v>
      </c>
      <c r="D410" s="105" t="s">
        <v>995</v>
      </c>
      <c r="E410" s="99">
        <v>45971</v>
      </c>
      <c r="F410" s="102">
        <f t="shared" si="15"/>
        <v>0</v>
      </c>
      <c r="G410" s="150">
        <f>SUMIF(积分汇总!$B:$B,C410,积分汇总!$E:$E)</f>
        <v>0</v>
      </c>
      <c r="H410" s="150">
        <f>SUMIF(记录巡查问题条数汇总!$B:$B,C410,记录巡查问题条数汇总!$E:$E)</f>
        <v>0</v>
      </c>
      <c r="I410" s="150"/>
      <c r="J410" s="150">
        <f>SUMIF(安全质量事故!$B:$B,C410,安全质量事故!$G:$G)</f>
        <v>0</v>
      </c>
      <c r="K410" s="141">
        <f>COUNTIF(L410:AP410,标准数据!$A$2)*标准数据!$B$2+COUNTIF(L410:AP410,标准数据!$A$3)*标准数据!$B$3+COUNTIF(L410:AP410,标准数据!$A$4)*标准数据!$B$4</f>
        <v>0</v>
      </c>
      <c r="L410" s="185"/>
      <c r="M410" s="185"/>
      <c r="N410" s="185"/>
      <c r="O410" s="185"/>
      <c r="P410" s="185"/>
      <c r="Q410" s="109"/>
      <c r="R410" s="109"/>
      <c r="S410" s="109"/>
      <c r="T410" s="109"/>
      <c r="U410" s="109"/>
      <c r="V410" s="109"/>
      <c r="W410" s="109"/>
      <c r="X410" s="109"/>
      <c r="Y410" s="109"/>
      <c r="Z410" s="109"/>
      <c r="AA410" s="109"/>
      <c r="AB410" s="109"/>
      <c r="AC410" s="109"/>
      <c r="AD410" s="109"/>
      <c r="AE410" s="109"/>
      <c r="AF410" s="109"/>
      <c r="AG410" s="109"/>
      <c r="AH410" s="109"/>
      <c r="AI410" s="109"/>
      <c r="AJ410" s="109"/>
      <c r="AK410" s="109"/>
      <c r="AL410" s="109"/>
      <c r="AM410" s="109"/>
      <c r="AN410" s="109"/>
      <c r="AO410" s="109"/>
      <c r="AP410" s="109"/>
      <c r="AQ410" s="213" t="s">
        <v>1626</v>
      </c>
      <c r="AT410" s="149" t="s">
        <v>995</v>
      </c>
      <c r="AU410" s="94" t="s">
        <v>1833</v>
      </c>
    </row>
    <row r="411" spans="1:47" ht="21" customHeight="1" x14ac:dyDescent="0.35">
      <c r="A411" s="262"/>
      <c r="B411" s="98" t="s">
        <v>17</v>
      </c>
      <c r="C411" s="100" t="s">
        <v>1020</v>
      </c>
      <c r="D411" s="105" t="s">
        <v>996</v>
      </c>
      <c r="E411" s="99">
        <v>45987</v>
      </c>
      <c r="F411" s="102">
        <f t="shared" si="15"/>
        <v>0</v>
      </c>
      <c r="G411" s="150">
        <f>SUMIF(积分汇总!$B:$B,C411,积分汇总!$E:$E)</f>
        <v>0</v>
      </c>
      <c r="H411" s="150">
        <f>SUMIF(记录巡查问题条数汇总!$B:$B,C411,记录巡查问题条数汇总!$E:$E)</f>
        <v>0</v>
      </c>
      <c r="I411" s="150"/>
      <c r="J411" s="150">
        <f>SUMIF(安全质量事故!$B:$B,C411,安全质量事故!$G:$G)</f>
        <v>0</v>
      </c>
      <c r="K411" s="141">
        <f>COUNTIF(L411:AP411,标准数据!$A$2)*标准数据!$B$2+COUNTIF(L411:AP411,标准数据!$A$3)*标准数据!$B$3+COUNTIF(L411:AP411,标准数据!$A$4)*标准数据!$B$4</f>
        <v>0</v>
      </c>
      <c r="L411" s="185"/>
      <c r="M411" s="185"/>
      <c r="N411" s="185"/>
      <c r="O411" s="185"/>
      <c r="P411" s="185"/>
      <c r="Q411" s="109"/>
      <c r="R411" s="109"/>
      <c r="S411" s="109"/>
      <c r="T411" s="109"/>
      <c r="U411" s="109"/>
      <c r="V411" s="109"/>
      <c r="W411" s="109"/>
      <c r="X411" s="109"/>
      <c r="Y411" s="109"/>
      <c r="Z411" s="109"/>
      <c r="AA411" s="109"/>
      <c r="AB411" s="109"/>
      <c r="AC411" s="109"/>
      <c r="AD411" s="109"/>
      <c r="AE411" s="109"/>
      <c r="AF411" s="109"/>
      <c r="AG411" s="109"/>
      <c r="AH411" s="109"/>
      <c r="AI411" s="109"/>
      <c r="AJ411" s="109"/>
      <c r="AK411" s="109"/>
      <c r="AL411" s="109"/>
      <c r="AM411" s="109"/>
      <c r="AN411" s="109"/>
      <c r="AO411" s="109"/>
      <c r="AP411" s="109"/>
      <c r="AT411" s="149" t="s">
        <v>996</v>
      </c>
      <c r="AU411" s="94" t="s">
        <v>1833</v>
      </c>
    </row>
    <row r="412" spans="1:47" s="104" customFormat="1" ht="21" customHeight="1" x14ac:dyDescent="0.35">
      <c r="A412" s="262"/>
      <c r="B412" s="98" t="s">
        <v>17</v>
      </c>
      <c r="C412" s="99" t="s">
        <v>605</v>
      </c>
      <c r="D412" s="100" t="s">
        <v>577</v>
      </c>
      <c r="E412" s="101">
        <v>45882</v>
      </c>
      <c r="F412" s="102">
        <f t="shared" si="15"/>
        <v>0</v>
      </c>
      <c r="G412" s="150">
        <f>SUMIF(积分汇总!$B:$B,C412,积分汇总!$E:$E)</f>
        <v>0</v>
      </c>
      <c r="H412" s="150">
        <f>SUMIF(记录巡查问题条数汇总!$B:$B,C412,记录巡查问题条数汇总!$E:$E)</f>
        <v>0</v>
      </c>
      <c r="I412" s="150"/>
      <c r="J412" s="150">
        <f>SUMIF(安全质量事故!$B:$B,C412,安全质量事故!$G:$G)</f>
        <v>0</v>
      </c>
      <c r="K412" s="141">
        <f>COUNTIF(L412:AP412,标准数据!$A$2)*标准数据!$B$2+COUNTIF(L412:AP412,标准数据!$A$3)*标准数据!$B$3+COUNTIF(L412:AP412,标准数据!$A$4)*标准数据!$B$4</f>
        <v>0</v>
      </c>
      <c r="L412" s="185"/>
      <c r="M412" s="185"/>
      <c r="N412" s="185"/>
      <c r="O412" s="185"/>
      <c r="P412" s="185"/>
      <c r="Q412" s="185"/>
      <c r="R412" s="185"/>
      <c r="S412" s="185"/>
      <c r="T412" s="185"/>
      <c r="U412" s="185"/>
      <c r="V412" s="185"/>
      <c r="W412" s="185"/>
      <c r="X412" s="185"/>
      <c r="Y412" s="185"/>
      <c r="Z412" s="185"/>
      <c r="AA412" s="185"/>
      <c r="AB412" s="185"/>
      <c r="AC412" s="185"/>
      <c r="AD412" s="185"/>
      <c r="AE412" s="185"/>
      <c r="AF412" s="185"/>
      <c r="AG412" s="185"/>
      <c r="AH412" s="185"/>
      <c r="AI412" s="185"/>
      <c r="AJ412" s="185"/>
      <c r="AK412" s="185"/>
      <c r="AL412" s="185"/>
      <c r="AM412" s="185"/>
      <c r="AN412" s="185"/>
      <c r="AO412" s="185"/>
      <c r="AP412" s="185"/>
      <c r="AT412" s="149" t="s">
        <v>577</v>
      </c>
      <c r="AU412" s="94" t="s">
        <v>1832</v>
      </c>
    </row>
    <row r="413" spans="1:47" ht="21" customHeight="1" x14ac:dyDescent="0.35">
      <c r="A413" s="262"/>
      <c r="B413" s="98" t="s">
        <v>95</v>
      </c>
      <c r="C413" s="99" t="s">
        <v>520</v>
      </c>
      <c r="D413" s="100" t="s">
        <v>487</v>
      </c>
      <c r="E413" s="101">
        <v>45833</v>
      </c>
      <c r="F413" s="102">
        <f t="shared" si="15"/>
        <v>0</v>
      </c>
      <c r="G413" s="150">
        <f>SUMIF(积分汇总!$B:$B,C413,积分汇总!$E:$E)</f>
        <v>0</v>
      </c>
      <c r="H413" s="150">
        <f>SUMIF(记录巡查问题条数汇总!$B:$B,C413,记录巡查问题条数汇总!$E:$E)</f>
        <v>0</v>
      </c>
      <c r="I413" s="150"/>
      <c r="J413" s="150">
        <f>SUMIF(安全质量事故!$B:$B,C413,安全质量事故!$G:$G)</f>
        <v>0</v>
      </c>
      <c r="K413" s="141">
        <f>COUNTIF(L413:AP413,标准数据!$A$2)*标准数据!$B$2+COUNTIF(L413:AP413,标准数据!$A$3)*标准数据!$B$3+COUNTIF(L413:AP413,标准数据!$A$4)*标准数据!$B$4</f>
        <v>0</v>
      </c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109"/>
      <c r="Y413" s="109"/>
      <c r="Z413" s="109"/>
      <c r="AA413" s="109"/>
      <c r="AB413" s="109"/>
      <c r="AC413" s="109"/>
      <c r="AD413" s="109"/>
      <c r="AE413" s="109"/>
      <c r="AF413" s="109"/>
      <c r="AG413" s="109"/>
      <c r="AH413" s="109"/>
      <c r="AI413" s="109"/>
      <c r="AJ413" s="109"/>
      <c r="AK413" s="109"/>
      <c r="AL413" s="109"/>
      <c r="AM413" s="109"/>
      <c r="AN413" s="109"/>
      <c r="AO413" s="109"/>
      <c r="AP413" s="109"/>
      <c r="AT413" s="149" t="s">
        <v>487</v>
      </c>
      <c r="AU413" s="94" t="s">
        <v>1832</v>
      </c>
    </row>
    <row r="414" spans="1:47" ht="21" customHeight="1" x14ac:dyDescent="0.35">
      <c r="A414" s="262"/>
      <c r="B414" s="98" t="s">
        <v>17</v>
      </c>
      <c r="C414" s="99" t="s">
        <v>947</v>
      </c>
      <c r="D414" s="100" t="s">
        <v>888</v>
      </c>
      <c r="E414" s="101">
        <v>45987</v>
      </c>
      <c r="F414" s="102">
        <f t="shared" si="15"/>
        <v>0</v>
      </c>
      <c r="G414" s="150">
        <f>SUMIF(积分汇总!$B:$B,C414,积分汇总!$E:$E)</f>
        <v>0</v>
      </c>
      <c r="H414" s="150">
        <f>SUMIF(记录巡查问题条数汇总!$B:$B,C414,记录巡查问题条数汇总!$E:$E)</f>
        <v>0</v>
      </c>
      <c r="I414" s="150"/>
      <c r="J414" s="150">
        <f>SUMIF(安全质量事故!$B:$B,C414,安全质量事故!$G:$G)</f>
        <v>0</v>
      </c>
      <c r="K414" s="141">
        <f>COUNTIF(L414:AP414,标准数据!$A$2)*标准数据!$B$2+COUNTIF(L414:AP414,标准数据!$A$3)*标准数据!$B$3+COUNTIF(L414:AP414,标准数据!$A$4)*标准数据!$B$4</f>
        <v>0</v>
      </c>
      <c r="L414" s="185"/>
      <c r="M414" s="185"/>
      <c r="N414" s="185"/>
      <c r="O414" s="185"/>
      <c r="P414" s="185"/>
      <c r="Q414" s="109"/>
      <c r="R414" s="109"/>
      <c r="S414" s="109"/>
      <c r="T414" s="109"/>
      <c r="U414" s="109"/>
      <c r="V414" s="109"/>
      <c r="W414" s="109"/>
      <c r="X414" s="109"/>
      <c r="Y414" s="109"/>
      <c r="Z414" s="109"/>
      <c r="AA414" s="109"/>
      <c r="AB414" s="109"/>
      <c r="AC414" s="109"/>
      <c r="AD414" s="109"/>
      <c r="AE414" s="109"/>
      <c r="AF414" s="109"/>
      <c r="AG414" s="109"/>
      <c r="AH414" s="109"/>
      <c r="AI414" s="109"/>
      <c r="AJ414" s="109"/>
      <c r="AK414" s="109"/>
      <c r="AL414" s="109"/>
      <c r="AM414" s="109"/>
      <c r="AN414" s="109"/>
      <c r="AO414" s="109"/>
      <c r="AP414" s="109"/>
      <c r="AT414" s="149" t="s">
        <v>888</v>
      </c>
      <c r="AU414" s="94" t="s">
        <v>1832</v>
      </c>
    </row>
    <row r="415" spans="1:47" ht="21" customHeight="1" x14ac:dyDescent="0.35">
      <c r="A415" s="262"/>
      <c r="B415" s="98" t="s">
        <v>17</v>
      </c>
      <c r="C415" s="99" t="s">
        <v>999</v>
      </c>
      <c r="D415" s="100" t="s">
        <v>981</v>
      </c>
      <c r="E415" s="101">
        <v>45882</v>
      </c>
      <c r="F415" s="102">
        <f t="shared" si="15"/>
        <v>0</v>
      </c>
      <c r="G415" s="150">
        <f>SUMIF(积分汇总!$B:$B,C415,积分汇总!$E:$E)</f>
        <v>0</v>
      </c>
      <c r="H415" s="150">
        <f>SUMIF(记录巡查问题条数汇总!$B:$B,C415,记录巡查问题条数汇总!$E:$E)</f>
        <v>0</v>
      </c>
      <c r="I415" s="150"/>
      <c r="J415" s="150">
        <f>SUMIF(安全质量事故!$B:$B,C415,安全质量事故!$G:$G)</f>
        <v>0</v>
      </c>
      <c r="K415" s="141">
        <f>COUNTIF(L415:AP415,标准数据!$A$2)*标准数据!$B$2+COUNTIF(L415:AP415,标准数据!$A$3)*标准数据!$B$3+COUNTIF(L415:AP415,标准数据!$A$4)*标准数据!$B$4</f>
        <v>0</v>
      </c>
      <c r="L415" s="185"/>
      <c r="M415" s="185"/>
      <c r="N415" s="185"/>
      <c r="O415" s="185"/>
      <c r="P415" s="185"/>
      <c r="Q415" s="185"/>
      <c r="R415" s="185"/>
      <c r="S415" s="185"/>
      <c r="T415" s="185"/>
      <c r="U415" s="185"/>
      <c r="V415" s="185"/>
      <c r="W415" s="185"/>
      <c r="X415" s="185"/>
      <c r="Y415" s="185"/>
      <c r="Z415" s="185"/>
      <c r="AA415" s="185"/>
      <c r="AB415" s="185"/>
      <c r="AC415" s="185"/>
      <c r="AD415" s="185"/>
      <c r="AE415" s="185"/>
      <c r="AF415" s="185"/>
      <c r="AG415" s="185"/>
      <c r="AH415" s="185"/>
      <c r="AI415" s="185"/>
      <c r="AJ415" s="185"/>
      <c r="AK415" s="185"/>
      <c r="AL415" s="185"/>
      <c r="AM415" s="185"/>
      <c r="AN415" s="185"/>
      <c r="AO415" s="185"/>
      <c r="AP415" s="185"/>
      <c r="AQ415" s="94"/>
      <c r="AR415" s="94"/>
      <c r="AS415" s="94"/>
      <c r="AT415" s="149" t="s">
        <v>981</v>
      </c>
      <c r="AU415" s="94" t="s">
        <v>1832</v>
      </c>
    </row>
    <row r="416" spans="1:47" ht="21" customHeight="1" x14ac:dyDescent="0.35">
      <c r="A416" s="262"/>
      <c r="B416" s="98" t="s">
        <v>17</v>
      </c>
      <c r="C416" s="99" t="s">
        <v>170</v>
      </c>
      <c r="D416" s="100" t="s">
        <v>88</v>
      </c>
      <c r="E416" s="101">
        <v>44809</v>
      </c>
      <c r="F416" s="102">
        <f t="shared" si="15"/>
        <v>0</v>
      </c>
      <c r="G416" s="150">
        <f>SUMIF(积分汇总!$B:$B,C416,积分汇总!$E:$E)</f>
        <v>0</v>
      </c>
      <c r="H416" s="150">
        <f>SUMIF(记录巡查问题条数汇总!$B:$B,C416,记录巡查问题条数汇总!$E:$E)</f>
        <v>0</v>
      </c>
      <c r="I416" s="150"/>
      <c r="J416" s="150">
        <f>SUMIF(安全质量事故!$B:$B,C416,安全质量事故!$G:$G)</f>
        <v>0</v>
      </c>
      <c r="K416" s="141">
        <f>COUNTIF(L416:AP416,标准数据!$A$2)*标准数据!$B$2+COUNTIF(L416:AP416,标准数据!$A$3)*标准数据!$B$3+COUNTIF(L416:AP416,标准数据!$A$4)*标准数据!$B$4</f>
        <v>0</v>
      </c>
      <c r="L416" s="109"/>
      <c r="M416" s="109"/>
      <c r="N416" s="109"/>
      <c r="O416" s="109"/>
      <c r="P416" s="109"/>
      <c r="Q416" s="109"/>
      <c r="R416" s="109"/>
      <c r="S416" s="109"/>
      <c r="T416" s="109"/>
      <c r="U416" s="109"/>
      <c r="V416" s="109"/>
      <c r="W416" s="109"/>
      <c r="X416" s="109"/>
      <c r="Y416" s="109"/>
      <c r="Z416" s="109"/>
      <c r="AA416" s="109"/>
      <c r="AB416" s="109"/>
      <c r="AC416" s="109"/>
      <c r="AD416" s="109"/>
      <c r="AE416" s="109"/>
      <c r="AF416" s="109"/>
      <c r="AG416" s="109"/>
      <c r="AH416" s="109"/>
      <c r="AI416" s="109"/>
      <c r="AJ416" s="109"/>
      <c r="AK416" s="109"/>
      <c r="AL416" s="109"/>
      <c r="AM416" s="109"/>
      <c r="AN416" s="109"/>
      <c r="AO416" s="109"/>
      <c r="AP416" s="109"/>
      <c r="AQ416" s="94"/>
      <c r="AR416" s="94"/>
      <c r="AS416" s="94"/>
      <c r="AT416" s="149" t="s">
        <v>88</v>
      </c>
      <c r="AU416" s="94" t="s">
        <v>1832</v>
      </c>
    </row>
    <row r="417" spans="1:47" ht="21" customHeight="1" x14ac:dyDescent="0.35">
      <c r="A417" s="262"/>
      <c r="B417" s="98" t="s">
        <v>17</v>
      </c>
      <c r="C417" s="99" t="s">
        <v>907</v>
      </c>
      <c r="D417" s="105" t="s">
        <v>859</v>
      </c>
      <c r="E417" s="99">
        <v>45994</v>
      </c>
      <c r="F417" s="102">
        <f t="shared" si="15"/>
        <v>0</v>
      </c>
      <c r="G417" s="150">
        <f>SUMIF(积分汇总!$B:$B,C417,积分汇总!$E:$E)</f>
        <v>0</v>
      </c>
      <c r="H417" s="150">
        <f>SUMIF(记录巡查问题条数汇总!$B:$B,C417,记录巡查问题条数汇总!$E:$E)</f>
        <v>0</v>
      </c>
      <c r="I417" s="150"/>
      <c r="J417" s="150">
        <f>SUMIF(安全质量事故!$B:$B,C417,安全质量事故!$G:$G)</f>
        <v>0</v>
      </c>
      <c r="K417" s="141">
        <f>COUNTIF(L417:AP417,标准数据!$A$2)*标准数据!$B$2+COUNTIF(L417:AP417,标准数据!$A$3)*标准数据!$B$3+COUNTIF(L417:AP417,标准数据!$A$4)*标准数据!$B$4</f>
        <v>0</v>
      </c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109"/>
      <c r="Y417" s="109"/>
      <c r="Z417" s="109"/>
      <c r="AA417" s="109"/>
      <c r="AB417" s="109"/>
      <c r="AC417" s="109"/>
      <c r="AD417" s="109"/>
      <c r="AE417" s="109"/>
      <c r="AF417" s="109"/>
      <c r="AG417" s="109"/>
      <c r="AH417" s="109"/>
      <c r="AI417" s="109"/>
      <c r="AJ417" s="109"/>
      <c r="AK417" s="109"/>
      <c r="AL417" s="109"/>
      <c r="AM417" s="109"/>
      <c r="AN417" s="109"/>
      <c r="AO417" s="109"/>
      <c r="AP417" s="109"/>
      <c r="AQ417" s="94"/>
      <c r="AR417" s="94"/>
      <c r="AS417" s="94"/>
      <c r="AT417" s="149" t="s">
        <v>859</v>
      </c>
      <c r="AU417" s="94" t="s">
        <v>1832</v>
      </c>
    </row>
    <row r="418" spans="1:47" ht="21" customHeight="1" x14ac:dyDescent="0.35">
      <c r="A418" s="262"/>
      <c r="B418" s="98" t="s">
        <v>17</v>
      </c>
      <c r="C418" s="99" t="s">
        <v>1275</v>
      </c>
      <c r="D418" s="100" t="s">
        <v>1276</v>
      </c>
      <c r="E418" s="101">
        <v>46000</v>
      </c>
      <c r="F418" s="102">
        <f t="shared" si="15"/>
        <v>0</v>
      </c>
      <c r="G418" s="150">
        <f>SUMIF(积分汇总!$B:$B,C418,积分汇总!$E:$E)</f>
        <v>0</v>
      </c>
      <c r="H418" s="150">
        <f>SUMIF(记录巡查问题条数汇总!$B:$B,C418,记录巡查问题条数汇总!$E:$E)</f>
        <v>0</v>
      </c>
      <c r="I418" s="150"/>
      <c r="J418" s="150">
        <f>SUMIF(安全质量事故!$B:$B,C418,安全质量事故!$G:$G)</f>
        <v>0</v>
      </c>
      <c r="K418" s="141">
        <f>COUNTIF(L418:AP418,标准数据!$A$2)*标准数据!$B$2+COUNTIF(L418:AP418,标准数据!$A$3)*标准数据!$B$3+COUNTIF(L418:AP418,标准数据!$A$4)*标准数据!$B$4</f>
        <v>0</v>
      </c>
      <c r="L418" s="109"/>
      <c r="M418" s="109"/>
      <c r="N418" s="109"/>
      <c r="O418" s="109"/>
      <c r="P418" s="109"/>
      <c r="Q418" s="109"/>
      <c r="R418" s="109"/>
      <c r="S418" s="109"/>
      <c r="T418" s="109"/>
      <c r="U418" s="109"/>
      <c r="V418" s="109"/>
      <c r="W418" s="109"/>
      <c r="X418" s="109"/>
      <c r="Y418" s="109"/>
      <c r="Z418" s="109"/>
      <c r="AA418" s="109"/>
      <c r="AB418" s="109"/>
      <c r="AC418" s="109"/>
      <c r="AD418" s="109"/>
      <c r="AE418" s="109"/>
      <c r="AF418" s="109"/>
      <c r="AG418" s="109"/>
      <c r="AH418" s="109"/>
      <c r="AI418" s="109"/>
      <c r="AJ418" s="109"/>
      <c r="AK418" s="109"/>
      <c r="AL418" s="109"/>
      <c r="AM418" s="109"/>
      <c r="AN418" s="109"/>
      <c r="AO418" s="109"/>
      <c r="AP418" s="109"/>
      <c r="AQ418" s="61" t="s">
        <v>1328</v>
      </c>
      <c r="AR418" s="94"/>
      <c r="AS418" s="94"/>
      <c r="AT418" s="149" t="s">
        <v>1276</v>
      </c>
      <c r="AU418" s="94" t="s">
        <v>1832</v>
      </c>
    </row>
    <row r="419" spans="1:47" ht="21" customHeight="1" x14ac:dyDescent="0.35">
      <c r="A419" s="262"/>
      <c r="B419" s="98" t="s">
        <v>17</v>
      </c>
      <c r="C419" s="99" t="s">
        <v>1277</v>
      </c>
      <c r="D419" s="100" t="s">
        <v>1278</v>
      </c>
      <c r="E419" s="101">
        <v>46015</v>
      </c>
      <c r="F419" s="102">
        <f t="shared" si="15"/>
        <v>0</v>
      </c>
      <c r="G419" s="150">
        <f>SUMIF(积分汇总!$B:$B,C419,积分汇总!$E:$E)</f>
        <v>0</v>
      </c>
      <c r="H419" s="150">
        <f>SUMIF(记录巡查问题条数汇总!$B:$B,C419,记录巡查问题条数汇总!$E:$E)</f>
        <v>0</v>
      </c>
      <c r="I419" s="150"/>
      <c r="J419" s="150">
        <f>SUMIF(安全质量事故!$B:$B,C419,安全质量事故!$G:$G)</f>
        <v>0</v>
      </c>
      <c r="K419" s="141">
        <f>COUNTIF(L419:AP419,标准数据!$A$2)*标准数据!$B$2+COUNTIF(L419:AP419,标准数据!$A$3)*标准数据!$B$3+COUNTIF(L419:AP419,标准数据!$A$4)*标准数据!$B$4</f>
        <v>0</v>
      </c>
      <c r="L419" s="109"/>
      <c r="M419" s="109"/>
      <c r="N419" s="109"/>
      <c r="O419" s="109"/>
      <c r="P419" s="109"/>
      <c r="Q419" s="109"/>
      <c r="R419" s="109"/>
      <c r="S419" s="109"/>
      <c r="T419" s="109"/>
      <c r="U419" s="185"/>
      <c r="V419" s="185"/>
      <c r="W419" s="185"/>
      <c r="X419" s="185"/>
      <c r="Y419" s="185"/>
      <c r="Z419" s="185"/>
      <c r="AA419" s="185"/>
      <c r="AB419" s="185"/>
      <c r="AC419" s="185"/>
      <c r="AD419" s="185"/>
      <c r="AE419" s="185"/>
      <c r="AF419" s="185"/>
      <c r="AG419" s="185"/>
      <c r="AH419" s="185"/>
      <c r="AI419" s="185"/>
      <c r="AJ419" s="185"/>
      <c r="AK419" s="185"/>
      <c r="AL419" s="185"/>
      <c r="AM419" s="185"/>
      <c r="AN419" s="185"/>
      <c r="AO419" s="185"/>
      <c r="AP419" s="185"/>
      <c r="AQ419" s="61" t="s">
        <v>1329</v>
      </c>
      <c r="AR419" s="94"/>
      <c r="AS419" s="94"/>
      <c r="AT419" s="149" t="s">
        <v>1278</v>
      </c>
      <c r="AU419" s="94" t="s">
        <v>1832</v>
      </c>
    </row>
    <row r="420" spans="1:47" ht="21" customHeight="1" x14ac:dyDescent="0.35">
      <c r="A420" s="262"/>
      <c r="B420" s="98" t="s">
        <v>17</v>
      </c>
      <c r="C420" s="99" t="s">
        <v>1279</v>
      </c>
      <c r="D420" s="100" t="s">
        <v>1280</v>
      </c>
      <c r="E420" s="101">
        <v>46015</v>
      </c>
      <c r="F420" s="102">
        <f t="shared" si="15"/>
        <v>0</v>
      </c>
      <c r="G420" s="150">
        <f>SUMIF(积分汇总!$B:$B,C420,积分汇总!$E:$E)</f>
        <v>0</v>
      </c>
      <c r="H420" s="150">
        <f>SUMIF(记录巡查问题条数汇总!$B:$B,C420,记录巡查问题条数汇总!$E:$E)</f>
        <v>0</v>
      </c>
      <c r="I420" s="150"/>
      <c r="J420" s="150">
        <f>SUMIF(安全质量事故!$B:$B,C420,安全质量事故!$G:$G)</f>
        <v>0</v>
      </c>
      <c r="K420" s="141">
        <f>COUNTIF(L420:AP420,标准数据!$A$2)*标准数据!$B$2+COUNTIF(L420:AP420,标准数据!$A$3)*标准数据!$B$3+COUNTIF(L420:AP420,标准数据!$A$4)*标准数据!$B$4</f>
        <v>0</v>
      </c>
      <c r="L420" s="109"/>
      <c r="M420" s="109"/>
      <c r="N420" s="109"/>
      <c r="O420" s="109"/>
      <c r="P420" s="109"/>
      <c r="Q420" s="109"/>
      <c r="R420" s="109"/>
      <c r="S420" s="109"/>
      <c r="T420" s="109"/>
      <c r="U420" s="109"/>
      <c r="V420" s="109"/>
      <c r="W420" s="109"/>
      <c r="X420" s="109"/>
      <c r="Y420" s="109"/>
      <c r="Z420" s="109"/>
      <c r="AA420" s="109"/>
      <c r="AB420" s="109"/>
      <c r="AC420" s="109"/>
      <c r="AD420" s="109"/>
      <c r="AE420" s="109"/>
      <c r="AF420" s="109"/>
      <c r="AG420" s="109"/>
      <c r="AH420" s="109"/>
      <c r="AI420" s="109"/>
      <c r="AJ420" s="109"/>
      <c r="AK420" s="109"/>
      <c r="AL420" s="109"/>
      <c r="AM420" s="109"/>
      <c r="AN420" s="109"/>
      <c r="AO420" s="109"/>
      <c r="AP420" s="109"/>
      <c r="AQ420" s="61" t="s">
        <v>1329</v>
      </c>
      <c r="AR420" s="94"/>
      <c r="AS420" s="94"/>
      <c r="AT420" s="149" t="s">
        <v>1280</v>
      </c>
      <c r="AU420" s="94" t="s">
        <v>1832</v>
      </c>
    </row>
    <row r="421" spans="1:47" ht="21" customHeight="1" x14ac:dyDescent="0.35">
      <c r="A421" s="262"/>
      <c r="B421" s="98" t="s">
        <v>17</v>
      </c>
      <c r="C421" s="99" t="s">
        <v>1281</v>
      </c>
      <c r="D421" s="100" t="s">
        <v>1282</v>
      </c>
      <c r="E421" s="101">
        <v>46016</v>
      </c>
      <c r="F421" s="102">
        <f t="shared" si="15"/>
        <v>0</v>
      </c>
      <c r="G421" s="150">
        <f>SUMIF(积分汇总!$B:$B,C421,积分汇总!$E:$E)</f>
        <v>0</v>
      </c>
      <c r="H421" s="150">
        <f>SUMIF(记录巡查问题条数汇总!$B:$B,C421,记录巡查问题条数汇总!$E:$E)</f>
        <v>0</v>
      </c>
      <c r="I421" s="150"/>
      <c r="J421" s="150">
        <f>SUMIF(安全质量事故!$B:$B,C421,安全质量事故!$G:$G)</f>
        <v>0</v>
      </c>
      <c r="K421" s="141">
        <f>COUNTIF(L421:AP421,标准数据!$A$2)*标准数据!$B$2+COUNTIF(L421:AP421,标准数据!$A$3)*标准数据!$B$3+COUNTIF(L421:AP421,标准数据!$A$4)*标准数据!$B$4</f>
        <v>0</v>
      </c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109"/>
      <c r="Y421" s="109"/>
      <c r="Z421" s="109"/>
      <c r="AA421" s="109"/>
      <c r="AB421" s="109"/>
      <c r="AC421" s="109"/>
      <c r="AD421" s="109"/>
      <c r="AE421" s="109"/>
      <c r="AF421" s="109"/>
      <c r="AG421" s="109"/>
      <c r="AH421" s="109"/>
      <c r="AI421" s="109"/>
      <c r="AJ421" s="109"/>
      <c r="AK421" s="109"/>
      <c r="AL421" s="109"/>
      <c r="AM421" s="109"/>
      <c r="AN421" s="109"/>
      <c r="AO421" s="109"/>
      <c r="AP421" s="109"/>
      <c r="AQ421" s="61" t="s">
        <v>1328</v>
      </c>
      <c r="AT421" s="149" t="s">
        <v>1282</v>
      </c>
      <c r="AU421" s="94" t="s">
        <v>1832</v>
      </c>
    </row>
    <row r="422" spans="1:47" ht="21" customHeight="1" x14ac:dyDescent="0.35">
      <c r="A422" s="262"/>
      <c r="B422" s="98" t="s">
        <v>95</v>
      </c>
      <c r="C422" s="99" t="s">
        <v>1283</v>
      </c>
      <c r="D422" s="105" t="s">
        <v>1284</v>
      </c>
      <c r="E422" s="99">
        <v>46029</v>
      </c>
      <c r="F422" s="102">
        <f t="shared" si="15"/>
        <v>0</v>
      </c>
      <c r="G422" s="150">
        <f>SUMIF(积分汇总!$B:$B,C422,积分汇总!$E:$E)</f>
        <v>0</v>
      </c>
      <c r="H422" s="150">
        <f>SUMIF(记录巡查问题条数汇总!$B:$B,C422,记录巡查问题条数汇总!$E:$E)</f>
        <v>0</v>
      </c>
      <c r="I422" s="150"/>
      <c r="J422" s="150">
        <f>SUMIF(安全质量事故!$B:$B,C422,安全质量事故!$G:$G)</f>
        <v>0</v>
      </c>
      <c r="K422" s="141">
        <f>COUNTIF(L422:AP422,标准数据!$A$2)*标准数据!$B$2+COUNTIF(L422:AP422,标准数据!$A$3)*标准数据!$B$3+COUNTIF(L422:AP422,标准数据!$A$4)*标准数据!$B$4</f>
        <v>0</v>
      </c>
      <c r="L422" s="109"/>
      <c r="M422" s="109"/>
      <c r="N422" s="109"/>
      <c r="O422" s="109"/>
      <c r="P422" s="109"/>
      <c r="Q422" s="109"/>
      <c r="R422" s="109"/>
      <c r="S422" s="109"/>
      <c r="T422" s="109"/>
      <c r="U422" s="109"/>
      <c r="V422" s="109"/>
      <c r="W422" s="109"/>
      <c r="X422" s="109"/>
      <c r="Y422" s="109"/>
      <c r="Z422" s="109"/>
      <c r="AA422" s="109"/>
      <c r="AB422" s="109"/>
      <c r="AC422" s="109"/>
      <c r="AD422" s="109"/>
      <c r="AE422" s="109"/>
      <c r="AF422" s="109"/>
      <c r="AG422" s="109"/>
      <c r="AH422" s="109"/>
      <c r="AI422" s="109"/>
      <c r="AJ422" s="109"/>
      <c r="AK422" s="109"/>
      <c r="AL422" s="109"/>
      <c r="AM422" s="109"/>
      <c r="AN422" s="109"/>
      <c r="AO422" s="109"/>
      <c r="AP422" s="109"/>
      <c r="AQ422" s="61" t="s">
        <v>1329</v>
      </c>
      <c r="AR422" s="94"/>
      <c r="AS422" s="94"/>
      <c r="AT422" s="149" t="s">
        <v>1284</v>
      </c>
      <c r="AU422" s="94" t="s">
        <v>1832</v>
      </c>
    </row>
    <row r="423" spans="1:47" ht="21" customHeight="1" x14ac:dyDescent="0.35">
      <c r="A423" s="262"/>
      <c r="B423" s="98" t="s">
        <v>95</v>
      </c>
      <c r="C423" s="99" t="s">
        <v>1285</v>
      </c>
      <c r="D423" s="105" t="s">
        <v>1286</v>
      </c>
      <c r="E423" s="99">
        <v>46029</v>
      </c>
      <c r="F423" s="102">
        <f t="shared" si="15"/>
        <v>0</v>
      </c>
      <c r="G423" s="150">
        <f>SUMIF(积分汇总!$B:$B,C423,积分汇总!$E:$E)</f>
        <v>0</v>
      </c>
      <c r="H423" s="150">
        <f>SUMIF(记录巡查问题条数汇总!$B:$B,C423,记录巡查问题条数汇总!$E:$E)</f>
        <v>0</v>
      </c>
      <c r="I423" s="150"/>
      <c r="J423" s="150">
        <f>SUMIF(安全质量事故!$B:$B,C423,安全质量事故!$G:$G)</f>
        <v>0</v>
      </c>
      <c r="K423" s="141">
        <f>COUNTIF(L423:AP423,标准数据!$A$2)*标准数据!$B$2+COUNTIF(L423:AP423,标准数据!$A$3)*标准数据!$B$3+COUNTIF(L423:AP423,标准数据!$A$4)*标准数据!$B$4</f>
        <v>0</v>
      </c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109"/>
      <c r="Y423" s="109"/>
      <c r="Z423" s="109"/>
      <c r="AA423" s="109"/>
      <c r="AB423" s="109"/>
      <c r="AC423" s="109"/>
      <c r="AD423" s="109"/>
      <c r="AE423" s="109"/>
      <c r="AF423" s="109"/>
      <c r="AG423" s="109"/>
      <c r="AH423" s="109"/>
      <c r="AI423" s="109"/>
      <c r="AJ423" s="109"/>
      <c r="AK423" s="109"/>
      <c r="AL423" s="109"/>
      <c r="AM423" s="109"/>
      <c r="AN423" s="109"/>
      <c r="AO423" s="109"/>
      <c r="AP423" s="109"/>
      <c r="AQ423" s="61" t="s">
        <v>1329</v>
      </c>
      <c r="AR423" s="94"/>
      <c r="AS423" s="94"/>
      <c r="AT423" s="149" t="s">
        <v>1286</v>
      </c>
      <c r="AU423" s="94" t="s">
        <v>1832</v>
      </c>
    </row>
    <row r="424" spans="1:47" ht="21" customHeight="1" x14ac:dyDescent="0.35">
      <c r="A424" s="262"/>
      <c r="B424" s="98" t="s">
        <v>17</v>
      </c>
      <c r="C424" s="99" t="s">
        <v>1287</v>
      </c>
      <c r="D424" s="105" t="s">
        <v>1288</v>
      </c>
      <c r="E424" s="101">
        <v>46029</v>
      </c>
      <c r="F424" s="102">
        <f t="shared" si="15"/>
        <v>0</v>
      </c>
      <c r="G424" s="150">
        <f>SUMIF(积分汇总!$B:$B,C424,积分汇总!$E:$E)</f>
        <v>0</v>
      </c>
      <c r="H424" s="150">
        <f>SUMIF(记录巡查问题条数汇总!$B:$B,C424,记录巡查问题条数汇总!$E:$E)</f>
        <v>0</v>
      </c>
      <c r="I424" s="150"/>
      <c r="J424" s="150">
        <f>SUMIF(安全质量事故!$B:$B,C424,安全质量事故!$G:$G)</f>
        <v>0</v>
      </c>
      <c r="K424" s="141">
        <f>COUNTIF(L424:AP424,标准数据!$A$2)*标准数据!$B$2+COUNTIF(L424:AP424,标准数据!$A$3)*标准数据!$B$3+COUNTIF(L424:AP424,标准数据!$A$4)*标准数据!$B$4</f>
        <v>0</v>
      </c>
      <c r="L424" s="109"/>
      <c r="M424" s="109"/>
      <c r="N424" s="109"/>
      <c r="O424" s="109"/>
      <c r="P424" s="109"/>
      <c r="Q424" s="109"/>
      <c r="R424" s="109"/>
      <c r="S424" s="109"/>
      <c r="T424" s="109"/>
      <c r="U424" s="185"/>
      <c r="V424" s="185"/>
      <c r="W424" s="185"/>
      <c r="X424" s="185"/>
      <c r="Y424" s="185"/>
      <c r="Z424" s="185"/>
      <c r="AA424" s="185"/>
      <c r="AB424" s="185"/>
      <c r="AC424" s="185"/>
      <c r="AD424" s="185"/>
      <c r="AE424" s="185"/>
      <c r="AF424" s="185"/>
      <c r="AG424" s="185"/>
      <c r="AH424" s="185"/>
      <c r="AI424" s="185"/>
      <c r="AJ424" s="185"/>
      <c r="AK424" s="185"/>
      <c r="AL424" s="185"/>
      <c r="AM424" s="185"/>
      <c r="AN424" s="185"/>
      <c r="AO424" s="185"/>
      <c r="AP424" s="185"/>
      <c r="AQ424" s="61" t="s">
        <v>1329</v>
      </c>
      <c r="AT424" s="149" t="s">
        <v>1288</v>
      </c>
      <c r="AU424" s="94" t="s">
        <v>1832</v>
      </c>
    </row>
    <row r="425" spans="1:47" ht="21" customHeight="1" x14ac:dyDescent="0.35">
      <c r="A425" s="262"/>
      <c r="B425" s="98" t="s">
        <v>17</v>
      </c>
      <c r="C425" s="99" t="s">
        <v>1289</v>
      </c>
      <c r="D425" s="100" t="s">
        <v>1290</v>
      </c>
      <c r="E425" s="101">
        <v>46113</v>
      </c>
      <c r="F425" s="102">
        <f t="shared" si="15"/>
        <v>0</v>
      </c>
      <c r="G425" s="150">
        <f>SUMIF(积分汇总!$B:$B,C425,积分汇总!$E:$E)</f>
        <v>0</v>
      </c>
      <c r="H425" s="150">
        <f>SUMIF(记录巡查问题条数汇总!$B:$B,C425,记录巡查问题条数汇总!$E:$E)</f>
        <v>0</v>
      </c>
      <c r="I425" s="150"/>
      <c r="J425" s="150">
        <f>SUMIF(安全质量事故!$B:$B,C425,安全质量事故!$G:$G)</f>
        <v>0</v>
      </c>
      <c r="K425" s="141">
        <f>COUNTIF(L425:AP425,标准数据!$A$2)*标准数据!$B$2+COUNTIF(L425:AP425,标准数据!$A$3)*标准数据!$B$3+COUNTIF(L425:AP425,标准数据!$A$4)*标准数据!$B$4</f>
        <v>0</v>
      </c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109"/>
      <c r="Y425" s="109"/>
      <c r="Z425" s="109"/>
      <c r="AA425" s="109"/>
      <c r="AB425" s="109"/>
      <c r="AC425" s="109"/>
      <c r="AD425" s="109"/>
      <c r="AE425" s="109"/>
      <c r="AF425" s="109"/>
      <c r="AG425" s="109"/>
      <c r="AH425" s="109"/>
      <c r="AI425" s="109"/>
      <c r="AJ425" s="109"/>
      <c r="AK425" s="109"/>
      <c r="AL425" s="109"/>
      <c r="AM425" s="109"/>
      <c r="AN425" s="109"/>
      <c r="AO425" s="109"/>
      <c r="AP425" s="109"/>
      <c r="AQ425" s="94"/>
      <c r="AR425" s="94"/>
      <c r="AS425" s="94"/>
      <c r="AT425" s="149" t="s">
        <v>1290</v>
      </c>
      <c r="AU425" s="94" t="s">
        <v>1832</v>
      </c>
    </row>
    <row r="426" spans="1:47" ht="21" customHeight="1" x14ac:dyDescent="0.35">
      <c r="A426" s="262"/>
      <c r="B426" s="98" t="s">
        <v>17</v>
      </c>
      <c r="C426" s="99" t="s">
        <v>1291</v>
      </c>
      <c r="D426" s="100" t="s">
        <v>1292</v>
      </c>
      <c r="E426" s="101">
        <v>46113</v>
      </c>
      <c r="F426" s="102">
        <f t="shared" si="15"/>
        <v>0</v>
      </c>
      <c r="G426" s="150">
        <f>SUMIF(积分汇总!$B:$B,C426,积分汇总!$E:$E)</f>
        <v>0</v>
      </c>
      <c r="H426" s="150">
        <f>SUMIF(记录巡查问题条数汇总!$B:$B,C426,记录巡查问题条数汇总!$E:$E)</f>
        <v>0</v>
      </c>
      <c r="I426" s="150"/>
      <c r="J426" s="150">
        <f>SUMIF(安全质量事故!$B:$B,C426,安全质量事故!$G:$G)</f>
        <v>0</v>
      </c>
      <c r="K426" s="141">
        <f>COUNTIF(L426:AP426,标准数据!$A$2)*标准数据!$B$2+COUNTIF(L426:AP426,标准数据!$A$3)*标准数据!$B$3+COUNTIF(L426:AP426,标准数据!$A$4)*标准数据!$B$4</f>
        <v>0</v>
      </c>
      <c r="L426" s="185"/>
      <c r="M426" s="185"/>
      <c r="N426" s="185"/>
      <c r="O426" s="185"/>
      <c r="P426" s="185"/>
      <c r="Q426" s="185"/>
      <c r="R426" s="185"/>
      <c r="S426" s="185"/>
      <c r="T426" s="185"/>
      <c r="U426" s="185"/>
      <c r="V426" s="185"/>
      <c r="W426" s="185"/>
      <c r="X426" s="185"/>
      <c r="Y426" s="185"/>
      <c r="Z426" s="185"/>
      <c r="AA426" s="185"/>
      <c r="AB426" s="185"/>
      <c r="AC426" s="185"/>
      <c r="AD426" s="185"/>
      <c r="AE426" s="185"/>
      <c r="AF426" s="185"/>
      <c r="AG426" s="185"/>
      <c r="AH426" s="185"/>
      <c r="AI426" s="185"/>
      <c r="AJ426" s="185"/>
      <c r="AK426" s="185"/>
      <c r="AL426" s="185"/>
      <c r="AM426" s="185"/>
      <c r="AN426" s="185"/>
      <c r="AO426" s="185"/>
      <c r="AP426" s="185"/>
      <c r="AQ426" s="94"/>
      <c r="AR426" s="94"/>
      <c r="AS426" s="94"/>
      <c r="AT426" s="149" t="s">
        <v>1292</v>
      </c>
      <c r="AU426" s="94" t="s">
        <v>1832</v>
      </c>
    </row>
    <row r="427" spans="1:47" ht="21" customHeight="1" x14ac:dyDescent="0.35">
      <c r="A427" s="262"/>
      <c r="B427" s="98" t="s">
        <v>95</v>
      </c>
      <c r="C427" s="99" t="s">
        <v>1293</v>
      </c>
      <c r="D427" s="105" t="s">
        <v>1294</v>
      </c>
      <c r="E427" s="99">
        <v>46113</v>
      </c>
      <c r="F427" s="102">
        <f t="shared" si="15"/>
        <v>0</v>
      </c>
      <c r="G427" s="150">
        <f>SUMIF(积分汇总!$B:$B,C427,积分汇总!$E:$E)</f>
        <v>0</v>
      </c>
      <c r="H427" s="150">
        <f>SUMIF(记录巡查问题条数汇总!$B:$B,C427,记录巡查问题条数汇总!$E:$E)</f>
        <v>0</v>
      </c>
      <c r="I427" s="150"/>
      <c r="J427" s="150">
        <f>SUMIF(安全质量事故!$B:$B,C427,安全质量事故!$G:$G)</f>
        <v>0</v>
      </c>
      <c r="K427" s="141">
        <f>COUNTIF(L427:AP427,标准数据!$A$2)*标准数据!$B$2+COUNTIF(L427:AP427,标准数据!$A$3)*标准数据!$B$3+COUNTIF(L427:AP427,标准数据!$A$4)*标准数据!$B$4</f>
        <v>0</v>
      </c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109"/>
      <c r="Y427" s="109"/>
      <c r="Z427" s="109"/>
      <c r="AA427" s="109"/>
      <c r="AB427" s="109"/>
      <c r="AC427" s="109"/>
      <c r="AD427" s="109"/>
      <c r="AE427" s="109"/>
      <c r="AF427" s="109"/>
      <c r="AG427" s="109"/>
      <c r="AH427" s="109"/>
      <c r="AI427" s="109"/>
      <c r="AJ427" s="109"/>
      <c r="AK427" s="109"/>
      <c r="AL427" s="109"/>
      <c r="AM427" s="109"/>
      <c r="AN427" s="109"/>
      <c r="AO427" s="109"/>
      <c r="AP427" s="109"/>
      <c r="AQ427" s="94"/>
      <c r="AR427" s="94"/>
      <c r="AS427" s="94"/>
      <c r="AT427" s="149" t="s">
        <v>1294</v>
      </c>
      <c r="AU427" s="94" t="s">
        <v>1832</v>
      </c>
    </row>
    <row r="428" spans="1:47" ht="21" customHeight="1" x14ac:dyDescent="0.35">
      <c r="A428" s="262"/>
      <c r="B428" s="98" t="s">
        <v>17</v>
      </c>
      <c r="C428" s="99" t="s">
        <v>1295</v>
      </c>
      <c r="D428" s="100" t="s">
        <v>1296</v>
      </c>
      <c r="E428" s="101">
        <v>46113</v>
      </c>
      <c r="F428" s="102">
        <f t="shared" si="15"/>
        <v>0</v>
      </c>
      <c r="G428" s="150">
        <f>SUMIF(积分汇总!$B:$B,C428,积分汇总!$E:$E)</f>
        <v>0</v>
      </c>
      <c r="H428" s="150">
        <f>SUMIF(记录巡查问题条数汇总!$B:$B,C428,记录巡查问题条数汇总!$E:$E)</f>
        <v>0</v>
      </c>
      <c r="I428" s="150"/>
      <c r="J428" s="150">
        <f>SUMIF(安全质量事故!$B:$B,C428,安全质量事故!$G:$G)</f>
        <v>0</v>
      </c>
      <c r="K428" s="141">
        <f>COUNTIF(L428:AP428,标准数据!$A$2)*标准数据!$B$2+COUNTIF(L428:AP428,标准数据!$A$3)*标准数据!$B$3+COUNTIF(L428:AP428,标准数据!$A$4)*标准数据!$B$4</f>
        <v>0</v>
      </c>
      <c r="L428" s="109"/>
      <c r="M428" s="109"/>
      <c r="N428" s="109"/>
      <c r="O428" s="109"/>
      <c r="P428" s="109"/>
      <c r="Q428" s="109"/>
      <c r="R428" s="109"/>
      <c r="S428" s="109"/>
      <c r="T428" s="109"/>
      <c r="U428" s="109"/>
      <c r="V428" s="109"/>
      <c r="W428" s="109"/>
      <c r="X428" s="109"/>
      <c r="Y428" s="109"/>
      <c r="Z428" s="109"/>
      <c r="AA428" s="109"/>
      <c r="AB428" s="109"/>
      <c r="AC428" s="109"/>
      <c r="AD428" s="109"/>
      <c r="AE428" s="109"/>
      <c r="AF428" s="109"/>
      <c r="AG428" s="109"/>
      <c r="AH428" s="109"/>
      <c r="AI428" s="109"/>
      <c r="AJ428" s="109"/>
      <c r="AK428" s="109"/>
      <c r="AL428" s="109"/>
      <c r="AM428" s="109"/>
      <c r="AN428" s="109"/>
      <c r="AO428" s="109"/>
      <c r="AP428" s="109"/>
      <c r="AQ428" s="94"/>
      <c r="AR428" s="94"/>
      <c r="AS428" s="94"/>
      <c r="AT428" s="149" t="s">
        <v>1296</v>
      </c>
      <c r="AU428" s="94" t="s">
        <v>1832</v>
      </c>
    </row>
    <row r="429" spans="1:47" ht="21" customHeight="1" x14ac:dyDescent="0.35">
      <c r="A429" s="262"/>
      <c r="B429" s="98" t="s">
        <v>95</v>
      </c>
      <c r="C429" s="99" t="s">
        <v>1297</v>
      </c>
      <c r="D429" s="105" t="s">
        <v>1298</v>
      </c>
      <c r="E429" s="99">
        <v>46113</v>
      </c>
      <c r="F429" s="102">
        <f t="shared" si="15"/>
        <v>0</v>
      </c>
      <c r="G429" s="150">
        <f>SUMIF(积分汇总!$B:$B,C429,积分汇总!$E:$E)</f>
        <v>0</v>
      </c>
      <c r="H429" s="150">
        <f>SUMIF(记录巡查问题条数汇总!$B:$B,C429,记录巡查问题条数汇总!$E:$E)</f>
        <v>0</v>
      </c>
      <c r="I429" s="150"/>
      <c r="J429" s="150">
        <f>SUMIF(安全质量事故!$B:$B,C429,安全质量事故!$G:$G)</f>
        <v>0</v>
      </c>
      <c r="K429" s="141">
        <f>COUNTIF(L429:AP429,标准数据!$A$2)*标准数据!$B$2+COUNTIF(L429:AP429,标准数据!$A$3)*标准数据!$B$3+COUNTIF(L429:AP429,标准数据!$A$4)*标准数据!$B$4</f>
        <v>0</v>
      </c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109"/>
      <c r="Y429" s="109"/>
      <c r="Z429" s="109"/>
      <c r="AA429" s="109"/>
      <c r="AB429" s="109"/>
      <c r="AC429" s="109"/>
      <c r="AD429" s="109"/>
      <c r="AE429" s="109"/>
      <c r="AF429" s="109"/>
      <c r="AG429" s="109"/>
      <c r="AH429" s="109"/>
      <c r="AI429" s="109"/>
      <c r="AJ429" s="109"/>
      <c r="AK429" s="109"/>
      <c r="AL429" s="109"/>
      <c r="AM429" s="109"/>
      <c r="AN429" s="109"/>
      <c r="AO429" s="109"/>
      <c r="AP429" s="109"/>
      <c r="AQ429" s="94"/>
      <c r="AR429" s="94"/>
      <c r="AS429" s="94"/>
      <c r="AT429" s="149" t="s">
        <v>1298</v>
      </c>
      <c r="AU429" s="94" t="s">
        <v>1832</v>
      </c>
    </row>
    <row r="430" spans="1:47" ht="21" customHeight="1" x14ac:dyDescent="0.35">
      <c r="A430" s="262"/>
      <c r="B430" s="98" t="s">
        <v>95</v>
      </c>
      <c r="C430" s="99" t="s">
        <v>1299</v>
      </c>
      <c r="D430" s="105" t="s">
        <v>1300</v>
      </c>
      <c r="E430" s="99">
        <v>46120</v>
      </c>
      <c r="F430" s="102">
        <f t="shared" si="15"/>
        <v>0</v>
      </c>
      <c r="G430" s="150">
        <f>SUMIF(积分汇总!$B:$B,C430,积分汇总!$E:$E)</f>
        <v>0</v>
      </c>
      <c r="H430" s="150">
        <f>SUMIF(记录巡查问题条数汇总!$B:$B,C430,记录巡查问题条数汇总!$E:$E)</f>
        <v>0</v>
      </c>
      <c r="I430" s="150"/>
      <c r="J430" s="150">
        <f>SUMIF(安全质量事故!$B:$B,C430,安全质量事故!$G:$G)</f>
        <v>0</v>
      </c>
      <c r="K430" s="141">
        <f>COUNTIF(L430:AP430,标准数据!$A$2)*标准数据!$B$2+COUNTIF(L430:AP430,标准数据!$A$3)*标准数据!$B$3+COUNTIF(L430:AP430,标准数据!$A$4)*标准数据!$B$4</f>
        <v>0</v>
      </c>
      <c r="L430" s="109"/>
      <c r="M430" s="109"/>
      <c r="N430" s="109"/>
      <c r="O430" s="109"/>
      <c r="P430" s="109"/>
      <c r="Q430" s="109"/>
      <c r="R430" s="109"/>
      <c r="S430" s="109"/>
      <c r="T430" s="109"/>
      <c r="U430" s="109"/>
      <c r="V430" s="109"/>
      <c r="W430" s="109"/>
      <c r="X430" s="109"/>
      <c r="Y430" s="109"/>
      <c r="Z430" s="109"/>
      <c r="AA430" s="109"/>
      <c r="AB430" s="109"/>
      <c r="AC430" s="109"/>
      <c r="AD430" s="109"/>
      <c r="AE430" s="109"/>
      <c r="AF430" s="109"/>
      <c r="AG430" s="109"/>
      <c r="AH430" s="109"/>
      <c r="AI430" s="109"/>
      <c r="AJ430" s="109"/>
      <c r="AK430" s="109"/>
      <c r="AL430" s="109"/>
      <c r="AM430" s="109"/>
      <c r="AN430" s="109"/>
      <c r="AO430" s="109"/>
      <c r="AP430" s="109"/>
      <c r="AQ430" s="94"/>
      <c r="AR430" s="94"/>
      <c r="AS430" s="94"/>
      <c r="AT430" s="149" t="s">
        <v>1300</v>
      </c>
      <c r="AU430" s="94" t="s">
        <v>1832</v>
      </c>
    </row>
    <row r="431" spans="1:47" ht="21" customHeight="1" x14ac:dyDescent="0.35">
      <c r="A431" s="262"/>
      <c r="B431" s="98" t="s">
        <v>17</v>
      </c>
      <c r="C431" s="99" t="s">
        <v>1301</v>
      </c>
      <c r="D431" s="105" t="s">
        <v>1302</v>
      </c>
      <c r="E431" s="101">
        <v>46127</v>
      </c>
      <c r="F431" s="102">
        <f t="shared" si="15"/>
        <v>0</v>
      </c>
      <c r="G431" s="150">
        <f>SUMIF(积分汇总!$B:$B,C431,积分汇总!$E:$E)</f>
        <v>0</v>
      </c>
      <c r="H431" s="150">
        <f>SUMIF(记录巡查问题条数汇总!$B:$B,C431,记录巡查问题条数汇总!$E:$E)</f>
        <v>0</v>
      </c>
      <c r="I431" s="150"/>
      <c r="J431" s="150">
        <f>SUMIF(安全质量事故!$B:$B,C431,安全质量事故!$G:$G)</f>
        <v>0</v>
      </c>
      <c r="K431" s="141">
        <f>COUNTIF(L431:AP431,标准数据!$A$2)*标准数据!$B$2+COUNTIF(L431:AP431,标准数据!$A$3)*标准数据!$B$3+COUNTIF(L431:AP431,标准数据!$A$4)*标准数据!$B$4</f>
        <v>0</v>
      </c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109"/>
      <c r="Y431" s="109"/>
      <c r="Z431" s="185"/>
      <c r="AA431" s="185"/>
      <c r="AB431" s="185"/>
      <c r="AC431" s="185"/>
      <c r="AD431" s="185"/>
      <c r="AE431" s="185"/>
      <c r="AF431" s="185"/>
      <c r="AG431" s="185"/>
      <c r="AH431" s="185"/>
      <c r="AI431" s="185"/>
      <c r="AJ431" s="185"/>
      <c r="AK431" s="185"/>
      <c r="AL431" s="185"/>
      <c r="AM431" s="185"/>
      <c r="AN431" s="185"/>
      <c r="AO431" s="185"/>
      <c r="AP431" s="185"/>
      <c r="AT431" s="149" t="s">
        <v>1302</v>
      </c>
      <c r="AU431" s="94" t="s">
        <v>1833</v>
      </c>
    </row>
    <row r="432" spans="1:47" ht="21" customHeight="1" x14ac:dyDescent="0.35">
      <c r="A432" s="262"/>
      <c r="B432" s="98" t="s">
        <v>17</v>
      </c>
      <c r="C432" s="99" t="s">
        <v>1303</v>
      </c>
      <c r="D432" s="100" t="s">
        <v>1304</v>
      </c>
      <c r="E432" s="101">
        <v>46127</v>
      </c>
      <c r="F432" s="102">
        <f t="shared" si="15"/>
        <v>0</v>
      </c>
      <c r="G432" s="150">
        <f>SUMIF(积分汇总!$B:$B,C432,积分汇总!$E:$E)</f>
        <v>0</v>
      </c>
      <c r="H432" s="150">
        <f>SUMIF(记录巡查问题条数汇总!$B:$B,C432,记录巡查问题条数汇总!$E:$E)</f>
        <v>0</v>
      </c>
      <c r="I432" s="150"/>
      <c r="J432" s="150">
        <f>SUMIF(安全质量事故!$B:$B,C432,安全质量事故!$G:$G)</f>
        <v>0</v>
      </c>
      <c r="K432" s="141">
        <f>COUNTIF(L432:AP432,标准数据!$A$2)*标准数据!$B$2+COUNTIF(L432:AP432,标准数据!$A$3)*标准数据!$B$3+COUNTIF(L432:AP432,标准数据!$A$4)*标准数据!$B$4</f>
        <v>0</v>
      </c>
      <c r="L432" s="109"/>
      <c r="M432" s="109"/>
      <c r="N432" s="109"/>
      <c r="O432" s="109"/>
      <c r="P432" s="109"/>
      <c r="Q432" s="109"/>
      <c r="R432" s="109"/>
      <c r="S432" s="109"/>
      <c r="T432" s="109"/>
      <c r="U432" s="109"/>
      <c r="V432" s="109"/>
      <c r="W432" s="109"/>
      <c r="X432" s="109"/>
      <c r="Y432" s="109"/>
      <c r="Z432" s="185"/>
      <c r="AA432" s="185"/>
      <c r="AB432" s="185"/>
      <c r="AC432" s="185"/>
      <c r="AD432" s="185"/>
      <c r="AE432" s="185"/>
      <c r="AF432" s="185"/>
      <c r="AG432" s="185"/>
      <c r="AH432" s="185"/>
      <c r="AI432" s="185"/>
      <c r="AJ432" s="185"/>
      <c r="AK432" s="185"/>
      <c r="AL432" s="185"/>
      <c r="AM432" s="185"/>
      <c r="AN432" s="185"/>
      <c r="AO432" s="185"/>
      <c r="AP432" s="185"/>
      <c r="AQ432" s="94"/>
      <c r="AR432" s="94"/>
      <c r="AS432" s="94"/>
      <c r="AT432" s="149" t="s">
        <v>1304</v>
      </c>
      <c r="AU432" s="94" t="s">
        <v>1835</v>
      </c>
    </row>
    <row r="433" spans="1:47" ht="21" customHeight="1" x14ac:dyDescent="0.35">
      <c r="A433" s="262"/>
      <c r="B433" s="98" t="s">
        <v>17</v>
      </c>
      <c r="C433" s="99" t="s">
        <v>1305</v>
      </c>
      <c r="D433" s="105" t="s">
        <v>1306</v>
      </c>
      <c r="E433" s="101">
        <v>46127</v>
      </c>
      <c r="F433" s="102">
        <f t="shared" si="15"/>
        <v>0</v>
      </c>
      <c r="G433" s="150">
        <f>SUMIF(积分汇总!$B:$B,C433,积分汇总!$E:$E)</f>
        <v>0</v>
      </c>
      <c r="H433" s="150">
        <f>SUMIF(记录巡查问题条数汇总!$B:$B,C433,记录巡查问题条数汇总!$E:$E)</f>
        <v>0</v>
      </c>
      <c r="I433" s="150"/>
      <c r="J433" s="150">
        <f>SUMIF(安全质量事故!$B:$B,C433,安全质量事故!$G:$G)</f>
        <v>0</v>
      </c>
      <c r="K433" s="141">
        <f>COUNTIF(L433:AP433,标准数据!$A$2)*标准数据!$B$2+COUNTIF(L433:AP433,标准数据!$A$3)*标准数据!$B$3+COUNTIF(L433:AP433,标准数据!$A$4)*标准数据!$B$4</f>
        <v>0</v>
      </c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109"/>
      <c r="Y433" s="109"/>
      <c r="Z433" s="185"/>
      <c r="AA433" s="185"/>
      <c r="AB433" s="185"/>
      <c r="AC433" s="185"/>
      <c r="AD433" s="185"/>
      <c r="AE433" s="185"/>
      <c r="AF433" s="185"/>
      <c r="AG433" s="185"/>
      <c r="AH433" s="185"/>
      <c r="AI433" s="185"/>
      <c r="AJ433" s="185"/>
      <c r="AK433" s="185"/>
      <c r="AL433" s="185"/>
      <c r="AM433" s="185"/>
      <c r="AN433" s="185"/>
      <c r="AO433" s="185"/>
      <c r="AP433" s="185"/>
      <c r="AT433" s="149" t="s">
        <v>1306</v>
      </c>
      <c r="AU433" s="94" t="s">
        <v>1832</v>
      </c>
    </row>
    <row r="434" spans="1:47" ht="21" customHeight="1" x14ac:dyDescent="0.35">
      <c r="A434" s="262"/>
      <c r="B434" s="98" t="s">
        <v>17</v>
      </c>
      <c r="C434" s="99" t="s">
        <v>1307</v>
      </c>
      <c r="D434" s="100" t="s">
        <v>1308</v>
      </c>
      <c r="E434" s="101">
        <v>46127</v>
      </c>
      <c r="F434" s="102">
        <f t="shared" si="15"/>
        <v>0</v>
      </c>
      <c r="G434" s="150">
        <f>SUMIF(积分汇总!$B:$B,C434,积分汇总!$E:$E)</f>
        <v>0</v>
      </c>
      <c r="H434" s="150">
        <f>SUMIF(记录巡查问题条数汇总!$B:$B,C434,记录巡查问题条数汇总!$E:$E)</f>
        <v>0</v>
      </c>
      <c r="I434" s="150"/>
      <c r="J434" s="150">
        <f>SUMIF(安全质量事故!$B:$B,C434,安全质量事故!$G:$G)</f>
        <v>0</v>
      </c>
      <c r="K434" s="141">
        <f>COUNTIF(L434:AP434,标准数据!$A$2)*标准数据!$B$2+COUNTIF(L434:AP434,标准数据!$A$3)*标准数据!$B$3+COUNTIF(L434:AP434,标准数据!$A$4)*标准数据!$B$4</f>
        <v>0</v>
      </c>
      <c r="L434" s="109"/>
      <c r="M434" s="109"/>
      <c r="N434" s="109"/>
      <c r="O434" s="109"/>
      <c r="P434" s="109"/>
      <c r="Q434" s="109"/>
      <c r="R434" s="109"/>
      <c r="S434" s="109"/>
      <c r="T434" s="109"/>
      <c r="U434" s="109"/>
      <c r="V434" s="109"/>
      <c r="W434" s="109"/>
      <c r="X434" s="109"/>
      <c r="Y434" s="109"/>
      <c r="Z434" s="109"/>
      <c r="AA434" s="109"/>
      <c r="AB434" s="109"/>
      <c r="AC434" s="109"/>
      <c r="AD434" s="109"/>
      <c r="AE434" s="109"/>
      <c r="AF434" s="109"/>
      <c r="AG434" s="109"/>
      <c r="AH434" s="109"/>
      <c r="AI434" s="109"/>
      <c r="AJ434" s="109"/>
      <c r="AK434" s="109"/>
      <c r="AL434" s="109"/>
      <c r="AM434" s="109"/>
      <c r="AN434" s="109"/>
      <c r="AO434" s="109"/>
      <c r="AP434" s="109"/>
      <c r="AT434" s="149" t="s">
        <v>1308</v>
      </c>
      <c r="AU434" s="94" t="s">
        <v>1832</v>
      </c>
    </row>
    <row r="435" spans="1:47" ht="21" customHeight="1" x14ac:dyDescent="0.35">
      <c r="A435" s="262"/>
      <c r="B435" s="98" t="s">
        <v>17</v>
      </c>
      <c r="C435" s="99" t="s">
        <v>1309</v>
      </c>
      <c r="D435" s="100" t="s">
        <v>1310</v>
      </c>
      <c r="E435" s="101">
        <v>46127</v>
      </c>
      <c r="F435" s="102">
        <f t="shared" si="15"/>
        <v>0</v>
      </c>
      <c r="G435" s="150">
        <f>SUMIF(积分汇总!$B:$B,C435,积分汇总!$E:$E)</f>
        <v>0</v>
      </c>
      <c r="H435" s="150">
        <f>SUMIF(记录巡查问题条数汇总!$B:$B,C435,记录巡查问题条数汇总!$E:$E)</f>
        <v>0</v>
      </c>
      <c r="I435" s="150"/>
      <c r="J435" s="150">
        <f>SUMIF(安全质量事故!$B:$B,C435,安全质量事故!$G:$G)</f>
        <v>0</v>
      </c>
      <c r="K435" s="141">
        <f>COUNTIF(L435:AP435,标准数据!$A$2)*标准数据!$B$2+COUNTIF(L435:AP435,标准数据!$A$3)*标准数据!$B$3+COUNTIF(L435:AP435,标准数据!$A$4)*标准数据!$B$4</f>
        <v>0</v>
      </c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109"/>
      <c r="Y435" s="109"/>
      <c r="Z435" s="185"/>
      <c r="AA435" s="185"/>
      <c r="AB435" s="185"/>
      <c r="AC435" s="185"/>
      <c r="AD435" s="185"/>
      <c r="AE435" s="185"/>
      <c r="AF435" s="185"/>
      <c r="AG435" s="185"/>
      <c r="AH435" s="185"/>
      <c r="AI435" s="185"/>
      <c r="AJ435" s="185"/>
      <c r="AK435" s="185"/>
      <c r="AL435" s="185"/>
      <c r="AM435" s="185"/>
      <c r="AN435" s="185"/>
      <c r="AO435" s="185"/>
      <c r="AP435" s="185"/>
      <c r="AQ435" s="94"/>
      <c r="AR435" s="94"/>
      <c r="AS435" s="94"/>
      <c r="AT435" s="149" t="s">
        <v>1310</v>
      </c>
      <c r="AU435" s="94" t="s">
        <v>1832</v>
      </c>
    </row>
    <row r="436" spans="1:47" ht="21" customHeight="1" x14ac:dyDescent="0.35">
      <c r="A436" s="262"/>
      <c r="B436" s="98" t="s">
        <v>17</v>
      </c>
      <c r="C436" s="99" t="s">
        <v>1311</v>
      </c>
      <c r="D436" s="100" t="s">
        <v>1312</v>
      </c>
      <c r="E436" s="101">
        <v>46127</v>
      </c>
      <c r="F436" s="102">
        <f t="shared" si="15"/>
        <v>0</v>
      </c>
      <c r="G436" s="150">
        <f>SUMIF(积分汇总!$B:$B,C436,积分汇总!$E:$E)</f>
        <v>0</v>
      </c>
      <c r="H436" s="150">
        <f>SUMIF(记录巡查问题条数汇总!$B:$B,C436,记录巡查问题条数汇总!$E:$E)</f>
        <v>0</v>
      </c>
      <c r="I436" s="150"/>
      <c r="J436" s="150">
        <f>SUMIF(安全质量事故!$B:$B,C436,安全质量事故!$G:$G)</f>
        <v>0</v>
      </c>
      <c r="K436" s="141">
        <f>COUNTIF(L436:AP436,标准数据!$A$2)*标准数据!$B$2+COUNTIF(L436:AP436,标准数据!$A$3)*标准数据!$B$3+COUNTIF(L436:AP436,标准数据!$A$4)*标准数据!$B$4</f>
        <v>0</v>
      </c>
      <c r="L436" s="109"/>
      <c r="M436" s="109"/>
      <c r="N436" s="109"/>
      <c r="O436" s="109"/>
      <c r="P436" s="109"/>
      <c r="Q436" s="109"/>
      <c r="R436" s="109"/>
      <c r="S436" s="109"/>
      <c r="T436" s="109"/>
      <c r="U436" s="109"/>
      <c r="V436" s="109"/>
      <c r="W436" s="109"/>
      <c r="X436" s="109"/>
      <c r="Y436" s="109"/>
      <c r="Z436" s="109"/>
      <c r="AA436" s="109"/>
      <c r="AB436" s="109"/>
      <c r="AC436" s="109"/>
      <c r="AD436" s="109"/>
      <c r="AE436" s="109"/>
      <c r="AF436" s="109"/>
      <c r="AG436" s="109"/>
      <c r="AH436" s="109"/>
      <c r="AI436" s="109"/>
      <c r="AJ436" s="109"/>
      <c r="AK436" s="109"/>
      <c r="AL436" s="109"/>
      <c r="AM436" s="109"/>
      <c r="AN436" s="109"/>
      <c r="AO436" s="109"/>
      <c r="AP436" s="109"/>
      <c r="AT436" s="149" t="s">
        <v>1312</v>
      </c>
      <c r="AU436" s="94" t="s">
        <v>1832</v>
      </c>
    </row>
    <row r="437" spans="1:47" ht="21" customHeight="1" x14ac:dyDescent="0.35">
      <c r="A437" s="262"/>
      <c r="B437" s="98" t="s">
        <v>17</v>
      </c>
      <c r="C437" s="99" t="s">
        <v>1313</v>
      </c>
      <c r="D437" s="100" t="s">
        <v>1314</v>
      </c>
      <c r="E437" s="101">
        <v>46127</v>
      </c>
      <c r="F437" s="102">
        <f t="shared" si="15"/>
        <v>0</v>
      </c>
      <c r="G437" s="150">
        <f>SUMIF(积分汇总!$B:$B,C437,积分汇总!$E:$E)</f>
        <v>0</v>
      </c>
      <c r="H437" s="150">
        <f>SUMIF(记录巡查问题条数汇总!$B:$B,C437,记录巡查问题条数汇总!$E:$E)</f>
        <v>0</v>
      </c>
      <c r="I437" s="150"/>
      <c r="J437" s="150">
        <f>SUMIF(安全质量事故!$B:$B,C437,安全质量事故!$G:$G)</f>
        <v>0</v>
      </c>
      <c r="K437" s="141">
        <f>COUNTIF(L437:AP437,标准数据!$A$2)*标准数据!$B$2+COUNTIF(L437:AP437,标准数据!$A$3)*标准数据!$B$3+COUNTIF(L437:AP437,标准数据!$A$4)*标准数据!$B$4</f>
        <v>0</v>
      </c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109"/>
      <c r="Y437" s="109"/>
      <c r="Z437" s="109"/>
      <c r="AA437" s="109"/>
      <c r="AB437" s="109"/>
      <c r="AC437" s="109"/>
      <c r="AD437" s="109"/>
      <c r="AE437" s="109"/>
      <c r="AF437" s="109"/>
      <c r="AG437" s="109"/>
      <c r="AH437" s="109"/>
      <c r="AI437" s="109"/>
      <c r="AJ437" s="109"/>
      <c r="AK437" s="109"/>
      <c r="AL437" s="109"/>
      <c r="AM437" s="109"/>
      <c r="AN437" s="109"/>
      <c r="AO437" s="109"/>
      <c r="AP437" s="109"/>
      <c r="AT437" s="149" t="s">
        <v>1314</v>
      </c>
      <c r="AU437" s="94" t="s">
        <v>1832</v>
      </c>
    </row>
    <row r="438" spans="1:47" ht="21" customHeight="1" x14ac:dyDescent="0.35">
      <c r="A438" s="262"/>
      <c r="B438" s="98" t="s">
        <v>17</v>
      </c>
      <c r="C438" s="99" t="s">
        <v>1315</v>
      </c>
      <c r="D438" s="100" t="s">
        <v>1316</v>
      </c>
      <c r="E438" s="101">
        <v>46127</v>
      </c>
      <c r="F438" s="102">
        <f t="shared" si="15"/>
        <v>0</v>
      </c>
      <c r="G438" s="150">
        <f>SUMIF(积分汇总!$B:$B,C438,积分汇总!$E:$E)</f>
        <v>0</v>
      </c>
      <c r="H438" s="150">
        <f>SUMIF(记录巡查问题条数汇总!$B:$B,C438,记录巡查问题条数汇总!$E:$E)</f>
        <v>0</v>
      </c>
      <c r="I438" s="150"/>
      <c r="J438" s="150">
        <f>SUMIF(安全质量事故!$B:$B,C438,安全质量事故!$G:$G)</f>
        <v>0</v>
      </c>
      <c r="K438" s="141">
        <f>COUNTIF(L438:AP438,标准数据!$A$2)*标准数据!$B$2+COUNTIF(L438:AP438,标准数据!$A$3)*标准数据!$B$3+COUNTIF(L438:AP438,标准数据!$A$4)*标准数据!$B$4</f>
        <v>0</v>
      </c>
      <c r="L438" s="109"/>
      <c r="M438" s="109"/>
      <c r="N438" s="109"/>
      <c r="O438" s="109"/>
      <c r="P438" s="109"/>
      <c r="Q438" s="109"/>
      <c r="R438" s="109"/>
      <c r="S438" s="109"/>
      <c r="T438" s="109"/>
      <c r="U438" s="109"/>
      <c r="V438" s="109"/>
      <c r="W438" s="109"/>
      <c r="X438" s="109"/>
      <c r="Y438" s="109"/>
      <c r="Z438" s="109"/>
      <c r="AA438" s="109"/>
      <c r="AB438" s="109"/>
      <c r="AC438" s="109"/>
      <c r="AD438" s="109"/>
      <c r="AE438" s="109"/>
      <c r="AF438" s="109"/>
      <c r="AG438" s="109"/>
      <c r="AH438" s="109"/>
      <c r="AI438" s="109"/>
      <c r="AJ438" s="109"/>
      <c r="AK438" s="109"/>
      <c r="AL438" s="109"/>
      <c r="AM438" s="109"/>
      <c r="AN438" s="109"/>
      <c r="AO438" s="109"/>
      <c r="AP438" s="109"/>
      <c r="AT438" s="149" t="s">
        <v>1316</v>
      </c>
      <c r="AU438" s="94" t="s">
        <v>1832</v>
      </c>
    </row>
    <row r="439" spans="1:47" ht="21" customHeight="1" x14ac:dyDescent="0.35">
      <c r="A439" s="262"/>
      <c r="B439" s="98" t="s">
        <v>17</v>
      </c>
      <c r="C439" s="100" t="s">
        <v>1317</v>
      </c>
      <c r="D439" s="105" t="s">
        <v>1318</v>
      </c>
      <c r="E439" s="99">
        <v>46127</v>
      </c>
      <c r="F439" s="102">
        <f t="shared" si="15"/>
        <v>0</v>
      </c>
      <c r="G439" s="150">
        <f>SUMIF(积分汇总!$B:$B,C439,积分汇总!$E:$E)</f>
        <v>0</v>
      </c>
      <c r="H439" s="150">
        <f>SUMIF(记录巡查问题条数汇总!$B:$B,C439,记录巡查问题条数汇总!$E:$E)</f>
        <v>0</v>
      </c>
      <c r="I439" s="150"/>
      <c r="J439" s="150">
        <f>SUMIF(安全质量事故!$B:$B,C439,安全质量事故!$G:$G)</f>
        <v>0</v>
      </c>
      <c r="K439" s="141">
        <f>COUNTIF(L439:AP439,标准数据!$A$2)*标准数据!$B$2+COUNTIF(L439:AP439,标准数据!$A$3)*标准数据!$B$3+COUNTIF(L439:AP439,标准数据!$A$4)*标准数据!$B$4</f>
        <v>0</v>
      </c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109"/>
      <c r="Y439" s="109"/>
      <c r="Z439" s="109"/>
      <c r="AA439" s="109"/>
      <c r="AB439" s="109"/>
      <c r="AC439" s="109"/>
      <c r="AD439" s="109"/>
      <c r="AE439" s="109"/>
      <c r="AF439" s="109"/>
      <c r="AG439" s="109"/>
      <c r="AH439" s="109"/>
      <c r="AI439" s="109"/>
      <c r="AJ439" s="109"/>
      <c r="AK439" s="109"/>
      <c r="AL439" s="109"/>
      <c r="AM439" s="109"/>
      <c r="AN439" s="109"/>
      <c r="AO439" s="109"/>
      <c r="AP439" s="109"/>
      <c r="AT439" s="149" t="s">
        <v>1318</v>
      </c>
      <c r="AU439" s="94" t="s">
        <v>1833</v>
      </c>
    </row>
    <row r="440" spans="1:47" ht="21" customHeight="1" x14ac:dyDescent="0.35">
      <c r="A440" s="262"/>
      <c r="B440" s="98" t="s">
        <v>17</v>
      </c>
      <c r="C440" s="100" t="s">
        <v>1319</v>
      </c>
      <c r="D440" s="105" t="s">
        <v>1320</v>
      </c>
      <c r="E440" s="99">
        <v>46127</v>
      </c>
      <c r="F440" s="102">
        <f t="shared" si="15"/>
        <v>0</v>
      </c>
      <c r="G440" s="150">
        <f>SUMIF(积分汇总!$B:$B,C440,积分汇总!$E:$E)</f>
        <v>0</v>
      </c>
      <c r="H440" s="150">
        <f>SUMIF(记录巡查问题条数汇总!$B:$B,C440,记录巡查问题条数汇总!$E:$E)</f>
        <v>0</v>
      </c>
      <c r="I440" s="150"/>
      <c r="J440" s="150">
        <f>SUMIF(安全质量事故!$B:$B,C440,安全质量事故!$G:$G)</f>
        <v>0</v>
      </c>
      <c r="K440" s="141">
        <f>COUNTIF(L440:AP440,标准数据!$A$2)*标准数据!$B$2+COUNTIF(L440:AP440,标准数据!$A$3)*标准数据!$B$3+COUNTIF(L440:AP440,标准数据!$A$4)*标准数据!$B$4</f>
        <v>0</v>
      </c>
      <c r="L440" s="109"/>
      <c r="M440" s="109"/>
      <c r="N440" s="109"/>
      <c r="O440" s="109"/>
      <c r="P440" s="109"/>
      <c r="Q440" s="109"/>
      <c r="R440" s="109"/>
      <c r="S440" s="109"/>
      <c r="T440" s="109"/>
      <c r="U440" s="109"/>
      <c r="V440" s="109"/>
      <c r="W440" s="109"/>
      <c r="X440" s="109"/>
      <c r="Y440" s="109"/>
      <c r="Z440" s="109"/>
      <c r="AA440" s="109"/>
      <c r="AB440" s="109"/>
      <c r="AC440" s="109"/>
      <c r="AD440" s="109"/>
      <c r="AE440" s="109"/>
      <c r="AF440" s="109"/>
      <c r="AG440" s="109"/>
      <c r="AH440" s="109"/>
      <c r="AI440" s="109"/>
      <c r="AJ440" s="109"/>
      <c r="AK440" s="109"/>
      <c r="AL440" s="109"/>
      <c r="AM440" s="109"/>
      <c r="AN440" s="109"/>
      <c r="AO440" s="109"/>
      <c r="AP440" s="109"/>
      <c r="AT440" s="149" t="s">
        <v>1320</v>
      </c>
      <c r="AU440" s="94" t="s">
        <v>1832</v>
      </c>
    </row>
    <row r="441" spans="1:47" ht="21" customHeight="1" x14ac:dyDescent="0.35">
      <c r="A441" s="262"/>
      <c r="B441" s="98" t="s">
        <v>17</v>
      </c>
      <c r="C441" s="100" t="s">
        <v>1321</v>
      </c>
      <c r="D441" s="105" t="s">
        <v>1322</v>
      </c>
      <c r="E441" s="99">
        <v>46127</v>
      </c>
      <c r="F441" s="102">
        <f t="shared" si="15"/>
        <v>0</v>
      </c>
      <c r="G441" s="150">
        <f>SUMIF(积分汇总!$B:$B,C441,积分汇总!$E:$E)</f>
        <v>0</v>
      </c>
      <c r="H441" s="150">
        <f>SUMIF(记录巡查问题条数汇总!$B:$B,C441,记录巡查问题条数汇总!$E:$E)</f>
        <v>0</v>
      </c>
      <c r="I441" s="150"/>
      <c r="J441" s="150">
        <f>SUMIF(安全质量事故!$B:$B,C441,安全质量事故!$G:$G)</f>
        <v>0</v>
      </c>
      <c r="K441" s="141">
        <f>COUNTIF(L441:AP441,标准数据!$A$2)*标准数据!$B$2+COUNTIF(L441:AP441,标准数据!$A$3)*标准数据!$B$3+COUNTIF(L441:AP441,标准数据!$A$4)*标准数据!$B$4</f>
        <v>0</v>
      </c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109"/>
      <c r="Y441" s="109"/>
      <c r="Z441" s="109"/>
      <c r="AA441" s="109"/>
      <c r="AB441" s="109"/>
      <c r="AC441" s="109"/>
      <c r="AD441" s="109"/>
      <c r="AE441" s="109"/>
      <c r="AF441" s="109"/>
      <c r="AG441" s="109"/>
      <c r="AH441" s="109"/>
      <c r="AI441" s="109"/>
      <c r="AJ441" s="109"/>
      <c r="AK441" s="109"/>
      <c r="AL441" s="109"/>
      <c r="AM441" s="109"/>
      <c r="AN441" s="109"/>
      <c r="AO441" s="109"/>
      <c r="AP441" s="109"/>
      <c r="AT441" s="149" t="s">
        <v>1322</v>
      </c>
      <c r="AU441" s="94" t="s">
        <v>1832</v>
      </c>
    </row>
    <row r="442" spans="1:47" ht="21" customHeight="1" x14ac:dyDescent="0.35">
      <c r="A442" s="262"/>
      <c r="B442" s="98" t="s">
        <v>17</v>
      </c>
      <c r="C442" s="99" t="s">
        <v>1323</v>
      </c>
      <c r="D442" s="100" t="s">
        <v>1324</v>
      </c>
      <c r="E442" s="101">
        <v>46127</v>
      </c>
      <c r="F442" s="102">
        <f t="shared" si="15"/>
        <v>0</v>
      </c>
      <c r="G442" s="150">
        <f>SUMIF(积分汇总!$B:$B,C442,积分汇总!$E:$E)</f>
        <v>0</v>
      </c>
      <c r="H442" s="150">
        <f>SUMIF(记录巡查问题条数汇总!$B:$B,C442,记录巡查问题条数汇总!$E:$E)</f>
        <v>0</v>
      </c>
      <c r="I442" s="150"/>
      <c r="J442" s="150">
        <f>SUMIF(安全质量事故!$B:$B,C442,安全质量事故!$G:$G)</f>
        <v>0</v>
      </c>
      <c r="K442" s="141">
        <f>COUNTIF(L442:AP442,标准数据!$A$2)*标准数据!$B$2+COUNTIF(L442:AP442,标准数据!$A$3)*标准数据!$B$3+COUNTIF(L442:AP442,标准数据!$A$4)*标准数据!$B$4</f>
        <v>0</v>
      </c>
      <c r="L442" s="109"/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109"/>
      <c r="Y442" s="109"/>
      <c r="Z442" s="109"/>
      <c r="AA442" s="109"/>
      <c r="AB442" s="109"/>
      <c r="AC442" s="109"/>
      <c r="AD442" s="109"/>
      <c r="AE442" s="109"/>
      <c r="AF442" s="109"/>
      <c r="AG442" s="109"/>
      <c r="AH442" s="109"/>
      <c r="AI442" s="109"/>
      <c r="AJ442" s="109"/>
      <c r="AK442" s="109"/>
      <c r="AL442" s="109"/>
      <c r="AM442" s="109"/>
      <c r="AN442" s="109"/>
      <c r="AO442" s="109"/>
      <c r="AP442" s="109"/>
      <c r="AT442" s="149" t="s">
        <v>1324</v>
      </c>
      <c r="AU442" s="94" t="s">
        <v>1833</v>
      </c>
    </row>
    <row r="443" spans="1:47" s="104" customFormat="1" ht="21" customHeight="1" x14ac:dyDescent="0.35">
      <c r="A443" s="262"/>
      <c r="B443" s="98" t="s">
        <v>17</v>
      </c>
      <c r="C443" s="99" t="s">
        <v>1325</v>
      </c>
      <c r="D443" s="100" t="s">
        <v>1326</v>
      </c>
      <c r="E443" s="101">
        <v>46127</v>
      </c>
      <c r="F443" s="102">
        <f t="shared" si="15"/>
        <v>0</v>
      </c>
      <c r="G443" s="150">
        <f>SUMIF(积分汇总!$B:$B,C443,积分汇总!$E:$E)</f>
        <v>0</v>
      </c>
      <c r="H443" s="150">
        <f>SUMIF(记录巡查问题条数汇总!$B:$B,C443,记录巡查问题条数汇总!$E:$E)</f>
        <v>0</v>
      </c>
      <c r="I443" s="150"/>
      <c r="J443" s="150">
        <f>SUMIF(安全质量事故!$B:$B,C443,安全质量事故!$G:$G)</f>
        <v>0</v>
      </c>
      <c r="K443" s="141">
        <f>COUNTIF(L443:AP443,标准数据!$A$2)*标准数据!$B$2+COUNTIF(L443:AP443,标准数据!$A$3)*标准数据!$B$3+COUNTIF(L443:AP443,标准数据!$A$4)*标准数据!$B$4</f>
        <v>0</v>
      </c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109"/>
      <c r="Y443" s="109"/>
      <c r="Z443" s="185"/>
      <c r="AA443" s="185"/>
      <c r="AB443" s="185"/>
      <c r="AC443" s="185"/>
      <c r="AD443" s="185"/>
      <c r="AE443" s="185"/>
      <c r="AF443" s="185"/>
      <c r="AG443" s="185"/>
      <c r="AH443" s="185"/>
      <c r="AI443" s="185"/>
      <c r="AJ443" s="185"/>
      <c r="AK443" s="185"/>
      <c r="AL443" s="185"/>
      <c r="AM443" s="185"/>
      <c r="AN443" s="185"/>
      <c r="AO443" s="185"/>
      <c r="AP443" s="185"/>
      <c r="AT443" s="149" t="s">
        <v>1326</v>
      </c>
      <c r="AU443" s="94" t="s">
        <v>1833</v>
      </c>
    </row>
    <row r="444" spans="1:47" ht="21" customHeight="1" x14ac:dyDescent="0.35">
      <c r="A444" s="262"/>
      <c r="B444" s="98" t="s">
        <v>17</v>
      </c>
      <c r="C444" s="99" t="s">
        <v>1465</v>
      </c>
      <c r="D444" s="100" t="s">
        <v>1466</v>
      </c>
      <c r="E444" s="101">
        <v>46134</v>
      </c>
      <c r="F444" s="102">
        <f t="shared" si="15"/>
        <v>0</v>
      </c>
      <c r="G444" s="150">
        <f>SUMIF(积分汇总!$B:$B,C444,积分汇总!$E:$E)</f>
        <v>0</v>
      </c>
      <c r="H444" s="150">
        <f>SUMIF(记录巡查问题条数汇总!$B:$B,C444,记录巡查问题条数汇总!$E:$E)</f>
        <v>0</v>
      </c>
      <c r="I444" s="150"/>
      <c r="J444" s="150">
        <f>SUMIF(安全质量事故!$B:$B,C444,安全质量事故!$G:$G)</f>
        <v>0</v>
      </c>
      <c r="K444" s="141">
        <f>COUNTIF(L444:AP444,标准数据!$A$2)*标准数据!$B$2+COUNTIF(L444:AP444,标准数据!$A$3)*标准数据!$B$3+COUNTIF(L444:AP444,标准数据!$A$4)*标准数据!$B$4</f>
        <v>0</v>
      </c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109"/>
      <c r="Y444" s="109"/>
      <c r="Z444" s="109"/>
      <c r="AA444" s="109"/>
      <c r="AB444" s="109"/>
      <c r="AC444" s="109"/>
      <c r="AD444" s="109"/>
      <c r="AE444" s="109"/>
      <c r="AF444" s="109"/>
      <c r="AG444" s="109"/>
      <c r="AH444" s="109"/>
      <c r="AI444" s="109"/>
      <c r="AJ444" s="109"/>
      <c r="AK444" s="109"/>
      <c r="AL444" s="109"/>
      <c r="AM444" s="109"/>
      <c r="AN444" s="109"/>
      <c r="AO444" s="109"/>
      <c r="AP444" s="109"/>
      <c r="AQ444" s="94"/>
      <c r="AR444" s="94"/>
      <c r="AS444" s="94"/>
      <c r="AT444" s="149" t="s">
        <v>1466</v>
      </c>
      <c r="AU444" s="94" t="s">
        <v>1832</v>
      </c>
    </row>
    <row r="445" spans="1:47" ht="21" customHeight="1" x14ac:dyDescent="0.35">
      <c r="A445" s="262"/>
      <c r="B445" s="98" t="s">
        <v>17</v>
      </c>
      <c r="C445" s="99" t="s">
        <v>1467</v>
      </c>
      <c r="D445" s="100" t="s">
        <v>1468</v>
      </c>
      <c r="E445" s="101">
        <v>46134</v>
      </c>
      <c r="F445" s="102">
        <f t="shared" si="15"/>
        <v>0</v>
      </c>
      <c r="G445" s="150">
        <f>SUMIF(积分汇总!$B:$B,C445,积分汇总!$E:$E)</f>
        <v>0</v>
      </c>
      <c r="H445" s="150">
        <f>SUMIF(记录巡查问题条数汇总!$B:$B,C445,记录巡查问题条数汇总!$E:$E)</f>
        <v>0</v>
      </c>
      <c r="I445" s="150"/>
      <c r="J445" s="150">
        <f>SUMIF(安全质量事故!$B:$B,C445,安全质量事故!$G:$G)</f>
        <v>0</v>
      </c>
      <c r="K445" s="141">
        <f>COUNTIF(L445:AP445,标准数据!$A$2)*标准数据!$B$2+COUNTIF(L445:AP445,标准数据!$A$3)*标准数据!$B$3+COUNTIF(L445:AP445,标准数据!$A$4)*标准数据!$B$4</f>
        <v>0</v>
      </c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109"/>
      <c r="Y445" s="109"/>
      <c r="Z445" s="185"/>
      <c r="AA445" s="185"/>
      <c r="AB445" s="185"/>
      <c r="AC445" s="185"/>
      <c r="AD445" s="185"/>
      <c r="AE445" s="185"/>
      <c r="AF445" s="185"/>
      <c r="AG445" s="185"/>
      <c r="AH445" s="185"/>
      <c r="AI445" s="185"/>
      <c r="AJ445" s="185"/>
      <c r="AK445" s="185"/>
      <c r="AL445" s="185"/>
      <c r="AM445" s="185"/>
      <c r="AN445" s="185"/>
      <c r="AO445" s="185"/>
      <c r="AP445" s="185"/>
      <c r="AQ445" s="94"/>
      <c r="AR445" s="94"/>
      <c r="AS445" s="94"/>
      <c r="AT445" s="149" t="s">
        <v>1468</v>
      </c>
      <c r="AU445" s="94" t="s">
        <v>1832</v>
      </c>
    </row>
    <row r="446" spans="1:47" ht="21" customHeight="1" x14ac:dyDescent="0.35">
      <c r="A446" s="262"/>
      <c r="B446" s="98" t="s">
        <v>17</v>
      </c>
      <c r="C446" s="99" t="s">
        <v>1469</v>
      </c>
      <c r="D446" s="100" t="s">
        <v>1470</v>
      </c>
      <c r="E446" s="101">
        <v>46132</v>
      </c>
      <c r="F446" s="102">
        <f t="shared" si="15"/>
        <v>0</v>
      </c>
      <c r="G446" s="150">
        <f>SUMIF(积分汇总!$B:$B,C446,积分汇总!$E:$E)</f>
        <v>0</v>
      </c>
      <c r="H446" s="150">
        <f>SUMIF(记录巡查问题条数汇总!$B:$B,C446,记录巡查问题条数汇总!$E:$E)</f>
        <v>0</v>
      </c>
      <c r="I446" s="150"/>
      <c r="J446" s="150">
        <f>SUMIF(安全质量事故!$B:$B,C446,安全质量事故!$G:$G)</f>
        <v>0</v>
      </c>
      <c r="K446" s="141">
        <f>COUNTIF(L446:AP446,标准数据!$A$2)*标准数据!$B$2+COUNTIF(L446:AP446,标准数据!$A$3)*标准数据!$B$3+COUNTIF(L446:AP446,标准数据!$A$4)*标准数据!$B$4</f>
        <v>0</v>
      </c>
      <c r="L446" s="109"/>
      <c r="M446" s="109"/>
      <c r="N446" s="109"/>
      <c r="O446" s="109"/>
      <c r="P446" s="109"/>
      <c r="Q446" s="109"/>
      <c r="R446" s="109"/>
      <c r="S446" s="109"/>
      <c r="T446" s="109"/>
      <c r="U446" s="109"/>
      <c r="V446" s="109"/>
      <c r="W446" s="109"/>
      <c r="X446" s="109"/>
      <c r="Y446" s="109"/>
      <c r="Z446" s="109"/>
      <c r="AA446" s="109"/>
      <c r="AB446" s="109"/>
      <c r="AC446" s="109"/>
      <c r="AD446" s="109"/>
      <c r="AE446" s="109"/>
      <c r="AF446" s="109"/>
      <c r="AG446" s="109"/>
      <c r="AH446" s="109"/>
      <c r="AI446" s="109"/>
      <c r="AJ446" s="109"/>
      <c r="AK446" s="109"/>
      <c r="AL446" s="109"/>
      <c r="AM446" s="109"/>
      <c r="AN446" s="109"/>
      <c r="AO446" s="109"/>
      <c r="AP446" s="109"/>
      <c r="AT446" s="149" t="s">
        <v>1470</v>
      </c>
      <c r="AU446" s="94" t="s">
        <v>1832</v>
      </c>
    </row>
    <row r="447" spans="1:47" ht="21" customHeight="1" x14ac:dyDescent="0.35">
      <c r="A447" s="262"/>
      <c r="B447" s="98" t="s">
        <v>17</v>
      </c>
      <c r="C447" s="99" t="s">
        <v>1471</v>
      </c>
      <c r="D447" s="100" t="s">
        <v>1472</v>
      </c>
      <c r="E447" s="101">
        <v>46132</v>
      </c>
      <c r="F447" s="102">
        <f t="shared" si="15"/>
        <v>0</v>
      </c>
      <c r="G447" s="150">
        <f>SUMIF(积分汇总!$B:$B,C447,积分汇总!$E:$E)</f>
        <v>0</v>
      </c>
      <c r="H447" s="150">
        <f>SUMIF(记录巡查问题条数汇总!$B:$B,C447,记录巡查问题条数汇总!$E:$E)</f>
        <v>0</v>
      </c>
      <c r="I447" s="150"/>
      <c r="J447" s="150">
        <f>SUMIF(安全质量事故!$B:$B,C447,安全质量事故!$G:$G)</f>
        <v>0</v>
      </c>
      <c r="K447" s="141">
        <f>COUNTIF(L447:AP447,标准数据!$A$2)*标准数据!$B$2+COUNTIF(L447:AP447,标准数据!$A$3)*标准数据!$B$3+COUNTIF(L447:AP447,标准数据!$A$4)*标准数据!$B$4</f>
        <v>0</v>
      </c>
      <c r="L447" s="109"/>
      <c r="M447" s="109"/>
      <c r="N447" s="109"/>
      <c r="O447" s="109"/>
      <c r="P447" s="109"/>
      <c r="Q447" s="109"/>
      <c r="R447" s="109"/>
      <c r="S447" s="109"/>
      <c r="T447" s="109"/>
      <c r="U447" s="109"/>
      <c r="V447" s="109"/>
      <c r="W447" s="109"/>
      <c r="X447" s="109"/>
      <c r="Y447" s="109"/>
      <c r="Z447" s="109"/>
      <c r="AA447" s="109"/>
      <c r="AB447" s="109"/>
      <c r="AC447" s="109"/>
      <c r="AD447" s="109"/>
      <c r="AE447" s="109"/>
      <c r="AF447" s="109"/>
      <c r="AG447" s="109"/>
      <c r="AH447" s="109"/>
      <c r="AI447" s="109"/>
      <c r="AJ447" s="109"/>
      <c r="AK447" s="109"/>
      <c r="AL447" s="109"/>
      <c r="AM447" s="109"/>
      <c r="AN447" s="109"/>
      <c r="AO447" s="109"/>
      <c r="AP447" s="109"/>
      <c r="AT447" s="149" t="s">
        <v>1472</v>
      </c>
      <c r="AU447" s="94" t="s">
        <v>1832</v>
      </c>
    </row>
    <row r="448" spans="1:47" ht="21" customHeight="1" x14ac:dyDescent="0.35">
      <c r="A448" s="262"/>
      <c r="B448" s="98" t="s">
        <v>17</v>
      </c>
      <c r="C448" s="99" t="s">
        <v>1499</v>
      </c>
      <c r="D448" s="105" t="s">
        <v>1500</v>
      </c>
      <c r="E448" s="101">
        <v>46134</v>
      </c>
      <c r="F448" s="102">
        <f t="shared" si="15"/>
        <v>0</v>
      </c>
      <c r="G448" s="150">
        <f>SUMIF(积分汇总!$B:$B,C448,积分汇总!$E:$E)</f>
        <v>0</v>
      </c>
      <c r="H448" s="150">
        <f>SUMIF(记录巡查问题条数汇总!$B:$B,C448,记录巡查问题条数汇总!$E:$E)</f>
        <v>0</v>
      </c>
      <c r="I448" s="150"/>
      <c r="J448" s="150">
        <f>SUMIF(安全质量事故!$B:$B,C448,安全质量事故!$G:$G)</f>
        <v>0</v>
      </c>
      <c r="K448" s="141">
        <f>COUNTIF(L448:AP448,标准数据!$A$2)*标准数据!$B$2+COUNTIF(L448:AP448,标准数据!$A$3)*标准数据!$B$3+COUNTIF(L448:AP448,标准数据!$A$4)*标准数据!$B$4</f>
        <v>0</v>
      </c>
      <c r="L448" s="109"/>
      <c r="M448" s="109"/>
      <c r="N448" s="109"/>
      <c r="O448" s="109"/>
      <c r="P448" s="109"/>
      <c r="Q448" s="109"/>
      <c r="R448" s="109"/>
      <c r="S448" s="109"/>
      <c r="T448" s="109"/>
      <c r="U448" s="109"/>
      <c r="V448" s="109"/>
      <c r="W448" s="109"/>
      <c r="X448" s="109"/>
      <c r="Y448" s="109"/>
      <c r="Z448" s="185"/>
      <c r="AA448" s="185"/>
      <c r="AB448" s="185"/>
      <c r="AC448" s="185"/>
      <c r="AD448" s="185"/>
      <c r="AE448" s="185"/>
      <c r="AF448" s="185"/>
      <c r="AG448" s="185"/>
      <c r="AH448" s="185"/>
      <c r="AI448" s="185"/>
      <c r="AJ448" s="185"/>
      <c r="AK448" s="185"/>
      <c r="AL448" s="185"/>
      <c r="AM448" s="185"/>
      <c r="AN448" s="185"/>
      <c r="AO448" s="185"/>
      <c r="AP448" s="185"/>
      <c r="AT448" s="149" t="s">
        <v>1500</v>
      </c>
      <c r="AU448" s="94" t="s">
        <v>1834</v>
      </c>
    </row>
    <row r="449" spans="1:47" ht="21" customHeight="1" x14ac:dyDescent="0.35">
      <c r="A449" s="262"/>
      <c r="B449" s="98" t="s">
        <v>17</v>
      </c>
      <c r="C449" s="99" t="s">
        <v>1501</v>
      </c>
      <c r="D449" s="100" t="s">
        <v>1502</v>
      </c>
      <c r="E449" s="101">
        <v>46134</v>
      </c>
      <c r="F449" s="102">
        <f t="shared" si="15"/>
        <v>0</v>
      </c>
      <c r="G449" s="150">
        <f>SUMIF(积分汇总!$B:$B,C449,积分汇总!$E:$E)</f>
        <v>0</v>
      </c>
      <c r="H449" s="150">
        <f>SUMIF(记录巡查问题条数汇总!$B:$B,C449,记录巡查问题条数汇总!$E:$E)</f>
        <v>0</v>
      </c>
      <c r="I449" s="150"/>
      <c r="J449" s="150">
        <f>SUMIF(安全质量事故!$B:$B,C449,安全质量事故!$G:$G)</f>
        <v>0</v>
      </c>
      <c r="K449" s="141">
        <f>COUNTIF(L449:AP449,标准数据!$A$2)*标准数据!$B$2+COUNTIF(L449:AP449,标准数据!$A$3)*标准数据!$B$3+COUNTIF(L449:AP449,标准数据!$A$4)*标准数据!$B$4</f>
        <v>0</v>
      </c>
      <c r="L449" s="109"/>
      <c r="M449" s="109"/>
      <c r="N449" s="109"/>
      <c r="O449" s="109"/>
      <c r="P449" s="109"/>
      <c r="Q449" s="109"/>
      <c r="R449" s="109"/>
      <c r="S449" s="109"/>
      <c r="T449" s="109"/>
      <c r="U449" s="109"/>
      <c r="V449" s="109"/>
      <c r="W449" s="109"/>
      <c r="X449" s="109"/>
      <c r="Y449" s="109"/>
      <c r="Z449" s="109"/>
      <c r="AA449" s="109"/>
      <c r="AB449" s="109"/>
      <c r="AC449" s="109"/>
      <c r="AD449" s="109"/>
      <c r="AE449" s="109"/>
      <c r="AF449" s="109"/>
      <c r="AG449" s="109"/>
      <c r="AH449" s="109"/>
      <c r="AI449" s="109"/>
      <c r="AJ449" s="109"/>
      <c r="AK449" s="109"/>
      <c r="AL449" s="109"/>
      <c r="AM449" s="109"/>
      <c r="AN449" s="109"/>
      <c r="AO449" s="109"/>
      <c r="AP449" s="109"/>
      <c r="AT449" s="149" t="s">
        <v>1502</v>
      </c>
      <c r="AU449" s="94" t="s">
        <v>1834</v>
      </c>
    </row>
    <row r="450" spans="1:47" ht="21" customHeight="1" x14ac:dyDescent="0.35">
      <c r="A450" s="262"/>
      <c r="B450" s="98" t="s">
        <v>17</v>
      </c>
      <c r="C450" s="99" t="s">
        <v>1503</v>
      </c>
      <c r="D450" s="100" t="s">
        <v>1504</v>
      </c>
      <c r="E450" s="101">
        <v>46134</v>
      </c>
      <c r="F450" s="102">
        <f t="shared" si="15"/>
        <v>0</v>
      </c>
      <c r="G450" s="150">
        <f>SUMIF(积分汇总!$B:$B,C450,积分汇总!$E:$E)</f>
        <v>0</v>
      </c>
      <c r="H450" s="150">
        <f>SUMIF(记录巡查问题条数汇总!$B:$B,C450,记录巡查问题条数汇总!$E:$E)</f>
        <v>0</v>
      </c>
      <c r="I450" s="150"/>
      <c r="J450" s="150">
        <f>SUMIF(安全质量事故!$B:$B,C450,安全质量事故!$G:$G)</f>
        <v>0</v>
      </c>
      <c r="K450" s="141">
        <f>COUNTIF(L450:AP450,标准数据!$A$2)*标准数据!$B$2+COUNTIF(L450:AP450,标准数据!$A$3)*标准数据!$B$3+COUNTIF(L450:AP450,标准数据!$A$4)*标准数据!$B$4</f>
        <v>0</v>
      </c>
      <c r="L450" s="109"/>
      <c r="M450" s="109"/>
      <c r="N450" s="109"/>
      <c r="O450" s="109"/>
      <c r="P450" s="109"/>
      <c r="Q450" s="109"/>
      <c r="R450" s="109"/>
      <c r="S450" s="109"/>
      <c r="T450" s="109"/>
      <c r="U450" s="109"/>
      <c r="V450" s="109"/>
      <c r="W450" s="109"/>
      <c r="X450" s="109"/>
      <c r="Y450" s="109"/>
      <c r="Z450" s="109"/>
      <c r="AA450" s="109"/>
      <c r="AB450" s="109"/>
      <c r="AC450" s="109"/>
      <c r="AD450" s="109"/>
      <c r="AE450" s="109"/>
      <c r="AF450" s="109"/>
      <c r="AG450" s="109"/>
      <c r="AH450" s="109"/>
      <c r="AI450" s="109"/>
      <c r="AJ450" s="109"/>
      <c r="AK450" s="109"/>
      <c r="AL450" s="109"/>
      <c r="AM450" s="109"/>
      <c r="AN450" s="109"/>
      <c r="AO450" s="109"/>
      <c r="AP450" s="109"/>
      <c r="AQ450" s="94"/>
      <c r="AR450" s="94"/>
      <c r="AS450" s="94"/>
      <c r="AT450" s="149" t="s">
        <v>1504</v>
      </c>
      <c r="AU450" s="94" t="s">
        <v>1834</v>
      </c>
    </row>
    <row r="451" spans="1:47" ht="21" customHeight="1" x14ac:dyDescent="0.35">
      <c r="A451" s="262"/>
      <c r="B451" s="98" t="s">
        <v>17</v>
      </c>
      <c r="C451" s="99" t="s">
        <v>1505</v>
      </c>
      <c r="D451" s="100" t="s">
        <v>1506</v>
      </c>
      <c r="E451" s="101">
        <v>46139</v>
      </c>
      <c r="F451" s="102">
        <f t="shared" si="15"/>
        <v>0</v>
      </c>
      <c r="G451" s="150">
        <f>SUMIF(积分汇总!$B:$B,C451,积分汇总!$E:$E)</f>
        <v>0</v>
      </c>
      <c r="H451" s="150">
        <f>SUMIF(记录巡查问题条数汇总!$B:$B,C451,记录巡查问题条数汇总!$E:$E)</f>
        <v>0</v>
      </c>
      <c r="I451" s="150"/>
      <c r="J451" s="150">
        <f>SUMIF(安全质量事故!$B:$B,C451,安全质量事故!$G:$G)</f>
        <v>0</v>
      </c>
      <c r="K451" s="141">
        <f>COUNTIF(L451:AP451,标准数据!$A$2)*标准数据!$B$2+COUNTIF(L451:AP451,标准数据!$A$3)*标准数据!$B$3+COUNTIF(L451:AP451,标准数据!$A$4)*标准数据!$B$4</f>
        <v>0</v>
      </c>
      <c r="L451" s="109"/>
      <c r="M451" s="109"/>
      <c r="N451" s="109"/>
      <c r="O451" s="109"/>
      <c r="P451" s="109"/>
      <c r="Q451" s="109"/>
      <c r="R451" s="109"/>
      <c r="S451" s="109"/>
      <c r="T451" s="109"/>
      <c r="U451" s="109"/>
      <c r="V451" s="109"/>
      <c r="W451" s="109"/>
      <c r="X451" s="109"/>
      <c r="Y451" s="109"/>
      <c r="Z451" s="185"/>
      <c r="AA451" s="185"/>
      <c r="AB451" s="185"/>
      <c r="AC451" s="185"/>
      <c r="AD451" s="185"/>
      <c r="AE451" s="185"/>
      <c r="AF451" s="185"/>
      <c r="AG451" s="185"/>
      <c r="AH451" s="185"/>
      <c r="AI451" s="185"/>
      <c r="AJ451" s="185"/>
      <c r="AK451" s="185"/>
      <c r="AL451" s="185"/>
      <c r="AM451" s="185"/>
      <c r="AN451" s="185"/>
      <c r="AO451" s="185"/>
      <c r="AP451" s="185"/>
      <c r="AQ451" s="94"/>
      <c r="AR451" s="94"/>
      <c r="AS451" s="94"/>
      <c r="AT451" s="149" t="s">
        <v>1506</v>
      </c>
      <c r="AU451" s="94" t="s">
        <v>1834</v>
      </c>
    </row>
    <row r="452" spans="1:47" ht="21" customHeight="1" x14ac:dyDescent="0.35">
      <c r="A452" s="262"/>
      <c r="B452" s="98" t="s">
        <v>17</v>
      </c>
      <c r="C452" s="99" t="s">
        <v>1507</v>
      </c>
      <c r="D452" s="100" t="s">
        <v>1508</v>
      </c>
      <c r="E452" s="101">
        <v>46139</v>
      </c>
      <c r="F452" s="102">
        <f t="shared" si="15"/>
        <v>0</v>
      </c>
      <c r="G452" s="150">
        <f>SUMIF(积分汇总!$B:$B,C452,积分汇总!$E:$E)</f>
        <v>0</v>
      </c>
      <c r="H452" s="150">
        <f>SUMIF(记录巡查问题条数汇总!$B:$B,C452,记录巡查问题条数汇总!$E:$E)</f>
        <v>0</v>
      </c>
      <c r="I452" s="150"/>
      <c r="J452" s="150">
        <f>SUMIF(安全质量事故!$B:$B,C452,安全质量事故!$G:$G)</f>
        <v>0</v>
      </c>
      <c r="K452" s="141">
        <f>COUNTIF(L452:AP452,标准数据!$A$2)*标准数据!$B$2+COUNTIF(L452:AP452,标准数据!$A$3)*标准数据!$B$3+COUNTIF(L452:AP452,标准数据!$A$4)*标准数据!$B$4</f>
        <v>0</v>
      </c>
      <c r="L452" s="109"/>
      <c r="M452" s="109"/>
      <c r="N452" s="109"/>
      <c r="O452" s="109"/>
      <c r="P452" s="109"/>
      <c r="Q452" s="109"/>
      <c r="R452" s="109"/>
      <c r="S452" s="109"/>
      <c r="T452" s="109"/>
      <c r="U452" s="109"/>
      <c r="V452" s="109"/>
      <c r="W452" s="109"/>
      <c r="X452" s="109"/>
      <c r="Y452" s="109"/>
      <c r="Z452" s="109"/>
      <c r="AA452" s="109"/>
      <c r="AB452" s="109"/>
      <c r="AC452" s="109"/>
      <c r="AD452" s="109"/>
      <c r="AE452" s="109"/>
      <c r="AF452" s="109"/>
      <c r="AG452" s="109"/>
      <c r="AH452" s="109"/>
      <c r="AI452" s="109"/>
      <c r="AJ452" s="109"/>
      <c r="AK452" s="109"/>
      <c r="AL452" s="109"/>
      <c r="AM452" s="109"/>
      <c r="AN452" s="109"/>
      <c r="AO452" s="109"/>
      <c r="AP452" s="109"/>
      <c r="AT452" s="149" t="s">
        <v>1508</v>
      </c>
      <c r="AU452" s="94" t="s">
        <v>1834</v>
      </c>
    </row>
    <row r="453" spans="1:47" ht="21" customHeight="1" x14ac:dyDescent="0.35">
      <c r="A453" s="262"/>
      <c r="B453" s="98" t="s">
        <v>17</v>
      </c>
      <c r="C453" s="99" t="s">
        <v>1509</v>
      </c>
      <c r="D453" s="100" t="s">
        <v>1510</v>
      </c>
      <c r="E453" s="101">
        <v>46139</v>
      </c>
      <c r="F453" s="102">
        <f t="shared" si="15"/>
        <v>0</v>
      </c>
      <c r="G453" s="150">
        <f>SUMIF(积分汇总!$B:$B,C453,积分汇总!$E:$E)</f>
        <v>0</v>
      </c>
      <c r="H453" s="150">
        <f>SUMIF(记录巡查问题条数汇总!$B:$B,C453,记录巡查问题条数汇总!$E:$E)</f>
        <v>0</v>
      </c>
      <c r="I453" s="150"/>
      <c r="J453" s="150">
        <f>SUMIF(安全质量事故!$B:$B,C453,安全质量事故!$G:$G)</f>
        <v>0</v>
      </c>
      <c r="K453" s="141">
        <f>COUNTIF(L453:AP453,标准数据!$A$2)*标准数据!$B$2+COUNTIF(L453:AP453,标准数据!$A$3)*标准数据!$B$3+COUNTIF(L453:AP453,标准数据!$A$4)*标准数据!$B$4</f>
        <v>0</v>
      </c>
      <c r="L453" s="109"/>
      <c r="M453" s="109"/>
      <c r="N453" s="109"/>
      <c r="O453" s="109"/>
      <c r="P453" s="109"/>
      <c r="Q453" s="109"/>
      <c r="R453" s="109"/>
      <c r="S453" s="109"/>
      <c r="T453" s="109"/>
      <c r="U453" s="109"/>
      <c r="V453" s="109"/>
      <c r="W453" s="109"/>
      <c r="X453" s="109"/>
      <c r="Y453" s="109"/>
      <c r="Z453" s="109"/>
      <c r="AA453" s="109"/>
      <c r="AB453" s="109"/>
      <c r="AC453" s="109"/>
      <c r="AD453" s="109"/>
      <c r="AE453" s="109"/>
      <c r="AF453" s="109"/>
      <c r="AG453" s="109"/>
      <c r="AH453" s="109"/>
      <c r="AI453" s="109"/>
      <c r="AJ453" s="109"/>
      <c r="AK453" s="109"/>
      <c r="AL453" s="109"/>
      <c r="AM453" s="109"/>
      <c r="AN453" s="109"/>
      <c r="AO453" s="109"/>
      <c r="AP453" s="109"/>
      <c r="AT453" s="149" t="s">
        <v>1510</v>
      </c>
      <c r="AU453" s="94" t="s">
        <v>1834</v>
      </c>
    </row>
    <row r="454" spans="1:47" ht="21" customHeight="1" x14ac:dyDescent="0.35">
      <c r="A454" s="262"/>
      <c r="B454" s="98" t="s">
        <v>17</v>
      </c>
      <c r="C454" s="99" t="s">
        <v>1511</v>
      </c>
      <c r="D454" s="100" t="s">
        <v>1512</v>
      </c>
      <c r="E454" s="101">
        <v>46139</v>
      </c>
      <c r="F454" s="102">
        <f t="shared" si="15"/>
        <v>0</v>
      </c>
      <c r="G454" s="150">
        <f>SUMIF(积分汇总!$B:$B,C454,积分汇总!$E:$E)</f>
        <v>0</v>
      </c>
      <c r="H454" s="150">
        <f>SUMIF(记录巡查问题条数汇总!$B:$B,C454,记录巡查问题条数汇总!$E:$E)</f>
        <v>0</v>
      </c>
      <c r="I454" s="150"/>
      <c r="J454" s="150">
        <f>SUMIF(安全质量事故!$B:$B,C454,安全质量事故!$G:$G)</f>
        <v>0</v>
      </c>
      <c r="K454" s="141">
        <f>COUNTIF(L454:AP454,标准数据!$A$2)*标准数据!$B$2+COUNTIF(L454:AP454,标准数据!$A$3)*标准数据!$B$3+COUNTIF(L454:AP454,标准数据!$A$4)*标准数据!$B$4</f>
        <v>0</v>
      </c>
      <c r="L454" s="109"/>
      <c r="M454" s="109"/>
      <c r="N454" s="109"/>
      <c r="O454" s="109"/>
      <c r="P454" s="109"/>
      <c r="Q454" s="109"/>
      <c r="R454" s="109"/>
      <c r="S454" s="109"/>
      <c r="T454" s="109"/>
      <c r="U454" s="109"/>
      <c r="V454" s="109"/>
      <c r="W454" s="109"/>
      <c r="X454" s="109"/>
      <c r="Y454" s="109"/>
      <c r="Z454" s="109"/>
      <c r="AA454" s="109"/>
      <c r="AB454" s="109"/>
      <c r="AC454" s="109"/>
      <c r="AD454" s="109"/>
      <c r="AE454" s="109"/>
      <c r="AF454" s="109"/>
      <c r="AG454" s="109"/>
      <c r="AH454" s="109"/>
      <c r="AI454" s="109"/>
      <c r="AJ454" s="109"/>
      <c r="AK454" s="109"/>
      <c r="AL454" s="109"/>
      <c r="AM454" s="109"/>
      <c r="AN454" s="109"/>
      <c r="AO454" s="109"/>
      <c r="AP454" s="109"/>
      <c r="AT454" s="149" t="s">
        <v>1512</v>
      </c>
      <c r="AU454" s="94" t="s">
        <v>1834</v>
      </c>
    </row>
    <row r="455" spans="1:47" ht="21" customHeight="1" x14ac:dyDescent="0.35">
      <c r="A455" s="262"/>
      <c r="B455" s="98" t="s">
        <v>17</v>
      </c>
      <c r="C455" s="100" t="s">
        <v>1513</v>
      </c>
      <c r="D455" s="105" t="s">
        <v>1514</v>
      </c>
      <c r="E455" s="99">
        <v>46139</v>
      </c>
      <c r="F455" s="102">
        <f t="shared" si="15"/>
        <v>0</v>
      </c>
      <c r="G455" s="150">
        <f>SUMIF(积分汇总!$B:$B,C455,积分汇总!$E:$E)</f>
        <v>0</v>
      </c>
      <c r="H455" s="150">
        <f>SUMIF(记录巡查问题条数汇总!$B:$B,C455,记录巡查问题条数汇总!$E:$E)</f>
        <v>0</v>
      </c>
      <c r="I455" s="150"/>
      <c r="J455" s="150">
        <f>SUMIF(安全质量事故!$B:$B,C455,安全质量事故!$G:$G)</f>
        <v>0</v>
      </c>
      <c r="K455" s="141">
        <f>COUNTIF(L455:AP455,标准数据!$A$2)*标准数据!$B$2+COUNTIF(L455:AP455,标准数据!$A$3)*标准数据!$B$3+COUNTIF(L455:AP455,标准数据!$A$4)*标准数据!$B$4</f>
        <v>0</v>
      </c>
      <c r="L455" s="109"/>
      <c r="M455" s="109"/>
      <c r="N455" s="109"/>
      <c r="O455" s="109"/>
      <c r="P455" s="109"/>
      <c r="Q455" s="109"/>
      <c r="R455" s="109"/>
      <c r="S455" s="109"/>
      <c r="T455" s="109"/>
      <c r="U455" s="109"/>
      <c r="V455" s="109"/>
      <c r="W455" s="109"/>
      <c r="X455" s="109"/>
      <c r="Y455" s="109"/>
      <c r="Z455" s="109"/>
      <c r="AA455" s="109"/>
      <c r="AB455" s="109"/>
      <c r="AC455" s="109"/>
      <c r="AD455" s="109"/>
      <c r="AE455" s="109"/>
      <c r="AF455" s="109"/>
      <c r="AG455" s="109"/>
      <c r="AH455" s="109"/>
      <c r="AI455" s="109"/>
      <c r="AJ455" s="109"/>
      <c r="AK455" s="109"/>
      <c r="AL455" s="109"/>
      <c r="AM455" s="109"/>
      <c r="AN455" s="109"/>
      <c r="AO455" s="109"/>
      <c r="AP455" s="109"/>
      <c r="AT455" s="149" t="s">
        <v>1514</v>
      </c>
      <c r="AU455" s="94" t="s">
        <v>1834</v>
      </c>
    </row>
    <row r="456" spans="1:47" ht="21" customHeight="1" x14ac:dyDescent="0.35">
      <c r="A456" s="262"/>
      <c r="B456" s="98" t="s">
        <v>17</v>
      </c>
      <c r="C456" s="100" t="s">
        <v>1515</v>
      </c>
      <c r="D456" s="105" t="s">
        <v>1516</v>
      </c>
      <c r="E456" s="99">
        <v>46139</v>
      </c>
      <c r="F456" s="102">
        <f t="shared" si="15"/>
        <v>0</v>
      </c>
      <c r="G456" s="150">
        <f>SUMIF(积分汇总!$B:$B,C456,积分汇总!$E:$E)</f>
        <v>0</v>
      </c>
      <c r="H456" s="150">
        <f>SUMIF(记录巡查问题条数汇总!$B:$B,C456,记录巡查问题条数汇总!$E:$E)</f>
        <v>0</v>
      </c>
      <c r="I456" s="150"/>
      <c r="J456" s="150">
        <f>SUMIF(安全质量事故!$B:$B,C456,安全质量事故!$G:$G)</f>
        <v>0</v>
      </c>
      <c r="K456" s="141">
        <f>COUNTIF(L456:AP456,标准数据!$A$2)*标准数据!$B$2+COUNTIF(L456:AP456,标准数据!$A$3)*标准数据!$B$3+COUNTIF(L456:AP456,标准数据!$A$4)*标准数据!$B$4</f>
        <v>0</v>
      </c>
      <c r="L456" s="109"/>
      <c r="M456" s="109"/>
      <c r="N456" s="109"/>
      <c r="O456" s="109"/>
      <c r="P456" s="109"/>
      <c r="Q456" s="109"/>
      <c r="R456" s="109"/>
      <c r="S456" s="109"/>
      <c r="T456" s="109"/>
      <c r="U456" s="109"/>
      <c r="V456" s="109"/>
      <c r="W456" s="109"/>
      <c r="X456" s="109"/>
      <c r="Y456" s="109"/>
      <c r="Z456" s="109"/>
      <c r="AA456" s="109"/>
      <c r="AB456" s="109"/>
      <c r="AC456" s="109"/>
      <c r="AD456" s="109"/>
      <c r="AE456" s="109"/>
      <c r="AF456" s="109"/>
      <c r="AG456" s="109"/>
      <c r="AH456" s="109"/>
      <c r="AI456" s="109"/>
      <c r="AJ456" s="109"/>
      <c r="AK456" s="109"/>
      <c r="AL456" s="109"/>
      <c r="AM456" s="109"/>
      <c r="AN456" s="109"/>
      <c r="AO456" s="109"/>
      <c r="AP456" s="109"/>
      <c r="AT456" s="149" t="s">
        <v>1516</v>
      </c>
      <c r="AU456" s="94" t="s">
        <v>1834</v>
      </c>
    </row>
    <row r="457" spans="1:47" ht="21" customHeight="1" x14ac:dyDescent="0.35">
      <c r="A457" s="262"/>
      <c r="B457" s="98" t="s">
        <v>17</v>
      </c>
      <c r="C457" s="99" t="s">
        <v>1517</v>
      </c>
      <c r="D457" s="100" t="s">
        <v>1518</v>
      </c>
      <c r="E457" s="101">
        <v>46139</v>
      </c>
      <c r="F457" s="102">
        <f t="shared" ref="F457:F534" si="16">(K457+G457+H457+I457-J457)</f>
        <v>0</v>
      </c>
      <c r="G457" s="150">
        <f>SUMIF(积分汇总!$B:$B,C457,积分汇总!$E:$E)</f>
        <v>0</v>
      </c>
      <c r="H457" s="150">
        <f>SUMIF(记录巡查问题条数汇总!$B:$B,C457,记录巡查问题条数汇总!$E:$E)</f>
        <v>0</v>
      </c>
      <c r="I457" s="150"/>
      <c r="J457" s="150">
        <f>SUMIF(安全质量事故!$B:$B,C457,安全质量事故!$G:$G)</f>
        <v>0</v>
      </c>
      <c r="K457" s="141">
        <f>COUNTIF(L457:AP457,标准数据!$A$2)*标准数据!$B$2+COUNTIF(L457:AP457,标准数据!$A$3)*标准数据!$B$3+COUNTIF(L457:AP457,标准数据!$A$4)*标准数据!$B$4</f>
        <v>0</v>
      </c>
      <c r="L457" s="109"/>
      <c r="M457" s="109"/>
      <c r="N457" s="109"/>
      <c r="O457" s="109"/>
      <c r="P457" s="109"/>
      <c r="Q457" s="109"/>
      <c r="R457" s="109"/>
      <c r="S457" s="109"/>
      <c r="T457" s="109"/>
      <c r="U457" s="109"/>
      <c r="V457" s="109"/>
      <c r="W457" s="109"/>
      <c r="X457" s="109"/>
      <c r="Y457" s="109"/>
      <c r="Z457" s="109"/>
      <c r="AA457" s="109"/>
      <c r="AB457" s="109"/>
      <c r="AC457" s="109"/>
      <c r="AD457" s="109"/>
      <c r="AE457" s="109"/>
      <c r="AF457" s="109"/>
      <c r="AG457" s="109"/>
      <c r="AH457" s="109"/>
      <c r="AI457" s="109"/>
      <c r="AJ457" s="109"/>
      <c r="AK457" s="109"/>
      <c r="AL457" s="109"/>
      <c r="AM457" s="109"/>
      <c r="AN457" s="109"/>
      <c r="AO457" s="109"/>
      <c r="AP457" s="109"/>
      <c r="AT457" s="149" t="s">
        <v>1518</v>
      </c>
      <c r="AU457" s="94" t="s">
        <v>1834</v>
      </c>
    </row>
    <row r="458" spans="1:47" s="104" customFormat="1" ht="21" customHeight="1" x14ac:dyDescent="0.35">
      <c r="A458" s="262"/>
      <c r="B458" s="98" t="s">
        <v>17</v>
      </c>
      <c r="C458" s="99" t="s">
        <v>1519</v>
      </c>
      <c r="D458" s="100" t="s">
        <v>1520</v>
      </c>
      <c r="E458" s="101">
        <v>46153</v>
      </c>
      <c r="F458" s="102">
        <f t="shared" si="16"/>
        <v>0</v>
      </c>
      <c r="G458" s="150">
        <f>SUMIF(积分汇总!$B:$B,C458,积分汇总!$E:$E)</f>
        <v>0</v>
      </c>
      <c r="H458" s="150">
        <f>SUMIF(记录巡查问题条数汇总!$B:$B,C458,记录巡查问题条数汇总!$E:$E)</f>
        <v>0</v>
      </c>
      <c r="I458" s="150"/>
      <c r="J458" s="150">
        <f>SUMIF(安全质量事故!$B:$B,C458,安全质量事故!$G:$G)</f>
        <v>0</v>
      </c>
      <c r="K458" s="141">
        <f>COUNTIF(L458:AP458,标准数据!$A$2)*标准数据!$B$2+COUNTIF(L458:AP458,标准数据!$A$3)*标准数据!$B$3+COUNTIF(L458:AP458,标准数据!$A$4)*标准数据!$B$4</f>
        <v>0</v>
      </c>
      <c r="L458" s="109"/>
      <c r="M458" s="109"/>
      <c r="N458" s="109"/>
      <c r="O458" s="109"/>
      <c r="P458" s="109"/>
      <c r="Q458" s="109"/>
      <c r="R458" s="109"/>
      <c r="S458" s="109"/>
      <c r="T458" s="109"/>
      <c r="U458" s="109"/>
      <c r="V458" s="109"/>
      <c r="W458" s="109"/>
      <c r="X458" s="109"/>
      <c r="Y458" s="109"/>
      <c r="Z458" s="185"/>
      <c r="AA458" s="185"/>
      <c r="AB458" s="185"/>
      <c r="AC458" s="185"/>
      <c r="AD458" s="185"/>
      <c r="AE458" s="185"/>
      <c r="AF458" s="185"/>
      <c r="AG458" s="185"/>
      <c r="AH458" s="185"/>
      <c r="AI458" s="185"/>
      <c r="AJ458" s="185"/>
      <c r="AK458" s="185"/>
      <c r="AL458" s="185"/>
      <c r="AM458" s="185"/>
      <c r="AN458" s="185"/>
      <c r="AO458" s="185"/>
      <c r="AP458" s="185"/>
      <c r="AT458" s="149" t="s">
        <v>1520</v>
      </c>
      <c r="AU458" s="94" t="s">
        <v>1834</v>
      </c>
    </row>
    <row r="459" spans="1:47" ht="21" customHeight="1" x14ac:dyDescent="0.35">
      <c r="A459" s="262"/>
      <c r="B459" s="98" t="s">
        <v>17</v>
      </c>
      <c r="C459" s="99" t="s">
        <v>1521</v>
      </c>
      <c r="D459" s="100" t="s">
        <v>1522</v>
      </c>
      <c r="E459" s="101">
        <v>46153</v>
      </c>
      <c r="F459" s="102">
        <f t="shared" si="16"/>
        <v>0</v>
      </c>
      <c r="G459" s="150">
        <f>SUMIF(积分汇总!$B:$B,C459,积分汇总!$E:$E)</f>
        <v>0</v>
      </c>
      <c r="H459" s="150">
        <f>SUMIF(记录巡查问题条数汇总!$B:$B,C459,记录巡查问题条数汇总!$E:$E)</f>
        <v>0</v>
      </c>
      <c r="I459" s="150"/>
      <c r="J459" s="150">
        <f>SUMIF(安全质量事故!$B:$B,C459,安全质量事故!$G:$G)</f>
        <v>0</v>
      </c>
      <c r="K459" s="141">
        <f>COUNTIF(L459:AP459,标准数据!$A$2)*标准数据!$B$2+COUNTIF(L459:AP459,标准数据!$A$3)*标准数据!$B$3+COUNTIF(L459:AP459,标准数据!$A$4)*标准数据!$B$4</f>
        <v>0</v>
      </c>
      <c r="L459" s="109"/>
      <c r="M459" s="109"/>
      <c r="N459" s="109"/>
      <c r="O459" s="109"/>
      <c r="P459" s="109"/>
      <c r="Q459" s="109"/>
      <c r="R459" s="109"/>
      <c r="S459" s="109"/>
      <c r="T459" s="109"/>
      <c r="U459" s="109"/>
      <c r="V459" s="109"/>
      <c r="W459" s="109"/>
      <c r="X459" s="109"/>
      <c r="Y459" s="109"/>
      <c r="Z459" s="109"/>
      <c r="AA459" s="109"/>
      <c r="AB459" s="109"/>
      <c r="AC459" s="109"/>
      <c r="AD459" s="109"/>
      <c r="AE459" s="109"/>
      <c r="AF459" s="109"/>
      <c r="AG459" s="109"/>
      <c r="AH459" s="109"/>
      <c r="AI459" s="109"/>
      <c r="AJ459" s="109"/>
      <c r="AK459" s="109"/>
      <c r="AL459" s="109"/>
      <c r="AM459" s="109"/>
      <c r="AN459" s="109"/>
      <c r="AO459" s="109"/>
      <c r="AP459" s="109"/>
      <c r="AQ459" s="94"/>
      <c r="AR459" s="94"/>
      <c r="AS459" s="94"/>
      <c r="AT459" s="149" t="s">
        <v>1522</v>
      </c>
      <c r="AU459" s="94" t="s">
        <v>1834</v>
      </c>
    </row>
    <row r="460" spans="1:47" ht="21" customHeight="1" x14ac:dyDescent="0.35">
      <c r="A460" s="262"/>
      <c r="B460" s="98" t="s">
        <v>17</v>
      </c>
      <c r="C460" s="99" t="s">
        <v>1523</v>
      </c>
      <c r="D460" s="100" t="s">
        <v>1524</v>
      </c>
      <c r="E460" s="101">
        <v>46155</v>
      </c>
      <c r="F460" s="102">
        <f t="shared" si="16"/>
        <v>0</v>
      </c>
      <c r="G460" s="150">
        <f>SUMIF(积分汇总!$B:$B,C460,积分汇总!$E:$E)</f>
        <v>0</v>
      </c>
      <c r="H460" s="150">
        <f>SUMIF(记录巡查问题条数汇总!$B:$B,C460,记录巡查问题条数汇总!$E:$E)</f>
        <v>0</v>
      </c>
      <c r="I460" s="150"/>
      <c r="J460" s="150">
        <f>SUMIF(安全质量事故!$B:$B,C460,安全质量事故!$G:$G)</f>
        <v>0</v>
      </c>
      <c r="K460" s="141">
        <f>COUNTIF(L460:AP460,标准数据!$A$2)*标准数据!$B$2+COUNTIF(L460:AP460,标准数据!$A$3)*标准数据!$B$3+COUNTIF(L460:AP460,标准数据!$A$4)*标准数据!$B$4</f>
        <v>0</v>
      </c>
      <c r="L460" s="109"/>
      <c r="M460" s="109"/>
      <c r="N460" s="109"/>
      <c r="O460" s="109"/>
      <c r="P460" s="109"/>
      <c r="Q460" s="109"/>
      <c r="R460" s="109"/>
      <c r="S460" s="109"/>
      <c r="T460" s="109"/>
      <c r="U460" s="109"/>
      <c r="V460" s="109"/>
      <c r="W460" s="109"/>
      <c r="X460" s="109"/>
      <c r="Y460" s="109"/>
      <c r="Z460" s="185"/>
      <c r="AA460" s="185"/>
      <c r="AB460" s="185"/>
      <c r="AC460" s="185"/>
      <c r="AD460" s="185"/>
      <c r="AE460" s="185"/>
      <c r="AF460" s="185"/>
      <c r="AG460" s="185"/>
      <c r="AH460" s="185"/>
      <c r="AI460" s="185"/>
      <c r="AJ460" s="185"/>
      <c r="AK460" s="185"/>
      <c r="AL460" s="185"/>
      <c r="AM460" s="185"/>
      <c r="AN460" s="185"/>
      <c r="AO460" s="185"/>
      <c r="AP460" s="185"/>
      <c r="AQ460" s="94"/>
      <c r="AR460" s="94"/>
      <c r="AS460" s="94"/>
      <c r="AT460" s="149" t="s">
        <v>1524</v>
      </c>
      <c r="AU460" s="94" t="s">
        <v>1834</v>
      </c>
    </row>
    <row r="461" spans="1:47" ht="21" customHeight="1" x14ac:dyDescent="0.35">
      <c r="A461" s="262"/>
      <c r="B461" s="98" t="s">
        <v>17</v>
      </c>
      <c r="C461" s="99" t="s">
        <v>1525</v>
      </c>
      <c r="D461" s="100" t="s">
        <v>1526</v>
      </c>
      <c r="E461" s="101">
        <v>46155</v>
      </c>
      <c r="F461" s="102">
        <f t="shared" ref="F461:F471" si="17">(K461+G461+H461+I461-J461)</f>
        <v>0</v>
      </c>
      <c r="G461" s="150">
        <f>SUMIF(积分汇总!$B:$B,C461,积分汇总!$E:$E)</f>
        <v>0</v>
      </c>
      <c r="H461" s="150">
        <f>SUMIF(记录巡查问题条数汇总!$B:$B,C461,记录巡查问题条数汇总!$E:$E)</f>
        <v>0</v>
      </c>
      <c r="I461" s="150"/>
      <c r="J461" s="150">
        <f>SUMIF(安全质量事故!$B:$B,C461,安全质量事故!$G:$G)</f>
        <v>0</v>
      </c>
      <c r="K461" s="141">
        <f>COUNTIF(L461:AP461,标准数据!$A$2)*标准数据!$B$2+COUNTIF(L461:AP461,标准数据!$A$3)*标准数据!$B$3+COUNTIF(L461:AP461,标准数据!$A$4)*标准数据!$B$4</f>
        <v>0</v>
      </c>
      <c r="L461" s="109"/>
      <c r="M461" s="109"/>
      <c r="N461" s="109"/>
      <c r="O461" s="109"/>
      <c r="P461" s="109"/>
      <c r="Q461" s="109"/>
      <c r="R461" s="109"/>
      <c r="S461" s="109"/>
      <c r="T461" s="109"/>
      <c r="U461" s="109"/>
      <c r="V461" s="109"/>
      <c r="W461" s="109"/>
      <c r="X461" s="109"/>
      <c r="Y461" s="109"/>
      <c r="Z461" s="109"/>
      <c r="AA461" s="109"/>
      <c r="AB461" s="109"/>
      <c r="AC461" s="109"/>
      <c r="AD461" s="109"/>
      <c r="AE461" s="109"/>
      <c r="AF461" s="109"/>
      <c r="AG461" s="109"/>
      <c r="AH461" s="109"/>
      <c r="AI461" s="109"/>
      <c r="AJ461" s="109"/>
      <c r="AK461" s="109"/>
      <c r="AL461" s="109"/>
      <c r="AM461" s="109"/>
      <c r="AN461" s="109"/>
      <c r="AO461" s="109"/>
      <c r="AP461" s="109"/>
      <c r="AT461" s="149" t="s">
        <v>1526</v>
      </c>
      <c r="AU461" s="94" t="s">
        <v>1834</v>
      </c>
    </row>
    <row r="462" spans="1:47" ht="21" customHeight="1" x14ac:dyDescent="0.35">
      <c r="A462" s="262"/>
      <c r="B462" s="98" t="s">
        <v>17</v>
      </c>
      <c r="C462" s="99" t="s">
        <v>1527</v>
      </c>
      <c r="D462" s="100" t="s">
        <v>1528</v>
      </c>
      <c r="E462" s="101">
        <v>46155</v>
      </c>
      <c r="F462" s="102">
        <f t="shared" si="17"/>
        <v>0</v>
      </c>
      <c r="G462" s="150">
        <f>SUMIF(积分汇总!$B:$B,C462,积分汇总!$E:$E)</f>
        <v>0</v>
      </c>
      <c r="H462" s="150">
        <f>SUMIF(记录巡查问题条数汇总!$B:$B,C462,记录巡查问题条数汇总!$E:$E)</f>
        <v>0</v>
      </c>
      <c r="I462" s="150"/>
      <c r="J462" s="150">
        <f>SUMIF(安全质量事故!$B:$B,C462,安全质量事故!$G:$G)</f>
        <v>0</v>
      </c>
      <c r="K462" s="141">
        <f>COUNTIF(L462:AP462,标准数据!$A$2)*标准数据!$B$2+COUNTIF(L462:AP462,标准数据!$A$3)*标准数据!$B$3+COUNTIF(L462:AP462,标准数据!$A$4)*标准数据!$B$4</f>
        <v>0</v>
      </c>
      <c r="L462" s="109"/>
      <c r="M462" s="109"/>
      <c r="N462" s="109"/>
      <c r="O462" s="109"/>
      <c r="P462" s="109"/>
      <c r="Q462" s="109"/>
      <c r="R462" s="109"/>
      <c r="S462" s="109"/>
      <c r="T462" s="109"/>
      <c r="U462" s="109"/>
      <c r="V462" s="109"/>
      <c r="W462" s="109"/>
      <c r="X462" s="109"/>
      <c r="Y462" s="109"/>
      <c r="Z462" s="109"/>
      <c r="AA462" s="109"/>
      <c r="AB462" s="109"/>
      <c r="AC462" s="109"/>
      <c r="AD462" s="109"/>
      <c r="AE462" s="109"/>
      <c r="AF462" s="109"/>
      <c r="AG462" s="109"/>
      <c r="AH462" s="109"/>
      <c r="AI462" s="109"/>
      <c r="AJ462" s="109"/>
      <c r="AK462" s="109"/>
      <c r="AL462" s="109"/>
      <c r="AM462" s="109"/>
      <c r="AN462" s="109"/>
      <c r="AO462" s="109"/>
      <c r="AP462" s="109"/>
      <c r="AT462" s="149" t="s">
        <v>1528</v>
      </c>
      <c r="AU462" s="94" t="s">
        <v>1834</v>
      </c>
    </row>
    <row r="463" spans="1:47" ht="21" customHeight="1" x14ac:dyDescent="0.35">
      <c r="A463" s="262"/>
      <c r="B463" s="98" t="s">
        <v>17</v>
      </c>
      <c r="C463" s="99" t="s">
        <v>1529</v>
      </c>
      <c r="D463" s="100" t="s">
        <v>1530</v>
      </c>
      <c r="E463" s="101">
        <v>46155</v>
      </c>
      <c r="F463" s="102">
        <f t="shared" si="17"/>
        <v>0</v>
      </c>
      <c r="G463" s="150">
        <f>SUMIF(积分汇总!$B:$B,C463,积分汇总!$E:$E)</f>
        <v>0</v>
      </c>
      <c r="H463" s="150">
        <f>SUMIF(记录巡查问题条数汇总!$B:$B,C463,记录巡查问题条数汇总!$E:$E)</f>
        <v>0</v>
      </c>
      <c r="I463" s="150"/>
      <c r="J463" s="150">
        <f>SUMIF(安全质量事故!$B:$B,C463,安全质量事故!$G:$G)</f>
        <v>0</v>
      </c>
      <c r="K463" s="141">
        <f>COUNTIF(L463:AP463,标准数据!$A$2)*标准数据!$B$2+COUNTIF(L463:AP463,标准数据!$A$3)*标准数据!$B$3+COUNTIF(L463:AP463,标准数据!$A$4)*标准数据!$B$4</f>
        <v>0</v>
      </c>
      <c r="L463" s="109"/>
      <c r="M463" s="109"/>
      <c r="N463" s="109"/>
      <c r="O463" s="109"/>
      <c r="P463" s="109"/>
      <c r="Q463" s="109"/>
      <c r="R463" s="109"/>
      <c r="S463" s="109"/>
      <c r="T463" s="109"/>
      <c r="U463" s="109"/>
      <c r="V463" s="109"/>
      <c r="W463" s="109"/>
      <c r="X463" s="109"/>
      <c r="Y463" s="109"/>
      <c r="Z463" s="109"/>
      <c r="AA463" s="109"/>
      <c r="AB463" s="109"/>
      <c r="AC463" s="109"/>
      <c r="AD463" s="109"/>
      <c r="AE463" s="109"/>
      <c r="AF463" s="109"/>
      <c r="AG463" s="109"/>
      <c r="AH463" s="109"/>
      <c r="AI463" s="109"/>
      <c r="AJ463" s="109"/>
      <c r="AK463" s="109"/>
      <c r="AL463" s="109"/>
      <c r="AM463" s="109"/>
      <c r="AN463" s="109"/>
      <c r="AO463" s="109"/>
      <c r="AP463" s="109"/>
      <c r="AT463" s="149" t="s">
        <v>1530</v>
      </c>
      <c r="AU463" s="94" t="s">
        <v>1834</v>
      </c>
    </row>
    <row r="464" spans="1:47" ht="21" customHeight="1" x14ac:dyDescent="0.35">
      <c r="A464" s="262"/>
      <c r="B464" s="98" t="s">
        <v>17</v>
      </c>
      <c r="C464" s="100" t="s">
        <v>1531</v>
      </c>
      <c r="D464" s="105" t="s">
        <v>1532</v>
      </c>
      <c r="E464" s="99">
        <v>46155</v>
      </c>
      <c r="F464" s="102">
        <f t="shared" si="17"/>
        <v>0</v>
      </c>
      <c r="G464" s="150">
        <f>SUMIF(积分汇总!$B:$B,C464,积分汇总!$E:$E)</f>
        <v>0</v>
      </c>
      <c r="H464" s="150">
        <f>SUMIF(记录巡查问题条数汇总!$B:$B,C464,记录巡查问题条数汇总!$E:$E)</f>
        <v>0</v>
      </c>
      <c r="I464" s="150"/>
      <c r="J464" s="150">
        <f>SUMIF(安全质量事故!$B:$B,C464,安全质量事故!$G:$G)</f>
        <v>0</v>
      </c>
      <c r="K464" s="141">
        <f>COUNTIF(L464:AP464,标准数据!$A$2)*标准数据!$B$2+COUNTIF(L464:AP464,标准数据!$A$3)*标准数据!$B$3+COUNTIF(L464:AP464,标准数据!$A$4)*标准数据!$B$4</f>
        <v>0</v>
      </c>
      <c r="L464" s="109"/>
      <c r="M464" s="109"/>
      <c r="N464" s="109"/>
      <c r="O464" s="109"/>
      <c r="P464" s="109"/>
      <c r="Q464" s="109"/>
      <c r="R464" s="109"/>
      <c r="S464" s="109"/>
      <c r="T464" s="109"/>
      <c r="U464" s="109"/>
      <c r="V464" s="109"/>
      <c r="W464" s="109"/>
      <c r="X464" s="109"/>
      <c r="Y464" s="109"/>
      <c r="Z464" s="109"/>
      <c r="AA464" s="109"/>
      <c r="AB464" s="109"/>
      <c r="AC464" s="109"/>
      <c r="AD464" s="109"/>
      <c r="AE464" s="109"/>
      <c r="AF464" s="109"/>
      <c r="AG464" s="109"/>
      <c r="AH464" s="109"/>
      <c r="AI464" s="109"/>
      <c r="AJ464" s="109"/>
      <c r="AK464" s="109"/>
      <c r="AL464" s="109"/>
      <c r="AM464" s="109"/>
      <c r="AN464" s="109"/>
      <c r="AO464" s="109"/>
      <c r="AP464" s="109"/>
      <c r="AT464" s="149" t="s">
        <v>1532</v>
      </c>
      <c r="AU464" s="94" t="s">
        <v>1834</v>
      </c>
    </row>
    <row r="465" spans="1:47" ht="21" customHeight="1" x14ac:dyDescent="0.35">
      <c r="A465" s="262"/>
      <c r="B465" s="98" t="s">
        <v>17</v>
      </c>
      <c r="C465" s="100" t="s">
        <v>1533</v>
      </c>
      <c r="D465" s="105" t="s">
        <v>1534</v>
      </c>
      <c r="E465" s="99">
        <v>46155</v>
      </c>
      <c r="F465" s="102">
        <f t="shared" si="17"/>
        <v>0</v>
      </c>
      <c r="G465" s="150">
        <f>SUMIF(积分汇总!$B:$B,C465,积分汇总!$E:$E)</f>
        <v>0</v>
      </c>
      <c r="H465" s="150">
        <f>SUMIF(记录巡查问题条数汇总!$B:$B,C465,记录巡查问题条数汇总!$E:$E)</f>
        <v>0</v>
      </c>
      <c r="I465" s="150"/>
      <c r="J465" s="150">
        <f>SUMIF(安全质量事故!$B:$B,C465,安全质量事故!$G:$G)</f>
        <v>0</v>
      </c>
      <c r="K465" s="141">
        <f>COUNTIF(L465:AP465,标准数据!$A$2)*标准数据!$B$2+COUNTIF(L465:AP465,标准数据!$A$3)*标准数据!$B$3+COUNTIF(L465:AP465,标准数据!$A$4)*标准数据!$B$4</f>
        <v>0</v>
      </c>
      <c r="L465" s="109"/>
      <c r="M465" s="109"/>
      <c r="N465" s="109"/>
      <c r="O465" s="109"/>
      <c r="P465" s="109"/>
      <c r="Q465" s="109"/>
      <c r="R465" s="109"/>
      <c r="S465" s="109"/>
      <c r="T465" s="109"/>
      <c r="U465" s="109"/>
      <c r="V465" s="109"/>
      <c r="W465" s="109"/>
      <c r="X465" s="109"/>
      <c r="Y465" s="109"/>
      <c r="Z465" s="109"/>
      <c r="AA465" s="109"/>
      <c r="AB465" s="109"/>
      <c r="AC465" s="109"/>
      <c r="AD465" s="109"/>
      <c r="AE465" s="109"/>
      <c r="AF465" s="109"/>
      <c r="AG465" s="109"/>
      <c r="AH465" s="109"/>
      <c r="AI465" s="109"/>
      <c r="AJ465" s="109"/>
      <c r="AK465" s="109"/>
      <c r="AL465" s="109"/>
      <c r="AM465" s="109"/>
      <c r="AN465" s="109"/>
      <c r="AO465" s="109"/>
      <c r="AP465" s="109"/>
      <c r="AT465" s="149" t="s">
        <v>1534</v>
      </c>
      <c r="AU465" s="94" t="s">
        <v>1834</v>
      </c>
    </row>
    <row r="466" spans="1:47" ht="21" customHeight="1" x14ac:dyDescent="0.35">
      <c r="A466" s="262"/>
      <c r="B466" s="98" t="s">
        <v>17</v>
      </c>
      <c r="C466" s="99" t="s">
        <v>1535</v>
      </c>
      <c r="D466" s="100" t="s">
        <v>1536</v>
      </c>
      <c r="E466" s="101">
        <v>46155</v>
      </c>
      <c r="F466" s="102">
        <f t="shared" si="17"/>
        <v>0</v>
      </c>
      <c r="G466" s="150">
        <f>SUMIF(积分汇总!$B:$B,C466,积分汇总!$E:$E)</f>
        <v>0</v>
      </c>
      <c r="H466" s="150">
        <f>SUMIF(记录巡查问题条数汇总!$B:$B,C466,记录巡查问题条数汇总!$E:$E)</f>
        <v>0</v>
      </c>
      <c r="I466" s="150"/>
      <c r="J466" s="150">
        <f>SUMIF(安全质量事故!$B:$B,C466,安全质量事故!$G:$G)</f>
        <v>0</v>
      </c>
      <c r="K466" s="141">
        <f>COUNTIF(L466:AP466,标准数据!$A$2)*标准数据!$B$2+COUNTIF(L466:AP466,标准数据!$A$3)*标准数据!$B$3+COUNTIF(L466:AP466,标准数据!$A$4)*标准数据!$B$4</f>
        <v>0</v>
      </c>
      <c r="L466" s="109"/>
      <c r="M466" s="109"/>
      <c r="N466" s="109"/>
      <c r="O466" s="109"/>
      <c r="P466" s="109"/>
      <c r="Q466" s="109"/>
      <c r="R466" s="109"/>
      <c r="S466" s="109"/>
      <c r="T466" s="109"/>
      <c r="U466" s="109"/>
      <c r="V466" s="109"/>
      <c r="W466" s="109"/>
      <c r="X466" s="109"/>
      <c r="Y466" s="109"/>
      <c r="Z466" s="109"/>
      <c r="AA466" s="109"/>
      <c r="AB466" s="109"/>
      <c r="AC466" s="109"/>
      <c r="AD466" s="109"/>
      <c r="AE466" s="109"/>
      <c r="AF466" s="109"/>
      <c r="AG466" s="109"/>
      <c r="AH466" s="109"/>
      <c r="AI466" s="109"/>
      <c r="AJ466" s="109"/>
      <c r="AK466" s="109"/>
      <c r="AL466" s="109"/>
      <c r="AM466" s="109"/>
      <c r="AN466" s="109"/>
      <c r="AO466" s="109"/>
      <c r="AP466" s="109"/>
      <c r="AT466" s="149" t="s">
        <v>1536</v>
      </c>
      <c r="AU466" s="94" t="s">
        <v>1834</v>
      </c>
    </row>
    <row r="467" spans="1:47" s="104" customFormat="1" ht="21" customHeight="1" x14ac:dyDescent="0.35">
      <c r="A467" s="262"/>
      <c r="B467" s="98" t="s">
        <v>17</v>
      </c>
      <c r="C467" s="99" t="s">
        <v>1537</v>
      </c>
      <c r="D467" s="100" t="s">
        <v>1538</v>
      </c>
      <c r="E467" s="101">
        <v>46155</v>
      </c>
      <c r="F467" s="102">
        <f t="shared" si="17"/>
        <v>0</v>
      </c>
      <c r="G467" s="150">
        <f>SUMIF(积分汇总!$B:$B,C467,积分汇总!$E:$E)</f>
        <v>0</v>
      </c>
      <c r="H467" s="150">
        <f>SUMIF(记录巡查问题条数汇总!$B:$B,C467,记录巡查问题条数汇总!$E:$E)</f>
        <v>0</v>
      </c>
      <c r="I467" s="150"/>
      <c r="J467" s="150">
        <f>SUMIF(安全质量事故!$B:$B,C467,安全质量事故!$G:$G)</f>
        <v>0</v>
      </c>
      <c r="K467" s="141">
        <f>COUNTIF(L467:AP467,标准数据!$A$2)*标准数据!$B$2+COUNTIF(L467:AP467,标准数据!$A$3)*标准数据!$B$3+COUNTIF(L467:AP467,标准数据!$A$4)*标准数据!$B$4</f>
        <v>0</v>
      </c>
      <c r="L467" s="109"/>
      <c r="M467" s="109"/>
      <c r="N467" s="109"/>
      <c r="O467" s="109"/>
      <c r="P467" s="109"/>
      <c r="Q467" s="109"/>
      <c r="R467" s="109"/>
      <c r="S467" s="109"/>
      <c r="T467" s="109"/>
      <c r="U467" s="109"/>
      <c r="V467" s="109"/>
      <c r="W467" s="109"/>
      <c r="X467" s="109"/>
      <c r="Y467" s="109"/>
      <c r="Z467" s="185"/>
      <c r="AA467" s="185"/>
      <c r="AB467" s="185"/>
      <c r="AC467" s="185"/>
      <c r="AD467" s="185"/>
      <c r="AE467" s="185"/>
      <c r="AF467" s="185"/>
      <c r="AG467" s="185"/>
      <c r="AH467" s="185"/>
      <c r="AI467" s="185"/>
      <c r="AJ467" s="185"/>
      <c r="AK467" s="185"/>
      <c r="AL467" s="185"/>
      <c r="AM467" s="185"/>
      <c r="AN467" s="185"/>
      <c r="AO467" s="185"/>
      <c r="AP467" s="185"/>
      <c r="AT467" s="149" t="s">
        <v>1538</v>
      </c>
      <c r="AU467" s="94" t="s">
        <v>1834</v>
      </c>
    </row>
    <row r="468" spans="1:47" ht="21" customHeight="1" x14ac:dyDescent="0.35">
      <c r="A468" s="262"/>
      <c r="B468" s="98" t="s">
        <v>17</v>
      </c>
      <c r="C468" s="99" t="s">
        <v>946</v>
      </c>
      <c r="D468" s="100" t="s">
        <v>887</v>
      </c>
      <c r="E468" s="101">
        <v>45987</v>
      </c>
      <c r="F468" s="102">
        <f t="shared" si="17"/>
        <v>0</v>
      </c>
      <c r="G468" s="150">
        <f>SUMIF(积分汇总!$B:$B,C468,积分汇总!$E:$E)</f>
        <v>0</v>
      </c>
      <c r="H468" s="150">
        <f>SUMIF(记录巡查问题条数汇总!$B:$B,C468,记录巡查问题条数汇总!$E:$E)</f>
        <v>0</v>
      </c>
      <c r="I468" s="150"/>
      <c r="J468" s="150">
        <f>SUMIF(安全质量事故!$B:$B,C468,安全质量事故!$G:$G)</f>
        <v>0</v>
      </c>
      <c r="K468" s="141">
        <f>COUNTIF(L468:AP468,标准数据!$A$2)*标准数据!$B$2+COUNTIF(L468:AP468,标准数据!$A$3)*标准数据!$B$3+COUNTIF(L468:AP468,标准数据!$A$4)*标准数据!$B$4</f>
        <v>0</v>
      </c>
      <c r="L468" s="185"/>
      <c r="M468" s="185"/>
      <c r="N468" s="185"/>
      <c r="O468" s="185"/>
      <c r="P468" s="185"/>
      <c r="Q468" s="109"/>
      <c r="R468" s="109"/>
      <c r="S468" s="109"/>
      <c r="T468" s="109"/>
      <c r="U468" s="109"/>
      <c r="V468" s="109"/>
      <c r="W468" s="109"/>
      <c r="X468" s="109"/>
      <c r="Y468" s="109"/>
      <c r="Z468" s="109"/>
      <c r="AA468" s="109"/>
      <c r="AB468" s="109"/>
      <c r="AC468" s="109"/>
      <c r="AD468" s="109"/>
      <c r="AE468" s="109"/>
      <c r="AF468" s="109"/>
      <c r="AG468" s="109"/>
      <c r="AH468" s="109"/>
      <c r="AI468" s="109"/>
      <c r="AJ468" s="109"/>
      <c r="AK468" s="109"/>
      <c r="AL468" s="109"/>
      <c r="AM468" s="109"/>
      <c r="AN468" s="109"/>
      <c r="AO468" s="109"/>
      <c r="AP468" s="109"/>
      <c r="AT468" s="149" t="s">
        <v>887</v>
      </c>
      <c r="AU468" s="94" t="s">
        <v>1832</v>
      </c>
    </row>
    <row r="469" spans="1:47" ht="21" customHeight="1" x14ac:dyDescent="0.35">
      <c r="A469" s="262"/>
      <c r="B469" s="98" t="s">
        <v>17</v>
      </c>
      <c r="C469" s="99" t="s">
        <v>1000</v>
      </c>
      <c r="D469" s="100" t="s">
        <v>982</v>
      </c>
      <c r="E469" s="101">
        <v>45882</v>
      </c>
      <c r="F469" s="102">
        <f t="shared" si="17"/>
        <v>0</v>
      </c>
      <c r="G469" s="150">
        <f>SUMIF(积分汇总!$B:$B,C469,积分汇总!$E:$E)</f>
        <v>0</v>
      </c>
      <c r="H469" s="150">
        <f>SUMIF(记录巡查问题条数汇总!$B:$B,C469,记录巡查问题条数汇总!$E:$E)</f>
        <v>0</v>
      </c>
      <c r="I469" s="150"/>
      <c r="J469" s="150">
        <f>SUMIF(安全质量事故!$B:$B,C469,安全质量事故!$G:$G)</f>
        <v>0</v>
      </c>
      <c r="K469" s="141">
        <f>COUNTIF(L469:AP469,标准数据!$A$2)*标准数据!$B$2+COUNTIF(L469:AP469,标准数据!$A$3)*标准数据!$B$3+COUNTIF(L469:AP469,标准数据!$A$4)*标准数据!$B$4</f>
        <v>0</v>
      </c>
      <c r="L469" s="185"/>
      <c r="M469" s="185"/>
      <c r="N469" s="185"/>
      <c r="O469" s="185"/>
      <c r="P469" s="185"/>
      <c r="Q469" s="185"/>
      <c r="R469" s="185"/>
      <c r="S469" s="185"/>
      <c r="T469" s="185"/>
      <c r="U469" s="185"/>
      <c r="V469" s="185"/>
      <c r="W469" s="185"/>
      <c r="X469" s="185"/>
      <c r="Y469" s="185"/>
      <c r="Z469" s="185"/>
      <c r="AA469" s="185"/>
      <c r="AB469" s="185"/>
      <c r="AC469" s="185"/>
      <c r="AD469" s="185"/>
      <c r="AE469" s="185"/>
      <c r="AF469" s="185"/>
      <c r="AG469" s="185"/>
      <c r="AH469" s="185"/>
      <c r="AI469" s="185"/>
      <c r="AJ469" s="185"/>
      <c r="AK469" s="185"/>
      <c r="AL469" s="185"/>
      <c r="AM469" s="185"/>
      <c r="AN469" s="185"/>
      <c r="AO469" s="185"/>
      <c r="AP469" s="185"/>
      <c r="AQ469" s="94"/>
      <c r="AR469" s="94"/>
      <c r="AS469" s="94"/>
      <c r="AT469" s="149" t="s">
        <v>982</v>
      </c>
      <c r="AU469" s="94" t="s">
        <v>1832</v>
      </c>
    </row>
    <row r="470" spans="1:47" ht="21" customHeight="1" x14ac:dyDescent="0.35">
      <c r="A470" s="262"/>
      <c r="B470" s="98" t="s">
        <v>17</v>
      </c>
      <c r="C470" s="99" t="s">
        <v>1001</v>
      </c>
      <c r="D470" s="100" t="s">
        <v>983</v>
      </c>
      <c r="E470" s="101">
        <v>45889</v>
      </c>
      <c r="F470" s="102">
        <f t="shared" si="17"/>
        <v>0</v>
      </c>
      <c r="G470" s="150">
        <f>SUMIF(积分汇总!$B:$B,C470,积分汇总!$E:$E)</f>
        <v>0</v>
      </c>
      <c r="H470" s="150">
        <f>SUMIF(记录巡查问题条数汇总!$B:$B,C470,记录巡查问题条数汇总!$E:$E)</f>
        <v>0</v>
      </c>
      <c r="I470" s="150"/>
      <c r="J470" s="150">
        <f>SUMIF(安全质量事故!$B:$B,C470,安全质量事故!$G:$G)</f>
        <v>0</v>
      </c>
      <c r="K470" s="141">
        <f>COUNTIF(L470:AP470,标准数据!$A$2)*标准数据!$B$2+COUNTIF(L470:AP470,标准数据!$A$3)*标准数据!$B$3+COUNTIF(L470:AP470,标准数据!$A$4)*标准数据!$B$4</f>
        <v>0</v>
      </c>
      <c r="L470" s="185"/>
      <c r="M470" s="185"/>
      <c r="N470" s="185"/>
      <c r="O470" s="185"/>
      <c r="P470" s="185"/>
      <c r="Q470" s="109"/>
      <c r="R470" s="109"/>
      <c r="S470" s="109"/>
      <c r="T470" s="109"/>
      <c r="U470" s="109"/>
      <c r="V470" s="109"/>
      <c r="W470" s="109"/>
      <c r="X470" s="109"/>
      <c r="Y470" s="109"/>
      <c r="Z470" s="109"/>
      <c r="AA470" s="109"/>
      <c r="AB470" s="109"/>
      <c r="AC470" s="109"/>
      <c r="AD470" s="109"/>
      <c r="AE470" s="109"/>
      <c r="AF470" s="109"/>
      <c r="AG470" s="109"/>
      <c r="AH470" s="109"/>
      <c r="AI470" s="109"/>
      <c r="AJ470" s="109"/>
      <c r="AK470" s="109"/>
      <c r="AL470" s="109"/>
      <c r="AM470" s="109"/>
      <c r="AN470" s="109"/>
      <c r="AO470" s="109"/>
      <c r="AP470" s="109"/>
      <c r="AT470" s="149" t="s">
        <v>983</v>
      </c>
      <c r="AU470" s="94" t="s">
        <v>1832</v>
      </c>
    </row>
    <row r="471" spans="1:47" ht="21" customHeight="1" x14ac:dyDescent="0.35">
      <c r="A471" s="262"/>
      <c r="B471" s="98" t="s">
        <v>17</v>
      </c>
      <c r="C471" s="99" t="s">
        <v>920</v>
      </c>
      <c r="D471" s="100" t="s">
        <v>877</v>
      </c>
      <c r="E471" s="101">
        <v>45462</v>
      </c>
      <c r="F471" s="102">
        <f t="shared" si="17"/>
        <v>0</v>
      </c>
      <c r="G471" s="150">
        <f>SUMIF(积分汇总!$B:$B,C471,积分汇总!$E:$E)</f>
        <v>0</v>
      </c>
      <c r="H471" s="150">
        <f>SUMIF(记录巡查问题条数汇总!$B:$B,C471,记录巡查问题条数汇总!$E:$E)</f>
        <v>0</v>
      </c>
      <c r="I471" s="150"/>
      <c r="J471" s="150">
        <f>SUMIF(安全质量事故!$B:$B,C471,安全质量事故!$G:$G)</f>
        <v>0</v>
      </c>
      <c r="K471" s="141">
        <f>COUNTIF(L471:AP471,标准数据!$A$2)*标准数据!$B$2+COUNTIF(L471:AP471,标准数据!$A$3)*标准数据!$B$3+COUNTIF(L471:AP471,标准数据!$A$4)*标准数据!$B$4</f>
        <v>0</v>
      </c>
      <c r="L471" s="109"/>
      <c r="M471" s="109"/>
      <c r="N471" s="109"/>
      <c r="O471" s="109"/>
      <c r="P471" s="109"/>
      <c r="Q471" s="109"/>
      <c r="R471" s="109"/>
      <c r="S471" s="109"/>
      <c r="T471" s="109"/>
      <c r="U471" s="109"/>
      <c r="V471" s="109"/>
      <c r="W471" s="109"/>
      <c r="X471" s="109"/>
      <c r="Y471" s="109"/>
      <c r="Z471" s="109"/>
      <c r="AA471" s="109"/>
      <c r="AB471" s="109"/>
      <c r="AC471" s="109"/>
      <c r="AD471" s="109"/>
      <c r="AE471" s="109"/>
      <c r="AF471" s="109"/>
      <c r="AG471" s="109"/>
      <c r="AH471" s="109"/>
      <c r="AI471" s="109"/>
      <c r="AJ471" s="109"/>
      <c r="AK471" s="109"/>
      <c r="AL471" s="109"/>
      <c r="AM471" s="109"/>
      <c r="AN471" s="109"/>
      <c r="AO471" s="109"/>
      <c r="AP471" s="109"/>
      <c r="AT471" s="149" t="s">
        <v>877</v>
      </c>
      <c r="AU471" s="94" t="s">
        <v>1833</v>
      </c>
    </row>
    <row r="472" spans="1:47" ht="21" customHeight="1" x14ac:dyDescent="0.35">
      <c r="A472" s="262"/>
      <c r="B472" s="98" t="s">
        <v>17</v>
      </c>
      <c r="C472" s="214" t="s">
        <v>1675</v>
      </c>
      <c r="D472" s="216" t="s">
        <v>1676</v>
      </c>
      <c r="E472" s="217">
        <v>46169</v>
      </c>
      <c r="F472" s="102">
        <f t="shared" si="16"/>
        <v>0</v>
      </c>
      <c r="G472" s="150">
        <f>SUMIF(积分汇总!$B:$B,C472,积分汇总!$E:$E)</f>
        <v>0</v>
      </c>
      <c r="H472" s="150">
        <f>SUMIF(记录巡查问题条数汇总!$B:$B,C472,记录巡查问题条数汇总!$E:$E)</f>
        <v>0</v>
      </c>
      <c r="I472" s="150"/>
      <c r="J472" s="150">
        <f>SUMIF(安全质量事故!$B:$B,C472,安全质量事故!$G:$G)</f>
        <v>0</v>
      </c>
      <c r="K472" s="141">
        <f>COUNTIF(L472:AP472,标准数据!$A$2)*标准数据!$B$2+COUNTIF(L472:AP472,标准数据!$A$3)*标准数据!$B$3+COUNTIF(L472:AP472,标准数据!$A$4)*标准数据!$B$4</f>
        <v>0</v>
      </c>
      <c r="L472" s="109"/>
      <c r="M472" s="109"/>
      <c r="N472" s="109"/>
      <c r="O472" s="109"/>
      <c r="P472" s="109"/>
      <c r="Q472" s="109"/>
      <c r="R472" s="109"/>
      <c r="S472" s="109"/>
      <c r="T472" s="109"/>
      <c r="U472" s="109"/>
      <c r="V472" s="109"/>
      <c r="W472" s="109"/>
      <c r="X472" s="109"/>
      <c r="Y472" s="109"/>
      <c r="Z472" s="109"/>
      <c r="AA472" s="109"/>
      <c r="AB472" s="109"/>
      <c r="AC472" s="109"/>
      <c r="AD472" s="109"/>
      <c r="AE472" s="109"/>
      <c r="AF472" s="109"/>
      <c r="AG472" s="109"/>
      <c r="AH472" s="109"/>
      <c r="AI472" s="109"/>
      <c r="AJ472" s="109"/>
      <c r="AK472" s="109"/>
      <c r="AL472" s="109"/>
      <c r="AM472" s="109"/>
      <c r="AN472" s="109"/>
      <c r="AO472" s="109"/>
      <c r="AP472" s="109"/>
      <c r="AT472" s="149" t="s">
        <v>1676</v>
      </c>
      <c r="AU472" s="94" t="s">
        <v>1832</v>
      </c>
    </row>
    <row r="473" spans="1:47" ht="21" customHeight="1" x14ac:dyDescent="0.35">
      <c r="A473" s="262"/>
      <c r="B473" s="98" t="s">
        <v>17</v>
      </c>
      <c r="C473" s="214" t="s">
        <v>1677</v>
      </c>
      <c r="D473" s="216" t="s">
        <v>1678</v>
      </c>
      <c r="E473" s="217">
        <v>46169</v>
      </c>
      <c r="F473" s="102">
        <f t="shared" si="16"/>
        <v>0</v>
      </c>
      <c r="G473" s="150">
        <f>SUMIF(积分汇总!$B:$B,C473,积分汇总!$E:$E)</f>
        <v>0</v>
      </c>
      <c r="H473" s="150">
        <f>SUMIF(记录巡查问题条数汇总!$B:$B,C473,记录巡查问题条数汇总!$E:$E)</f>
        <v>0</v>
      </c>
      <c r="I473" s="150"/>
      <c r="J473" s="150">
        <f>SUMIF(安全质量事故!$B:$B,C473,安全质量事故!$G:$G)</f>
        <v>0</v>
      </c>
      <c r="K473" s="141">
        <f>COUNTIF(L473:AP473,标准数据!$A$2)*标准数据!$B$2+COUNTIF(L473:AP473,标准数据!$A$3)*标准数据!$B$3+COUNTIF(L473:AP473,标准数据!$A$4)*标准数据!$B$4</f>
        <v>0</v>
      </c>
      <c r="L473" s="109"/>
      <c r="M473" s="109"/>
      <c r="N473" s="109"/>
      <c r="O473" s="109"/>
      <c r="P473" s="109"/>
      <c r="Q473" s="109"/>
      <c r="R473" s="109"/>
      <c r="S473" s="109"/>
      <c r="T473" s="109"/>
      <c r="U473" s="109"/>
      <c r="V473" s="109"/>
      <c r="W473" s="109"/>
      <c r="X473" s="109"/>
      <c r="Y473" s="109"/>
      <c r="Z473" s="109"/>
      <c r="AA473" s="109"/>
      <c r="AB473" s="109"/>
      <c r="AC473" s="109"/>
      <c r="AD473" s="109"/>
      <c r="AE473" s="109"/>
      <c r="AF473" s="109"/>
      <c r="AG473" s="109"/>
      <c r="AH473" s="109"/>
      <c r="AI473" s="109"/>
      <c r="AJ473" s="109"/>
      <c r="AK473" s="109"/>
      <c r="AL473" s="109"/>
      <c r="AM473" s="109"/>
      <c r="AN473" s="109"/>
      <c r="AO473" s="109"/>
      <c r="AP473" s="109"/>
      <c r="AT473" s="149" t="s">
        <v>1678</v>
      </c>
      <c r="AU473" s="94" t="s">
        <v>1832</v>
      </c>
    </row>
    <row r="474" spans="1:47" ht="21" customHeight="1" x14ac:dyDescent="0.35">
      <c r="A474" s="262"/>
      <c r="B474" s="98" t="s">
        <v>17</v>
      </c>
      <c r="C474" s="214" t="s">
        <v>1679</v>
      </c>
      <c r="D474" s="216" t="s">
        <v>1680</v>
      </c>
      <c r="E474" s="217">
        <v>46169</v>
      </c>
      <c r="F474" s="102">
        <f t="shared" si="16"/>
        <v>0</v>
      </c>
      <c r="G474" s="150">
        <f>SUMIF(积分汇总!$B:$B,C474,积分汇总!$E:$E)</f>
        <v>0</v>
      </c>
      <c r="H474" s="150">
        <f>SUMIF(记录巡查问题条数汇总!$B:$B,C474,记录巡查问题条数汇总!$E:$E)</f>
        <v>0</v>
      </c>
      <c r="I474" s="150"/>
      <c r="J474" s="150">
        <f>SUMIF(安全质量事故!$B:$B,C474,安全质量事故!$G:$G)</f>
        <v>0</v>
      </c>
      <c r="K474" s="141">
        <f>COUNTIF(L474:AP474,标准数据!$A$2)*标准数据!$B$2+COUNTIF(L474:AP474,标准数据!$A$3)*标准数据!$B$3+COUNTIF(L474:AP474,标准数据!$A$4)*标准数据!$B$4</f>
        <v>0</v>
      </c>
      <c r="L474" s="109"/>
      <c r="M474" s="109"/>
      <c r="N474" s="109"/>
      <c r="O474" s="109"/>
      <c r="P474" s="109"/>
      <c r="Q474" s="109"/>
      <c r="R474" s="109"/>
      <c r="S474" s="109"/>
      <c r="T474" s="109"/>
      <c r="U474" s="109"/>
      <c r="V474" s="109"/>
      <c r="W474" s="109"/>
      <c r="X474" s="109"/>
      <c r="Y474" s="109"/>
      <c r="Z474" s="109"/>
      <c r="AA474" s="109"/>
      <c r="AB474" s="109"/>
      <c r="AC474" s="109"/>
      <c r="AD474" s="109"/>
      <c r="AE474" s="109"/>
      <c r="AF474" s="109"/>
      <c r="AG474" s="109"/>
      <c r="AH474" s="109"/>
      <c r="AI474" s="109"/>
      <c r="AJ474" s="109"/>
      <c r="AK474" s="109"/>
      <c r="AL474" s="109"/>
      <c r="AM474" s="109"/>
      <c r="AN474" s="109"/>
      <c r="AO474" s="109"/>
      <c r="AP474" s="109"/>
      <c r="AT474" s="149" t="s">
        <v>1680</v>
      </c>
      <c r="AU474" s="94" t="s">
        <v>1832</v>
      </c>
    </row>
    <row r="475" spans="1:47" ht="21" customHeight="1" x14ac:dyDescent="0.35">
      <c r="A475" s="262"/>
      <c r="B475" s="98" t="s">
        <v>17</v>
      </c>
      <c r="C475" s="216" t="s">
        <v>1681</v>
      </c>
      <c r="D475" s="215" t="s">
        <v>1682</v>
      </c>
      <c r="E475" s="214">
        <v>46169</v>
      </c>
      <c r="F475" s="102">
        <f t="shared" si="16"/>
        <v>0</v>
      </c>
      <c r="G475" s="150">
        <f>SUMIF(积分汇总!$B:$B,C475,积分汇总!$E:$E)</f>
        <v>0</v>
      </c>
      <c r="H475" s="150">
        <f>SUMIF(记录巡查问题条数汇总!$B:$B,C475,记录巡查问题条数汇总!$E:$E)</f>
        <v>0</v>
      </c>
      <c r="I475" s="150"/>
      <c r="J475" s="150">
        <f>SUMIF(安全质量事故!$B:$B,C475,安全质量事故!$G:$G)</f>
        <v>0</v>
      </c>
      <c r="K475" s="141">
        <f>COUNTIF(L475:AP475,标准数据!$A$2)*标准数据!$B$2+COUNTIF(L475:AP475,标准数据!$A$3)*标准数据!$B$3+COUNTIF(L475:AP475,标准数据!$A$4)*标准数据!$B$4</f>
        <v>0</v>
      </c>
      <c r="L475" s="109"/>
      <c r="M475" s="109"/>
      <c r="N475" s="109"/>
      <c r="O475" s="109"/>
      <c r="P475" s="109"/>
      <c r="Q475" s="109"/>
      <c r="R475" s="109"/>
      <c r="S475" s="109"/>
      <c r="T475" s="109"/>
      <c r="U475" s="109"/>
      <c r="V475" s="109"/>
      <c r="W475" s="109"/>
      <c r="X475" s="109"/>
      <c r="Y475" s="109"/>
      <c r="Z475" s="109"/>
      <c r="AA475" s="109"/>
      <c r="AB475" s="109"/>
      <c r="AC475" s="109"/>
      <c r="AD475" s="109"/>
      <c r="AE475" s="109"/>
      <c r="AF475" s="109"/>
      <c r="AG475" s="109"/>
      <c r="AH475" s="109"/>
      <c r="AI475" s="109"/>
      <c r="AJ475" s="109"/>
      <c r="AK475" s="109"/>
      <c r="AL475" s="109"/>
      <c r="AM475" s="109"/>
      <c r="AN475" s="109"/>
      <c r="AO475" s="109"/>
      <c r="AP475" s="109"/>
      <c r="AT475" s="149" t="s">
        <v>1682</v>
      </c>
      <c r="AU475" s="94" t="s">
        <v>1832</v>
      </c>
    </row>
    <row r="476" spans="1:47" ht="21" customHeight="1" x14ac:dyDescent="0.35">
      <c r="A476" s="262"/>
      <c r="B476" s="98" t="s">
        <v>17</v>
      </c>
      <c r="C476" s="216" t="s">
        <v>1683</v>
      </c>
      <c r="D476" s="215" t="s">
        <v>1684</v>
      </c>
      <c r="E476" s="214">
        <v>46169</v>
      </c>
      <c r="F476" s="102">
        <f t="shared" si="16"/>
        <v>0</v>
      </c>
      <c r="G476" s="150">
        <f>SUMIF(积分汇总!$B:$B,C476,积分汇总!$E:$E)</f>
        <v>0</v>
      </c>
      <c r="H476" s="150">
        <f>SUMIF(记录巡查问题条数汇总!$B:$B,C476,记录巡查问题条数汇总!$E:$E)</f>
        <v>0</v>
      </c>
      <c r="I476" s="150"/>
      <c r="J476" s="150">
        <f>SUMIF(安全质量事故!$B:$B,C476,安全质量事故!$G:$G)</f>
        <v>0</v>
      </c>
      <c r="K476" s="141">
        <f>COUNTIF(L476:AP476,标准数据!$A$2)*标准数据!$B$2+COUNTIF(L476:AP476,标准数据!$A$3)*标准数据!$B$3+COUNTIF(L476:AP476,标准数据!$A$4)*标准数据!$B$4</f>
        <v>0</v>
      </c>
      <c r="L476" s="109"/>
      <c r="M476" s="109"/>
      <c r="N476" s="109"/>
      <c r="O476" s="109"/>
      <c r="P476" s="109"/>
      <c r="Q476" s="109"/>
      <c r="R476" s="109"/>
      <c r="S476" s="109"/>
      <c r="T476" s="109"/>
      <c r="U476" s="109"/>
      <c r="V476" s="109"/>
      <c r="W476" s="109"/>
      <c r="X476" s="109"/>
      <c r="Y476" s="109"/>
      <c r="Z476" s="109"/>
      <c r="AA476" s="109"/>
      <c r="AB476" s="109"/>
      <c r="AC476" s="109"/>
      <c r="AD476" s="109"/>
      <c r="AE476" s="109"/>
      <c r="AF476" s="109"/>
      <c r="AG476" s="109"/>
      <c r="AH476" s="109"/>
      <c r="AI476" s="109"/>
      <c r="AJ476" s="109"/>
      <c r="AK476" s="109"/>
      <c r="AL476" s="109"/>
      <c r="AM476" s="109"/>
      <c r="AN476" s="109"/>
      <c r="AO476" s="109"/>
      <c r="AP476" s="109"/>
      <c r="AT476" s="149" t="s">
        <v>1684</v>
      </c>
      <c r="AU476" s="94" t="s">
        <v>1832</v>
      </c>
    </row>
    <row r="477" spans="1:47" ht="21" customHeight="1" x14ac:dyDescent="0.35">
      <c r="A477" s="262"/>
      <c r="B477" s="98" t="s">
        <v>17</v>
      </c>
      <c r="C477" s="214" t="s">
        <v>1685</v>
      </c>
      <c r="D477" s="216" t="s">
        <v>1686</v>
      </c>
      <c r="E477" s="217">
        <v>46050</v>
      </c>
      <c r="F477" s="102">
        <f t="shared" si="16"/>
        <v>0</v>
      </c>
      <c r="G477" s="150">
        <f>SUMIF(积分汇总!$B:$B,C477,积分汇总!$E:$E)</f>
        <v>0</v>
      </c>
      <c r="H477" s="150">
        <f>SUMIF(记录巡查问题条数汇总!$B:$B,C477,记录巡查问题条数汇总!$E:$E)</f>
        <v>0</v>
      </c>
      <c r="I477" s="150"/>
      <c r="J477" s="150">
        <f>SUMIF(安全质量事故!$B:$B,C477,安全质量事故!$G:$G)</f>
        <v>0</v>
      </c>
      <c r="K477" s="141">
        <f>COUNTIF(L477:AP477,标准数据!$A$2)*标准数据!$B$2+COUNTIF(L477:AP477,标准数据!$A$3)*标准数据!$B$3+COUNTIF(L477:AP477,标准数据!$A$4)*标准数据!$B$4</f>
        <v>0</v>
      </c>
      <c r="L477" s="109"/>
      <c r="M477" s="109"/>
      <c r="N477" s="109"/>
      <c r="O477" s="109"/>
      <c r="P477" s="109"/>
      <c r="Q477" s="109"/>
      <c r="R477" s="109"/>
      <c r="S477" s="109"/>
      <c r="T477" s="109"/>
      <c r="U477" s="109"/>
      <c r="V477" s="109"/>
      <c r="W477" s="109"/>
      <c r="X477" s="109"/>
      <c r="Y477" s="109"/>
      <c r="Z477" s="109"/>
      <c r="AA477" s="109"/>
      <c r="AB477" s="109"/>
      <c r="AC477" s="109"/>
      <c r="AD477" s="109"/>
      <c r="AE477" s="109"/>
      <c r="AF477" s="109"/>
      <c r="AG477" s="109"/>
      <c r="AH477" s="109"/>
      <c r="AI477" s="109"/>
      <c r="AJ477" s="109"/>
      <c r="AK477" s="109"/>
      <c r="AL477" s="109"/>
      <c r="AM477" s="109"/>
      <c r="AN477" s="109"/>
      <c r="AO477" s="109"/>
      <c r="AP477" s="109"/>
      <c r="AQ477" s="218" t="s">
        <v>1689</v>
      </c>
      <c r="AT477" s="149" t="s">
        <v>1686</v>
      </c>
      <c r="AU477" s="94" t="s">
        <v>1832</v>
      </c>
    </row>
    <row r="478" spans="1:47" s="104" customFormat="1" ht="21" customHeight="1" x14ac:dyDescent="0.35">
      <c r="A478" s="262"/>
      <c r="B478" s="98" t="s">
        <v>17</v>
      </c>
      <c r="C478" s="214" t="s">
        <v>1687</v>
      </c>
      <c r="D478" s="216" t="s">
        <v>1688</v>
      </c>
      <c r="E478" s="217">
        <v>46127</v>
      </c>
      <c r="F478" s="102">
        <f t="shared" ref="F478" si="18">(K478+G478+H478+I478-J478)</f>
        <v>0</v>
      </c>
      <c r="G478" s="150">
        <f>SUMIF(积分汇总!$B:$B,C478,积分汇总!$E:$E)</f>
        <v>0</v>
      </c>
      <c r="H478" s="150">
        <f>SUMIF(记录巡查问题条数汇总!$B:$B,C478,记录巡查问题条数汇总!$E:$E)</f>
        <v>0</v>
      </c>
      <c r="I478" s="150"/>
      <c r="J478" s="150">
        <f>SUMIF(安全质量事故!$B:$B,C478,安全质量事故!$G:$G)</f>
        <v>0</v>
      </c>
      <c r="K478" s="141">
        <f>COUNTIF(L478:AP478,标准数据!$A$2)*标准数据!$B$2+COUNTIF(L478:AP478,标准数据!$A$3)*标准数据!$B$3+COUNTIF(L478:AP478,标准数据!$A$4)*标准数据!$B$4</f>
        <v>0</v>
      </c>
      <c r="L478" s="109"/>
      <c r="M478" s="109"/>
      <c r="N478" s="109"/>
      <c r="O478" s="109"/>
      <c r="P478" s="109"/>
      <c r="Q478" s="109"/>
      <c r="R478" s="109"/>
      <c r="S478" s="109"/>
      <c r="T478" s="109"/>
      <c r="U478" s="109"/>
      <c r="V478" s="109"/>
      <c r="W478" s="109"/>
      <c r="X478" s="109"/>
      <c r="Y478" s="109"/>
      <c r="Z478" s="185"/>
      <c r="AA478" s="185"/>
      <c r="AB478" s="185"/>
      <c r="AC478" s="185"/>
      <c r="AD478" s="185"/>
      <c r="AE478" s="185"/>
      <c r="AF478" s="185"/>
      <c r="AG478" s="185"/>
      <c r="AH478" s="185"/>
      <c r="AI478" s="185"/>
      <c r="AJ478" s="185"/>
      <c r="AK478" s="185"/>
      <c r="AL478" s="185"/>
      <c r="AM478" s="185"/>
      <c r="AN478" s="185"/>
      <c r="AO478" s="185"/>
      <c r="AP478" s="185"/>
      <c r="AQ478" s="218" t="s">
        <v>1689</v>
      </c>
      <c r="AT478" s="149" t="s">
        <v>1688</v>
      </c>
      <c r="AU478" s="94" t="s">
        <v>1832</v>
      </c>
    </row>
    <row r="479" spans="1:47" s="104" customFormat="1" ht="21" customHeight="1" x14ac:dyDescent="0.35">
      <c r="A479" s="262"/>
      <c r="B479" s="98" t="s">
        <v>17</v>
      </c>
      <c r="C479" s="214" t="s">
        <v>1703</v>
      </c>
      <c r="D479" s="216" t="s">
        <v>1704</v>
      </c>
      <c r="E479" s="217">
        <v>46188</v>
      </c>
      <c r="F479" s="102">
        <f t="shared" si="16"/>
        <v>0</v>
      </c>
      <c r="G479" s="150">
        <f>SUMIF(积分汇总!$B:$B,C479,积分汇总!$E:$E)</f>
        <v>0</v>
      </c>
      <c r="H479" s="150">
        <f>SUMIF(记录巡查问题条数汇总!$B:$B,C479,记录巡查问题条数汇总!$E:$E)</f>
        <v>0</v>
      </c>
      <c r="I479" s="150"/>
      <c r="J479" s="150">
        <f>SUMIF(安全质量事故!$B:$B,C479,安全质量事故!$G:$G)</f>
        <v>0</v>
      </c>
      <c r="K479" s="141">
        <f>COUNTIF(L479:AP479,标准数据!$A$2)*标准数据!$B$2+COUNTIF(L479:AP479,标准数据!$A$3)*标准数据!$B$3+COUNTIF(L479:AP479,标准数据!$A$4)*标准数据!$B$4</f>
        <v>0</v>
      </c>
      <c r="L479" s="109"/>
      <c r="M479" s="109"/>
      <c r="N479" s="109"/>
      <c r="O479" s="109"/>
      <c r="P479" s="109"/>
      <c r="Q479" s="109"/>
      <c r="R479" s="109"/>
      <c r="S479" s="109"/>
      <c r="T479" s="109"/>
      <c r="U479" s="109"/>
      <c r="V479" s="109"/>
      <c r="W479" s="109"/>
      <c r="X479" s="109"/>
      <c r="Y479" s="109"/>
      <c r="Z479" s="185"/>
      <c r="AA479" s="185"/>
      <c r="AB479" s="185"/>
      <c r="AC479" s="185"/>
      <c r="AD479" s="185"/>
      <c r="AE479" s="185"/>
      <c r="AF479" s="185"/>
      <c r="AG479" s="185"/>
      <c r="AH479" s="185"/>
      <c r="AI479" s="185"/>
      <c r="AJ479" s="185"/>
      <c r="AK479" s="185"/>
      <c r="AL479" s="185"/>
      <c r="AM479" s="185"/>
      <c r="AN479" s="185"/>
      <c r="AO479" s="185"/>
      <c r="AP479" s="185"/>
      <c r="AQ479" s="175" t="s">
        <v>1702</v>
      </c>
      <c r="AT479" s="149" t="s">
        <v>1704</v>
      </c>
      <c r="AU479" s="94" t="s">
        <v>1834</v>
      </c>
    </row>
    <row r="480" spans="1:47" ht="21" customHeight="1" x14ac:dyDescent="0.35">
      <c r="A480" s="262"/>
      <c r="B480" s="98" t="s">
        <v>138</v>
      </c>
      <c r="C480" s="99" t="s">
        <v>521</v>
      </c>
      <c r="D480" s="100" t="s">
        <v>481</v>
      </c>
      <c r="E480" s="101">
        <v>45554</v>
      </c>
      <c r="F480" s="102">
        <f t="shared" si="16"/>
        <v>0</v>
      </c>
      <c r="G480" s="150">
        <f>SUMIF(积分汇总!$B:$B,C480,积分汇总!$E:$E)</f>
        <v>0</v>
      </c>
      <c r="H480" s="150">
        <f>SUMIF(记录巡查问题条数汇总!$B:$B,C480,记录巡查问题条数汇总!$E:$E)</f>
        <v>0</v>
      </c>
      <c r="I480" s="150"/>
      <c r="J480" s="150">
        <f>SUMIF(安全质量事故!$B:$B,C480,安全质量事故!$G:$G)</f>
        <v>0</v>
      </c>
      <c r="K480" s="141">
        <f>COUNTIF(L480:AP480,标准数据!$A$2)*标准数据!$B$2+COUNTIF(L480:AP480,标准数据!$A$3)*标准数据!$B$3+COUNTIF(L480:AP480,标准数据!$A$4)*标准数据!$B$4</f>
        <v>0</v>
      </c>
      <c r="L480" s="109"/>
      <c r="M480" s="109"/>
      <c r="N480" s="109"/>
      <c r="O480" s="109"/>
      <c r="P480" s="109"/>
      <c r="Q480" s="109"/>
      <c r="R480" s="109"/>
      <c r="S480" s="109"/>
      <c r="T480" s="109"/>
      <c r="U480" s="109"/>
      <c r="V480" s="109"/>
      <c r="W480" s="109"/>
      <c r="X480" s="109"/>
      <c r="Y480" s="109"/>
      <c r="Z480" s="109"/>
      <c r="AA480" s="109"/>
      <c r="AB480" s="109"/>
      <c r="AC480" s="109"/>
      <c r="AD480" s="109"/>
      <c r="AE480" s="109"/>
      <c r="AF480" s="109"/>
      <c r="AG480" s="109"/>
      <c r="AH480" s="109"/>
      <c r="AI480" s="109"/>
      <c r="AJ480" s="109"/>
      <c r="AK480" s="109"/>
      <c r="AL480" s="109"/>
      <c r="AM480" s="109"/>
      <c r="AN480" s="109"/>
      <c r="AO480" s="109"/>
      <c r="AP480" s="109"/>
      <c r="AQ480" s="94"/>
      <c r="AR480" s="94"/>
      <c r="AS480" s="94"/>
      <c r="AT480" s="149" t="s">
        <v>481</v>
      </c>
      <c r="AU480" s="94" t="s">
        <v>1832</v>
      </c>
    </row>
    <row r="481" spans="1:47" ht="21" customHeight="1" x14ac:dyDescent="0.35">
      <c r="A481" s="262"/>
      <c r="B481" s="98" t="s">
        <v>158</v>
      </c>
      <c r="C481" s="99" t="s">
        <v>928</v>
      </c>
      <c r="D481" s="100" t="s">
        <v>865</v>
      </c>
      <c r="E481" s="101">
        <v>45882</v>
      </c>
      <c r="F481" s="102">
        <f t="shared" si="16"/>
        <v>0</v>
      </c>
      <c r="G481" s="150">
        <f>SUMIF(积分汇总!$B:$B,C481,积分汇总!$E:$E)</f>
        <v>0</v>
      </c>
      <c r="H481" s="150">
        <f>SUMIF(记录巡查问题条数汇总!$B:$B,C481,记录巡查问题条数汇总!$E:$E)</f>
        <v>0</v>
      </c>
      <c r="I481" s="150"/>
      <c r="J481" s="150">
        <f>SUMIF(安全质量事故!$B:$B,C481,安全质量事故!$G:$G)</f>
        <v>0</v>
      </c>
      <c r="K481" s="141">
        <f>COUNTIF(L481:AP481,标准数据!$A$2)*标准数据!$B$2+COUNTIF(L481:AP481,标准数据!$A$3)*标准数据!$B$3+COUNTIF(L481:AP481,标准数据!$A$4)*标准数据!$B$4</f>
        <v>0</v>
      </c>
      <c r="L481" s="109"/>
      <c r="M481" s="109"/>
      <c r="N481" s="109"/>
      <c r="O481" s="109"/>
      <c r="P481" s="109"/>
      <c r="Q481" s="109"/>
      <c r="R481" s="109"/>
      <c r="S481" s="109"/>
      <c r="T481" s="109"/>
      <c r="U481" s="109"/>
      <c r="V481" s="109"/>
      <c r="W481" s="109"/>
      <c r="X481" s="109"/>
      <c r="Y481" s="109"/>
      <c r="Z481" s="109"/>
      <c r="AA481" s="109"/>
      <c r="AB481" s="109"/>
      <c r="AC481" s="109"/>
      <c r="AD481" s="109"/>
      <c r="AE481" s="109"/>
      <c r="AF481" s="109"/>
      <c r="AG481" s="109"/>
      <c r="AH481" s="109"/>
      <c r="AI481" s="109"/>
      <c r="AJ481" s="109"/>
      <c r="AK481" s="109"/>
      <c r="AL481" s="109"/>
      <c r="AM481" s="109"/>
      <c r="AN481" s="109"/>
      <c r="AO481" s="109"/>
      <c r="AP481" s="109"/>
      <c r="AT481" s="149" t="s">
        <v>865</v>
      </c>
      <c r="AU481" s="94" t="s">
        <v>1832</v>
      </c>
    </row>
    <row r="482" spans="1:47" ht="21" customHeight="1" x14ac:dyDescent="0.35">
      <c r="A482" s="262"/>
      <c r="B482" s="98" t="s">
        <v>158</v>
      </c>
      <c r="C482" s="99" t="s">
        <v>358</v>
      </c>
      <c r="D482" s="100" t="s">
        <v>331</v>
      </c>
      <c r="E482" s="101">
        <v>45600</v>
      </c>
      <c r="F482" s="102">
        <f t="shared" si="16"/>
        <v>0</v>
      </c>
      <c r="G482" s="150">
        <f>SUMIF(积分汇总!$B:$B,C482,积分汇总!$E:$E)</f>
        <v>0</v>
      </c>
      <c r="H482" s="150">
        <f>SUMIF(记录巡查问题条数汇总!$B:$B,C482,记录巡查问题条数汇总!$E:$E)</f>
        <v>0</v>
      </c>
      <c r="I482" s="150"/>
      <c r="J482" s="150">
        <f>SUMIF(安全质量事故!$B:$B,C482,安全质量事故!$G:$G)</f>
        <v>0</v>
      </c>
      <c r="K482" s="141">
        <f>COUNTIF(L482:AP482,标准数据!$A$2)*标准数据!$B$2+COUNTIF(L482:AP482,标准数据!$A$3)*标准数据!$B$3+COUNTIF(L482:AP482,标准数据!$A$4)*标准数据!$B$4</f>
        <v>0</v>
      </c>
      <c r="L482" s="109"/>
      <c r="M482" s="109"/>
      <c r="N482" s="109"/>
      <c r="O482" s="109"/>
      <c r="P482" s="109"/>
      <c r="Q482" s="109"/>
      <c r="R482" s="109"/>
      <c r="S482" s="109"/>
      <c r="T482" s="109"/>
      <c r="U482" s="109"/>
      <c r="V482" s="109"/>
      <c r="W482" s="109"/>
      <c r="X482" s="109"/>
      <c r="Y482" s="109"/>
      <c r="Z482" s="109"/>
      <c r="AA482" s="109"/>
      <c r="AB482" s="109"/>
      <c r="AC482" s="109"/>
      <c r="AD482" s="109"/>
      <c r="AE482" s="109"/>
      <c r="AF482" s="109"/>
      <c r="AG482" s="109"/>
      <c r="AH482" s="109"/>
      <c r="AI482" s="109"/>
      <c r="AJ482" s="109"/>
      <c r="AK482" s="109"/>
      <c r="AL482" s="109"/>
      <c r="AM482" s="109"/>
      <c r="AN482" s="109"/>
      <c r="AO482" s="109"/>
      <c r="AP482" s="109"/>
      <c r="AT482" s="149" t="s">
        <v>331</v>
      </c>
      <c r="AU482" s="94" t="s">
        <v>1832</v>
      </c>
    </row>
    <row r="483" spans="1:47" ht="21" customHeight="1" x14ac:dyDescent="0.35">
      <c r="A483" s="262"/>
      <c r="B483" s="98" t="s">
        <v>282</v>
      </c>
      <c r="C483" s="99" t="s">
        <v>280</v>
      </c>
      <c r="D483" s="100" t="s">
        <v>276</v>
      </c>
      <c r="E483" s="101">
        <v>41760</v>
      </c>
      <c r="F483" s="102">
        <f t="shared" si="16"/>
        <v>0</v>
      </c>
      <c r="G483" s="150">
        <f>SUMIF(积分汇总!$B:$B,C483,积分汇总!$E:$E)</f>
        <v>0</v>
      </c>
      <c r="H483" s="150">
        <f>SUMIF(记录巡查问题条数汇总!$B:$B,C483,记录巡查问题条数汇总!$E:$E)</f>
        <v>0</v>
      </c>
      <c r="I483" s="150"/>
      <c r="J483" s="150">
        <f>SUMIF(安全质量事故!$B:$B,C483,安全质量事故!$G:$G)</f>
        <v>0</v>
      </c>
      <c r="K483" s="141">
        <f>COUNTIF(L483:AP483,标准数据!$A$2)*标准数据!$B$2+COUNTIF(L483:AP483,标准数据!$A$3)*标准数据!$B$3+COUNTIF(L483:AP483,标准数据!$A$4)*标准数据!$B$4</f>
        <v>0</v>
      </c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  <c r="V483" s="109"/>
      <c r="W483" s="109"/>
      <c r="X483" s="109"/>
      <c r="Y483" s="109"/>
      <c r="Z483" s="109"/>
      <c r="AA483" s="109"/>
      <c r="AB483" s="109"/>
      <c r="AC483" s="109"/>
      <c r="AD483" s="109"/>
      <c r="AE483" s="109"/>
      <c r="AF483" s="109"/>
      <c r="AG483" s="109"/>
      <c r="AH483" s="109"/>
      <c r="AI483" s="109"/>
      <c r="AJ483" s="109"/>
      <c r="AK483" s="109"/>
      <c r="AL483" s="109"/>
      <c r="AM483" s="109"/>
      <c r="AN483" s="109"/>
      <c r="AO483" s="109"/>
      <c r="AP483" s="109"/>
      <c r="AT483" s="149" t="s">
        <v>276</v>
      </c>
      <c r="AU483" s="94" t="s">
        <v>1833</v>
      </c>
    </row>
    <row r="484" spans="1:47" ht="21" customHeight="1" x14ac:dyDescent="0.35">
      <c r="A484" s="262"/>
      <c r="B484" s="98" t="s">
        <v>158</v>
      </c>
      <c r="C484" s="99" t="s">
        <v>607</v>
      </c>
      <c r="D484" s="100" t="s">
        <v>579</v>
      </c>
      <c r="E484" s="101">
        <v>45868</v>
      </c>
      <c r="F484" s="102">
        <f t="shared" si="16"/>
        <v>0</v>
      </c>
      <c r="G484" s="150">
        <f>SUMIF(积分汇总!$B:$B,C484,积分汇总!$E:$E)</f>
        <v>0</v>
      </c>
      <c r="H484" s="150">
        <f>SUMIF(记录巡查问题条数汇总!$B:$B,C484,记录巡查问题条数汇总!$E:$E)</f>
        <v>0</v>
      </c>
      <c r="I484" s="150"/>
      <c r="J484" s="150">
        <f>SUMIF(安全质量事故!$B:$B,C484,安全质量事故!$G:$G)</f>
        <v>0</v>
      </c>
      <c r="K484" s="141">
        <f>COUNTIF(L484:AP484,标准数据!$A$2)*标准数据!$B$2+COUNTIF(L484:AP484,标准数据!$A$3)*标准数据!$B$3+COUNTIF(L484:AP484,标准数据!$A$4)*标准数据!$B$4</f>
        <v>0</v>
      </c>
      <c r="L484" s="185"/>
      <c r="M484" s="185"/>
      <c r="N484" s="185"/>
      <c r="O484" s="185"/>
      <c r="P484" s="185"/>
      <c r="Q484" s="185"/>
      <c r="R484" s="185"/>
      <c r="S484" s="185"/>
      <c r="T484" s="185"/>
      <c r="U484" s="185"/>
      <c r="V484" s="185"/>
      <c r="W484" s="185"/>
      <c r="X484" s="185"/>
      <c r="Y484" s="185"/>
      <c r="Z484" s="185"/>
      <c r="AA484" s="185"/>
      <c r="AB484" s="185"/>
      <c r="AC484" s="185"/>
      <c r="AD484" s="185"/>
      <c r="AE484" s="185"/>
      <c r="AF484" s="185"/>
      <c r="AG484" s="185"/>
      <c r="AH484" s="185"/>
      <c r="AI484" s="185"/>
      <c r="AJ484" s="185"/>
      <c r="AK484" s="185"/>
      <c r="AL484" s="185"/>
      <c r="AM484" s="185"/>
      <c r="AN484" s="185"/>
      <c r="AO484" s="185"/>
      <c r="AP484" s="185"/>
      <c r="AQ484" s="94"/>
      <c r="AR484" s="94"/>
      <c r="AS484" s="94"/>
      <c r="AT484" s="149" t="s">
        <v>579</v>
      </c>
      <c r="AU484" s="94" t="s">
        <v>1833</v>
      </c>
    </row>
    <row r="485" spans="1:47" ht="21" customHeight="1" x14ac:dyDescent="0.35">
      <c r="A485" s="262"/>
      <c r="B485" s="98" t="s">
        <v>138</v>
      </c>
      <c r="C485" s="99" t="s">
        <v>528</v>
      </c>
      <c r="D485" s="100" t="s">
        <v>494</v>
      </c>
      <c r="E485" s="101">
        <v>45847</v>
      </c>
      <c r="F485" s="102">
        <f t="shared" si="16"/>
        <v>0</v>
      </c>
      <c r="G485" s="150">
        <f>SUMIF(积分汇总!$B:$B,C485,积分汇总!$E:$E)</f>
        <v>0</v>
      </c>
      <c r="H485" s="150">
        <f>SUMIF(记录巡查问题条数汇总!$B:$B,C485,记录巡查问题条数汇总!$E:$E)</f>
        <v>0</v>
      </c>
      <c r="I485" s="150"/>
      <c r="J485" s="150">
        <f>SUMIF(安全质量事故!$B:$B,C485,安全质量事故!$G:$G)</f>
        <v>0</v>
      </c>
      <c r="K485" s="141">
        <f>COUNTIF(L485:AP485,标准数据!$A$2)*标准数据!$B$2+COUNTIF(L485:AP485,标准数据!$A$3)*标准数据!$B$3+COUNTIF(L485:AP485,标准数据!$A$4)*标准数据!$B$4</f>
        <v>0</v>
      </c>
      <c r="L485" s="109"/>
      <c r="M485" s="109"/>
      <c r="N485" s="109"/>
      <c r="O485" s="109"/>
      <c r="P485" s="109"/>
      <c r="Q485" s="109"/>
      <c r="R485" s="109"/>
      <c r="S485" s="109"/>
      <c r="T485" s="109"/>
      <c r="U485" s="109"/>
      <c r="V485" s="109"/>
      <c r="W485" s="109"/>
      <c r="X485" s="109"/>
      <c r="Y485" s="109"/>
      <c r="Z485" s="109"/>
      <c r="AA485" s="109"/>
      <c r="AB485" s="109"/>
      <c r="AC485" s="109"/>
      <c r="AD485" s="109"/>
      <c r="AE485" s="109"/>
      <c r="AF485" s="109"/>
      <c r="AG485" s="109"/>
      <c r="AH485" s="109"/>
      <c r="AI485" s="109"/>
      <c r="AJ485" s="109"/>
      <c r="AK485" s="109"/>
      <c r="AL485" s="109"/>
      <c r="AM485" s="109"/>
      <c r="AN485" s="109"/>
      <c r="AO485" s="109"/>
      <c r="AP485" s="109"/>
      <c r="AT485" s="149" t="s">
        <v>494</v>
      </c>
      <c r="AU485" s="94" t="s">
        <v>1833</v>
      </c>
    </row>
    <row r="486" spans="1:47" ht="21" customHeight="1" x14ac:dyDescent="0.35">
      <c r="A486" s="262"/>
      <c r="B486" s="98" t="s">
        <v>138</v>
      </c>
      <c r="C486" s="99" t="s">
        <v>538</v>
      </c>
      <c r="D486" s="100" t="s">
        <v>490</v>
      </c>
      <c r="E486" s="101">
        <v>45854</v>
      </c>
      <c r="F486" s="102">
        <f t="shared" si="16"/>
        <v>0</v>
      </c>
      <c r="G486" s="150">
        <f>SUMIF(积分汇总!$B:$B,C486,积分汇总!$E:$E)</f>
        <v>0</v>
      </c>
      <c r="H486" s="150">
        <f>SUMIF(记录巡查问题条数汇总!$B:$B,C486,记录巡查问题条数汇总!$E:$E)</f>
        <v>0</v>
      </c>
      <c r="I486" s="150"/>
      <c r="J486" s="150">
        <f>SUMIF(安全质量事故!$B:$B,C486,安全质量事故!$G:$G)</f>
        <v>0</v>
      </c>
      <c r="K486" s="141">
        <f>COUNTIF(L486:AP486,标准数据!$A$2)*标准数据!$B$2+COUNTIF(L486:AP486,标准数据!$A$3)*标准数据!$B$3+COUNTIF(L486:AP486,标准数据!$A$4)*标准数据!$B$4</f>
        <v>0</v>
      </c>
      <c r="L486" s="109"/>
      <c r="M486" s="109"/>
      <c r="N486" s="109"/>
      <c r="O486" s="109"/>
      <c r="P486" s="109"/>
      <c r="Q486" s="109"/>
      <c r="R486" s="109"/>
      <c r="S486" s="109"/>
      <c r="T486" s="109"/>
      <c r="U486" s="109"/>
      <c r="V486" s="109"/>
      <c r="W486" s="109"/>
      <c r="X486" s="109"/>
      <c r="Y486" s="109"/>
      <c r="Z486" s="109"/>
      <c r="AA486" s="109"/>
      <c r="AB486" s="109"/>
      <c r="AC486" s="109"/>
      <c r="AD486" s="109"/>
      <c r="AE486" s="109"/>
      <c r="AF486" s="109"/>
      <c r="AG486" s="109"/>
      <c r="AH486" s="109"/>
      <c r="AI486" s="109"/>
      <c r="AJ486" s="109"/>
      <c r="AK486" s="109"/>
      <c r="AL486" s="109"/>
      <c r="AM486" s="109"/>
      <c r="AN486" s="109"/>
      <c r="AO486" s="109"/>
      <c r="AP486" s="109"/>
      <c r="AQ486" s="94"/>
      <c r="AR486" s="94"/>
      <c r="AS486" s="94"/>
      <c r="AT486" s="149" t="s">
        <v>490</v>
      </c>
      <c r="AU486" s="94" t="s">
        <v>1832</v>
      </c>
    </row>
    <row r="487" spans="1:47" ht="21" customHeight="1" x14ac:dyDescent="0.35">
      <c r="A487" s="262"/>
      <c r="B487" s="98" t="s">
        <v>138</v>
      </c>
      <c r="C487" s="99" t="s">
        <v>701</v>
      </c>
      <c r="D487" s="100" t="s">
        <v>629</v>
      </c>
      <c r="E487" s="101">
        <v>45896</v>
      </c>
      <c r="F487" s="102">
        <f t="shared" si="16"/>
        <v>0</v>
      </c>
      <c r="G487" s="150">
        <f>SUMIF(积分汇总!$B:$B,C487,积分汇总!$E:$E)</f>
        <v>0</v>
      </c>
      <c r="H487" s="150">
        <f>SUMIF(记录巡查问题条数汇总!$B:$B,C487,记录巡查问题条数汇总!$E:$E)</f>
        <v>0</v>
      </c>
      <c r="I487" s="150"/>
      <c r="J487" s="150">
        <f>SUMIF(安全质量事故!$B:$B,C487,安全质量事故!$G:$G)</f>
        <v>0</v>
      </c>
      <c r="K487" s="141">
        <f>COUNTIF(L487:AP487,标准数据!$A$2)*标准数据!$B$2+COUNTIF(L487:AP487,标准数据!$A$3)*标准数据!$B$3+COUNTIF(L487:AP487,标准数据!$A$4)*标准数据!$B$4</f>
        <v>0</v>
      </c>
      <c r="L487" s="109"/>
      <c r="M487" s="109"/>
      <c r="N487" s="109"/>
      <c r="O487" s="109"/>
      <c r="P487" s="109"/>
      <c r="Q487" s="109"/>
      <c r="R487" s="109"/>
      <c r="S487" s="109"/>
      <c r="T487" s="109"/>
      <c r="U487" s="109"/>
      <c r="V487" s="109"/>
      <c r="W487" s="109"/>
      <c r="X487" s="109"/>
      <c r="Y487" s="109"/>
      <c r="Z487" s="109"/>
      <c r="AA487" s="109"/>
      <c r="AB487" s="109"/>
      <c r="AC487" s="109"/>
      <c r="AD487" s="109"/>
      <c r="AE487" s="109"/>
      <c r="AF487" s="109"/>
      <c r="AG487" s="109"/>
      <c r="AH487" s="109"/>
      <c r="AI487" s="109"/>
      <c r="AJ487" s="109"/>
      <c r="AK487" s="109"/>
      <c r="AL487" s="109"/>
      <c r="AM487" s="109"/>
      <c r="AN487" s="109"/>
      <c r="AO487" s="109"/>
      <c r="AP487" s="109"/>
      <c r="AQ487" s="94"/>
      <c r="AR487" s="94"/>
      <c r="AS487" s="94"/>
      <c r="AT487" s="149" t="s">
        <v>629</v>
      </c>
      <c r="AU487" s="94" t="s">
        <v>1832</v>
      </c>
    </row>
    <row r="488" spans="1:47" ht="21" customHeight="1" x14ac:dyDescent="0.35">
      <c r="A488" s="262"/>
      <c r="B488" s="98" t="s">
        <v>138</v>
      </c>
      <c r="C488" s="99" t="s">
        <v>357</v>
      </c>
      <c r="D488" s="100" t="s">
        <v>330</v>
      </c>
      <c r="E488" s="101">
        <v>45595</v>
      </c>
      <c r="F488" s="102">
        <f t="shared" si="16"/>
        <v>0</v>
      </c>
      <c r="G488" s="150">
        <f>SUMIF(积分汇总!$B:$B,C488,积分汇总!$E:$E)</f>
        <v>0</v>
      </c>
      <c r="H488" s="150">
        <f>SUMIF(记录巡查问题条数汇总!$B:$B,C488,记录巡查问题条数汇总!$E:$E)</f>
        <v>0</v>
      </c>
      <c r="I488" s="150"/>
      <c r="J488" s="150">
        <f>SUMIF(安全质量事故!$B:$B,C488,安全质量事故!$G:$G)</f>
        <v>0</v>
      </c>
      <c r="K488" s="141">
        <f>COUNTIF(L488:AP488,标准数据!$A$2)*标准数据!$B$2+COUNTIF(L488:AP488,标准数据!$A$3)*标准数据!$B$3+COUNTIF(L488:AP488,标准数据!$A$4)*标准数据!$B$4</f>
        <v>0</v>
      </c>
      <c r="L488" s="109"/>
      <c r="M488" s="109"/>
      <c r="N488" s="109"/>
      <c r="O488" s="109"/>
      <c r="P488" s="109"/>
      <c r="Q488" s="109"/>
      <c r="R488" s="109"/>
      <c r="S488" s="109"/>
      <c r="T488" s="109"/>
      <c r="U488" s="109"/>
      <c r="V488" s="109"/>
      <c r="W488" s="109"/>
      <c r="X488" s="109"/>
      <c r="Y488" s="109"/>
      <c r="Z488" s="109"/>
      <c r="AA488" s="109"/>
      <c r="AB488" s="109"/>
      <c r="AC488" s="109"/>
      <c r="AD488" s="109"/>
      <c r="AE488" s="109"/>
      <c r="AF488" s="109"/>
      <c r="AG488" s="109"/>
      <c r="AH488" s="109"/>
      <c r="AI488" s="109"/>
      <c r="AJ488" s="109"/>
      <c r="AK488" s="109"/>
      <c r="AL488" s="109"/>
      <c r="AM488" s="109"/>
      <c r="AN488" s="109"/>
      <c r="AO488" s="109"/>
      <c r="AP488" s="109"/>
      <c r="AQ488" s="94"/>
      <c r="AR488" s="94"/>
      <c r="AS488" s="94"/>
      <c r="AT488" s="149" t="s">
        <v>330</v>
      </c>
      <c r="AU488" s="94" t="s">
        <v>1832</v>
      </c>
    </row>
    <row r="489" spans="1:47" ht="21" customHeight="1" x14ac:dyDescent="0.35">
      <c r="A489" s="262"/>
      <c r="B489" s="98" t="s">
        <v>138</v>
      </c>
      <c r="C489" s="99" t="s">
        <v>614</v>
      </c>
      <c r="D489" s="100" t="s">
        <v>570</v>
      </c>
      <c r="E489" s="101">
        <v>43333</v>
      </c>
      <c r="F489" s="102">
        <f t="shared" si="16"/>
        <v>0</v>
      </c>
      <c r="G489" s="150">
        <f>SUMIF(积分汇总!$B:$B,C489,积分汇总!$E:$E)</f>
        <v>0</v>
      </c>
      <c r="H489" s="150">
        <f>SUMIF(记录巡查问题条数汇总!$B:$B,C489,记录巡查问题条数汇总!$E:$E)</f>
        <v>0</v>
      </c>
      <c r="I489" s="150"/>
      <c r="J489" s="150">
        <f>SUMIF(安全质量事故!$B:$B,C489,安全质量事故!$G:$G)</f>
        <v>0</v>
      </c>
      <c r="K489" s="141">
        <f>COUNTIF(L489:AP489,标准数据!$A$2)*标准数据!$B$2+COUNTIF(L489:AP489,标准数据!$A$3)*标准数据!$B$3+COUNTIF(L489:AP489,标准数据!$A$4)*标准数据!$B$4</f>
        <v>0</v>
      </c>
      <c r="L489" s="185"/>
      <c r="M489" s="185"/>
      <c r="N489" s="185"/>
      <c r="O489" s="185"/>
      <c r="P489" s="185"/>
      <c r="Q489" s="185"/>
      <c r="R489" s="185"/>
      <c r="S489" s="185"/>
      <c r="T489" s="109"/>
      <c r="U489" s="109"/>
      <c r="V489" s="109"/>
      <c r="W489" s="109"/>
      <c r="X489" s="109"/>
      <c r="Y489" s="109"/>
      <c r="Z489" s="109"/>
      <c r="AA489" s="109"/>
      <c r="AB489" s="109"/>
      <c r="AC489" s="109"/>
      <c r="AD489" s="109"/>
      <c r="AE489" s="109"/>
      <c r="AF489" s="109"/>
      <c r="AG489" s="109"/>
      <c r="AH489" s="109"/>
      <c r="AI489" s="109"/>
      <c r="AJ489" s="109"/>
      <c r="AK489" s="109"/>
      <c r="AL489" s="109"/>
      <c r="AM489" s="109"/>
      <c r="AN489" s="109"/>
      <c r="AO489" s="109"/>
      <c r="AP489" s="109"/>
      <c r="AT489" s="149" t="s">
        <v>570</v>
      </c>
      <c r="AU489" s="94" t="s">
        <v>1832</v>
      </c>
    </row>
    <row r="490" spans="1:47" ht="21" customHeight="1" x14ac:dyDescent="0.35">
      <c r="A490" s="262"/>
      <c r="B490" s="98" t="s">
        <v>138</v>
      </c>
      <c r="C490" s="99" t="s">
        <v>615</v>
      </c>
      <c r="D490" s="100" t="s">
        <v>571</v>
      </c>
      <c r="E490" s="101">
        <v>44260</v>
      </c>
      <c r="F490" s="102">
        <f t="shared" si="16"/>
        <v>0</v>
      </c>
      <c r="G490" s="150">
        <f>SUMIF(积分汇总!$B:$B,C490,积分汇总!$E:$E)</f>
        <v>0</v>
      </c>
      <c r="H490" s="150">
        <f>SUMIF(记录巡查问题条数汇总!$B:$B,C490,记录巡查问题条数汇总!$E:$E)</f>
        <v>0</v>
      </c>
      <c r="I490" s="150"/>
      <c r="J490" s="150">
        <f>SUMIF(安全质量事故!$B:$B,C490,安全质量事故!$G:$G)</f>
        <v>0</v>
      </c>
      <c r="K490" s="141">
        <f>COUNTIF(L490:AP490,标准数据!$A$2)*标准数据!$B$2+COUNTIF(L490:AP490,标准数据!$A$3)*标准数据!$B$3+COUNTIF(L490:AP490,标准数据!$A$4)*标准数据!$B$4</f>
        <v>0</v>
      </c>
      <c r="L490" s="185"/>
      <c r="M490" s="185"/>
      <c r="N490" s="185"/>
      <c r="O490" s="185"/>
      <c r="P490" s="185"/>
      <c r="Q490" s="185"/>
      <c r="R490" s="185"/>
      <c r="S490" s="185"/>
      <c r="T490" s="109"/>
      <c r="U490" s="109"/>
      <c r="V490" s="109"/>
      <c r="W490" s="109"/>
      <c r="X490" s="109"/>
      <c r="Y490" s="109"/>
      <c r="Z490" s="109"/>
      <c r="AA490" s="109"/>
      <c r="AB490" s="109"/>
      <c r="AC490" s="109"/>
      <c r="AD490" s="109"/>
      <c r="AE490" s="109"/>
      <c r="AF490" s="109"/>
      <c r="AG490" s="109"/>
      <c r="AH490" s="109"/>
      <c r="AI490" s="109"/>
      <c r="AJ490" s="109"/>
      <c r="AK490" s="109"/>
      <c r="AL490" s="109"/>
      <c r="AM490" s="109"/>
      <c r="AN490" s="109"/>
      <c r="AO490" s="109"/>
      <c r="AP490" s="109"/>
      <c r="AT490" s="149" t="s">
        <v>571</v>
      </c>
      <c r="AU490" s="94" t="s">
        <v>1832</v>
      </c>
    </row>
    <row r="491" spans="1:47" ht="21" customHeight="1" x14ac:dyDescent="0.35">
      <c r="A491" s="262"/>
      <c r="B491" s="98" t="s">
        <v>138</v>
      </c>
      <c r="C491" s="99" t="s">
        <v>616</v>
      </c>
      <c r="D491" s="100" t="s">
        <v>572</v>
      </c>
      <c r="E491" s="101">
        <v>44463</v>
      </c>
      <c r="F491" s="102">
        <f t="shared" si="16"/>
        <v>0</v>
      </c>
      <c r="G491" s="150">
        <f>SUMIF(积分汇总!$B:$B,C491,积分汇总!$E:$E)</f>
        <v>0</v>
      </c>
      <c r="H491" s="150">
        <f>SUMIF(记录巡查问题条数汇总!$B:$B,C491,记录巡查问题条数汇总!$E:$E)</f>
        <v>0</v>
      </c>
      <c r="I491" s="150"/>
      <c r="J491" s="150">
        <f>SUMIF(安全质量事故!$B:$B,C491,安全质量事故!$G:$G)</f>
        <v>0</v>
      </c>
      <c r="K491" s="141">
        <f>COUNTIF(L491:AP491,标准数据!$A$2)*标准数据!$B$2+COUNTIF(L491:AP491,标准数据!$A$3)*标准数据!$B$3+COUNTIF(L491:AP491,标准数据!$A$4)*标准数据!$B$4</f>
        <v>0</v>
      </c>
      <c r="L491" s="185"/>
      <c r="M491" s="185"/>
      <c r="N491" s="185"/>
      <c r="O491" s="185"/>
      <c r="P491" s="185"/>
      <c r="Q491" s="185"/>
      <c r="R491" s="185"/>
      <c r="S491" s="185"/>
      <c r="T491" s="109"/>
      <c r="U491" s="109"/>
      <c r="V491" s="109"/>
      <c r="W491" s="109"/>
      <c r="X491" s="109"/>
      <c r="Y491" s="109"/>
      <c r="Z491" s="109"/>
      <c r="AA491" s="109"/>
      <c r="AB491" s="109"/>
      <c r="AC491" s="109"/>
      <c r="AD491" s="109"/>
      <c r="AE491" s="109"/>
      <c r="AF491" s="109"/>
      <c r="AG491" s="109"/>
      <c r="AH491" s="109"/>
      <c r="AI491" s="109"/>
      <c r="AJ491" s="109"/>
      <c r="AK491" s="109"/>
      <c r="AL491" s="109"/>
      <c r="AM491" s="109"/>
      <c r="AN491" s="109"/>
      <c r="AO491" s="109"/>
      <c r="AP491" s="109"/>
      <c r="AT491" s="149" t="s">
        <v>572</v>
      </c>
      <c r="AU491" s="94" t="s">
        <v>1832</v>
      </c>
    </row>
    <row r="492" spans="1:47" ht="21" customHeight="1" x14ac:dyDescent="0.35">
      <c r="A492" s="262"/>
      <c r="B492" s="98" t="s">
        <v>138</v>
      </c>
      <c r="C492" s="99" t="s">
        <v>679</v>
      </c>
      <c r="D492" s="100" t="s">
        <v>643</v>
      </c>
      <c r="E492" s="101" t="s">
        <v>1146</v>
      </c>
      <c r="F492" s="102">
        <f t="shared" si="16"/>
        <v>0</v>
      </c>
      <c r="G492" s="150">
        <f>SUMIF(积分汇总!$B:$B,C492,积分汇总!$E:$E)</f>
        <v>0</v>
      </c>
      <c r="H492" s="150">
        <f>SUMIF(记录巡查问题条数汇总!$B:$B,C492,记录巡查问题条数汇总!$E:$E)</f>
        <v>0</v>
      </c>
      <c r="I492" s="150"/>
      <c r="J492" s="150">
        <f>SUMIF(安全质量事故!$B:$B,C492,安全质量事故!$G:$G)</f>
        <v>0</v>
      </c>
      <c r="K492" s="141">
        <f>COUNTIF(L492:AP492,标准数据!$A$2)*标准数据!$B$2+COUNTIF(L492:AP492,标准数据!$A$3)*标准数据!$B$3+COUNTIF(L492:AP492,标准数据!$A$4)*标准数据!$B$4</f>
        <v>0</v>
      </c>
      <c r="L492" s="109"/>
      <c r="M492" s="109"/>
      <c r="N492" s="109"/>
      <c r="O492" s="109"/>
      <c r="P492" s="109"/>
      <c r="Q492" s="109"/>
      <c r="R492" s="109"/>
      <c r="S492" s="109"/>
      <c r="T492" s="109"/>
      <c r="U492" s="109"/>
      <c r="V492" s="109"/>
      <c r="W492" s="109"/>
      <c r="X492" s="109"/>
      <c r="Y492" s="109"/>
      <c r="Z492" s="109"/>
      <c r="AA492" s="109"/>
      <c r="AB492" s="109"/>
      <c r="AC492" s="109"/>
      <c r="AD492" s="109"/>
      <c r="AE492" s="109"/>
      <c r="AF492" s="109"/>
      <c r="AG492" s="109"/>
      <c r="AH492" s="109"/>
      <c r="AI492" s="109"/>
      <c r="AJ492" s="109"/>
      <c r="AK492" s="109"/>
      <c r="AL492" s="109"/>
      <c r="AM492" s="109"/>
      <c r="AN492" s="109"/>
      <c r="AO492" s="109"/>
      <c r="AP492" s="109"/>
      <c r="AT492" s="149" t="s">
        <v>643</v>
      </c>
      <c r="AU492" s="94" t="s">
        <v>1832</v>
      </c>
    </row>
    <row r="493" spans="1:47" ht="21" customHeight="1" x14ac:dyDescent="0.35">
      <c r="A493" s="262"/>
      <c r="B493" s="98" t="s">
        <v>138</v>
      </c>
      <c r="C493" s="99" t="s">
        <v>680</v>
      </c>
      <c r="D493" s="100" t="s">
        <v>644</v>
      </c>
      <c r="E493" s="101" t="s">
        <v>1146</v>
      </c>
      <c r="F493" s="102">
        <f t="shared" si="16"/>
        <v>0</v>
      </c>
      <c r="G493" s="150">
        <f>SUMIF(积分汇总!$B:$B,C493,积分汇总!$E:$E)</f>
        <v>0</v>
      </c>
      <c r="H493" s="150">
        <f>SUMIF(记录巡查问题条数汇总!$B:$B,C493,记录巡查问题条数汇总!$E:$E)</f>
        <v>0</v>
      </c>
      <c r="I493" s="150"/>
      <c r="J493" s="150">
        <f>SUMIF(安全质量事故!$B:$B,C493,安全质量事故!$G:$G)</f>
        <v>0</v>
      </c>
      <c r="K493" s="141">
        <f>COUNTIF(L493:AP493,标准数据!$A$2)*标准数据!$B$2+COUNTIF(L493:AP493,标准数据!$A$3)*标准数据!$B$3+COUNTIF(L493:AP493,标准数据!$A$4)*标准数据!$B$4</f>
        <v>0</v>
      </c>
      <c r="L493" s="109"/>
      <c r="M493" s="109"/>
      <c r="N493" s="109"/>
      <c r="O493" s="109"/>
      <c r="P493" s="109"/>
      <c r="Q493" s="109"/>
      <c r="R493" s="109"/>
      <c r="S493" s="109"/>
      <c r="T493" s="109"/>
      <c r="U493" s="109"/>
      <c r="V493" s="109"/>
      <c r="W493" s="109"/>
      <c r="X493" s="109"/>
      <c r="Y493" s="109"/>
      <c r="Z493" s="109"/>
      <c r="AA493" s="109"/>
      <c r="AB493" s="109"/>
      <c r="AC493" s="109"/>
      <c r="AD493" s="109"/>
      <c r="AE493" s="109"/>
      <c r="AF493" s="109"/>
      <c r="AG493" s="109"/>
      <c r="AH493" s="109"/>
      <c r="AI493" s="109"/>
      <c r="AJ493" s="109"/>
      <c r="AK493" s="109"/>
      <c r="AL493" s="109"/>
      <c r="AM493" s="109"/>
      <c r="AN493" s="109"/>
      <c r="AO493" s="109"/>
      <c r="AP493" s="109"/>
      <c r="AT493" s="149" t="s">
        <v>644</v>
      </c>
      <c r="AU493" s="94" t="s">
        <v>1833</v>
      </c>
    </row>
    <row r="494" spans="1:47" ht="21" customHeight="1" x14ac:dyDescent="0.35">
      <c r="A494" s="262"/>
      <c r="B494" s="98" t="s">
        <v>138</v>
      </c>
      <c r="C494" s="99" t="s">
        <v>681</v>
      </c>
      <c r="D494" s="100" t="s">
        <v>645</v>
      </c>
      <c r="E494" s="101" t="s">
        <v>1146</v>
      </c>
      <c r="F494" s="102">
        <f t="shared" si="16"/>
        <v>0</v>
      </c>
      <c r="G494" s="150">
        <f>SUMIF(积分汇总!$B:$B,C494,积分汇总!$E:$E)</f>
        <v>0</v>
      </c>
      <c r="H494" s="150">
        <f>SUMIF(记录巡查问题条数汇总!$B:$B,C494,记录巡查问题条数汇总!$E:$E)</f>
        <v>0</v>
      </c>
      <c r="I494" s="150"/>
      <c r="J494" s="150">
        <f>SUMIF(安全质量事故!$B:$B,C494,安全质量事故!$G:$G)</f>
        <v>0</v>
      </c>
      <c r="K494" s="141">
        <f>COUNTIF(L494:AP494,标准数据!$A$2)*标准数据!$B$2+COUNTIF(L494:AP494,标准数据!$A$3)*标准数据!$B$3+COUNTIF(L494:AP494,标准数据!$A$4)*标准数据!$B$4</f>
        <v>0</v>
      </c>
      <c r="L494" s="185"/>
      <c r="M494" s="185"/>
      <c r="N494" s="185"/>
      <c r="O494" s="185"/>
      <c r="P494" s="185"/>
      <c r="Q494" s="185"/>
      <c r="R494" s="185"/>
      <c r="S494" s="185"/>
      <c r="T494" s="185"/>
      <c r="U494" s="185"/>
      <c r="V494" s="185"/>
      <c r="W494" s="185"/>
      <c r="X494" s="109"/>
      <c r="Y494" s="109"/>
      <c r="Z494" s="109"/>
      <c r="AA494" s="109"/>
      <c r="AB494" s="109"/>
      <c r="AC494" s="109"/>
      <c r="AD494" s="109"/>
      <c r="AE494" s="109"/>
      <c r="AF494" s="109"/>
      <c r="AG494" s="109"/>
      <c r="AH494" s="109"/>
      <c r="AI494" s="109"/>
      <c r="AJ494" s="109"/>
      <c r="AK494" s="109"/>
      <c r="AL494" s="109"/>
      <c r="AM494" s="109"/>
      <c r="AN494" s="109"/>
      <c r="AO494" s="109"/>
      <c r="AP494" s="109"/>
      <c r="AT494" s="149" t="s">
        <v>645</v>
      </c>
      <c r="AU494" s="94" t="s">
        <v>1832</v>
      </c>
    </row>
    <row r="495" spans="1:47" ht="21" customHeight="1" x14ac:dyDescent="0.35">
      <c r="A495" s="262"/>
      <c r="B495" s="98" t="s">
        <v>138</v>
      </c>
      <c r="C495" s="99" t="s">
        <v>682</v>
      </c>
      <c r="D495" s="100" t="s">
        <v>646</v>
      </c>
      <c r="E495" s="101">
        <v>45896</v>
      </c>
      <c r="F495" s="102">
        <f t="shared" si="16"/>
        <v>0</v>
      </c>
      <c r="G495" s="150">
        <f>SUMIF(积分汇总!$B:$B,C495,积分汇总!$E:$E)</f>
        <v>0</v>
      </c>
      <c r="H495" s="150">
        <f>SUMIF(记录巡查问题条数汇总!$B:$B,C495,记录巡查问题条数汇总!$E:$E)</f>
        <v>0</v>
      </c>
      <c r="I495" s="150"/>
      <c r="J495" s="150">
        <f>SUMIF(安全质量事故!$B:$B,C495,安全质量事故!$G:$G)</f>
        <v>0</v>
      </c>
      <c r="K495" s="141">
        <f>COUNTIF(L495:AP495,标准数据!$A$2)*标准数据!$B$2+COUNTIF(L495:AP495,标准数据!$A$3)*标准数据!$B$3+COUNTIF(L495:AP495,标准数据!$A$4)*标准数据!$B$4</f>
        <v>0</v>
      </c>
      <c r="L495" s="109"/>
      <c r="M495" s="109"/>
      <c r="N495" s="109"/>
      <c r="O495" s="109"/>
      <c r="P495" s="109"/>
      <c r="Q495" s="109"/>
      <c r="R495" s="109"/>
      <c r="S495" s="109"/>
      <c r="T495" s="109"/>
      <c r="U495" s="109"/>
      <c r="V495" s="109"/>
      <c r="W495" s="109"/>
      <c r="X495" s="109"/>
      <c r="Y495" s="109"/>
      <c r="Z495" s="109"/>
      <c r="AA495" s="109"/>
      <c r="AB495" s="109"/>
      <c r="AC495" s="109"/>
      <c r="AD495" s="109"/>
      <c r="AE495" s="109"/>
      <c r="AF495" s="109"/>
      <c r="AG495" s="109"/>
      <c r="AH495" s="109"/>
      <c r="AI495" s="109"/>
      <c r="AJ495" s="109"/>
      <c r="AK495" s="109"/>
      <c r="AL495" s="109"/>
      <c r="AM495" s="109"/>
      <c r="AN495" s="109"/>
      <c r="AO495" s="109"/>
      <c r="AP495" s="109"/>
      <c r="AT495" s="149" t="s">
        <v>646</v>
      </c>
      <c r="AU495" s="94" t="s">
        <v>1832</v>
      </c>
    </row>
    <row r="496" spans="1:47" ht="21" customHeight="1" x14ac:dyDescent="0.35">
      <c r="A496" s="262"/>
      <c r="B496" s="98" t="s">
        <v>138</v>
      </c>
      <c r="C496" s="99" t="s">
        <v>683</v>
      </c>
      <c r="D496" s="100" t="s">
        <v>647</v>
      </c>
      <c r="E496" s="101">
        <v>45908</v>
      </c>
      <c r="F496" s="102">
        <f t="shared" si="16"/>
        <v>0</v>
      </c>
      <c r="G496" s="150">
        <f>SUMIF(积分汇总!$B:$B,C496,积分汇总!$E:$E)</f>
        <v>0</v>
      </c>
      <c r="H496" s="150">
        <f>SUMIF(记录巡查问题条数汇总!$B:$B,C496,记录巡查问题条数汇总!$E:$E)</f>
        <v>0</v>
      </c>
      <c r="I496" s="150"/>
      <c r="J496" s="150">
        <f>SUMIF(安全质量事故!$B:$B,C496,安全质量事故!$G:$G)</f>
        <v>0</v>
      </c>
      <c r="K496" s="141">
        <f>COUNTIF(L496:AP496,标准数据!$A$2)*标准数据!$B$2+COUNTIF(L496:AP496,标准数据!$A$3)*标准数据!$B$3+COUNTIF(L496:AP496,标准数据!$A$4)*标准数据!$B$4</f>
        <v>0</v>
      </c>
      <c r="L496" s="185"/>
      <c r="M496" s="185"/>
      <c r="N496" s="185"/>
      <c r="O496" s="185"/>
      <c r="P496" s="185"/>
      <c r="Q496" s="185"/>
      <c r="R496" s="185"/>
      <c r="S496" s="185"/>
      <c r="T496" s="185"/>
      <c r="U496" s="185"/>
      <c r="V496" s="185"/>
      <c r="W496" s="185"/>
      <c r="X496" s="109"/>
      <c r="Y496" s="109"/>
      <c r="Z496" s="109"/>
      <c r="AA496" s="109"/>
      <c r="AB496" s="109"/>
      <c r="AC496" s="109"/>
      <c r="AD496" s="109"/>
      <c r="AE496" s="109"/>
      <c r="AF496" s="109"/>
      <c r="AG496" s="109"/>
      <c r="AH496" s="109"/>
      <c r="AI496" s="109"/>
      <c r="AJ496" s="109"/>
      <c r="AK496" s="109"/>
      <c r="AL496" s="109"/>
      <c r="AM496" s="109"/>
      <c r="AN496" s="109"/>
      <c r="AO496" s="109"/>
      <c r="AP496" s="109"/>
      <c r="AT496" s="149" t="s">
        <v>647</v>
      </c>
      <c r="AU496" s="94" t="s">
        <v>1832</v>
      </c>
    </row>
    <row r="497" spans="1:47" ht="21" customHeight="1" x14ac:dyDescent="0.35">
      <c r="A497" s="262"/>
      <c r="B497" s="98" t="s">
        <v>138</v>
      </c>
      <c r="C497" s="99" t="s">
        <v>684</v>
      </c>
      <c r="D497" s="100" t="s">
        <v>648</v>
      </c>
      <c r="E497" s="101">
        <v>45908</v>
      </c>
      <c r="F497" s="102">
        <f t="shared" si="16"/>
        <v>0</v>
      </c>
      <c r="G497" s="150">
        <f>SUMIF(积分汇总!$B:$B,C497,积分汇总!$E:$E)</f>
        <v>0</v>
      </c>
      <c r="H497" s="150">
        <f>SUMIF(记录巡查问题条数汇总!$B:$B,C497,记录巡查问题条数汇总!$E:$E)</f>
        <v>0</v>
      </c>
      <c r="I497" s="150"/>
      <c r="J497" s="150">
        <f>SUMIF(安全质量事故!$B:$B,C497,安全质量事故!$G:$G)</f>
        <v>0</v>
      </c>
      <c r="K497" s="141">
        <f>COUNTIF(L497:AP497,标准数据!$A$2)*标准数据!$B$2+COUNTIF(L497:AP497,标准数据!$A$3)*标准数据!$B$3+COUNTIF(L497:AP497,标准数据!$A$4)*标准数据!$B$4</f>
        <v>0</v>
      </c>
      <c r="L497" s="109"/>
      <c r="M497" s="109"/>
      <c r="N497" s="109"/>
      <c r="O497" s="109"/>
      <c r="P497" s="109"/>
      <c r="Q497" s="109"/>
      <c r="R497" s="109"/>
      <c r="S497" s="109"/>
      <c r="T497" s="109"/>
      <c r="U497" s="109"/>
      <c r="V497" s="109"/>
      <c r="W497" s="109"/>
      <c r="X497" s="109"/>
      <c r="Y497" s="109"/>
      <c r="Z497" s="109"/>
      <c r="AA497" s="109"/>
      <c r="AB497" s="109"/>
      <c r="AC497" s="109"/>
      <c r="AD497" s="109"/>
      <c r="AE497" s="109"/>
      <c r="AF497" s="109"/>
      <c r="AG497" s="109"/>
      <c r="AH497" s="109"/>
      <c r="AI497" s="109"/>
      <c r="AJ497" s="109"/>
      <c r="AK497" s="109"/>
      <c r="AL497" s="109"/>
      <c r="AM497" s="109"/>
      <c r="AN497" s="109"/>
      <c r="AO497" s="109"/>
      <c r="AP497" s="109"/>
      <c r="AT497" s="149" t="s">
        <v>648</v>
      </c>
      <c r="AU497" s="94" t="s">
        <v>1832</v>
      </c>
    </row>
    <row r="498" spans="1:47" ht="21" customHeight="1" x14ac:dyDescent="0.35">
      <c r="A498" s="262"/>
      <c r="B498" s="98" t="s">
        <v>138</v>
      </c>
      <c r="C498" s="99" t="s">
        <v>685</v>
      </c>
      <c r="D498" s="100" t="s">
        <v>649</v>
      </c>
      <c r="E498" s="101">
        <v>45910</v>
      </c>
      <c r="F498" s="102">
        <f t="shared" si="16"/>
        <v>0</v>
      </c>
      <c r="G498" s="150">
        <f>SUMIF(积分汇总!$B:$B,C498,积分汇总!$E:$E)</f>
        <v>0</v>
      </c>
      <c r="H498" s="150">
        <f>SUMIF(记录巡查问题条数汇总!$B:$B,C498,记录巡查问题条数汇总!$E:$E)</f>
        <v>0</v>
      </c>
      <c r="I498" s="150"/>
      <c r="J498" s="150">
        <f>SUMIF(安全质量事故!$B:$B,C498,安全质量事故!$G:$G)</f>
        <v>0</v>
      </c>
      <c r="K498" s="141">
        <f>COUNTIF(L498:AP498,标准数据!$A$2)*标准数据!$B$2+COUNTIF(L498:AP498,标准数据!$A$3)*标准数据!$B$3+COUNTIF(L498:AP498,标准数据!$A$4)*标准数据!$B$4</f>
        <v>0</v>
      </c>
      <c r="L498" s="185"/>
      <c r="M498" s="185"/>
      <c r="N498" s="185"/>
      <c r="O498" s="185"/>
      <c r="P498" s="185"/>
      <c r="Q498" s="185"/>
      <c r="R498" s="185"/>
      <c r="S498" s="185"/>
      <c r="T498" s="185"/>
      <c r="U498" s="185"/>
      <c r="V498" s="185"/>
      <c r="W498" s="185"/>
      <c r="X498" s="109"/>
      <c r="Y498" s="109"/>
      <c r="Z498" s="109"/>
      <c r="AA498" s="109"/>
      <c r="AB498" s="109"/>
      <c r="AC498" s="109"/>
      <c r="AD498" s="109"/>
      <c r="AE498" s="109"/>
      <c r="AF498" s="109"/>
      <c r="AG498" s="109"/>
      <c r="AH498" s="109"/>
      <c r="AI498" s="109"/>
      <c r="AJ498" s="109"/>
      <c r="AK498" s="109"/>
      <c r="AL498" s="109"/>
      <c r="AM498" s="109"/>
      <c r="AN498" s="109"/>
      <c r="AO498" s="109"/>
      <c r="AP498" s="109"/>
      <c r="AT498" s="149" t="s">
        <v>649</v>
      </c>
      <c r="AU498" s="94" t="s">
        <v>1832</v>
      </c>
    </row>
    <row r="499" spans="1:47" ht="21" customHeight="1" x14ac:dyDescent="0.35">
      <c r="A499" s="262"/>
      <c r="B499" s="98" t="s">
        <v>138</v>
      </c>
      <c r="C499" s="99" t="s">
        <v>686</v>
      </c>
      <c r="D499" s="100" t="s">
        <v>650</v>
      </c>
      <c r="E499" s="101">
        <v>45910</v>
      </c>
      <c r="F499" s="102">
        <f t="shared" si="16"/>
        <v>0</v>
      </c>
      <c r="G499" s="150">
        <f>SUMIF(积分汇总!$B:$B,C499,积分汇总!$E:$E)</f>
        <v>0</v>
      </c>
      <c r="H499" s="150">
        <f>SUMIF(记录巡查问题条数汇总!$B:$B,C499,记录巡查问题条数汇总!$E:$E)</f>
        <v>0</v>
      </c>
      <c r="I499" s="150"/>
      <c r="J499" s="150">
        <f>SUMIF(安全质量事故!$B:$B,C499,安全质量事故!$G:$G)</f>
        <v>0</v>
      </c>
      <c r="K499" s="141">
        <f>COUNTIF(L499:AP499,标准数据!$A$2)*标准数据!$B$2+COUNTIF(L499:AP499,标准数据!$A$3)*标准数据!$B$3+COUNTIF(L499:AP499,标准数据!$A$4)*标准数据!$B$4</f>
        <v>0</v>
      </c>
      <c r="L499" s="185"/>
      <c r="M499" s="185"/>
      <c r="N499" s="185"/>
      <c r="O499" s="185"/>
      <c r="P499" s="185"/>
      <c r="Q499" s="185"/>
      <c r="R499" s="185"/>
      <c r="S499" s="185"/>
      <c r="T499" s="185"/>
      <c r="U499" s="185"/>
      <c r="V499" s="185"/>
      <c r="W499" s="185"/>
      <c r="X499" s="109"/>
      <c r="Y499" s="109"/>
      <c r="Z499" s="109"/>
      <c r="AA499" s="109"/>
      <c r="AB499" s="109"/>
      <c r="AC499" s="109"/>
      <c r="AD499" s="109"/>
      <c r="AE499" s="109"/>
      <c r="AF499" s="109"/>
      <c r="AG499" s="109"/>
      <c r="AH499" s="109"/>
      <c r="AI499" s="109"/>
      <c r="AJ499" s="109"/>
      <c r="AK499" s="109"/>
      <c r="AL499" s="109"/>
      <c r="AM499" s="109"/>
      <c r="AN499" s="109"/>
      <c r="AO499" s="109"/>
      <c r="AP499" s="109"/>
      <c r="AT499" s="149" t="s">
        <v>650</v>
      </c>
      <c r="AU499" s="94" t="s">
        <v>1832</v>
      </c>
    </row>
    <row r="500" spans="1:47" ht="21" customHeight="1" x14ac:dyDescent="0.35">
      <c r="A500" s="262"/>
      <c r="B500" s="98" t="s">
        <v>138</v>
      </c>
      <c r="C500" s="99" t="s">
        <v>803</v>
      </c>
      <c r="D500" s="100" t="s">
        <v>761</v>
      </c>
      <c r="E500" s="101">
        <v>45940</v>
      </c>
      <c r="F500" s="102">
        <f t="shared" si="16"/>
        <v>0</v>
      </c>
      <c r="G500" s="150">
        <f>SUMIF(积分汇总!$B:$B,C500,积分汇总!$E:$E)</f>
        <v>0</v>
      </c>
      <c r="H500" s="150">
        <f>SUMIF(记录巡查问题条数汇总!$B:$B,C500,记录巡查问题条数汇总!$E:$E)</f>
        <v>0</v>
      </c>
      <c r="I500" s="150"/>
      <c r="J500" s="150">
        <f>SUMIF(安全质量事故!$B:$B,C500,安全质量事故!$G:$G)</f>
        <v>0</v>
      </c>
      <c r="K500" s="141">
        <f>COUNTIF(L500:AP500,标准数据!$A$2)*标准数据!$B$2+COUNTIF(L500:AP500,标准数据!$A$3)*标准数据!$B$3+COUNTIF(L500:AP500,标准数据!$A$4)*标准数据!$B$4</f>
        <v>0</v>
      </c>
      <c r="L500" s="185"/>
      <c r="M500" s="185"/>
      <c r="N500" s="185"/>
      <c r="O500" s="185"/>
      <c r="P500" s="185"/>
      <c r="Q500" s="185"/>
      <c r="R500" s="185"/>
      <c r="S500" s="185"/>
      <c r="T500" s="185"/>
      <c r="U500" s="185"/>
      <c r="V500" s="185"/>
      <c r="W500" s="185"/>
      <c r="X500" s="109"/>
      <c r="Y500" s="109"/>
      <c r="Z500" s="109"/>
      <c r="AA500" s="109"/>
      <c r="AB500" s="109"/>
      <c r="AC500" s="109"/>
      <c r="AD500" s="109"/>
      <c r="AE500" s="109"/>
      <c r="AF500" s="109"/>
      <c r="AG500" s="109"/>
      <c r="AH500" s="109"/>
      <c r="AI500" s="109"/>
      <c r="AJ500" s="109"/>
      <c r="AK500" s="109"/>
      <c r="AL500" s="109"/>
      <c r="AM500" s="109"/>
      <c r="AN500" s="109"/>
      <c r="AO500" s="109"/>
      <c r="AP500" s="109"/>
      <c r="AT500" s="149" t="s">
        <v>761</v>
      </c>
      <c r="AU500" s="94" t="s">
        <v>1832</v>
      </c>
    </row>
    <row r="501" spans="1:47" ht="21" customHeight="1" x14ac:dyDescent="0.35">
      <c r="A501" s="262"/>
      <c r="B501" s="98" t="s">
        <v>138</v>
      </c>
      <c r="C501" s="99" t="s">
        <v>804</v>
      </c>
      <c r="D501" s="100" t="s">
        <v>762</v>
      </c>
      <c r="E501" s="101">
        <v>45940</v>
      </c>
      <c r="F501" s="102">
        <f t="shared" si="16"/>
        <v>0</v>
      </c>
      <c r="G501" s="150">
        <f>SUMIF(积分汇总!$B:$B,C501,积分汇总!$E:$E)</f>
        <v>0</v>
      </c>
      <c r="H501" s="150">
        <f>SUMIF(记录巡查问题条数汇总!$B:$B,C501,记录巡查问题条数汇总!$E:$E)</f>
        <v>0</v>
      </c>
      <c r="I501" s="150"/>
      <c r="J501" s="150">
        <f>SUMIF(安全质量事故!$B:$B,C501,安全质量事故!$G:$G)</f>
        <v>0</v>
      </c>
      <c r="K501" s="141">
        <f>COUNTIF(L501:AP501,标准数据!$A$2)*标准数据!$B$2+COUNTIF(L501:AP501,标准数据!$A$3)*标准数据!$B$3+COUNTIF(L501:AP501,标准数据!$A$4)*标准数据!$B$4</f>
        <v>0</v>
      </c>
      <c r="L501" s="109"/>
      <c r="M501" s="109"/>
      <c r="N501" s="109"/>
      <c r="O501" s="109"/>
      <c r="P501" s="109"/>
      <c r="Q501" s="109"/>
      <c r="R501" s="109"/>
      <c r="S501" s="109"/>
      <c r="T501" s="109"/>
      <c r="U501" s="109"/>
      <c r="V501" s="109"/>
      <c r="W501" s="109"/>
      <c r="X501" s="109"/>
      <c r="Y501" s="109"/>
      <c r="Z501" s="109"/>
      <c r="AA501" s="109"/>
      <c r="AB501" s="109"/>
      <c r="AC501" s="109"/>
      <c r="AD501" s="109"/>
      <c r="AE501" s="109"/>
      <c r="AF501" s="109"/>
      <c r="AG501" s="109"/>
      <c r="AH501" s="109"/>
      <c r="AI501" s="109"/>
      <c r="AJ501" s="109"/>
      <c r="AK501" s="109"/>
      <c r="AL501" s="109"/>
      <c r="AM501" s="109"/>
      <c r="AN501" s="109"/>
      <c r="AO501" s="109"/>
      <c r="AP501" s="109"/>
      <c r="AT501" s="149" t="s">
        <v>762</v>
      </c>
      <c r="AU501" s="94" t="s">
        <v>1833</v>
      </c>
    </row>
    <row r="502" spans="1:47" ht="21" customHeight="1" x14ac:dyDescent="0.35">
      <c r="A502" s="262"/>
      <c r="B502" s="98" t="s">
        <v>138</v>
      </c>
      <c r="C502" s="99" t="s">
        <v>805</v>
      </c>
      <c r="D502" s="100" t="s">
        <v>763</v>
      </c>
      <c r="E502" s="101">
        <v>45966</v>
      </c>
      <c r="F502" s="102">
        <f t="shared" si="16"/>
        <v>0</v>
      </c>
      <c r="G502" s="150">
        <f>SUMIF(积分汇总!$B:$B,C502,积分汇总!$E:$E)</f>
        <v>0</v>
      </c>
      <c r="H502" s="150">
        <f>SUMIF(记录巡查问题条数汇总!$B:$B,C502,记录巡查问题条数汇总!$E:$E)</f>
        <v>0</v>
      </c>
      <c r="I502" s="150"/>
      <c r="J502" s="150">
        <f>SUMIF(安全质量事故!$B:$B,C502,安全质量事故!$G:$G)</f>
        <v>0</v>
      </c>
      <c r="K502" s="141">
        <f>COUNTIF(L502:AP502,标准数据!$A$2)*标准数据!$B$2+COUNTIF(L502:AP502,标准数据!$A$3)*标准数据!$B$3+COUNTIF(L502:AP502,标准数据!$A$4)*标准数据!$B$4</f>
        <v>0</v>
      </c>
      <c r="L502" s="109"/>
      <c r="M502" s="109"/>
      <c r="N502" s="109"/>
      <c r="O502" s="109"/>
      <c r="P502" s="109"/>
      <c r="Q502" s="109"/>
      <c r="R502" s="109"/>
      <c r="S502" s="109"/>
      <c r="T502" s="109"/>
      <c r="U502" s="109"/>
      <c r="V502" s="109"/>
      <c r="W502" s="109"/>
      <c r="X502" s="109"/>
      <c r="Y502" s="109"/>
      <c r="Z502" s="109"/>
      <c r="AA502" s="109"/>
      <c r="AB502" s="109"/>
      <c r="AC502" s="109"/>
      <c r="AD502" s="109"/>
      <c r="AE502" s="109"/>
      <c r="AF502" s="109"/>
      <c r="AG502" s="109"/>
      <c r="AH502" s="109"/>
      <c r="AI502" s="109"/>
      <c r="AJ502" s="109"/>
      <c r="AK502" s="109"/>
      <c r="AL502" s="109"/>
      <c r="AM502" s="109"/>
      <c r="AN502" s="109"/>
      <c r="AO502" s="109"/>
      <c r="AP502" s="109"/>
      <c r="AT502" s="149" t="s">
        <v>763</v>
      </c>
      <c r="AU502" s="94" t="s">
        <v>1832</v>
      </c>
    </row>
    <row r="503" spans="1:47" ht="21" customHeight="1" x14ac:dyDescent="0.35">
      <c r="A503" s="262"/>
      <c r="B503" s="98" t="s">
        <v>138</v>
      </c>
      <c r="C503" s="99" t="s">
        <v>927</v>
      </c>
      <c r="D503" s="100" t="s">
        <v>853</v>
      </c>
      <c r="E503" s="101">
        <v>41583</v>
      </c>
      <c r="F503" s="102">
        <f t="shared" si="16"/>
        <v>0</v>
      </c>
      <c r="G503" s="150">
        <f>SUMIF(积分汇总!$B:$B,C503,积分汇总!$E:$E)</f>
        <v>0</v>
      </c>
      <c r="H503" s="150">
        <f>SUMIF(记录巡查问题条数汇总!$B:$B,C503,记录巡查问题条数汇总!$E:$E)</f>
        <v>0</v>
      </c>
      <c r="I503" s="150"/>
      <c r="J503" s="150">
        <f>SUMIF(安全质量事故!$B:$B,C503,安全质量事故!$G:$G)</f>
        <v>0</v>
      </c>
      <c r="K503" s="141">
        <f>COUNTIF(L503:AP503,标准数据!$A$2)*标准数据!$B$2+COUNTIF(L503:AP503,标准数据!$A$3)*标准数据!$B$3+COUNTIF(L503:AP503,标准数据!$A$4)*标准数据!$B$4</f>
        <v>0</v>
      </c>
      <c r="L503" s="185"/>
      <c r="M503" s="185"/>
      <c r="N503" s="185"/>
      <c r="O503" s="185"/>
      <c r="P503" s="185"/>
      <c r="Q503" s="185"/>
      <c r="R503" s="185"/>
      <c r="S503" s="185"/>
      <c r="T503" s="185"/>
      <c r="U503" s="185"/>
      <c r="V503" s="185"/>
      <c r="W503" s="185"/>
      <c r="X503" s="109"/>
      <c r="Y503" s="109"/>
      <c r="Z503" s="109"/>
      <c r="AA503" s="109"/>
      <c r="AB503" s="109"/>
      <c r="AC503" s="109"/>
      <c r="AD503" s="109"/>
      <c r="AE503" s="109"/>
      <c r="AF503" s="109"/>
      <c r="AG503" s="109"/>
      <c r="AH503" s="109"/>
      <c r="AI503" s="109"/>
      <c r="AJ503" s="109"/>
      <c r="AK503" s="109"/>
      <c r="AL503" s="109"/>
      <c r="AM503" s="109"/>
      <c r="AN503" s="109"/>
      <c r="AO503" s="109"/>
      <c r="AP503" s="109"/>
      <c r="AT503" s="149" t="s">
        <v>853</v>
      </c>
      <c r="AU503" s="94" t="s">
        <v>1832</v>
      </c>
    </row>
    <row r="504" spans="1:47" ht="21" customHeight="1" x14ac:dyDescent="0.35">
      <c r="A504" s="262"/>
      <c r="B504" s="98" t="s">
        <v>138</v>
      </c>
      <c r="C504" s="99" t="s">
        <v>929</v>
      </c>
      <c r="D504" s="100" t="s">
        <v>866</v>
      </c>
      <c r="E504" s="101">
        <v>46001</v>
      </c>
      <c r="F504" s="102">
        <f t="shared" si="16"/>
        <v>0</v>
      </c>
      <c r="G504" s="150">
        <f>SUMIF(积分汇总!$B:$B,C504,积分汇总!$E:$E)</f>
        <v>0</v>
      </c>
      <c r="H504" s="150">
        <f>SUMIF(记录巡查问题条数汇总!$B:$B,C504,记录巡查问题条数汇总!$E:$E)</f>
        <v>0</v>
      </c>
      <c r="I504" s="150"/>
      <c r="J504" s="150">
        <f>SUMIF(安全质量事故!$B:$B,C504,安全质量事故!$G:$G)</f>
        <v>0</v>
      </c>
      <c r="K504" s="141">
        <f>COUNTIF(L504:AP504,标准数据!$A$2)*标准数据!$B$2+COUNTIF(L504:AP504,标准数据!$A$3)*标准数据!$B$3+COUNTIF(L504:AP504,标准数据!$A$4)*标准数据!$B$4</f>
        <v>0</v>
      </c>
      <c r="L504" s="185"/>
      <c r="M504" s="185"/>
      <c r="N504" s="185"/>
      <c r="O504" s="185"/>
      <c r="P504" s="185"/>
      <c r="Q504" s="185"/>
      <c r="R504" s="185"/>
      <c r="S504" s="185"/>
      <c r="T504" s="185"/>
      <c r="U504" s="185"/>
      <c r="V504" s="185"/>
      <c r="W504" s="185"/>
      <c r="X504" s="109"/>
      <c r="Y504" s="109"/>
      <c r="Z504" s="109"/>
      <c r="AA504" s="109"/>
      <c r="AB504" s="109"/>
      <c r="AC504" s="109"/>
      <c r="AD504" s="109"/>
      <c r="AE504" s="109"/>
      <c r="AF504" s="109"/>
      <c r="AG504" s="109"/>
      <c r="AH504" s="109"/>
      <c r="AI504" s="109"/>
      <c r="AJ504" s="109"/>
      <c r="AK504" s="109"/>
      <c r="AL504" s="109"/>
      <c r="AM504" s="109"/>
      <c r="AN504" s="109"/>
      <c r="AO504" s="109"/>
      <c r="AP504" s="109"/>
      <c r="AT504" s="149" t="s">
        <v>866</v>
      </c>
      <c r="AU504" s="94" t="s">
        <v>1832</v>
      </c>
    </row>
    <row r="505" spans="1:47" ht="21" customHeight="1" x14ac:dyDescent="0.35">
      <c r="A505" s="262"/>
      <c r="B505" s="98" t="s">
        <v>138</v>
      </c>
      <c r="C505" s="99" t="s">
        <v>930</v>
      </c>
      <c r="D505" s="100" t="s">
        <v>870</v>
      </c>
      <c r="E505" s="101">
        <v>45882</v>
      </c>
      <c r="F505" s="102">
        <f t="shared" si="16"/>
        <v>0</v>
      </c>
      <c r="G505" s="150">
        <f>SUMIF(积分汇总!$B:$B,C505,积分汇总!$E:$E)</f>
        <v>0</v>
      </c>
      <c r="H505" s="150">
        <f>SUMIF(记录巡查问题条数汇总!$B:$B,C505,记录巡查问题条数汇总!$E:$E)</f>
        <v>0</v>
      </c>
      <c r="I505" s="150"/>
      <c r="J505" s="150">
        <f>SUMIF(安全质量事故!$B:$B,C505,安全质量事故!$G:$G)</f>
        <v>0</v>
      </c>
      <c r="K505" s="141">
        <f>COUNTIF(L505:AP505,标准数据!$A$2)*标准数据!$B$2+COUNTIF(L505:AP505,标准数据!$A$3)*标准数据!$B$3+COUNTIF(L505:AP505,标准数据!$A$4)*标准数据!$B$4</f>
        <v>0</v>
      </c>
      <c r="L505" s="185"/>
      <c r="M505" s="185"/>
      <c r="N505" s="185"/>
      <c r="O505" s="185"/>
      <c r="P505" s="185"/>
      <c r="Q505" s="185"/>
      <c r="R505" s="185"/>
      <c r="S505" s="185"/>
      <c r="T505" s="185"/>
      <c r="U505" s="185"/>
      <c r="V505" s="185"/>
      <c r="W505" s="185"/>
      <c r="X505" s="109"/>
      <c r="Y505" s="109"/>
      <c r="Z505" s="109"/>
      <c r="AA505" s="109"/>
      <c r="AB505" s="109"/>
      <c r="AC505" s="109"/>
      <c r="AD505" s="109"/>
      <c r="AE505" s="109"/>
      <c r="AF505" s="109"/>
      <c r="AG505" s="109"/>
      <c r="AH505" s="109"/>
      <c r="AI505" s="109"/>
      <c r="AJ505" s="109"/>
      <c r="AK505" s="109"/>
      <c r="AL505" s="109"/>
      <c r="AM505" s="109"/>
      <c r="AN505" s="109"/>
      <c r="AO505" s="109"/>
      <c r="AP505" s="109"/>
      <c r="AT505" s="149" t="s">
        <v>870</v>
      </c>
      <c r="AU505" s="94" t="s">
        <v>1832</v>
      </c>
    </row>
    <row r="506" spans="1:47" ht="21" customHeight="1" x14ac:dyDescent="0.35">
      <c r="A506" s="262"/>
      <c r="B506" s="98" t="s">
        <v>138</v>
      </c>
      <c r="C506" s="99" t="s">
        <v>1031</v>
      </c>
      <c r="D506" s="100" t="s">
        <v>972</v>
      </c>
      <c r="E506" s="101">
        <v>46015</v>
      </c>
      <c r="F506" s="102">
        <f t="shared" si="16"/>
        <v>0</v>
      </c>
      <c r="G506" s="150">
        <f>SUMIF(积分汇总!$B:$B,C506,积分汇总!$E:$E)</f>
        <v>0</v>
      </c>
      <c r="H506" s="150">
        <f>SUMIF(记录巡查问题条数汇总!$B:$B,C506,记录巡查问题条数汇总!$E:$E)</f>
        <v>0</v>
      </c>
      <c r="I506" s="150"/>
      <c r="J506" s="150">
        <f>SUMIF(安全质量事故!$B:$B,C506,安全质量事故!$G:$G)</f>
        <v>0</v>
      </c>
      <c r="K506" s="141">
        <f>COUNTIF(L506:AP506,标准数据!$A$2)*标准数据!$B$2+COUNTIF(L506:AP506,标准数据!$A$3)*标准数据!$B$3+COUNTIF(L506:AP506,标准数据!$A$4)*标准数据!$B$4</f>
        <v>0</v>
      </c>
      <c r="L506" s="185"/>
      <c r="M506" s="185"/>
      <c r="N506" s="185"/>
      <c r="O506" s="185"/>
      <c r="P506" s="185"/>
      <c r="Q506" s="185"/>
      <c r="R506" s="185"/>
      <c r="S506" s="185"/>
      <c r="T506" s="185"/>
      <c r="U506" s="185"/>
      <c r="V506" s="185"/>
      <c r="W506" s="185"/>
      <c r="X506" s="109"/>
      <c r="Y506" s="109"/>
      <c r="Z506" s="109"/>
      <c r="AA506" s="109"/>
      <c r="AB506" s="109"/>
      <c r="AC506" s="109"/>
      <c r="AD506" s="109"/>
      <c r="AE506" s="109"/>
      <c r="AF506" s="109"/>
      <c r="AG506" s="109"/>
      <c r="AH506" s="109"/>
      <c r="AI506" s="109"/>
      <c r="AJ506" s="109"/>
      <c r="AK506" s="109"/>
      <c r="AL506" s="109"/>
      <c r="AM506" s="109"/>
      <c r="AN506" s="109"/>
      <c r="AO506" s="109"/>
      <c r="AP506" s="109"/>
      <c r="AT506" s="149" t="s">
        <v>972</v>
      </c>
      <c r="AU506" s="94" t="s">
        <v>1832</v>
      </c>
    </row>
    <row r="507" spans="1:47" ht="21" customHeight="1" x14ac:dyDescent="0.35">
      <c r="A507" s="262"/>
      <c r="B507" s="98" t="s">
        <v>138</v>
      </c>
      <c r="C507" s="99" t="s">
        <v>807</v>
      </c>
      <c r="D507" s="100" t="s">
        <v>765</v>
      </c>
      <c r="E507" s="101">
        <v>45847</v>
      </c>
      <c r="F507" s="102">
        <f t="shared" si="16"/>
        <v>0</v>
      </c>
      <c r="G507" s="150">
        <f>SUMIF(积分汇总!$B:$B,C507,积分汇总!$E:$E)</f>
        <v>0</v>
      </c>
      <c r="H507" s="150">
        <f>SUMIF(记录巡查问题条数汇总!$B:$B,C507,记录巡查问题条数汇总!$E:$E)</f>
        <v>0</v>
      </c>
      <c r="I507" s="150"/>
      <c r="J507" s="150">
        <f>SUMIF(安全质量事故!$B:$B,C507,安全质量事故!$G:$G)</f>
        <v>0</v>
      </c>
      <c r="K507" s="141">
        <f>COUNTIF(L507:AP507,标准数据!$A$2)*标准数据!$B$2+COUNTIF(L507:AP507,标准数据!$A$3)*标准数据!$B$3+COUNTIF(L507:AP507,标准数据!$A$4)*标准数据!$B$4</f>
        <v>0</v>
      </c>
      <c r="L507" s="109"/>
      <c r="M507" s="109"/>
      <c r="N507" s="109"/>
      <c r="O507" s="109"/>
      <c r="P507" s="109"/>
      <c r="Q507" s="109"/>
      <c r="R507" s="109"/>
      <c r="S507" s="109"/>
      <c r="T507" s="109"/>
      <c r="U507" s="109"/>
      <c r="V507" s="109"/>
      <c r="W507" s="109"/>
      <c r="X507" s="109"/>
      <c r="Y507" s="109"/>
      <c r="Z507" s="109"/>
      <c r="AA507" s="109"/>
      <c r="AB507" s="109"/>
      <c r="AC507" s="109"/>
      <c r="AD507" s="109"/>
      <c r="AE507" s="109"/>
      <c r="AF507" s="109"/>
      <c r="AG507" s="109"/>
      <c r="AH507" s="109"/>
      <c r="AI507" s="109"/>
      <c r="AJ507" s="109"/>
      <c r="AK507" s="109"/>
      <c r="AL507" s="109"/>
      <c r="AM507" s="109"/>
      <c r="AN507" s="109"/>
      <c r="AO507" s="109"/>
      <c r="AP507" s="109"/>
      <c r="AT507" s="149" t="s">
        <v>765</v>
      </c>
      <c r="AU507" s="94" t="s">
        <v>1832</v>
      </c>
    </row>
    <row r="508" spans="1:47" ht="21" customHeight="1" x14ac:dyDescent="0.35">
      <c r="A508" s="262"/>
      <c r="B508" s="98" t="s">
        <v>138</v>
      </c>
      <c r="C508" s="99" t="s">
        <v>808</v>
      </c>
      <c r="D508" s="100" t="s">
        <v>766</v>
      </c>
      <c r="E508" s="101">
        <v>45847</v>
      </c>
      <c r="F508" s="102">
        <f t="shared" si="16"/>
        <v>0</v>
      </c>
      <c r="G508" s="150">
        <f>SUMIF(积分汇总!$B:$B,C508,积分汇总!$E:$E)</f>
        <v>0</v>
      </c>
      <c r="H508" s="150">
        <f>SUMIF(记录巡查问题条数汇总!$B:$B,C508,记录巡查问题条数汇总!$E:$E)</f>
        <v>0</v>
      </c>
      <c r="I508" s="150"/>
      <c r="J508" s="150">
        <f>SUMIF(安全质量事故!$B:$B,C508,安全质量事故!$G:$G)</f>
        <v>0</v>
      </c>
      <c r="K508" s="141">
        <f>COUNTIF(L508:AP508,标准数据!$A$2)*标准数据!$B$2+COUNTIF(L508:AP508,标准数据!$A$3)*标准数据!$B$3+COUNTIF(L508:AP508,标准数据!$A$4)*标准数据!$B$4</f>
        <v>0</v>
      </c>
      <c r="L508" s="185"/>
      <c r="M508" s="185"/>
      <c r="N508" s="185"/>
      <c r="O508" s="185"/>
      <c r="P508" s="185"/>
      <c r="Q508" s="185"/>
      <c r="R508" s="185"/>
      <c r="S508" s="185"/>
      <c r="T508" s="185"/>
      <c r="U508" s="185"/>
      <c r="V508" s="185"/>
      <c r="W508" s="185"/>
      <c r="X508" s="185"/>
      <c r="Y508" s="185"/>
      <c r="Z508" s="185"/>
      <c r="AA508" s="185"/>
      <c r="AB508" s="185"/>
      <c r="AC508" s="185"/>
      <c r="AD508" s="185"/>
      <c r="AE508" s="185"/>
      <c r="AF508" s="185"/>
      <c r="AG508" s="185"/>
      <c r="AH508" s="185"/>
      <c r="AI508" s="185"/>
      <c r="AJ508" s="185"/>
      <c r="AK508" s="185"/>
      <c r="AL508" s="185"/>
      <c r="AM508" s="185"/>
      <c r="AN508" s="185"/>
      <c r="AO508" s="185"/>
      <c r="AP508" s="185"/>
      <c r="AQ508" s="94"/>
      <c r="AR508" s="94"/>
      <c r="AS508" s="94"/>
      <c r="AT508" s="149" t="s">
        <v>766</v>
      </c>
      <c r="AU508" s="94" t="s">
        <v>1832</v>
      </c>
    </row>
    <row r="509" spans="1:47" ht="21" customHeight="1" x14ac:dyDescent="0.35">
      <c r="A509" s="262"/>
      <c r="B509" s="98" t="s">
        <v>138</v>
      </c>
      <c r="C509" s="99" t="s">
        <v>295</v>
      </c>
      <c r="D509" s="100" t="s">
        <v>287</v>
      </c>
      <c r="E509" s="101">
        <v>43700</v>
      </c>
      <c r="F509" s="102">
        <f t="shared" si="16"/>
        <v>0</v>
      </c>
      <c r="G509" s="150">
        <f>SUMIF(积分汇总!$B:$B,C509,积分汇总!$E:$E)</f>
        <v>0</v>
      </c>
      <c r="H509" s="150">
        <f>SUMIF(记录巡查问题条数汇总!$B:$B,C509,记录巡查问题条数汇总!$E:$E)</f>
        <v>0</v>
      </c>
      <c r="I509" s="150"/>
      <c r="J509" s="150">
        <f>SUMIF(安全质量事故!$B:$B,C509,安全质量事故!$G:$G)</f>
        <v>0</v>
      </c>
      <c r="K509" s="141">
        <f>COUNTIF(L509:AP509,标准数据!$A$2)*标准数据!$B$2+COUNTIF(L509:AP509,标准数据!$A$3)*标准数据!$B$3+COUNTIF(L509:AP509,标准数据!$A$4)*标准数据!$B$4</f>
        <v>0</v>
      </c>
      <c r="L509" s="109"/>
      <c r="M509" s="109"/>
      <c r="N509" s="109"/>
      <c r="O509" s="109"/>
      <c r="P509" s="109"/>
      <c r="Q509" s="109"/>
      <c r="R509" s="109"/>
      <c r="S509" s="109"/>
      <c r="T509" s="109"/>
      <c r="U509" s="109"/>
      <c r="V509" s="109"/>
      <c r="W509" s="109"/>
      <c r="X509" s="109"/>
      <c r="Y509" s="109"/>
      <c r="Z509" s="109"/>
      <c r="AA509" s="109"/>
      <c r="AB509" s="109"/>
      <c r="AC509" s="109"/>
      <c r="AD509" s="109"/>
      <c r="AE509" s="109"/>
      <c r="AF509" s="109"/>
      <c r="AG509" s="109"/>
      <c r="AH509" s="109"/>
      <c r="AI509" s="109"/>
      <c r="AJ509" s="109"/>
      <c r="AK509" s="109"/>
      <c r="AL509" s="109"/>
      <c r="AM509" s="109"/>
      <c r="AN509" s="109"/>
      <c r="AO509" s="109"/>
      <c r="AP509" s="109"/>
      <c r="AQ509" s="94"/>
      <c r="AR509" s="94"/>
      <c r="AS509" s="94"/>
      <c r="AT509" s="149" t="s">
        <v>287</v>
      </c>
      <c r="AU509" s="94" t="s">
        <v>1832</v>
      </c>
    </row>
    <row r="510" spans="1:47" ht="21" customHeight="1" x14ac:dyDescent="0.35">
      <c r="A510" s="262"/>
      <c r="B510" s="98" t="s">
        <v>138</v>
      </c>
      <c r="C510" s="99" t="s">
        <v>593</v>
      </c>
      <c r="D510" s="100" t="s">
        <v>558</v>
      </c>
      <c r="E510" s="101">
        <v>45509</v>
      </c>
      <c r="F510" s="102">
        <f t="shared" si="16"/>
        <v>0</v>
      </c>
      <c r="G510" s="150">
        <f>SUMIF(积分汇总!$B:$B,C510,积分汇总!$E:$E)</f>
        <v>0</v>
      </c>
      <c r="H510" s="150">
        <f>SUMIF(记录巡查问题条数汇总!$B:$B,C510,记录巡查问题条数汇总!$E:$E)</f>
        <v>0</v>
      </c>
      <c r="I510" s="150"/>
      <c r="J510" s="150">
        <f>SUMIF(安全质量事故!$B:$B,C510,安全质量事故!$G:$G)</f>
        <v>0</v>
      </c>
      <c r="K510" s="141">
        <f>COUNTIF(L510:AP510,标准数据!$A$2)*标准数据!$B$2+COUNTIF(L510:AP510,标准数据!$A$3)*标准数据!$B$3+COUNTIF(L510:AP510,标准数据!$A$4)*标准数据!$B$4</f>
        <v>0</v>
      </c>
      <c r="L510" s="109"/>
      <c r="M510" s="109"/>
      <c r="N510" s="109"/>
      <c r="O510" s="109"/>
      <c r="P510" s="109"/>
      <c r="Q510" s="109"/>
      <c r="R510" s="109"/>
      <c r="S510" s="109"/>
      <c r="T510" s="109"/>
      <c r="U510" s="109"/>
      <c r="V510" s="109"/>
      <c r="W510" s="109"/>
      <c r="X510" s="109"/>
      <c r="Y510" s="109"/>
      <c r="Z510" s="109"/>
      <c r="AA510" s="109"/>
      <c r="AB510" s="109"/>
      <c r="AC510" s="109"/>
      <c r="AD510" s="109"/>
      <c r="AE510" s="109"/>
      <c r="AF510" s="109"/>
      <c r="AG510" s="109"/>
      <c r="AH510" s="109"/>
      <c r="AI510" s="109"/>
      <c r="AJ510" s="109"/>
      <c r="AK510" s="109"/>
      <c r="AL510" s="109"/>
      <c r="AM510" s="109"/>
      <c r="AN510" s="109"/>
      <c r="AO510" s="109"/>
      <c r="AP510" s="109"/>
      <c r="AQ510" s="94"/>
      <c r="AR510" s="94"/>
      <c r="AS510" s="94"/>
      <c r="AT510" s="149" t="s">
        <v>558</v>
      </c>
      <c r="AU510" s="94" t="s">
        <v>1832</v>
      </c>
    </row>
    <row r="511" spans="1:47" ht="21" customHeight="1" x14ac:dyDescent="0.35">
      <c r="A511" s="262"/>
      <c r="B511" s="98" t="s">
        <v>158</v>
      </c>
      <c r="C511" s="99" t="s">
        <v>606</v>
      </c>
      <c r="D511" s="100" t="s">
        <v>578</v>
      </c>
      <c r="E511" s="101">
        <v>45868</v>
      </c>
      <c r="F511" s="102">
        <f t="shared" ref="F511:F514" si="19">(K511+G511+H511+I511-J511)</f>
        <v>0</v>
      </c>
      <c r="G511" s="150">
        <f>SUMIF(积分汇总!$B:$B,C511,积分汇总!$E:$E)</f>
        <v>0</v>
      </c>
      <c r="H511" s="150">
        <f>SUMIF(记录巡查问题条数汇总!$B:$B,C511,记录巡查问题条数汇总!$E:$E)</f>
        <v>0</v>
      </c>
      <c r="I511" s="150"/>
      <c r="J511" s="150">
        <f>SUMIF(安全质量事故!$B:$B,C511,安全质量事故!$G:$G)</f>
        <v>0</v>
      </c>
      <c r="K511" s="141">
        <f>COUNTIF(L511:AP511,标准数据!$A$2)*标准数据!$B$2+COUNTIF(L511:AP511,标准数据!$A$3)*标准数据!$B$3+COUNTIF(L511:AP511,标准数据!$A$4)*标准数据!$B$4</f>
        <v>0</v>
      </c>
      <c r="L511" s="185"/>
      <c r="M511" s="185"/>
      <c r="N511" s="185"/>
      <c r="O511" s="185"/>
      <c r="P511" s="185"/>
      <c r="Q511" s="185"/>
      <c r="R511" s="185"/>
      <c r="S511" s="185"/>
      <c r="T511" s="185"/>
      <c r="U511" s="185"/>
      <c r="V511" s="185"/>
      <c r="W511" s="185"/>
      <c r="X511" s="185"/>
      <c r="Y511" s="185"/>
      <c r="Z511" s="185"/>
      <c r="AA511" s="185"/>
      <c r="AB511" s="185"/>
      <c r="AC511" s="185"/>
      <c r="AD511" s="185"/>
      <c r="AE511" s="185"/>
      <c r="AF511" s="185"/>
      <c r="AG511" s="185"/>
      <c r="AH511" s="185"/>
      <c r="AI511" s="185"/>
      <c r="AJ511" s="185"/>
      <c r="AK511" s="185"/>
      <c r="AL511" s="185"/>
      <c r="AM511" s="185"/>
      <c r="AN511" s="185"/>
      <c r="AO511" s="185"/>
      <c r="AP511" s="185"/>
      <c r="AQ511" s="94"/>
      <c r="AR511" s="94"/>
      <c r="AS511" s="94"/>
      <c r="AT511" s="149" t="s">
        <v>578</v>
      </c>
      <c r="AU511" s="94" t="s">
        <v>1832</v>
      </c>
    </row>
    <row r="512" spans="1:47" ht="21" customHeight="1" x14ac:dyDescent="0.35">
      <c r="A512" s="262"/>
      <c r="B512" s="98" t="s">
        <v>158</v>
      </c>
      <c r="C512" s="99" t="s">
        <v>1030</v>
      </c>
      <c r="D512" s="100" t="s">
        <v>985</v>
      </c>
      <c r="E512" s="101">
        <v>45896</v>
      </c>
      <c r="F512" s="102">
        <f t="shared" si="19"/>
        <v>0</v>
      </c>
      <c r="G512" s="150">
        <f>SUMIF(积分汇总!$B:$B,C512,积分汇总!$E:$E)</f>
        <v>0</v>
      </c>
      <c r="H512" s="150">
        <f>SUMIF(记录巡查问题条数汇总!$B:$B,C512,记录巡查问题条数汇总!$E:$E)</f>
        <v>0</v>
      </c>
      <c r="I512" s="150"/>
      <c r="J512" s="150">
        <f>SUMIF(安全质量事故!$B:$B,C512,安全质量事故!$G:$G)</f>
        <v>0</v>
      </c>
      <c r="K512" s="141">
        <f>COUNTIF(L512:AP512,标准数据!$A$2)*标准数据!$B$2+COUNTIF(L512:AP512,标准数据!$A$3)*标准数据!$B$3+COUNTIF(L512:AP512,标准数据!$A$4)*标准数据!$B$4</f>
        <v>0</v>
      </c>
      <c r="L512" s="185"/>
      <c r="M512" s="185"/>
      <c r="N512" s="185"/>
      <c r="O512" s="185"/>
      <c r="P512" s="185"/>
      <c r="Q512" s="109"/>
      <c r="R512" s="109"/>
      <c r="S512" s="109"/>
      <c r="T512" s="109"/>
      <c r="U512" s="109"/>
      <c r="V512" s="109"/>
      <c r="W512" s="109"/>
      <c r="X512" s="109"/>
      <c r="Y512" s="109"/>
      <c r="Z512" s="109"/>
      <c r="AA512" s="109"/>
      <c r="AB512" s="109"/>
      <c r="AC512" s="109"/>
      <c r="AD512" s="109"/>
      <c r="AE512" s="109"/>
      <c r="AF512" s="109"/>
      <c r="AG512" s="109"/>
      <c r="AH512" s="109"/>
      <c r="AI512" s="109"/>
      <c r="AJ512" s="109"/>
      <c r="AK512" s="109"/>
      <c r="AL512" s="109"/>
      <c r="AM512" s="109"/>
      <c r="AN512" s="109"/>
      <c r="AO512" s="109"/>
      <c r="AP512" s="109"/>
      <c r="AT512" s="149" t="s">
        <v>985</v>
      </c>
      <c r="AU512" s="94" t="s">
        <v>1832</v>
      </c>
    </row>
    <row r="513" spans="1:47" ht="21" customHeight="1" x14ac:dyDescent="0.35">
      <c r="A513" s="262"/>
      <c r="B513" s="98" t="s">
        <v>138</v>
      </c>
      <c r="C513" s="99" t="s">
        <v>1330</v>
      </c>
      <c r="D513" s="100" t="s">
        <v>1331</v>
      </c>
      <c r="E513" s="101">
        <v>46120</v>
      </c>
      <c r="F513" s="102">
        <f t="shared" si="19"/>
        <v>0</v>
      </c>
      <c r="G513" s="150">
        <f>SUMIF(积分汇总!$B:$B,C513,积分汇总!$E:$E)</f>
        <v>0</v>
      </c>
      <c r="H513" s="150">
        <f>SUMIF(记录巡查问题条数汇总!$B:$B,C513,记录巡查问题条数汇总!$E:$E)</f>
        <v>0</v>
      </c>
      <c r="I513" s="150"/>
      <c r="J513" s="150">
        <f>SUMIF(安全质量事故!$B:$B,C513,安全质量事故!$G:$G)</f>
        <v>0</v>
      </c>
      <c r="K513" s="141">
        <f>COUNTIF(L513:AP513,标准数据!$A$2)*标准数据!$B$2+COUNTIF(L513:AP513,标准数据!$A$3)*标准数据!$B$3+COUNTIF(L513:AP513,标准数据!$A$4)*标准数据!$B$4</f>
        <v>0</v>
      </c>
      <c r="L513" s="185"/>
      <c r="M513" s="185"/>
      <c r="N513" s="185"/>
      <c r="O513" s="185"/>
      <c r="P513" s="185"/>
      <c r="Q513" s="185"/>
      <c r="R513" s="185"/>
      <c r="S513" s="185"/>
      <c r="T513" s="185"/>
      <c r="U513" s="185"/>
      <c r="V513" s="185"/>
      <c r="W513" s="185"/>
      <c r="X513" s="109"/>
      <c r="Y513" s="109"/>
      <c r="Z513" s="109"/>
      <c r="AA513" s="109"/>
      <c r="AB513" s="109"/>
      <c r="AC513" s="109"/>
      <c r="AD513" s="109"/>
      <c r="AE513" s="109"/>
      <c r="AF513" s="109"/>
      <c r="AG513" s="109"/>
      <c r="AH513" s="109"/>
      <c r="AI513" s="109"/>
      <c r="AJ513" s="109"/>
      <c r="AK513" s="109"/>
      <c r="AL513" s="109"/>
      <c r="AM513" s="109"/>
      <c r="AN513" s="109"/>
      <c r="AO513" s="109"/>
      <c r="AP513" s="109"/>
      <c r="AQ513" s="61" t="s">
        <v>1327</v>
      </c>
      <c r="AT513" s="149" t="s">
        <v>1331</v>
      </c>
      <c r="AU513" s="94" t="s">
        <v>1832</v>
      </c>
    </row>
    <row r="514" spans="1:47" ht="21" customHeight="1" x14ac:dyDescent="0.35">
      <c r="A514" s="262"/>
      <c r="B514" s="98" t="s">
        <v>138</v>
      </c>
      <c r="C514" s="99" t="s">
        <v>1332</v>
      </c>
      <c r="D514" s="100" t="s">
        <v>1333</v>
      </c>
      <c r="E514" s="101">
        <v>46127</v>
      </c>
      <c r="F514" s="102">
        <f t="shared" si="19"/>
        <v>0</v>
      </c>
      <c r="G514" s="150">
        <f>SUMIF(积分汇总!$B:$B,C514,积分汇总!$E:$E)</f>
        <v>0</v>
      </c>
      <c r="H514" s="150">
        <f>SUMIF(记录巡查问题条数汇总!$B:$B,C514,记录巡查问题条数汇总!$E:$E)</f>
        <v>0</v>
      </c>
      <c r="I514" s="150"/>
      <c r="J514" s="150">
        <f>SUMIF(安全质量事故!$B:$B,C514,安全质量事故!$G:$G)</f>
        <v>0</v>
      </c>
      <c r="K514" s="141">
        <f>COUNTIF(L514:AP514,标准数据!$A$2)*标准数据!$B$2+COUNTIF(L514:AP514,标准数据!$A$3)*标准数据!$B$3+COUNTIF(L514:AP514,标准数据!$A$4)*标准数据!$B$4</f>
        <v>0</v>
      </c>
      <c r="L514" s="185"/>
      <c r="M514" s="185"/>
      <c r="N514" s="185"/>
      <c r="O514" s="185"/>
      <c r="P514" s="185"/>
      <c r="Q514" s="185"/>
      <c r="R514" s="185"/>
      <c r="S514" s="185"/>
      <c r="T514" s="185"/>
      <c r="U514" s="185"/>
      <c r="V514" s="185"/>
      <c r="W514" s="185"/>
      <c r="X514" s="185"/>
      <c r="Y514" s="185"/>
      <c r="Z514" s="109"/>
      <c r="AA514" s="109"/>
      <c r="AB514" s="109"/>
      <c r="AC514" s="109"/>
      <c r="AD514" s="109"/>
      <c r="AE514" s="109"/>
      <c r="AF514" s="109"/>
      <c r="AG514" s="109"/>
      <c r="AH514" s="109"/>
      <c r="AI514" s="109"/>
      <c r="AJ514" s="109"/>
      <c r="AK514" s="109"/>
      <c r="AL514" s="109"/>
      <c r="AM514" s="109"/>
      <c r="AN514" s="109"/>
      <c r="AO514" s="109"/>
      <c r="AP514" s="109"/>
      <c r="AT514" s="149" t="s">
        <v>1333</v>
      </c>
      <c r="AU514" s="94" t="s">
        <v>1835</v>
      </c>
    </row>
    <row r="515" spans="1:47" ht="21" customHeight="1" x14ac:dyDescent="0.35">
      <c r="A515" s="262"/>
      <c r="B515" s="98" t="s">
        <v>158</v>
      </c>
      <c r="C515" s="214" t="s">
        <v>1690</v>
      </c>
      <c r="D515" s="216" t="s">
        <v>1691</v>
      </c>
      <c r="E515" s="217">
        <v>46169</v>
      </c>
      <c r="F515" s="102">
        <f t="shared" si="16"/>
        <v>0</v>
      </c>
      <c r="G515" s="150">
        <f>SUMIF(积分汇总!$B:$B,C515,积分汇总!$E:$E)</f>
        <v>0</v>
      </c>
      <c r="H515" s="150">
        <f>SUMIF(记录巡查问题条数汇总!$B:$B,C515,记录巡查问题条数汇总!$E:$E)</f>
        <v>0</v>
      </c>
      <c r="I515" s="150"/>
      <c r="J515" s="150">
        <f>SUMIF(安全质量事故!$B:$B,C515,安全质量事故!$G:$G)</f>
        <v>0</v>
      </c>
      <c r="K515" s="141">
        <f>COUNTIF(L515:AP515,标准数据!$A$2)*标准数据!$B$2+COUNTIF(L515:AP515,标准数据!$A$3)*标准数据!$B$3+COUNTIF(L515:AP515,标准数据!$A$4)*标准数据!$B$4</f>
        <v>0</v>
      </c>
      <c r="L515" s="185"/>
      <c r="M515" s="185"/>
      <c r="N515" s="185"/>
      <c r="O515" s="185"/>
      <c r="P515" s="185"/>
      <c r="Q515" s="185"/>
      <c r="R515" s="185"/>
      <c r="S515" s="185"/>
      <c r="T515" s="185"/>
      <c r="U515" s="185"/>
      <c r="V515" s="185"/>
      <c r="W515" s="185"/>
      <c r="X515" s="185"/>
      <c r="Y515" s="185"/>
      <c r="Z515" s="185"/>
      <c r="AA515" s="185"/>
      <c r="AB515" s="185"/>
      <c r="AC515" s="185"/>
      <c r="AD515" s="185"/>
      <c r="AE515" s="185"/>
      <c r="AF515" s="185"/>
      <c r="AG515" s="185"/>
      <c r="AH515" s="185"/>
      <c r="AI515" s="185"/>
      <c r="AJ515" s="185"/>
      <c r="AK515" s="185"/>
      <c r="AL515" s="185"/>
      <c r="AM515" s="185"/>
      <c r="AN515" s="185"/>
      <c r="AO515" s="185"/>
      <c r="AP515" s="185"/>
      <c r="AQ515" s="218" t="s">
        <v>1689</v>
      </c>
      <c r="AR515" s="94"/>
      <c r="AS515" s="94"/>
      <c r="AT515" s="149" t="s">
        <v>1691</v>
      </c>
      <c r="AU515" s="94" t="s">
        <v>1832</v>
      </c>
    </row>
    <row r="516" spans="1:47" ht="21" customHeight="1" x14ac:dyDescent="0.35">
      <c r="A516" s="262"/>
      <c r="B516" s="98" t="s">
        <v>158</v>
      </c>
      <c r="C516" s="214" t="s">
        <v>1692</v>
      </c>
      <c r="D516" s="216" t="s">
        <v>1693</v>
      </c>
      <c r="E516" s="217">
        <v>46050</v>
      </c>
      <c r="F516" s="102">
        <f t="shared" si="16"/>
        <v>0</v>
      </c>
      <c r="G516" s="150">
        <f>SUMIF(积分汇总!$B:$B,C516,积分汇总!$E:$E)</f>
        <v>0</v>
      </c>
      <c r="H516" s="150">
        <f>SUMIF(记录巡查问题条数汇总!$B:$B,C516,记录巡查问题条数汇总!$E:$E)</f>
        <v>0</v>
      </c>
      <c r="I516" s="150"/>
      <c r="J516" s="150">
        <f>SUMIF(安全质量事故!$B:$B,C516,安全质量事故!$G:$G)</f>
        <v>0</v>
      </c>
      <c r="K516" s="141">
        <f>COUNTIF(L516:AP516,标准数据!$A$2)*标准数据!$B$2+COUNTIF(L516:AP516,标准数据!$A$3)*标准数据!$B$3+COUNTIF(L516:AP516,标准数据!$A$4)*标准数据!$B$4</f>
        <v>0</v>
      </c>
      <c r="L516" s="185"/>
      <c r="M516" s="185"/>
      <c r="N516" s="185"/>
      <c r="O516" s="185"/>
      <c r="P516" s="185"/>
      <c r="Q516" s="109"/>
      <c r="R516" s="109"/>
      <c r="S516" s="109"/>
      <c r="T516" s="109"/>
      <c r="U516" s="109"/>
      <c r="V516" s="109"/>
      <c r="W516" s="109"/>
      <c r="X516" s="109"/>
      <c r="Y516" s="109"/>
      <c r="Z516" s="109"/>
      <c r="AA516" s="109"/>
      <c r="AB516" s="109"/>
      <c r="AC516" s="109"/>
      <c r="AD516" s="109"/>
      <c r="AE516" s="109"/>
      <c r="AF516" s="109"/>
      <c r="AG516" s="109"/>
      <c r="AH516" s="109"/>
      <c r="AI516" s="109"/>
      <c r="AJ516" s="109"/>
      <c r="AK516" s="109"/>
      <c r="AL516" s="109"/>
      <c r="AM516" s="109"/>
      <c r="AN516" s="109"/>
      <c r="AO516" s="109"/>
      <c r="AP516" s="109"/>
      <c r="AQ516" s="218" t="s">
        <v>1689</v>
      </c>
      <c r="AT516" s="149" t="s">
        <v>1693</v>
      </c>
      <c r="AU516" s="94" t="s">
        <v>1832</v>
      </c>
    </row>
    <row r="517" spans="1:47" ht="21" customHeight="1" x14ac:dyDescent="0.35">
      <c r="A517" s="262"/>
      <c r="B517" s="98" t="s">
        <v>138</v>
      </c>
      <c r="C517" s="214" t="s">
        <v>1694</v>
      </c>
      <c r="D517" s="216" t="s">
        <v>1695</v>
      </c>
      <c r="E517" s="217">
        <v>46085</v>
      </c>
      <c r="F517" s="102">
        <f t="shared" si="16"/>
        <v>0</v>
      </c>
      <c r="G517" s="150">
        <f>SUMIF(积分汇总!$B:$B,C517,积分汇总!$E:$E)</f>
        <v>0</v>
      </c>
      <c r="H517" s="150">
        <f>SUMIF(记录巡查问题条数汇总!$B:$B,C517,记录巡查问题条数汇总!$E:$E)</f>
        <v>0</v>
      </c>
      <c r="I517" s="150"/>
      <c r="J517" s="150">
        <f>SUMIF(安全质量事故!$B:$B,C517,安全质量事故!$G:$G)</f>
        <v>0</v>
      </c>
      <c r="K517" s="141">
        <f>COUNTIF(L517:AP517,标准数据!$A$2)*标准数据!$B$2+COUNTIF(L517:AP517,标准数据!$A$3)*标准数据!$B$3+COUNTIF(L517:AP517,标准数据!$A$4)*标准数据!$B$4</f>
        <v>0</v>
      </c>
      <c r="L517" s="185"/>
      <c r="M517" s="185"/>
      <c r="N517" s="185"/>
      <c r="O517" s="185"/>
      <c r="P517" s="185"/>
      <c r="Q517" s="185"/>
      <c r="R517" s="185"/>
      <c r="S517" s="185"/>
      <c r="T517" s="185"/>
      <c r="U517" s="185"/>
      <c r="V517" s="185"/>
      <c r="W517" s="185"/>
      <c r="X517" s="109"/>
      <c r="Y517" s="109"/>
      <c r="Z517" s="109"/>
      <c r="AA517" s="109"/>
      <c r="AB517" s="109"/>
      <c r="AC517" s="109"/>
      <c r="AD517" s="109"/>
      <c r="AE517" s="109"/>
      <c r="AF517" s="109"/>
      <c r="AG517" s="109"/>
      <c r="AH517" s="109"/>
      <c r="AI517" s="109"/>
      <c r="AJ517" s="109"/>
      <c r="AK517" s="109"/>
      <c r="AL517" s="109"/>
      <c r="AM517" s="109"/>
      <c r="AN517" s="109"/>
      <c r="AO517" s="109"/>
      <c r="AP517" s="109"/>
      <c r="AQ517" s="218" t="s">
        <v>1689</v>
      </c>
      <c r="AT517" s="149" t="s">
        <v>1695</v>
      </c>
      <c r="AU517" s="94" t="s">
        <v>1832</v>
      </c>
    </row>
    <row r="518" spans="1:47" ht="21" customHeight="1" x14ac:dyDescent="0.35">
      <c r="A518" s="262"/>
      <c r="B518" s="98" t="s">
        <v>138</v>
      </c>
      <c r="C518" s="214" t="s">
        <v>1696</v>
      </c>
      <c r="D518" s="216" t="s">
        <v>1697</v>
      </c>
      <c r="E518" s="217">
        <v>46050</v>
      </c>
      <c r="F518" s="102">
        <f t="shared" si="16"/>
        <v>0</v>
      </c>
      <c r="G518" s="150">
        <f>SUMIF(积分汇总!$B:$B,C518,积分汇总!$E:$E)</f>
        <v>0</v>
      </c>
      <c r="H518" s="150">
        <f>SUMIF(记录巡查问题条数汇总!$B:$B,C518,记录巡查问题条数汇总!$E:$E)</f>
        <v>0</v>
      </c>
      <c r="I518" s="150"/>
      <c r="J518" s="150">
        <f>SUMIF(安全质量事故!$B:$B,C518,安全质量事故!$G:$G)</f>
        <v>0</v>
      </c>
      <c r="K518" s="141">
        <f>COUNTIF(L518:AP518,标准数据!$A$2)*标准数据!$B$2+COUNTIF(L518:AP518,标准数据!$A$3)*标准数据!$B$3+COUNTIF(L518:AP518,标准数据!$A$4)*标准数据!$B$4</f>
        <v>0</v>
      </c>
      <c r="L518" s="185"/>
      <c r="M518" s="185"/>
      <c r="N518" s="185"/>
      <c r="O518" s="185"/>
      <c r="P518" s="185"/>
      <c r="Q518" s="185"/>
      <c r="R518" s="185"/>
      <c r="S518" s="185"/>
      <c r="T518" s="185"/>
      <c r="U518" s="185"/>
      <c r="V518" s="185"/>
      <c r="W518" s="185"/>
      <c r="X518" s="185"/>
      <c r="Y518" s="185"/>
      <c r="Z518" s="109"/>
      <c r="AA518" s="109"/>
      <c r="AB518" s="109"/>
      <c r="AC518" s="109"/>
      <c r="AD518" s="109"/>
      <c r="AE518" s="109"/>
      <c r="AF518" s="109"/>
      <c r="AG518" s="109"/>
      <c r="AH518" s="109"/>
      <c r="AI518" s="109"/>
      <c r="AJ518" s="109"/>
      <c r="AK518" s="109"/>
      <c r="AL518" s="109"/>
      <c r="AM518" s="109"/>
      <c r="AN518" s="109"/>
      <c r="AO518" s="109"/>
      <c r="AP518" s="109"/>
      <c r="AT518" s="149" t="s">
        <v>1697</v>
      </c>
      <c r="AU518" s="94" t="s">
        <v>1832</v>
      </c>
    </row>
    <row r="519" spans="1:47" ht="21" customHeight="1" x14ac:dyDescent="0.35">
      <c r="A519" s="262"/>
      <c r="B519" s="98" t="s">
        <v>158</v>
      </c>
      <c r="C519" s="107" t="s">
        <v>809</v>
      </c>
      <c r="D519" s="100" t="s">
        <v>775</v>
      </c>
      <c r="E519" s="101">
        <v>45868</v>
      </c>
      <c r="F519" s="102">
        <f t="shared" si="16"/>
        <v>0</v>
      </c>
      <c r="G519" s="150">
        <f>SUMIF(积分汇总!$B:$B,C519,积分汇总!$E:$E)</f>
        <v>0</v>
      </c>
      <c r="H519" s="150">
        <f>SUMIF(记录巡查问题条数汇总!$B:$B,C519,记录巡查问题条数汇总!$E:$E)</f>
        <v>0</v>
      </c>
      <c r="I519" s="150"/>
      <c r="J519" s="150">
        <f>SUMIF(安全质量事故!$B:$B,C519,安全质量事故!$G:$G)</f>
        <v>0</v>
      </c>
      <c r="K519" s="141">
        <f>COUNTIF(L519:AP519,标准数据!$A$2)*标准数据!$B$2+COUNTIF(L519:AP519,标准数据!$A$3)*标准数据!$B$3+COUNTIF(L519:AP519,标准数据!$A$4)*标准数据!$B$4</f>
        <v>0</v>
      </c>
      <c r="L519" s="185"/>
      <c r="M519" s="185"/>
      <c r="N519" s="185"/>
      <c r="O519" s="185"/>
      <c r="P519" s="185"/>
      <c r="Q519" s="185"/>
      <c r="R519" s="185"/>
      <c r="S519" s="185"/>
      <c r="T519" s="185"/>
      <c r="U519" s="185"/>
      <c r="V519" s="185"/>
      <c r="W519" s="185"/>
      <c r="X519" s="185"/>
      <c r="Y519" s="185"/>
      <c r="Z519" s="185"/>
      <c r="AA519" s="185"/>
      <c r="AB519" s="185"/>
      <c r="AC519" s="185"/>
      <c r="AD519" s="185"/>
      <c r="AE519" s="185"/>
      <c r="AF519" s="185"/>
      <c r="AG519" s="185"/>
      <c r="AH519" s="185"/>
      <c r="AI519" s="185"/>
      <c r="AJ519" s="185"/>
      <c r="AK519" s="185"/>
      <c r="AL519" s="185"/>
      <c r="AM519" s="185"/>
      <c r="AN519" s="185"/>
      <c r="AO519" s="185"/>
      <c r="AP519" s="185"/>
      <c r="AQ519" s="94"/>
      <c r="AR519" s="94"/>
      <c r="AS519" s="94"/>
      <c r="AT519" s="149" t="s">
        <v>775</v>
      </c>
      <c r="AU519" s="94" t="s">
        <v>1832</v>
      </c>
    </row>
    <row r="520" spans="1:47" ht="21" customHeight="1" x14ac:dyDescent="0.35">
      <c r="A520" s="262"/>
      <c r="B520" s="98" t="s">
        <v>138</v>
      </c>
      <c r="C520" s="107" t="s">
        <v>1334</v>
      </c>
      <c r="D520" s="100" t="s">
        <v>1335</v>
      </c>
      <c r="E520" s="101">
        <v>46008</v>
      </c>
      <c r="F520" s="102">
        <f t="shared" si="16"/>
        <v>0</v>
      </c>
      <c r="G520" s="150">
        <f>SUMIF(积分汇总!$B:$B,C520,积分汇总!$E:$E)</f>
        <v>0</v>
      </c>
      <c r="H520" s="150">
        <f>SUMIF(记录巡查问题条数汇总!$B:$B,C520,记录巡查问题条数汇总!$E:$E)</f>
        <v>0</v>
      </c>
      <c r="I520" s="150"/>
      <c r="J520" s="150">
        <f>SUMIF(安全质量事故!$B:$B,C520,安全质量事故!$G:$G)</f>
        <v>0</v>
      </c>
      <c r="K520" s="141">
        <f>COUNTIF(L520:AP520,标准数据!$A$2)*标准数据!$B$2+COUNTIF(L520:AP520,标准数据!$A$3)*标准数据!$B$3+COUNTIF(L520:AP520,标准数据!$A$4)*标准数据!$B$4</f>
        <v>0</v>
      </c>
      <c r="L520" s="185"/>
      <c r="M520" s="185"/>
      <c r="N520" s="185"/>
      <c r="O520" s="185"/>
      <c r="P520" s="185"/>
      <c r="Q520" s="185"/>
      <c r="R520" s="185"/>
      <c r="S520" s="185"/>
      <c r="T520" s="185"/>
      <c r="U520" s="185"/>
      <c r="V520" s="185"/>
      <c r="W520" s="185"/>
      <c r="X520" s="185"/>
      <c r="Y520" s="185"/>
      <c r="Z520" s="185"/>
      <c r="AA520" s="185"/>
      <c r="AB520" s="185"/>
      <c r="AC520" s="185"/>
      <c r="AD520" s="185"/>
      <c r="AE520" s="185"/>
      <c r="AF520" s="185"/>
      <c r="AG520" s="185"/>
      <c r="AH520" s="185"/>
      <c r="AI520" s="185"/>
      <c r="AJ520" s="185"/>
      <c r="AK520" s="185"/>
      <c r="AL520" s="185"/>
      <c r="AM520" s="185"/>
      <c r="AN520" s="185"/>
      <c r="AO520" s="185"/>
      <c r="AP520" s="185"/>
      <c r="AQ520" s="94"/>
      <c r="AR520" s="94"/>
      <c r="AS520" s="94"/>
      <c r="AT520" s="149" t="s">
        <v>1335</v>
      </c>
      <c r="AU520" s="94" t="s">
        <v>1832</v>
      </c>
    </row>
    <row r="521" spans="1:47" ht="21" customHeight="1" x14ac:dyDescent="0.35">
      <c r="A521" s="262"/>
      <c r="B521" s="98" t="s">
        <v>138</v>
      </c>
      <c r="C521" s="107" t="s">
        <v>1336</v>
      </c>
      <c r="D521" s="100" t="s">
        <v>1337</v>
      </c>
      <c r="E521" s="101">
        <v>45994</v>
      </c>
      <c r="F521" s="102">
        <f t="shared" ref="F521" si="20">(K521+G521+H521+I521-J521)</f>
        <v>0</v>
      </c>
      <c r="G521" s="150">
        <f>SUMIF(积分汇总!$B:$B,C521,积分汇总!$E:$E)</f>
        <v>0</v>
      </c>
      <c r="H521" s="150">
        <f>SUMIF(记录巡查问题条数汇总!$B:$B,C521,记录巡查问题条数汇总!$E:$E)</f>
        <v>0</v>
      </c>
      <c r="I521" s="150"/>
      <c r="J521" s="150">
        <f>SUMIF(安全质量事故!$B:$B,C521,安全质量事故!$G:$G)</f>
        <v>0</v>
      </c>
      <c r="K521" s="141">
        <f>COUNTIF(L521:AP521,标准数据!$A$2)*标准数据!$B$2+COUNTIF(L521:AP521,标准数据!$A$3)*标准数据!$B$3+COUNTIF(L521:AP521,标准数据!$A$4)*标准数据!$B$4</f>
        <v>0</v>
      </c>
      <c r="L521" s="185"/>
      <c r="M521" s="185"/>
      <c r="N521" s="185"/>
      <c r="O521" s="185"/>
      <c r="P521" s="185"/>
      <c r="Q521" s="185"/>
      <c r="R521" s="185"/>
      <c r="S521" s="185"/>
      <c r="T521" s="185"/>
      <c r="U521" s="185"/>
      <c r="V521" s="185"/>
      <c r="W521" s="185"/>
      <c r="X521" s="185"/>
      <c r="Y521" s="185"/>
      <c r="Z521" s="185"/>
      <c r="AA521" s="185"/>
      <c r="AB521" s="185"/>
      <c r="AC521" s="185"/>
      <c r="AD521" s="185"/>
      <c r="AE521" s="185"/>
      <c r="AF521" s="185"/>
      <c r="AG521" s="185"/>
      <c r="AH521" s="185"/>
      <c r="AI521" s="185"/>
      <c r="AJ521" s="185"/>
      <c r="AK521" s="185"/>
      <c r="AL521" s="185"/>
      <c r="AM521" s="185"/>
      <c r="AN521" s="185"/>
      <c r="AO521" s="185"/>
      <c r="AP521" s="185"/>
      <c r="AQ521" s="94"/>
      <c r="AR521" s="94"/>
      <c r="AS521" s="94"/>
      <c r="AT521" s="149" t="s">
        <v>1337</v>
      </c>
      <c r="AU521" s="94" t="s">
        <v>1833</v>
      </c>
    </row>
    <row r="522" spans="1:47" ht="21" customHeight="1" x14ac:dyDescent="0.35">
      <c r="A522" s="263"/>
      <c r="B522" s="98" t="s">
        <v>138</v>
      </c>
      <c r="C522" s="99" t="s">
        <v>1566</v>
      </c>
      <c r="D522" s="100" t="s">
        <v>1567</v>
      </c>
      <c r="E522" s="101">
        <v>46155</v>
      </c>
      <c r="F522" s="102">
        <f t="shared" si="16"/>
        <v>0</v>
      </c>
      <c r="G522" s="150">
        <f>SUMIF(积分汇总!$B:$B,C522,积分汇总!$E:$E)</f>
        <v>0</v>
      </c>
      <c r="H522" s="150">
        <f>SUMIF(记录巡查问题条数汇总!$B:$B,C522,记录巡查问题条数汇总!$E:$E)</f>
        <v>0</v>
      </c>
      <c r="I522" s="150"/>
      <c r="J522" s="150">
        <f>SUMIF(安全质量事故!$B:$B,C522,安全质量事故!$G:$G)</f>
        <v>0</v>
      </c>
      <c r="K522" s="141">
        <f>COUNTIF(L522:AP522,标准数据!$A$2)*标准数据!$B$2+COUNTIF(L522:AP522,标准数据!$A$3)*标准数据!$B$3+COUNTIF(L522:AP522,标准数据!$A$4)*标准数据!$B$4</f>
        <v>0</v>
      </c>
      <c r="L522" s="185"/>
      <c r="M522" s="185"/>
      <c r="N522" s="185"/>
      <c r="O522" s="185"/>
      <c r="P522" s="185"/>
      <c r="Q522" s="185"/>
      <c r="R522" s="185"/>
      <c r="S522" s="185"/>
      <c r="T522" s="185"/>
      <c r="U522" s="185"/>
      <c r="V522" s="185"/>
      <c r="W522" s="185"/>
      <c r="X522" s="185"/>
      <c r="Y522" s="185"/>
      <c r="Z522" s="185"/>
      <c r="AA522" s="185"/>
      <c r="AB522" s="185"/>
      <c r="AC522" s="185"/>
      <c r="AD522" s="185"/>
      <c r="AE522" s="185"/>
      <c r="AF522" s="185"/>
      <c r="AG522" s="185"/>
      <c r="AH522" s="185"/>
      <c r="AI522" s="185"/>
      <c r="AJ522" s="185"/>
      <c r="AK522" s="185"/>
      <c r="AL522" s="185"/>
      <c r="AM522" s="185"/>
      <c r="AN522" s="185"/>
      <c r="AO522" s="185"/>
      <c r="AP522" s="185"/>
      <c r="AQ522" s="116" t="s">
        <v>1834</v>
      </c>
      <c r="AR522" s="94"/>
      <c r="AS522" s="94"/>
      <c r="AT522" s="149" t="s">
        <v>1567</v>
      </c>
      <c r="AU522" s="94" t="s">
        <v>1833</v>
      </c>
    </row>
    <row r="523" spans="1:47" ht="21" customHeight="1" x14ac:dyDescent="0.35">
      <c r="A523" s="259" t="s">
        <v>96</v>
      </c>
      <c r="B523" s="98" t="s">
        <v>824</v>
      </c>
      <c r="C523" s="99" t="s">
        <v>823</v>
      </c>
      <c r="D523" s="100" t="s">
        <v>776</v>
      </c>
      <c r="E523" s="101">
        <v>45980</v>
      </c>
      <c r="F523" s="102">
        <f t="shared" si="16"/>
        <v>0</v>
      </c>
      <c r="G523" s="150">
        <f>SUMIF(积分汇总!$B:$B,C523,积分汇总!$E:$E)</f>
        <v>0</v>
      </c>
      <c r="H523" s="150">
        <f>SUMIF(记录巡查问题条数汇总!$B:$B,C523,记录巡查问题条数汇总!$E:$E)</f>
        <v>0</v>
      </c>
      <c r="I523" s="150"/>
      <c r="J523" s="150">
        <f>SUMIF(安全质量事故!$B:$B,C523,安全质量事故!$G:$G)</f>
        <v>0</v>
      </c>
      <c r="K523" s="141">
        <f>COUNTIF(L523:AP523,标准数据!$A$2)*标准数据!$B$2+COUNTIF(L523:AP523,标准数据!$A$3)*标准数据!$B$3+COUNTIF(L523:AP523,标准数据!$A$4)*标准数据!$B$4</f>
        <v>0</v>
      </c>
      <c r="L523" s="185"/>
      <c r="M523" s="185"/>
      <c r="N523" s="185"/>
      <c r="O523" s="185"/>
      <c r="P523" s="185"/>
      <c r="Q523" s="185"/>
      <c r="R523" s="185"/>
      <c r="S523" s="185"/>
      <c r="T523" s="185"/>
      <c r="U523" s="185"/>
      <c r="V523" s="185"/>
      <c r="W523" s="185"/>
      <c r="X523" s="185"/>
      <c r="Y523" s="185"/>
      <c r="Z523" s="185"/>
      <c r="AA523" s="185"/>
      <c r="AB523" s="185"/>
      <c r="AC523" s="185"/>
      <c r="AD523" s="185"/>
      <c r="AE523" s="185"/>
      <c r="AF523" s="185"/>
      <c r="AG523" s="185"/>
      <c r="AH523" s="185"/>
      <c r="AI523" s="185"/>
      <c r="AJ523" s="185"/>
      <c r="AK523" s="185"/>
      <c r="AL523" s="185"/>
      <c r="AM523" s="185"/>
      <c r="AN523" s="185"/>
      <c r="AO523" s="185"/>
      <c r="AP523" s="185"/>
      <c r="AQ523" s="251" t="s">
        <v>1147</v>
      </c>
      <c r="AR523" s="251"/>
      <c r="AS523" s="252"/>
      <c r="AT523" s="149" t="s">
        <v>776</v>
      </c>
      <c r="AU523" s="94" t="s">
        <v>1837</v>
      </c>
    </row>
    <row r="524" spans="1:47" ht="21" customHeight="1" x14ac:dyDescent="0.35">
      <c r="A524" s="259"/>
      <c r="B524" s="98" t="s">
        <v>89</v>
      </c>
      <c r="C524" s="99" t="s">
        <v>833</v>
      </c>
      <c r="D524" s="100" t="s">
        <v>834</v>
      </c>
      <c r="E524" s="101">
        <v>42914</v>
      </c>
      <c r="F524" s="102">
        <f t="shared" si="16"/>
        <v>0</v>
      </c>
      <c r="G524" s="150">
        <f>SUMIF(积分汇总!$B:$B,C524,积分汇总!$E:$E)</f>
        <v>0</v>
      </c>
      <c r="H524" s="150">
        <f>SUMIF(记录巡查问题条数汇总!$B:$B,C524,记录巡查问题条数汇总!$E:$E)</f>
        <v>0</v>
      </c>
      <c r="I524" s="150"/>
      <c r="J524" s="150">
        <f>SUMIF(安全质量事故!$B:$B,C524,安全质量事故!$G:$G)</f>
        <v>0</v>
      </c>
      <c r="K524" s="141">
        <f>COUNTIF(L524:AP524,标准数据!$A$2)*标准数据!$B$2+COUNTIF(L524:AP524,标准数据!$A$3)*标准数据!$B$3+COUNTIF(L524:AP524,标准数据!$A$4)*标准数据!$B$4</f>
        <v>0</v>
      </c>
      <c r="L524" s="185"/>
      <c r="M524" s="185"/>
      <c r="N524" s="185"/>
      <c r="O524" s="185"/>
      <c r="P524" s="185"/>
      <c r="Q524" s="185"/>
      <c r="R524" s="185"/>
      <c r="S524" s="185"/>
      <c r="T524" s="185"/>
      <c r="U524" s="185"/>
      <c r="V524" s="185"/>
      <c r="W524" s="185"/>
      <c r="X524" s="185"/>
      <c r="Y524" s="185"/>
      <c r="Z524" s="185"/>
      <c r="AA524" s="185"/>
      <c r="AB524" s="185"/>
      <c r="AC524" s="185"/>
      <c r="AD524" s="185"/>
      <c r="AE524" s="185"/>
      <c r="AF524" s="185"/>
      <c r="AG524" s="185"/>
      <c r="AH524" s="185"/>
      <c r="AI524" s="185"/>
      <c r="AJ524" s="185"/>
      <c r="AK524" s="185"/>
      <c r="AL524" s="185"/>
      <c r="AM524" s="185"/>
      <c r="AN524" s="185"/>
      <c r="AO524" s="185"/>
      <c r="AP524" s="185"/>
      <c r="AQ524" s="96" t="s">
        <v>1138</v>
      </c>
      <c r="AR524" s="97" t="s">
        <v>1134</v>
      </c>
      <c r="AS524" s="97" t="s">
        <v>1144</v>
      </c>
      <c r="AT524" s="149" t="s">
        <v>834</v>
      </c>
      <c r="AU524" s="94" t="s">
        <v>1837</v>
      </c>
    </row>
    <row r="525" spans="1:47" ht="21" customHeight="1" x14ac:dyDescent="0.35">
      <c r="A525" s="259"/>
      <c r="B525" s="98" t="s">
        <v>89</v>
      </c>
      <c r="C525" s="99" t="s">
        <v>937</v>
      </c>
      <c r="D525" s="100" t="s">
        <v>890</v>
      </c>
      <c r="E525" s="101">
        <v>46001</v>
      </c>
      <c r="F525" s="102">
        <f t="shared" si="16"/>
        <v>0</v>
      </c>
      <c r="G525" s="150">
        <f>SUMIF(积分汇总!$B:$B,C525,积分汇总!$E:$E)</f>
        <v>0</v>
      </c>
      <c r="H525" s="150">
        <f>SUMIF(记录巡查问题条数汇总!$B:$B,C525,记录巡查问题条数汇总!$E:$E)</f>
        <v>0</v>
      </c>
      <c r="I525" s="150"/>
      <c r="J525" s="150">
        <f>SUMIF(安全质量事故!$B:$B,C525,安全质量事故!$G:$G)</f>
        <v>0</v>
      </c>
      <c r="K525" s="141">
        <f>COUNTIF(L525:AP525,标准数据!$A$2)*标准数据!$B$2+COUNTIF(L525:AP525,标准数据!$A$3)*标准数据!$B$3+COUNTIF(L525:AP525,标准数据!$A$4)*标准数据!$B$4</f>
        <v>0</v>
      </c>
      <c r="L525" s="185"/>
      <c r="M525" s="185"/>
      <c r="N525" s="185"/>
      <c r="O525" s="185"/>
      <c r="P525" s="185"/>
      <c r="Q525" s="185"/>
      <c r="R525" s="185"/>
      <c r="S525" s="185"/>
      <c r="T525" s="185"/>
      <c r="U525" s="185"/>
      <c r="V525" s="185"/>
      <c r="W525" s="185"/>
      <c r="X525" s="185"/>
      <c r="Y525" s="185"/>
      <c r="Z525" s="185"/>
      <c r="AA525" s="185"/>
      <c r="AB525" s="185"/>
      <c r="AC525" s="185"/>
      <c r="AD525" s="185"/>
      <c r="AE525" s="185"/>
      <c r="AF525" s="185"/>
      <c r="AG525" s="185"/>
      <c r="AH525" s="185"/>
      <c r="AI525" s="185"/>
      <c r="AJ525" s="185"/>
      <c r="AK525" s="185"/>
      <c r="AL525" s="185"/>
      <c r="AM525" s="185"/>
      <c r="AN525" s="185"/>
      <c r="AO525" s="185"/>
      <c r="AP525" s="185"/>
      <c r="AQ525" s="117">
        <f>COUNTIF($L$523:$AP$630,"a")</f>
        <v>0</v>
      </c>
      <c r="AR525" s="117">
        <f>COUNTIF($L$523:$AP$630,"b")</f>
        <v>0</v>
      </c>
      <c r="AS525" s="117">
        <f>COUNTIF($L$523:$AP$630,"c")</f>
        <v>0</v>
      </c>
      <c r="AT525" s="149" t="s">
        <v>890</v>
      </c>
      <c r="AU525" s="94" t="s">
        <v>1838</v>
      </c>
    </row>
    <row r="526" spans="1:47" ht="21" customHeight="1" x14ac:dyDescent="0.35">
      <c r="A526" s="259"/>
      <c r="B526" s="98" t="s">
        <v>89</v>
      </c>
      <c r="C526" s="99" t="s">
        <v>1368</v>
      </c>
      <c r="D526" s="100" t="s">
        <v>1369</v>
      </c>
      <c r="E526" s="101">
        <v>46120</v>
      </c>
      <c r="F526" s="102">
        <f t="shared" si="16"/>
        <v>0</v>
      </c>
      <c r="G526" s="150">
        <f>SUMIF(积分汇总!$B:$B,C526,积分汇总!$E:$E)</f>
        <v>0</v>
      </c>
      <c r="H526" s="150">
        <f>SUMIF(记录巡查问题条数汇总!$B:$B,C526,记录巡查问题条数汇总!$E:$E)</f>
        <v>0</v>
      </c>
      <c r="I526" s="150"/>
      <c r="J526" s="150">
        <f>SUMIF(安全质量事故!$B:$B,C526,安全质量事故!$G:$G)</f>
        <v>0</v>
      </c>
      <c r="K526" s="141">
        <f>COUNTIF(L526:AP526,标准数据!$A$2)*标准数据!$B$2+COUNTIF(L526:AP526,标准数据!$A$3)*标准数据!$B$3+COUNTIF(L526:AP526,标准数据!$A$4)*标准数据!$B$4</f>
        <v>0</v>
      </c>
      <c r="L526" s="185"/>
      <c r="M526" s="185"/>
      <c r="N526" s="185"/>
      <c r="O526" s="185"/>
      <c r="P526" s="185"/>
      <c r="Q526" s="185"/>
      <c r="R526" s="185"/>
      <c r="S526" s="185"/>
      <c r="T526" s="185"/>
      <c r="U526" s="185"/>
      <c r="V526" s="185"/>
      <c r="W526" s="185"/>
      <c r="X526" s="185"/>
      <c r="Y526" s="185"/>
      <c r="Z526" s="185"/>
      <c r="AA526" s="185"/>
      <c r="AB526" s="185"/>
      <c r="AC526" s="185"/>
      <c r="AD526" s="185"/>
      <c r="AE526" s="185"/>
      <c r="AF526" s="185"/>
      <c r="AG526" s="185"/>
      <c r="AH526" s="185"/>
      <c r="AI526" s="185"/>
      <c r="AJ526" s="185"/>
      <c r="AK526" s="185"/>
      <c r="AL526" s="185"/>
      <c r="AM526" s="185"/>
      <c r="AN526" s="185"/>
      <c r="AO526" s="185"/>
      <c r="AP526" s="185"/>
      <c r="AQ526" s="103" t="e">
        <f>AQ525/($AQ$525+$AR$525+$AS$525)</f>
        <v>#DIV/0!</v>
      </c>
      <c r="AR526" s="113" t="e">
        <f>AR525/($AQ$525+$AR$525+$AS$525)</f>
        <v>#DIV/0!</v>
      </c>
      <c r="AS526" s="113" t="e">
        <f>AS525/($AQ$525+$AR$525+$AS$525)</f>
        <v>#DIV/0!</v>
      </c>
      <c r="AT526" s="149" t="s">
        <v>1369</v>
      </c>
      <c r="AU526" s="94" t="s">
        <v>1838</v>
      </c>
    </row>
    <row r="527" spans="1:47" ht="21" customHeight="1" x14ac:dyDescent="0.35">
      <c r="A527" s="259"/>
      <c r="B527" s="98" t="s">
        <v>16</v>
      </c>
      <c r="C527" s="214" t="s">
        <v>1801</v>
      </c>
      <c r="D527" s="216" t="s">
        <v>1802</v>
      </c>
      <c r="E527" s="217">
        <v>46188</v>
      </c>
      <c r="F527" s="102">
        <f t="shared" ref="F527:F528" si="21">(K527+G527+H527+I527-J527)</f>
        <v>0</v>
      </c>
      <c r="G527" s="150">
        <f>SUMIF(积分汇总!$B:$B,C527,积分汇总!$E:$E)</f>
        <v>0</v>
      </c>
      <c r="H527" s="150">
        <f>SUMIF(记录巡查问题条数汇总!$B:$B,C527,记录巡查问题条数汇总!$E:$E)</f>
        <v>0</v>
      </c>
      <c r="I527" s="150"/>
      <c r="J527" s="150">
        <f>SUMIF(安全质量事故!$B:$B,C527,安全质量事故!$G:$G)</f>
        <v>0</v>
      </c>
      <c r="K527" s="141">
        <f>COUNTIF(L527:AP527,标准数据!$A$2)*标准数据!$B$2+COUNTIF(L527:AP527,标准数据!$A$3)*标准数据!$B$3+COUNTIF(L527:AP527,标准数据!$A$4)*标准数据!$B$4</f>
        <v>0</v>
      </c>
      <c r="L527" s="183"/>
      <c r="M527" s="183"/>
      <c r="N527" s="183"/>
      <c r="O527" s="183"/>
      <c r="P527" s="183"/>
      <c r="Q527" s="183"/>
      <c r="R527" s="183"/>
      <c r="S527" s="183"/>
      <c r="T527" s="183"/>
      <c r="U527" s="183"/>
      <c r="V527" s="183"/>
      <c r="W527" s="183"/>
      <c r="X527" s="183"/>
      <c r="Y527" s="183"/>
      <c r="Z527" s="183"/>
      <c r="AA527" s="183"/>
      <c r="AB527" s="183"/>
      <c r="AC527" s="183"/>
      <c r="AD527" s="183"/>
      <c r="AE527" s="183"/>
      <c r="AF527" s="183"/>
      <c r="AG527" s="183"/>
      <c r="AH527" s="183"/>
      <c r="AI527" s="183"/>
      <c r="AJ527" s="183"/>
      <c r="AK527" s="183"/>
      <c r="AL527" s="183"/>
      <c r="AM527" s="183"/>
      <c r="AN527" s="183"/>
      <c r="AO527" s="183"/>
      <c r="AP527" s="183"/>
      <c r="AQ527" s="94"/>
      <c r="AR527" s="94"/>
      <c r="AS527" s="94"/>
      <c r="AT527" s="149" t="s">
        <v>1802</v>
      </c>
      <c r="AU527" s="94" t="s">
        <v>1838</v>
      </c>
    </row>
    <row r="528" spans="1:47" ht="21" customHeight="1" x14ac:dyDescent="0.35">
      <c r="A528" s="259"/>
      <c r="B528" s="98" t="s">
        <v>16</v>
      </c>
      <c r="C528" s="214" t="s">
        <v>1803</v>
      </c>
      <c r="D528" s="216" t="s">
        <v>1804</v>
      </c>
      <c r="E528" s="217">
        <v>46176</v>
      </c>
      <c r="F528" s="102">
        <f t="shared" si="21"/>
        <v>0</v>
      </c>
      <c r="G528" s="150">
        <f>SUMIF(积分汇总!$B:$B,C528,积分汇总!$E:$E)</f>
        <v>0</v>
      </c>
      <c r="H528" s="150">
        <f>SUMIF(记录巡查问题条数汇总!$B:$B,C528,记录巡查问题条数汇总!$E:$E)</f>
        <v>0</v>
      </c>
      <c r="I528" s="150"/>
      <c r="J528" s="150">
        <f>SUMIF(安全质量事故!$B:$B,C528,安全质量事故!$G:$G)</f>
        <v>0</v>
      </c>
      <c r="K528" s="141">
        <f>COUNTIF(L528:AP528,标准数据!$A$2)*标准数据!$B$2+COUNTIF(L528:AP528,标准数据!$A$3)*标准数据!$B$3+COUNTIF(L528:AP528,标准数据!$A$4)*标准数据!$B$4</f>
        <v>0</v>
      </c>
      <c r="L528" s="183"/>
      <c r="M528" s="183"/>
      <c r="N528" s="183"/>
      <c r="O528" s="183"/>
      <c r="P528" s="183"/>
      <c r="Q528" s="183"/>
      <c r="R528" s="183"/>
      <c r="S528" s="183"/>
      <c r="T528" s="183"/>
      <c r="U528" s="183"/>
      <c r="V528" s="183"/>
      <c r="W528" s="183"/>
      <c r="X528" s="183"/>
      <c r="Y528" s="183"/>
      <c r="Z528" s="183"/>
      <c r="AA528" s="183"/>
      <c r="AB528" s="183"/>
      <c r="AC528" s="183"/>
      <c r="AD528" s="183"/>
      <c r="AE528" s="183"/>
      <c r="AF528" s="183"/>
      <c r="AG528" s="183"/>
      <c r="AH528" s="183"/>
      <c r="AI528" s="183"/>
      <c r="AJ528" s="183"/>
      <c r="AK528" s="183"/>
      <c r="AL528" s="183"/>
      <c r="AM528" s="183"/>
      <c r="AN528" s="183"/>
      <c r="AO528" s="183"/>
      <c r="AP528" s="183"/>
      <c r="AQ528" s="94"/>
      <c r="AR528" s="94"/>
      <c r="AS528" s="94"/>
      <c r="AT528" s="149" t="s">
        <v>1804</v>
      </c>
      <c r="AU528" s="94" t="s">
        <v>1838</v>
      </c>
    </row>
    <row r="529" spans="1:47" ht="21" customHeight="1" x14ac:dyDescent="0.35">
      <c r="A529" s="259"/>
      <c r="B529" s="98" t="s">
        <v>17</v>
      </c>
      <c r="C529" s="99" t="s">
        <v>173</v>
      </c>
      <c r="D529" s="100" t="s">
        <v>76</v>
      </c>
      <c r="E529" s="101">
        <v>44755</v>
      </c>
      <c r="F529" s="102">
        <f t="shared" si="16"/>
        <v>0</v>
      </c>
      <c r="G529" s="150">
        <f>SUMIF(积分汇总!$B:$B,C529,积分汇总!$E:$E)</f>
        <v>0</v>
      </c>
      <c r="H529" s="150">
        <f>SUMIF(记录巡查问题条数汇总!$B:$B,C529,记录巡查问题条数汇总!$E:$E)</f>
        <v>0</v>
      </c>
      <c r="I529" s="150"/>
      <c r="J529" s="150">
        <f>SUMIF(安全质量事故!$B:$B,C529,安全质量事故!$G:$G)</f>
        <v>0</v>
      </c>
      <c r="K529" s="141">
        <f>COUNTIF(L529:AP529,标准数据!$A$2)*标准数据!$B$2+COUNTIF(L529:AP529,标准数据!$A$3)*标准数据!$B$3+COUNTIF(L529:AP529,标准数据!$A$4)*标准数据!$B$4</f>
        <v>0</v>
      </c>
      <c r="L529" s="185"/>
      <c r="M529" s="185"/>
      <c r="N529" s="185"/>
      <c r="O529" s="185"/>
      <c r="P529" s="185"/>
      <c r="Q529" s="185"/>
      <c r="R529" s="185"/>
      <c r="S529" s="185"/>
      <c r="T529" s="185"/>
      <c r="U529" s="185"/>
      <c r="V529" s="185"/>
      <c r="W529" s="185"/>
      <c r="X529" s="185"/>
      <c r="Y529" s="185"/>
      <c r="Z529" s="185"/>
      <c r="AA529" s="185"/>
      <c r="AB529" s="185"/>
      <c r="AC529" s="185"/>
      <c r="AD529" s="185"/>
      <c r="AE529" s="185"/>
      <c r="AF529" s="185"/>
      <c r="AG529" s="185"/>
      <c r="AH529" s="185"/>
      <c r="AI529" s="185"/>
      <c r="AJ529" s="185"/>
      <c r="AK529" s="185"/>
      <c r="AL529" s="185"/>
      <c r="AM529" s="185"/>
      <c r="AN529" s="185"/>
      <c r="AO529" s="185"/>
      <c r="AP529" s="185"/>
      <c r="AQ529" s="94"/>
      <c r="AR529" s="94"/>
      <c r="AS529" s="94"/>
      <c r="AT529" s="149" t="s">
        <v>76</v>
      </c>
      <c r="AU529" s="94" t="s">
        <v>1838</v>
      </c>
    </row>
    <row r="530" spans="1:47" ht="21" customHeight="1" x14ac:dyDescent="0.35">
      <c r="A530" s="259"/>
      <c r="B530" s="98" t="s">
        <v>17</v>
      </c>
      <c r="C530" s="99" t="s">
        <v>174</v>
      </c>
      <c r="D530" s="100" t="s">
        <v>80</v>
      </c>
      <c r="E530" s="101">
        <v>44755</v>
      </c>
      <c r="F530" s="102">
        <f t="shared" si="16"/>
        <v>0</v>
      </c>
      <c r="G530" s="150">
        <f>SUMIF(积分汇总!$B:$B,C530,积分汇总!$E:$E)</f>
        <v>0</v>
      </c>
      <c r="H530" s="150">
        <f>SUMIF(记录巡查问题条数汇总!$B:$B,C530,记录巡查问题条数汇总!$E:$E)</f>
        <v>0</v>
      </c>
      <c r="I530" s="150"/>
      <c r="J530" s="150">
        <f>SUMIF(安全质量事故!$B:$B,C530,安全质量事故!$G:$G)</f>
        <v>0</v>
      </c>
      <c r="K530" s="141">
        <f>COUNTIF(L530:AP530,标准数据!$A$2)*标准数据!$B$2+COUNTIF(L530:AP530,标准数据!$A$3)*标准数据!$B$3+COUNTIF(L530:AP530,标准数据!$A$4)*标准数据!$B$4</f>
        <v>0</v>
      </c>
      <c r="L530" s="185"/>
      <c r="M530" s="185"/>
      <c r="N530" s="185"/>
      <c r="O530" s="185"/>
      <c r="P530" s="185"/>
      <c r="Q530" s="185"/>
      <c r="R530" s="185"/>
      <c r="S530" s="185"/>
      <c r="T530" s="185"/>
      <c r="U530" s="185"/>
      <c r="V530" s="185"/>
      <c r="W530" s="185"/>
      <c r="X530" s="185"/>
      <c r="Y530" s="185"/>
      <c r="Z530" s="185"/>
      <c r="AA530" s="185"/>
      <c r="AB530" s="185"/>
      <c r="AC530" s="185"/>
      <c r="AD530" s="185"/>
      <c r="AE530" s="185"/>
      <c r="AF530" s="185"/>
      <c r="AG530" s="185"/>
      <c r="AH530" s="185"/>
      <c r="AI530" s="185"/>
      <c r="AJ530" s="185"/>
      <c r="AK530" s="185"/>
      <c r="AL530" s="185"/>
      <c r="AM530" s="185"/>
      <c r="AN530" s="185"/>
      <c r="AO530" s="185"/>
      <c r="AP530" s="185"/>
      <c r="AQ530" s="94"/>
      <c r="AR530" s="94"/>
      <c r="AS530" s="94"/>
      <c r="AT530" s="149" t="s">
        <v>80</v>
      </c>
      <c r="AU530" s="94" t="s">
        <v>1838</v>
      </c>
    </row>
    <row r="531" spans="1:47" ht="21" customHeight="1" x14ac:dyDescent="0.35">
      <c r="A531" s="259"/>
      <c r="B531" s="98" t="s">
        <v>17</v>
      </c>
      <c r="C531" s="99" t="s">
        <v>448</v>
      </c>
      <c r="D531" s="105" t="s">
        <v>444</v>
      </c>
      <c r="E531" s="101">
        <v>45798</v>
      </c>
      <c r="F531" s="102">
        <f t="shared" ref="F531" si="22">(K531+G531+H531+I531-J531)</f>
        <v>0</v>
      </c>
      <c r="G531" s="150">
        <f>SUMIF(积分汇总!$B:$B,C531,积分汇总!$E:$E)</f>
        <v>0</v>
      </c>
      <c r="H531" s="150">
        <f>SUMIF(记录巡查问题条数汇总!$B:$B,C531,记录巡查问题条数汇总!$E:$E)</f>
        <v>0</v>
      </c>
      <c r="I531" s="150"/>
      <c r="J531" s="150">
        <f>SUMIF(安全质量事故!$B:$B,C531,安全质量事故!$G:$G)</f>
        <v>0</v>
      </c>
      <c r="K531" s="141">
        <f>COUNTIF(L531:AP531,标准数据!$A$2)*标准数据!$B$2+COUNTIF(L531:AP531,标准数据!$A$3)*标准数据!$B$3+COUNTIF(L531:AP531,标准数据!$A$4)*标准数据!$B$4</f>
        <v>0</v>
      </c>
      <c r="L531" s="185"/>
      <c r="M531" s="185"/>
      <c r="N531" s="185"/>
      <c r="O531" s="185"/>
      <c r="P531" s="185"/>
      <c r="Q531" s="185"/>
      <c r="R531" s="185"/>
      <c r="S531" s="185"/>
      <c r="T531" s="185"/>
      <c r="U531" s="185"/>
      <c r="V531" s="185"/>
      <c r="W531" s="185"/>
      <c r="X531" s="185"/>
      <c r="Y531" s="185"/>
      <c r="Z531" s="185"/>
      <c r="AA531" s="185"/>
      <c r="AB531" s="185"/>
      <c r="AC531" s="185"/>
      <c r="AD531" s="185"/>
      <c r="AE531" s="185"/>
      <c r="AF531" s="185"/>
      <c r="AG531" s="185"/>
      <c r="AH531" s="185"/>
      <c r="AI531" s="185"/>
      <c r="AJ531" s="185"/>
      <c r="AK531" s="185"/>
      <c r="AL531" s="185"/>
      <c r="AM531" s="185"/>
      <c r="AN531" s="185"/>
      <c r="AO531" s="185"/>
      <c r="AP531" s="185"/>
      <c r="AQ531" s="94"/>
      <c r="AR531" s="94"/>
      <c r="AS531" s="94"/>
      <c r="AT531" s="149" t="s">
        <v>444</v>
      </c>
      <c r="AU531" s="94" t="s">
        <v>1838</v>
      </c>
    </row>
    <row r="532" spans="1:47" ht="21" customHeight="1" x14ac:dyDescent="0.35">
      <c r="A532" s="259"/>
      <c r="B532" s="98" t="s">
        <v>17</v>
      </c>
      <c r="C532" s="214" t="s">
        <v>1805</v>
      </c>
      <c r="D532" s="215" t="s">
        <v>1806</v>
      </c>
      <c r="E532" s="217">
        <v>46183</v>
      </c>
      <c r="F532" s="102">
        <f t="shared" si="16"/>
        <v>0</v>
      </c>
      <c r="G532" s="150">
        <f>SUMIF(积分汇总!$B:$B,C532,积分汇总!$E:$E)</f>
        <v>0</v>
      </c>
      <c r="H532" s="150">
        <f>SUMIF(记录巡查问题条数汇总!$B:$B,C532,记录巡查问题条数汇总!$E:$E)</f>
        <v>0</v>
      </c>
      <c r="I532" s="150"/>
      <c r="J532" s="150">
        <f>SUMIF(安全质量事故!$B:$B,C532,安全质量事故!$G:$G)</f>
        <v>0</v>
      </c>
      <c r="K532" s="141">
        <f>COUNTIF(L532:AP532,标准数据!$A$2)*标准数据!$B$2+COUNTIF(L532:AP532,标准数据!$A$3)*标准数据!$B$3+COUNTIF(L532:AP532,标准数据!$A$4)*标准数据!$B$4</f>
        <v>0</v>
      </c>
      <c r="L532" s="183"/>
      <c r="M532" s="183"/>
      <c r="N532" s="183"/>
      <c r="O532" s="183"/>
      <c r="P532" s="183"/>
      <c r="Q532" s="183"/>
      <c r="R532" s="183"/>
      <c r="S532" s="183"/>
      <c r="T532" s="183"/>
      <c r="U532" s="183"/>
      <c r="V532" s="185"/>
      <c r="W532" s="185"/>
      <c r="X532" s="185"/>
      <c r="Y532" s="185"/>
      <c r="Z532" s="185"/>
      <c r="AA532" s="185"/>
      <c r="AB532" s="185"/>
      <c r="AC532" s="185"/>
      <c r="AD532" s="185"/>
      <c r="AE532" s="185"/>
      <c r="AF532" s="185"/>
      <c r="AG532" s="185"/>
      <c r="AH532" s="185"/>
      <c r="AI532" s="185"/>
      <c r="AJ532" s="185"/>
      <c r="AK532" s="185"/>
      <c r="AL532" s="185"/>
      <c r="AM532" s="185"/>
      <c r="AN532" s="185"/>
      <c r="AO532" s="185"/>
      <c r="AP532" s="185"/>
      <c r="AQ532" s="94"/>
      <c r="AR532" s="94"/>
      <c r="AS532" s="94"/>
      <c r="AT532" s="149" t="s">
        <v>1806</v>
      </c>
      <c r="AU532" s="94" t="s">
        <v>1838</v>
      </c>
    </row>
    <row r="533" spans="1:47" ht="21" customHeight="1" x14ac:dyDescent="0.35">
      <c r="A533" s="259"/>
      <c r="B533" s="98" t="s">
        <v>298</v>
      </c>
      <c r="C533" s="99" t="s">
        <v>299</v>
      </c>
      <c r="D533" s="100" t="s">
        <v>293</v>
      </c>
      <c r="E533" s="101">
        <v>45532</v>
      </c>
      <c r="F533" s="102">
        <f t="shared" si="16"/>
        <v>0</v>
      </c>
      <c r="G533" s="150">
        <f>SUMIF(积分汇总!$B:$B,C533,积分汇总!$E:$E)</f>
        <v>0</v>
      </c>
      <c r="H533" s="150">
        <f>SUMIF(记录巡查问题条数汇总!$B:$B,C533,记录巡查问题条数汇总!$E:$E)</f>
        <v>0</v>
      </c>
      <c r="I533" s="150"/>
      <c r="J533" s="150">
        <f>SUMIF(安全质量事故!$B:$B,C533,安全质量事故!$G:$G)</f>
        <v>0</v>
      </c>
      <c r="K533" s="141">
        <f>COUNTIF(L533:AP533,标准数据!$A$2)*标准数据!$B$2+COUNTIF(L533:AP533,标准数据!$A$3)*标准数据!$B$3+COUNTIF(L533:AP533,标准数据!$A$4)*标准数据!$B$4</f>
        <v>0</v>
      </c>
      <c r="L533" s="185"/>
      <c r="M533" s="185"/>
      <c r="N533" s="185"/>
      <c r="O533" s="185"/>
      <c r="P533" s="185"/>
      <c r="Q533" s="185"/>
      <c r="R533" s="185"/>
      <c r="S533" s="185"/>
      <c r="T533" s="185"/>
      <c r="U533" s="185"/>
      <c r="V533" s="185"/>
      <c r="W533" s="185"/>
      <c r="X533" s="185"/>
      <c r="Y533" s="185"/>
      <c r="Z533" s="185"/>
      <c r="AA533" s="185"/>
      <c r="AB533" s="185"/>
      <c r="AC533" s="185"/>
      <c r="AD533" s="185"/>
      <c r="AE533" s="185"/>
      <c r="AF533" s="185"/>
      <c r="AG533" s="185"/>
      <c r="AH533" s="185"/>
      <c r="AI533" s="185"/>
      <c r="AJ533" s="185"/>
      <c r="AK533" s="185"/>
      <c r="AL533" s="185"/>
      <c r="AM533" s="185"/>
      <c r="AN533" s="185"/>
      <c r="AO533" s="185"/>
      <c r="AP533" s="185"/>
      <c r="AQ533" s="94"/>
      <c r="AR533" s="94"/>
      <c r="AS533" s="94"/>
      <c r="AT533" s="149" t="s">
        <v>293</v>
      </c>
      <c r="AU533" s="94" t="s">
        <v>1838</v>
      </c>
    </row>
    <row r="534" spans="1:47" ht="21" customHeight="1" x14ac:dyDescent="0.35">
      <c r="A534" s="259"/>
      <c r="B534" s="98" t="s">
        <v>138</v>
      </c>
      <c r="C534" s="99" t="s">
        <v>304</v>
      </c>
      <c r="D534" s="100" t="s">
        <v>294</v>
      </c>
      <c r="E534" s="101">
        <v>45537</v>
      </c>
      <c r="F534" s="102">
        <f t="shared" si="16"/>
        <v>0</v>
      </c>
      <c r="G534" s="150">
        <f>SUMIF(积分汇总!$B:$B,C534,积分汇总!$E:$E)</f>
        <v>0</v>
      </c>
      <c r="H534" s="150">
        <f>SUMIF(记录巡查问题条数汇总!$B:$B,C534,记录巡查问题条数汇总!$E:$E)</f>
        <v>0</v>
      </c>
      <c r="I534" s="150"/>
      <c r="J534" s="150">
        <f>SUMIF(安全质量事故!$B:$B,C534,安全质量事故!$G:$G)</f>
        <v>0</v>
      </c>
      <c r="K534" s="141">
        <f>COUNTIF(L534:AP534,标准数据!$A$2)*标准数据!$B$2+COUNTIF(L534:AP534,标准数据!$A$3)*标准数据!$B$3+COUNTIF(L534:AP534,标准数据!$A$4)*标准数据!$B$4</f>
        <v>0</v>
      </c>
      <c r="L534" s="185"/>
      <c r="M534" s="185"/>
      <c r="N534" s="185"/>
      <c r="O534" s="185"/>
      <c r="P534" s="185"/>
      <c r="Q534" s="185"/>
      <c r="R534" s="185"/>
      <c r="S534" s="185"/>
      <c r="T534" s="185"/>
      <c r="U534" s="185"/>
      <c r="V534" s="185"/>
      <c r="W534" s="185"/>
      <c r="X534" s="185"/>
      <c r="Y534" s="185"/>
      <c r="Z534" s="185"/>
      <c r="AA534" s="185"/>
      <c r="AB534" s="185"/>
      <c r="AC534" s="185"/>
      <c r="AD534" s="185"/>
      <c r="AE534" s="185"/>
      <c r="AF534" s="185"/>
      <c r="AG534" s="185"/>
      <c r="AH534" s="185"/>
      <c r="AI534" s="185"/>
      <c r="AJ534" s="185"/>
      <c r="AK534" s="185"/>
      <c r="AL534" s="185"/>
      <c r="AM534" s="185"/>
      <c r="AN534" s="185"/>
      <c r="AO534" s="185"/>
      <c r="AP534" s="185"/>
      <c r="AQ534" s="94"/>
      <c r="AR534" s="94"/>
      <c r="AS534" s="94"/>
      <c r="AT534" s="149" t="s">
        <v>294</v>
      </c>
      <c r="AU534" s="94" t="s">
        <v>1838</v>
      </c>
    </row>
    <row r="535" spans="1:47" ht="21" customHeight="1" x14ac:dyDescent="0.35">
      <c r="A535" s="259"/>
      <c r="B535" s="98" t="s">
        <v>298</v>
      </c>
      <c r="C535" s="99" t="s">
        <v>360</v>
      </c>
      <c r="D535" s="100" t="s">
        <v>343</v>
      </c>
      <c r="E535" s="101">
        <v>45593</v>
      </c>
      <c r="F535" s="102">
        <f t="shared" ref="F535:F594" si="23">(K535+G535+H535+I535-J535)</f>
        <v>0</v>
      </c>
      <c r="G535" s="150">
        <f>SUMIF(积分汇总!$B:$B,C535,积分汇总!$E:$E)</f>
        <v>0</v>
      </c>
      <c r="H535" s="150">
        <f>SUMIF(记录巡查问题条数汇总!$B:$B,C535,记录巡查问题条数汇总!$E:$E)</f>
        <v>0</v>
      </c>
      <c r="I535" s="150"/>
      <c r="J535" s="150">
        <f>SUMIF(安全质量事故!$B:$B,C535,安全质量事故!$G:$G)</f>
        <v>0</v>
      </c>
      <c r="K535" s="141">
        <f>COUNTIF(L535:AP535,标准数据!$A$2)*标准数据!$B$2+COUNTIF(L535:AP535,标准数据!$A$3)*标准数据!$B$3+COUNTIF(L535:AP535,标准数据!$A$4)*标准数据!$B$4</f>
        <v>0</v>
      </c>
      <c r="L535" s="185"/>
      <c r="M535" s="185"/>
      <c r="N535" s="185"/>
      <c r="O535" s="185"/>
      <c r="P535" s="185"/>
      <c r="Q535" s="185"/>
      <c r="R535" s="185"/>
      <c r="S535" s="185"/>
      <c r="T535" s="185"/>
      <c r="U535" s="185"/>
      <c r="V535" s="185"/>
      <c r="W535" s="185"/>
      <c r="X535" s="185"/>
      <c r="Y535" s="185"/>
      <c r="Z535" s="185"/>
      <c r="AA535" s="185"/>
      <c r="AB535" s="185"/>
      <c r="AC535" s="185"/>
      <c r="AD535" s="185"/>
      <c r="AE535" s="185"/>
      <c r="AF535" s="185"/>
      <c r="AG535" s="185"/>
      <c r="AH535" s="185"/>
      <c r="AI535" s="185"/>
      <c r="AJ535" s="185"/>
      <c r="AK535" s="185"/>
      <c r="AL535" s="185"/>
      <c r="AM535" s="185"/>
      <c r="AN535" s="185"/>
      <c r="AO535" s="185"/>
      <c r="AP535" s="185"/>
      <c r="AQ535" s="94"/>
      <c r="AR535" s="94"/>
      <c r="AS535" s="94"/>
      <c r="AT535" s="149" t="s">
        <v>343</v>
      </c>
      <c r="AU535" s="94" t="s">
        <v>1838</v>
      </c>
    </row>
    <row r="536" spans="1:47" ht="21" customHeight="1" x14ac:dyDescent="0.35">
      <c r="A536" s="259"/>
      <c r="B536" s="98" t="s">
        <v>138</v>
      </c>
      <c r="C536" s="99" t="s">
        <v>687</v>
      </c>
      <c r="D536" s="100" t="s">
        <v>657</v>
      </c>
      <c r="E536" s="101">
        <v>45910</v>
      </c>
      <c r="F536" s="102">
        <f t="shared" si="23"/>
        <v>0</v>
      </c>
      <c r="G536" s="150">
        <f>SUMIF(积分汇总!$B:$B,C536,积分汇总!$E:$E)</f>
        <v>0</v>
      </c>
      <c r="H536" s="150">
        <f>SUMIF(记录巡查问题条数汇总!$B:$B,C536,记录巡查问题条数汇总!$E:$E)</f>
        <v>0</v>
      </c>
      <c r="I536" s="150"/>
      <c r="J536" s="150">
        <f>SUMIF(安全质量事故!$B:$B,C536,安全质量事故!$G:$G)</f>
        <v>0</v>
      </c>
      <c r="K536" s="141">
        <f>COUNTIF(L536:AP536,标准数据!$A$2)*标准数据!$B$2+COUNTIF(L536:AP536,标准数据!$A$3)*标准数据!$B$3+COUNTIF(L536:AP536,标准数据!$A$4)*标准数据!$B$4</f>
        <v>0</v>
      </c>
      <c r="L536" s="185"/>
      <c r="M536" s="185"/>
      <c r="N536" s="185"/>
      <c r="O536" s="185"/>
      <c r="P536" s="185"/>
      <c r="Q536" s="185"/>
      <c r="R536" s="185"/>
      <c r="S536" s="185"/>
      <c r="T536" s="185"/>
      <c r="U536" s="185"/>
      <c r="V536" s="185"/>
      <c r="W536" s="185"/>
      <c r="X536" s="185"/>
      <c r="Y536" s="185"/>
      <c r="Z536" s="185"/>
      <c r="AA536" s="185"/>
      <c r="AB536" s="185"/>
      <c r="AC536" s="185"/>
      <c r="AD536" s="185"/>
      <c r="AE536" s="185"/>
      <c r="AF536" s="185"/>
      <c r="AG536" s="185"/>
      <c r="AH536" s="185"/>
      <c r="AI536" s="185"/>
      <c r="AJ536" s="185"/>
      <c r="AK536" s="185"/>
      <c r="AL536" s="185"/>
      <c r="AM536" s="185"/>
      <c r="AN536" s="185"/>
      <c r="AO536" s="185"/>
      <c r="AP536" s="185"/>
      <c r="AT536" s="149" t="s">
        <v>657</v>
      </c>
      <c r="AU536" s="94" t="s">
        <v>1838</v>
      </c>
    </row>
    <row r="537" spans="1:47" ht="21" customHeight="1" x14ac:dyDescent="0.35">
      <c r="A537" s="259"/>
      <c r="B537" s="98" t="s">
        <v>138</v>
      </c>
      <c r="C537" s="99" t="s">
        <v>688</v>
      </c>
      <c r="D537" s="100" t="s">
        <v>658</v>
      </c>
      <c r="E537" s="101">
        <v>45910</v>
      </c>
      <c r="F537" s="102">
        <f t="shared" si="23"/>
        <v>0</v>
      </c>
      <c r="G537" s="150">
        <f>SUMIF(积分汇总!$B:$B,C537,积分汇总!$E:$E)</f>
        <v>0</v>
      </c>
      <c r="H537" s="150">
        <f>SUMIF(记录巡查问题条数汇总!$B:$B,C537,记录巡查问题条数汇总!$E:$E)</f>
        <v>0</v>
      </c>
      <c r="I537" s="150"/>
      <c r="J537" s="150">
        <f>SUMIF(安全质量事故!$B:$B,C537,安全质量事故!$G:$G)</f>
        <v>0</v>
      </c>
      <c r="K537" s="141">
        <f>COUNTIF(L537:AP537,标准数据!$A$2)*标准数据!$B$2+COUNTIF(L537:AP537,标准数据!$A$3)*标准数据!$B$3+COUNTIF(L537:AP537,标准数据!$A$4)*标准数据!$B$4</f>
        <v>0</v>
      </c>
      <c r="L537" s="185"/>
      <c r="M537" s="185"/>
      <c r="N537" s="185"/>
      <c r="O537" s="185"/>
      <c r="P537" s="185"/>
      <c r="Q537" s="185"/>
      <c r="R537" s="185"/>
      <c r="S537" s="185"/>
      <c r="T537" s="185"/>
      <c r="U537" s="185"/>
      <c r="V537" s="185"/>
      <c r="W537" s="185"/>
      <c r="X537" s="185"/>
      <c r="Y537" s="185"/>
      <c r="Z537" s="185"/>
      <c r="AA537" s="185"/>
      <c r="AB537" s="185"/>
      <c r="AC537" s="185"/>
      <c r="AD537" s="185"/>
      <c r="AE537" s="185"/>
      <c r="AF537" s="185"/>
      <c r="AG537" s="185"/>
      <c r="AH537" s="185"/>
      <c r="AI537" s="185"/>
      <c r="AJ537" s="185"/>
      <c r="AK537" s="185"/>
      <c r="AL537" s="185"/>
      <c r="AM537" s="185"/>
      <c r="AN537" s="185"/>
      <c r="AO537" s="185"/>
      <c r="AP537" s="185"/>
      <c r="AT537" s="149" t="s">
        <v>658</v>
      </c>
      <c r="AU537" s="94" t="s">
        <v>1838</v>
      </c>
    </row>
    <row r="538" spans="1:47" ht="21" customHeight="1" x14ac:dyDescent="0.35">
      <c r="A538" s="260"/>
      <c r="B538" s="98" t="s">
        <v>138</v>
      </c>
      <c r="C538" s="99" t="s">
        <v>689</v>
      </c>
      <c r="D538" s="100" t="s">
        <v>659</v>
      </c>
      <c r="E538" s="101">
        <v>45917</v>
      </c>
      <c r="F538" s="102">
        <f t="shared" si="23"/>
        <v>0</v>
      </c>
      <c r="G538" s="150">
        <f>SUMIF(积分汇总!$B:$B,C538,积分汇总!$E:$E)</f>
        <v>0</v>
      </c>
      <c r="H538" s="150">
        <f>SUMIF(记录巡查问题条数汇总!$B:$B,C538,记录巡查问题条数汇总!$E:$E)</f>
        <v>0</v>
      </c>
      <c r="I538" s="150"/>
      <c r="J538" s="150">
        <f>SUMIF(安全质量事故!$B:$B,C538,安全质量事故!$G:$G)</f>
        <v>0</v>
      </c>
      <c r="K538" s="141">
        <f>COUNTIF(L538:AP538,标准数据!$A$2)*标准数据!$B$2+COUNTIF(L538:AP538,标准数据!$A$3)*标准数据!$B$3+COUNTIF(L538:AP538,标准数据!$A$4)*标准数据!$B$4</f>
        <v>0</v>
      </c>
      <c r="L538" s="185"/>
      <c r="M538" s="185"/>
      <c r="N538" s="185"/>
      <c r="O538" s="185"/>
      <c r="P538" s="185"/>
      <c r="Q538" s="185"/>
      <c r="R538" s="185"/>
      <c r="S538" s="185"/>
      <c r="T538" s="185"/>
      <c r="U538" s="185"/>
      <c r="V538" s="185"/>
      <c r="W538" s="185"/>
      <c r="X538" s="185"/>
      <c r="Y538" s="185"/>
      <c r="Z538" s="185"/>
      <c r="AA538" s="185"/>
      <c r="AB538" s="185"/>
      <c r="AC538" s="185"/>
      <c r="AD538" s="185"/>
      <c r="AE538" s="185"/>
      <c r="AF538" s="185"/>
      <c r="AG538" s="185"/>
      <c r="AH538" s="185"/>
      <c r="AI538" s="185"/>
      <c r="AJ538" s="185"/>
      <c r="AK538" s="185"/>
      <c r="AL538" s="185"/>
      <c r="AM538" s="185"/>
      <c r="AN538" s="185"/>
      <c r="AO538" s="185"/>
      <c r="AP538" s="185"/>
      <c r="AT538" s="149" t="s">
        <v>659</v>
      </c>
      <c r="AU538" s="94" t="s">
        <v>1838</v>
      </c>
    </row>
    <row r="539" spans="1:47" ht="21" customHeight="1" x14ac:dyDescent="0.35">
      <c r="A539" s="260" t="s">
        <v>363</v>
      </c>
      <c r="B539" s="98" t="s">
        <v>16</v>
      </c>
      <c r="C539" s="99" t="s">
        <v>720</v>
      </c>
      <c r="D539" s="100" t="s">
        <v>715</v>
      </c>
      <c r="E539" s="101">
        <v>45943</v>
      </c>
      <c r="F539" s="102">
        <f t="shared" si="23"/>
        <v>0</v>
      </c>
      <c r="G539" s="150">
        <f>SUMIF(积分汇总!$B:$B,C539,积分汇总!$E:$E)</f>
        <v>0</v>
      </c>
      <c r="H539" s="150">
        <f>SUMIF(记录巡查问题条数汇总!$B:$B,C539,记录巡查问题条数汇总!$E:$E)</f>
        <v>0</v>
      </c>
      <c r="I539" s="150"/>
      <c r="J539" s="150">
        <f>SUMIF(安全质量事故!$B:$B,C539,安全质量事故!$G:$G)</f>
        <v>0</v>
      </c>
      <c r="K539" s="141">
        <f>COUNTIF(L539:AP539,标准数据!$A$2)*标准数据!$B$2+COUNTIF(L539:AP539,标准数据!$A$3)*标准数据!$B$3+COUNTIF(L539:AP539,标准数据!$A$4)*标准数据!$B$4</f>
        <v>0</v>
      </c>
      <c r="L539" s="185"/>
      <c r="M539" s="185"/>
      <c r="N539" s="185"/>
      <c r="O539" s="185"/>
      <c r="P539" s="185"/>
      <c r="Q539" s="185"/>
      <c r="R539" s="185"/>
      <c r="S539" s="185"/>
      <c r="T539" s="185"/>
      <c r="U539" s="185"/>
      <c r="V539" s="185"/>
      <c r="W539" s="185"/>
      <c r="X539" s="185"/>
      <c r="Y539" s="185"/>
      <c r="Z539" s="185"/>
      <c r="AA539" s="185"/>
      <c r="AB539" s="185"/>
      <c r="AC539" s="185"/>
      <c r="AD539" s="185"/>
      <c r="AE539" s="185"/>
      <c r="AF539" s="185"/>
      <c r="AG539" s="185"/>
      <c r="AH539" s="185"/>
      <c r="AI539" s="185"/>
      <c r="AJ539" s="185"/>
      <c r="AK539" s="185"/>
      <c r="AL539" s="185"/>
      <c r="AM539" s="185"/>
      <c r="AN539" s="185"/>
      <c r="AO539" s="185"/>
      <c r="AP539" s="185"/>
      <c r="AT539" s="149" t="s">
        <v>715</v>
      </c>
      <c r="AU539" s="94" t="s">
        <v>1839</v>
      </c>
    </row>
    <row r="540" spans="1:47" ht="21" customHeight="1" x14ac:dyDescent="0.35">
      <c r="A540" s="260"/>
      <c r="B540" s="98" t="s">
        <v>16</v>
      </c>
      <c r="C540" s="99" t="s">
        <v>943</v>
      </c>
      <c r="D540" s="100" t="s">
        <v>885</v>
      </c>
      <c r="E540" s="101">
        <v>45992</v>
      </c>
      <c r="F540" s="102">
        <f t="shared" si="23"/>
        <v>0</v>
      </c>
      <c r="G540" s="150">
        <f>SUMIF(积分汇总!$B:$B,C540,积分汇总!$E:$E)</f>
        <v>0</v>
      </c>
      <c r="H540" s="150">
        <f>SUMIF(记录巡查问题条数汇总!$B:$B,C540,记录巡查问题条数汇总!$E:$E)</f>
        <v>0</v>
      </c>
      <c r="I540" s="150"/>
      <c r="J540" s="150">
        <f>SUMIF(安全质量事故!$B:$B,C540,安全质量事故!$G:$G)</f>
        <v>0</v>
      </c>
      <c r="K540" s="141">
        <f>COUNTIF(L540:AP540,标准数据!$A$2)*标准数据!$B$2+COUNTIF(L540:AP540,标准数据!$A$3)*标准数据!$B$3+COUNTIF(L540:AP540,标准数据!$A$4)*标准数据!$B$4</f>
        <v>0</v>
      </c>
      <c r="L540" s="185"/>
      <c r="M540" s="185"/>
      <c r="N540" s="185"/>
      <c r="O540" s="185"/>
      <c r="P540" s="185"/>
      <c r="Q540" s="185"/>
      <c r="R540" s="185"/>
      <c r="S540" s="185"/>
      <c r="T540" s="185"/>
      <c r="U540" s="185"/>
      <c r="V540" s="185"/>
      <c r="W540" s="185"/>
      <c r="X540" s="185"/>
      <c r="Y540" s="185"/>
      <c r="Z540" s="185"/>
      <c r="AA540" s="185"/>
      <c r="AB540" s="185"/>
      <c r="AC540" s="185"/>
      <c r="AD540" s="185"/>
      <c r="AE540" s="185"/>
      <c r="AF540" s="185"/>
      <c r="AG540" s="185"/>
      <c r="AH540" s="185"/>
      <c r="AI540" s="185"/>
      <c r="AJ540" s="185"/>
      <c r="AK540" s="185"/>
      <c r="AL540" s="185"/>
      <c r="AM540" s="185"/>
      <c r="AN540" s="185"/>
      <c r="AO540" s="185"/>
      <c r="AP540" s="185"/>
      <c r="AT540" s="149" t="s">
        <v>885</v>
      </c>
      <c r="AU540" s="94" t="s">
        <v>1839</v>
      </c>
    </row>
    <row r="541" spans="1:47" ht="21" customHeight="1" x14ac:dyDescent="0.35">
      <c r="A541" s="260"/>
      <c r="B541" s="98" t="s">
        <v>16</v>
      </c>
      <c r="C541" s="99" t="s">
        <v>944</v>
      </c>
      <c r="D541" s="100" t="s">
        <v>889</v>
      </c>
      <c r="E541" s="101">
        <v>45992</v>
      </c>
      <c r="F541" s="102">
        <f t="shared" si="23"/>
        <v>0</v>
      </c>
      <c r="G541" s="150">
        <f>SUMIF(积分汇总!$B:$B,C541,积分汇总!$E:$E)</f>
        <v>0</v>
      </c>
      <c r="H541" s="150">
        <f>SUMIF(记录巡查问题条数汇总!$B:$B,C541,记录巡查问题条数汇总!$E:$E)</f>
        <v>0</v>
      </c>
      <c r="I541" s="150"/>
      <c r="J541" s="150">
        <f>SUMIF(安全质量事故!$B:$B,C541,安全质量事故!$G:$G)</f>
        <v>0</v>
      </c>
      <c r="K541" s="141">
        <f>COUNTIF(L541:AP541,标准数据!$A$2)*标准数据!$B$2+COUNTIF(L541:AP541,标准数据!$A$3)*标准数据!$B$3+COUNTIF(L541:AP541,标准数据!$A$4)*标准数据!$B$4</f>
        <v>0</v>
      </c>
      <c r="L541" s="185"/>
      <c r="M541" s="185"/>
      <c r="N541" s="185"/>
      <c r="O541" s="185"/>
      <c r="P541" s="185"/>
      <c r="Q541" s="185"/>
      <c r="R541" s="185"/>
      <c r="S541" s="185"/>
      <c r="T541" s="185"/>
      <c r="U541" s="185"/>
      <c r="V541" s="185"/>
      <c r="W541" s="185"/>
      <c r="X541" s="185"/>
      <c r="Y541" s="185"/>
      <c r="Z541" s="185"/>
      <c r="AA541" s="185"/>
      <c r="AB541" s="185"/>
      <c r="AC541" s="185"/>
      <c r="AD541" s="185"/>
      <c r="AE541" s="185"/>
      <c r="AF541" s="185"/>
      <c r="AG541" s="185"/>
      <c r="AH541" s="185"/>
      <c r="AI541" s="185"/>
      <c r="AJ541" s="185"/>
      <c r="AK541" s="185"/>
      <c r="AL541" s="185"/>
      <c r="AM541" s="185"/>
      <c r="AN541" s="185"/>
      <c r="AO541" s="185"/>
      <c r="AP541" s="185"/>
      <c r="AT541" s="149" t="s">
        <v>889</v>
      </c>
      <c r="AU541" s="94" t="s">
        <v>1840</v>
      </c>
    </row>
    <row r="542" spans="1:47" ht="21" customHeight="1" x14ac:dyDescent="0.35">
      <c r="A542" s="260"/>
      <c r="B542" s="98" t="s">
        <v>16</v>
      </c>
      <c r="C542" s="99" t="s">
        <v>1025</v>
      </c>
      <c r="D542" s="100" t="s">
        <v>979</v>
      </c>
      <c r="E542" s="101">
        <v>43907</v>
      </c>
      <c r="F542" s="102">
        <f t="shared" si="23"/>
        <v>0</v>
      </c>
      <c r="G542" s="150">
        <f>SUMIF(积分汇总!$B:$B,C542,积分汇总!$E:$E)</f>
        <v>0</v>
      </c>
      <c r="H542" s="150">
        <f>SUMIF(记录巡查问题条数汇总!$B:$B,C542,记录巡查问题条数汇总!$E:$E)</f>
        <v>0</v>
      </c>
      <c r="I542" s="150"/>
      <c r="J542" s="150">
        <f>SUMIF(安全质量事故!$B:$B,C542,安全质量事故!$G:$G)</f>
        <v>0</v>
      </c>
      <c r="K542" s="141">
        <f>COUNTIF(L542:AP542,标准数据!$A$2)*标准数据!$B$2+COUNTIF(L542:AP542,标准数据!$A$3)*标准数据!$B$3+COUNTIF(L542:AP542,标准数据!$A$4)*标准数据!$B$4</f>
        <v>0</v>
      </c>
      <c r="L542" s="185"/>
      <c r="M542" s="185"/>
      <c r="N542" s="185"/>
      <c r="O542" s="185"/>
      <c r="P542" s="185"/>
      <c r="Q542" s="185"/>
      <c r="R542" s="185"/>
      <c r="S542" s="185"/>
      <c r="T542" s="185"/>
      <c r="U542" s="185"/>
      <c r="V542" s="185"/>
      <c r="W542" s="185"/>
      <c r="X542" s="185"/>
      <c r="Y542" s="185"/>
      <c r="Z542" s="185"/>
      <c r="AA542" s="185"/>
      <c r="AB542" s="185"/>
      <c r="AC542" s="185"/>
      <c r="AD542" s="185"/>
      <c r="AE542" s="185"/>
      <c r="AF542" s="185"/>
      <c r="AG542" s="185"/>
      <c r="AH542" s="185"/>
      <c r="AI542" s="185"/>
      <c r="AJ542" s="185"/>
      <c r="AK542" s="185"/>
      <c r="AL542" s="185"/>
      <c r="AM542" s="185"/>
      <c r="AN542" s="185"/>
      <c r="AO542" s="185"/>
      <c r="AP542" s="185"/>
      <c r="AT542" s="149" t="s">
        <v>979</v>
      </c>
      <c r="AU542" s="94" t="s">
        <v>1839</v>
      </c>
    </row>
    <row r="543" spans="1:47" ht="21" customHeight="1" x14ac:dyDescent="0.35">
      <c r="A543" s="260"/>
      <c r="B543" s="98" t="s">
        <v>16</v>
      </c>
      <c r="C543" s="99" t="s">
        <v>1026</v>
      </c>
      <c r="D543" s="100" t="s">
        <v>988</v>
      </c>
      <c r="E543" s="101">
        <v>46015</v>
      </c>
      <c r="F543" s="102">
        <f t="shared" si="23"/>
        <v>0</v>
      </c>
      <c r="G543" s="150">
        <f>SUMIF(积分汇总!$B:$B,C543,积分汇总!$E:$E)</f>
        <v>0</v>
      </c>
      <c r="H543" s="150">
        <f>SUMIF(记录巡查问题条数汇总!$B:$B,C543,记录巡查问题条数汇总!$E:$E)</f>
        <v>0</v>
      </c>
      <c r="I543" s="150"/>
      <c r="J543" s="150">
        <f>SUMIF(安全质量事故!$B:$B,C543,安全质量事故!$G:$G)</f>
        <v>0</v>
      </c>
      <c r="K543" s="141">
        <f>COUNTIF(L543:AP543,标准数据!$A$2)*标准数据!$B$2+COUNTIF(L543:AP543,标准数据!$A$3)*标准数据!$B$3+COUNTIF(L543:AP543,标准数据!$A$4)*标准数据!$B$4</f>
        <v>0</v>
      </c>
      <c r="L543" s="185"/>
      <c r="M543" s="185"/>
      <c r="N543" s="185"/>
      <c r="O543" s="185"/>
      <c r="P543" s="185"/>
      <c r="Q543" s="185"/>
      <c r="R543" s="185"/>
      <c r="S543" s="185"/>
      <c r="T543" s="185"/>
      <c r="U543" s="185"/>
      <c r="V543" s="185"/>
      <c r="W543" s="185"/>
      <c r="X543" s="185"/>
      <c r="Y543" s="185"/>
      <c r="Z543" s="185"/>
      <c r="AA543" s="185"/>
      <c r="AB543" s="185"/>
      <c r="AC543" s="185"/>
      <c r="AD543" s="185"/>
      <c r="AE543" s="185"/>
      <c r="AF543" s="185"/>
      <c r="AG543" s="185"/>
      <c r="AH543" s="185"/>
      <c r="AI543" s="185"/>
      <c r="AJ543" s="185"/>
      <c r="AK543" s="185"/>
      <c r="AL543" s="185"/>
      <c r="AM543" s="185"/>
      <c r="AN543" s="185"/>
      <c r="AO543" s="185"/>
      <c r="AP543" s="185"/>
      <c r="AT543" s="149" t="s">
        <v>988</v>
      </c>
      <c r="AU543" s="94" t="s">
        <v>1837</v>
      </c>
    </row>
    <row r="544" spans="1:47" ht="21" customHeight="1" x14ac:dyDescent="0.35">
      <c r="A544" s="260"/>
      <c r="B544" s="98" t="s">
        <v>89</v>
      </c>
      <c r="C544" s="99" t="s">
        <v>1392</v>
      </c>
      <c r="D544" s="105" t="s">
        <v>1393</v>
      </c>
      <c r="E544" s="99">
        <v>46127</v>
      </c>
      <c r="F544" s="102">
        <f t="shared" si="23"/>
        <v>0</v>
      </c>
      <c r="G544" s="150">
        <f>SUMIF(积分汇总!$B:$B,C544,积分汇总!$E:$E)</f>
        <v>0</v>
      </c>
      <c r="H544" s="150">
        <f>SUMIF(记录巡查问题条数汇总!$B:$B,C544,记录巡查问题条数汇总!$E:$E)</f>
        <v>0</v>
      </c>
      <c r="I544" s="150"/>
      <c r="J544" s="150">
        <f>SUMIF(安全质量事故!$B:$B,C544,安全质量事故!$G:$G)</f>
        <v>0</v>
      </c>
      <c r="K544" s="141">
        <f>COUNTIF(L544:AP544,标准数据!$A$2)*标准数据!$B$2+COUNTIF(L544:AP544,标准数据!$A$3)*标准数据!$B$3+COUNTIF(L544:AP544,标准数据!$A$4)*标准数据!$B$4</f>
        <v>0</v>
      </c>
      <c r="L544" s="109"/>
      <c r="M544" s="109"/>
      <c r="N544" s="109"/>
      <c r="O544" s="109"/>
      <c r="P544" s="109"/>
      <c r="Q544" s="109"/>
      <c r="R544" s="109"/>
      <c r="S544" s="109"/>
      <c r="T544" s="109"/>
      <c r="U544" s="109"/>
      <c r="V544" s="109"/>
      <c r="W544" s="109"/>
      <c r="X544" s="109"/>
      <c r="Y544" s="109"/>
      <c r="Z544" s="109"/>
      <c r="AA544" s="109"/>
      <c r="AB544" s="109"/>
      <c r="AC544" s="109"/>
      <c r="AD544" s="109"/>
      <c r="AE544" s="109"/>
      <c r="AF544" s="109"/>
      <c r="AG544" s="109"/>
      <c r="AH544" s="109"/>
      <c r="AI544" s="109"/>
      <c r="AJ544" s="109"/>
      <c r="AK544" s="109"/>
      <c r="AL544" s="109"/>
      <c r="AM544" s="109"/>
      <c r="AN544" s="109"/>
      <c r="AO544" s="109"/>
      <c r="AP544" s="109"/>
      <c r="AQ544" s="94"/>
      <c r="AR544" s="94"/>
      <c r="AS544" s="94"/>
      <c r="AT544" s="149" t="s">
        <v>1393</v>
      </c>
      <c r="AU544" s="94" t="s">
        <v>1839</v>
      </c>
    </row>
    <row r="545" spans="1:47" ht="21" customHeight="1" x14ac:dyDescent="0.35">
      <c r="A545" s="260"/>
      <c r="B545" s="98" t="s">
        <v>89</v>
      </c>
      <c r="C545" s="99" t="s">
        <v>1394</v>
      </c>
      <c r="D545" s="105" t="s">
        <v>1395</v>
      </c>
      <c r="E545" s="99">
        <v>44755</v>
      </c>
      <c r="F545" s="102">
        <f t="shared" si="23"/>
        <v>0</v>
      </c>
      <c r="G545" s="150">
        <f>SUMIF(积分汇总!$B:$B,C545,积分汇总!$E:$E)</f>
        <v>0</v>
      </c>
      <c r="H545" s="150">
        <f>SUMIF(记录巡查问题条数汇总!$B:$B,C545,记录巡查问题条数汇总!$E:$E)</f>
        <v>0</v>
      </c>
      <c r="I545" s="150"/>
      <c r="J545" s="150">
        <f>SUMIF(安全质量事故!$B:$B,C545,安全质量事故!$G:$G)</f>
        <v>0</v>
      </c>
      <c r="K545" s="141">
        <f>COUNTIF(L545:AP545,标准数据!$A$2)*标准数据!$B$2+COUNTIF(L545:AP545,标准数据!$A$3)*标准数据!$B$3+COUNTIF(L545:AP545,标准数据!$A$4)*标准数据!$B$4</f>
        <v>0</v>
      </c>
      <c r="L545" s="109"/>
      <c r="M545" s="109"/>
      <c r="N545" s="109"/>
      <c r="O545" s="109"/>
      <c r="P545" s="109"/>
      <c r="Q545" s="109"/>
      <c r="R545" s="109"/>
      <c r="S545" s="109"/>
      <c r="T545" s="109"/>
      <c r="U545" s="109"/>
      <c r="V545" s="109"/>
      <c r="W545" s="109"/>
      <c r="X545" s="109"/>
      <c r="Y545" s="109"/>
      <c r="Z545" s="109"/>
      <c r="AA545" s="109"/>
      <c r="AB545" s="109"/>
      <c r="AC545" s="109"/>
      <c r="AD545" s="109"/>
      <c r="AE545" s="109"/>
      <c r="AF545" s="109"/>
      <c r="AG545" s="109"/>
      <c r="AH545" s="109"/>
      <c r="AI545" s="109"/>
      <c r="AJ545" s="109"/>
      <c r="AK545" s="109"/>
      <c r="AL545" s="109"/>
      <c r="AM545" s="109"/>
      <c r="AN545" s="109"/>
      <c r="AO545" s="109"/>
      <c r="AP545" s="109"/>
      <c r="AQ545" s="148" t="s">
        <v>1208</v>
      </c>
      <c r="AR545" s="94"/>
      <c r="AS545" s="94"/>
      <c r="AT545" s="149" t="s">
        <v>1395</v>
      </c>
      <c r="AU545" s="94" t="s">
        <v>1837</v>
      </c>
    </row>
    <row r="546" spans="1:47" ht="21" customHeight="1" x14ac:dyDescent="0.35">
      <c r="A546" s="260"/>
      <c r="B546" s="98" t="s">
        <v>89</v>
      </c>
      <c r="C546" s="99" t="s">
        <v>1227</v>
      </c>
      <c r="D546" s="105" t="s">
        <v>1602</v>
      </c>
      <c r="E546" s="99">
        <v>46134</v>
      </c>
      <c r="F546" s="102">
        <f t="shared" si="23"/>
        <v>0</v>
      </c>
      <c r="G546" s="150">
        <f>SUMIF(积分汇总!$B:$B,C546,积分汇总!$E:$E)</f>
        <v>0</v>
      </c>
      <c r="H546" s="150">
        <f>SUMIF(记录巡查问题条数汇总!$B:$B,C546,记录巡查问题条数汇总!$E:$E)</f>
        <v>0</v>
      </c>
      <c r="I546" s="150"/>
      <c r="J546" s="150">
        <f>SUMIF(安全质量事故!$B:$B,C546,安全质量事故!$G:$G)</f>
        <v>0</v>
      </c>
      <c r="K546" s="141">
        <f>COUNTIF(L546:AP546,标准数据!$A$2)*标准数据!$B$2+COUNTIF(L546:AP546,标准数据!$A$3)*标准数据!$B$3+COUNTIF(L546:AP546,标准数据!$A$4)*标准数据!$B$4</f>
        <v>0</v>
      </c>
      <c r="L546" s="109"/>
      <c r="M546" s="109"/>
      <c r="N546" s="109"/>
      <c r="O546" s="109"/>
      <c r="P546" s="109"/>
      <c r="Q546" s="109"/>
      <c r="R546" s="109"/>
      <c r="S546" s="109"/>
      <c r="T546" s="109"/>
      <c r="U546" s="109"/>
      <c r="V546" s="109"/>
      <c r="W546" s="109"/>
      <c r="X546" s="109"/>
      <c r="Y546" s="109"/>
      <c r="Z546" s="109"/>
      <c r="AA546" s="109"/>
      <c r="AB546" s="109"/>
      <c r="AC546" s="109"/>
      <c r="AD546" s="109"/>
      <c r="AE546" s="109"/>
      <c r="AF546" s="109"/>
      <c r="AG546" s="109"/>
      <c r="AH546" s="109"/>
      <c r="AI546" s="109"/>
      <c r="AJ546" s="109"/>
      <c r="AK546" s="109"/>
      <c r="AL546" s="109"/>
      <c r="AM546" s="109"/>
      <c r="AN546" s="109"/>
      <c r="AO546" s="109"/>
      <c r="AP546" s="109"/>
      <c r="AR546" s="94"/>
      <c r="AS546" s="94"/>
      <c r="AT546" s="149" t="s">
        <v>1602</v>
      </c>
      <c r="AU546" s="94" t="s">
        <v>1837</v>
      </c>
    </row>
    <row r="547" spans="1:47" ht="21" customHeight="1" x14ac:dyDescent="0.35">
      <c r="A547" s="260"/>
      <c r="B547" s="98" t="s">
        <v>89</v>
      </c>
      <c r="C547" s="214" t="s">
        <v>1628</v>
      </c>
      <c r="D547" s="215" t="s">
        <v>1629</v>
      </c>
      <c r="E547" s="214">
        <v>46132</v>
      </c>
      <c r="F547" s="102">
        <f t="shared" si="23"/>
        <v>0</v>
      </c>
      <c r="G547" s="150">
        <f>SUMIF(积分汇总!$B:$B,C547,积分汇总!$E:$E)</f>
        <v>0</v>
      </c>
      <c r="H547" s="150">
        <f>SUMIF(记录巡查问题条数汇总!$B:$B,C547,记录巡查问题条数汇总!$E:$E)</f>
        <v>0</v>
      </c>
      <c r="I547" s="150"/>
      <c r="J547" s="150">
        <f>SUMIF(安全质量事故!$B:$B,C547,安全质量事故!$G:$G)</f>
        <v>0</v>
      </c>
      <c r="K547" s="141">
        <f>COUNTIF(L547:AP547,标准数据!$A$2)*标准数据!$B$2+COUNTIF(L547:AP547,标准数据!$A$3)*标准数据!$B$3+COUNTIF(L547:AP547,标准数据!$A$4)*标准数据!$B$4</f>
        <v>0</v>
      </c>
      <c r="L547" s="109"/>
      <c r="M547" s="109"/>
      <c r="N547" s="109"/>
      <c r="O547" s="109"/>
      <c r="P547" s="109"/>
      <c r="Q547" s="109"/>
      <c r="R547" s="109"/>
      <c r="S547" s="109"/>
      <c r="T547" s="109"/>
      <c r="U547" s="109"/>
      <c r="V547" s="109"/>
      <c r="W547" s="109"/>
      <c r="X547" s="109"/>
      <c r="Y547" s="109"/>
      <c r="Z547" s="109"/>
      <c r="AA547" s="109"/>
      <c r="AB547" s="109"/>
      <c r="AC547" s="109"/>
      <c r="AD547" s="109"/>
      <c r="AE547" s="109"/>
      <c r="AF547" s="109"/>
      <c r="AG547" s="109"/>
      <c r="AH547" s="109"/>
      <c r="AI547" s="109"/>
      <c r="AJ547" s="109"/>
      <c r="AK547" s="109"/>
      <c r="AL547" s="109"/>
      <c r="AM547" s="109"/>
      <c r="AN547" s="109"/>
      <c r="AO547" s="109"/>
      <c r="AP547" s="109"/>
      <c r="AQ547" s="175" t="s">
        <v>1630</v>
      </c>
      <c r="AR547" s="94"/>
      <c r="AS547" s="94"/>
      <c r="AT547" s="149" t="s">
        <v>1629</v>
      </c>
      <c r="AU547" s="94" t="s">
        <v>1841</v>
      </c>
    </row>
    <row r="548" spans="1:47" ht="21" customHeight="1" x14ac:dyDescent="0.35">
      <c r="A548" s="260"/>
      <c r="B548" s="98" t="s">
        <v>89</v>
      </c>
      <c r="C548" s="214" t="s">
        <v>1799</v>
      </c>
      <c r="D548" s="215" t="s">
        <v>1800</v>
      </c>
      <c r="E548" s="214">
        <v>46169</v>
      </c>
      <c r="F548" s="102">
        <f t="shared" ref="F548:F549" si="24">(K548+G548+H548+I548-J548)</f>
        <v>0</v>
      </c>
      <c r="G548" s="150">
        <f>SUMIF(积分汇总!$B:$B,C548,积分汇总!$E:$E)</f>
        <v>0</v>
      </c>
      <c r="H548" s="150">
        <f>SUMIF(记录巡查问题条数汇总!$B:$B,C548,记录巡查问题条数汇总!$E:$E)</f>
        <v>0</v>
      </c>
      <c r="I548" s="150"/>
      <c r="J548" s="150">
        <f>SUMIF(安全质量事故!$B:$B,C548,安全质量事故!$G:$G)</f>
        <v>0</v>
      </c>
      <c r="K548" s="141">
        <f>COUNTIF(L548:AP548,标准数据!$A$2)*标准数据!$B$2+COUNTIF(L548:AP548,标准数据!$A$3)*标准数据!$B$3+COUNTIF(L548:AP548,标准数据!$A$4)*标准数据!$B$4</f>
        <v>0</v>
      </c>
      <c r="L548" s="109"/>
      <c r="M548" s="109"/>
      <c r="N548" s="109"/>
      <c r="O548" s="109"/>
      <c r="P548" s="109"/>
      <c r="Q548" s="109"/>
      <c r="R548" s="109"/>
      <c r="S548" s="109"/>
      <c r="T548" s="109"/>
      <c r="U548" s="109"/>
      <c r="V548" s="109"/>
      <c r="W548" s="109"/>
      <c r="X548" s="109"/>
      <c r="Y548" s="109"/>
      <c r="Z548" s="109"/>
      <c r="AA548" s="109"/>
      <c r="AB548" s="109"/>
      <c r="AC548" s="109"/>
      <c r="AD548" s="109"/>
      <c r="AE548" s="109"/>
      <c r="AF548" s="109"/>
      <c r="AG548" s="109"/>
      <c r="AH548" s="109"/>
      <c r="AI548" s="109"/>
      <c r="AJ548" s="109"/>
      <c r="AK548" s="109"/>
      <c r="AL548" s="109"/>
      <c r="AM548" s="109"/>
      <c r="AN548" s="109"/>
      <c r="AO548" s="109"/>
      <c r="AP548" s="109"/>
      <c r="AR548" s="94"/>
      <c r="AS548" s="94"/>
      <c r="AT548" s="149" t="s">
        <v>1800</v>
      </c>
      <c r="AU548" s="94" t="s">
        <v>1837</v>
      </c>
    </row>
    <row r="549" spans="1:47" ht="21" customHeight="1" x14ac:dyDescent="0.35">
      <c r="A549" s="260"/>
      <c r="B549" s="98" t="s">
        <v>166</v>
      </c>
      <c r="C549" s="99" t="s">
        <v>1273</v>
      </c>
      <c r="D549" s="100" t="s">
        <v>1274</v>
      </c>
      <c r="E549" s="101">
        <v>46120</v>
      </c>
      <c r="F549" s="102">
        <f t="shared" si="24"/>
        <v>0</v>
      </c>
      <c r="G549" s="150">
        <f>SUMIF(积分汇总!$B:$B,C549,积分汇总!$E:$E)</f>
        <v>0</v>
      </c>
      <c r="H549" s="150">
        <f>SUMIF(记录巡查问题条数汇总!$B:$B,C549,记录巡查问题条数汇总!$E:$E)</f>
        <v>0</v>
      </c>
      <c r="I549" s="150"/>
      <c r="J549" s="150">
        <f>SUMIF(安全质量事故!$B:$B,C549,安全质量事故!$G:$G)</f>
        <v>0</v>
      </c>
      <c r="K549" s="141">
        <f>COUNTIF(L549:AP549,标准数据!$A$2)*标准数据!$B$2+COUNTIF(L549:AP549,标准数据!$A$3)*标准数据!$B$3+COUNTIF(L549:AP549,标准数据!$A$4)*标准数据!$B$4</f>
        <v>0</v>
      </c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9"/>
      <c r="Y549" s="109"/>
      <c r="Z549" s="109"/>
      <c r="AA549" s="109"/>
      <c r="AB549" s="109"/>
      <c r="AC549" s="109"/>
      <c r="AD549" s="109"/>
      <c r="AE549" s="109"/>
      <c r="AF549" s="109"/>
      <c r="AG549" s="109"/>
      <c r="AH549" s="109"/>
      <c r="AI549" s="109"/>
      <c r="AJ549" s="109"/>
      <c r="AK549" s="109"/>
      <c r="AL549" s="109"/>
      <c r="AM549" s="109"/>
      <c r="AN549" s="109"/>
      <c r="AO549" s="109"/>
      <c r="AP549" s="109"/>
      <c r="AQ549" s="94" t="s">
        <v>1609</v>
      </c>
      <c r="AR549" s="94"/>
      <c r="AS549" s="94"/>
      <c r="AT549" s="149" t="s">
        <v>1274</v>
      </c>
      <c r="AU549" s="94" t="s">
        <v>1609</v>
      </c>
    </row>
    <row r="550" spans="1:47" ht="21" customHeight="1" x14ac:dyDescent="0.35">
      <c r="A550" s="260"/>
      <c r="B550" s="98" t="s">
        <v>95</v>
      </c>
      <c r="C550" s="99" t="s">
        <v>347</v>
      </c>
      <c r="D550" s="100" t="s">
        <v>332</v>
      </c>
      <c r="E550" s="101">
        <v>45607</v>
      </c>
      <c r="F550" s="102">
        <f t="shared" si="23"/>
        <v>0</v>
      </c>
      <c r="G550" s="150">
        <f>SUMIF(积分汇总!$B:$B,C550,积分汇总!$E:$E)</f>
        <v>0</v>
      </c>
      <c r="H550" s="150">
        <f>SUMIF(记录巡查问题条数汇总!$B:$B,C550,记录巡查问题条数汇总!$E:$E)</f>
        <v>0</v>
      </c>
      <c r="I550" s="150"/>
      <c r="J550" s="150">
        <f>SUMIF(安全质量事故!$B:$B,C550,安全质量事故!$G:$G)</f>
        <v>0</v>
      </c>
      <c r="K550" s="141">
        <f>COUNTIF(L550:AP550,标准数据!$A$2)*标准数据!$B$2+COUNTIF(L550:AP550,标准数据!$A$3)*标准数据!$B$3+COUNTIF(L550:AP550,标准数据!$A$4)*标准数据!$B$4</f>
        <v>0</v>
      </c>
      <c r="L550" s="109"/>
      <c r="M550" s="109"/>
      <c r="N550" s="109"/>
      <c r="O550" s="109"/>
      <c r="P550" s="109"/>
      <c r="Q550" s="109"/>
      <c r="R550" s="109"/>
      <c r="S550" s="109"/>
      <c r="T550" s="109"/>
      <c r="U550" s="109"/>
      <c r="V550" s="109"/>
      <c r="W550" s="109"/>
      <c r="X550" s="109"/>
      <c r="Y550" s="109"/>
      <c r="Z550" s="109"/>
      <c r="AA550" s="109"/>
      <c r="AB550" s="109"/>
      <c r="AC550" s="109"/>
      <c r="AD550" s="109"/>
      <c r="AE550" s="109"/>
      <c r="AF550" s="109"/>
      <c r="AG550" s="109"/>
      <c r="AH550" s="109"/>
      <c r="AI550" s="109"/>
      <c r="AJ550" s="109"/>
      <c r="AK550" s="109"/>
      <c r="AL550" s="109"/>
      <c r="AM550" s="109"/>
      <c r="AN550" s="109"/>
      <c r="AO550" s="109"/>
      <c r="AP550" s="109"/>
      <c r="AT550" s="149" t="s">
        <v>332</v>
      </c>
      <c r="AU550" s="94" t="s">
        <v>1842</v>
      </c>
    </row>
    <row r="551" spans="1:47" ht="21" customHeight="1" x14ac:dyDescent="0.35">
      <c r="A551" s="260"/>
      <c r="B551" s="98" t="s">
        <v>17</v>
      </c>
      <c r="C551" s="99" t="s">
        <v>325</v>
      </c>
      <c r="D551" s="100" t="s">
        <v>315</v>
      </c>
      <c r="E551" s="101">
        <v>45560</v>
      </c>
      <c r="F551" s="102">
        <f t="shared" si="23"/>
        <v>0</v>
      </c>
      <c r="G551" s="150">
        <f>SUMIF(积分汇总!$B:$B,C551,积分汇总!$E:$E)</f>
        <v>0</v>
      </c>
      <c r="H551" s="150">
        <f>SUMIF(记录巡查问题条数汇总!$B:$B,C551,记录巡查问题条数汇总!$E:$E)</f>
        <v>0</v>
      </c>
      <c r="I551" s="150"/>
      <c r="J551" s="150">
        <f>SUMIF(安全质量事故!$B:$B,C551,安全质量事故!$G:$G)</f>
        <v>0</v>
      </c>
      <c r="K551" s="141">
        <f>COUNTIF(L551:AP551,标准数据!$A$2)*标准数据!$B$2+COUNTIF(L551:AP551,标准数据!$A$3)*标准数据!$B$3+COUNTIF(L551:AP551,标准数据!$A$4)*标准数据!$B$4</f>
        <v>0</v>
      </c>
      <c r="L551" s="185"/>
      <c r="M551" s="185"/>
      <c r="N551" s="185"/>
      <c r="O551" s="185"/>
      <c r="P551" s="185"/>
      <c r="Q551" s="185"/>
      <c r="R551" s="185"/>
      <c r="S551" s="185"/>
      <c r="T551" s="185"/>
      <c r="U551" s="185"/>
      <c r="V551" s="185"/>
      <c r="W551" s="185"/>
      <c r="X551" s="185"/>
      <c r="Y551" s="185"/>
      <c r="Z551" s="185"/>
      <c r="AA551" s="185"/>
      <c r="AB551" s="185"/>
      <c r="AC551" s="185"/>
      <c r="AD551" s="185"/>
      <c r="AE551" s="185"/>
      <c r="AF551" s="185"/>
      <c r="AG551" s="185"/>
      <c r="AH551" s="185"/>
      <c r="AI551" s="185"/>
      <c r="AJ551" s="185"/>
      <c r="AK551" s="185"/>
      <c r="AL551" s="185"/>
      <c r="AM551" s="185"/>
      <c r="AN551" s="185"/>
      <c r="AO551" s="185"/>
      <c r="AP551" s="185"/>
      <c r="AT551" s="149" t="s">
        <v>315</v>
      </c>
      <c r="AU551" s="94" t="s">
        <v>1840</v>
      </c>
    </row>
    <row r="552" spans="1:47" ht="21" customHeight="1" x14ac:dyDescent="0.35">
      <c r="A552" s="260"/>
      <c r="B552" s="98" t="s">
        <v>17</v>
      </c>
      <c r="C552" s="99" t="s">
        <v>176</v>
      </c>
      <c r="D552" s="100" t="s">
        <v>81</v>
      </c>
      <c r="E552" s="101">
        <v>44774</v>
      </c>
      <c r="F552" s="102">
        <f t="shared" si="23"/>
        <v>0</v>
      </c>
      <c r="G552" s="150">
        <f>SUMIF(积分汇总!$B:$B,C552,积分汇总!$E:$E)</f>
        <v>0</v>
      </c>
      <c r="H552" s="150">
        <f>SUMIF(记录巡查问题条数汇总!$B:$B,C552,记录巡查问题条数汇总!$E:$E)</f>
        <v>0</v>
      </c>
      <c r="I552" s="150"/>
      <c r="J552" s="150">
        <f>SUMIF(安全质量事故!$B:$B,C552,安全质量事故!$G:$G)</f>
        <v>0</v>
      </c>
      <c r="K552" s="141">
        <f>COUNTIF(L552:AP552,标准数据!$A$2)*标准数据!$B$2+COUNTIF(L552:AP552,标准数据!$A$3)*标准数据!$B$3+COUNTIF(L552:AP552,标准数据!$A$4)*标准数据!$B$4</f>
        <v>0</v>
      </c>
      <c r="L552" s="185"/>
      <c r="M552" s="185"/>
      <c r="N552" s="185"/>
      <c r="O552" s="185"/>
      <c r="P552" s="185"/>
      <c r="Q552" s="185"/>
      <c r="R552" s="185"/>
      <c r="S552" s="185"/>
      <c r="T552" s="185"/>
      <c r="U552" s="185"/>
      <c r="V552" s="185"/>
      <c r="W552" s="185"/>
      <c r="X552" s="185"/>
      <c r="Y552" s="185"/>
      <c r="Z552" s="185"/>
      <c r="AA552" s="185"/>
      <c r="AB552" s="185"/>
      <c r="AC552" s="185"/>
      <c r="AD552" s="185"/>
      <c r="AE552" s="185"/>
      <c r="AF552" s="185"/>
      <c r="AG552" s="185"/>
      <c r="AH552" s="185"/>
      <c r="AI552" s="185"/>
      <c r="AJ552" s="185"/>
      <c r="AK552" s="185"/>
      <c r="AL552" s="185"/>
      <c r="AM552" s="185"/>
      <c r="AN552" s="185"/>
      <c r="AO552" s="185"/>
      <c r="AP552" s="185"/>
      <c r="AQ552" s="94"/>
      <c r="AR552" s="94"/>
      <c r="AS552" s="94"/>
      <c r="AT552" s="149" t="s">
        <v>81</v>
      </c>
      <c r="AU552" s="94" t="s">
        <v>1839</v>
      </c>
    </row>
    <row r="553" spans="1:47" ht="21" customHeight="1" x14ac:dyDescent="0.35">
      <c r="A553" s="260"/>
      <c r="B553" s="98" t="s">
        <v>17</v>
      </c>
      <c r="C553" s="99" t="s">
        <v>324</v>
      </c>
      <c r="D553" s="100" t="s">
        <v>314</v>
      </c>
      <c r="E553" s="101">
        <v>45588</v>
      </c>
      <c r="F553" s="102">
        <f t="shared" si="23"/>
        <v>0</v>
      </c>
      <c r="G553" s="150">
        <f>SUMIF(积分汇总!$B:$B,C553,积分汇总!$E:$E)</f>
        <v>0</v>
      </c>
      <c r="H553" s="150">
        <f>SUMIF(记录巡查问题条数汇总!$B:$B,C553,记录巡查问题条数汇总!$E:$E)</f>
        <v>0</v>
      </c>
      <c r="I553" s="150"/>
      <c r="J553" s="150">
        <f>SUMIF(安全质量事故!$B:$B,C553,安全质量事故!$G:$G)</f>
        <v>0</v>
      </c>
      <c r="K553" s="141">
        <f>COUNTIF(L553:AP553,标准数据!$A$2)*标准数据!$B$2+COUNTIF(L553:AP553,标准数据!$A$3)*标准数据!$B$3+COUNTIF(L553:AP553,标准数据!$A$4)*标准数据!$B$4</f>
        <v>0</v>
      </c>
      <c r="L553" s="185"/>
      <c r="M553" s="185"/>
      <c r="N553" s="185"/>
      <c r="O553" s="185"/>
      <c r="P553" s="185"/>
      <c r="Q553" s="185"/>
      <c r="R553" s="185"/>
      <c r="S553" s="185"/>
      <c r="T553" s="185"/>
      <c r="U553" s="185"/>
      <c r="V553" s="185"/>
      <c r="W553" s="185"/>
      <c r="X553" s="185"/>
      <c r="Y553" s="185"/>
      <c r="Z553" s="185"/>
      <c r="AA553" s="185"/>
      <c r="AB553" s="185"/>
      <c r="AC553" s="185"/>
      <c r="AD553" s="185"/>
      <c r="AE553" s="185"/>
      <c r="AF553" s="185"/>
      <c r="AG553" s="185"/>
      <c r="AH553" s="185"/>
      <c r="AI553" s="185"/>
      <c r="AJ553" s="185"/>
      <c r="AK553" s="185"/>
      <c r="AL553" s="185"/>
      <c r="AM553" s="185"/>
      <c r="AN553" s="185"/>
      <c r="AO553" s="185"/>
      <c r="AP553" s="185"/>
      <c r="AQ553" s="94"/>
      <c r="AR553" s="94"/>
      <c r="AS553" s="94"/>
      <c r="AT553" s="149" t="s">
        <v>314</v>
      </c>
      <c r="AU553" s="94" t="s">
        <v>1839</v>
      </c>
    </row>
    <row r="554" spans="1:47" ht="21" customHeight="1" x14ac:dyDescent="0.35">
      <c r="A554" s="260"/>
      <c r="B554" s="98" t="s">
        <v>17</v>
      </c>
      <c r="C554" s="99" t="s">
        <v>380</v>
      </c>
      <c r="D554" s="100" t="s">
        <v>371</v>
      </c>
      <c r="E554" s="101">
        <v>45644</v>
      </c>
      <c r="F554" s="102">
        <f t="shared" si="23"/>
        <v>0</v>
      </c>
      <c r="G554" s="150">
        <f>SUMIF(积分汇总!$B:$B,C554,积分汇总!$E:$E)</f>
        <v>0</v>
      </c>
      <c r="H554" s="150">
        <f>SUMIF(记录巡查问题条数汇总!$B:$B,C554,记录巡查问题条数汇总!$E:$E)</f>
        <v>0</v>
      </c>
      <c r="I554" s="150"/>
      <c r="J554" s="150">
        <f>SUMIF(安全质量事故!$B:$B,C554,安全质量事故!$G:$G)</f>
        <v>0</v>
      </c>
      <c r="K554" s="141">
        <f>COUNTIF(L554:AP554,标准数据!$A$2)*标准数据!$B$2+COUNTIF(L554:AP554,标准数据!$A$3)*标准数据!$B$3+COUNTIF(L554:AP554,标准数据!$A$4)*标准数据!$B$4</f>
        <v>0</v>
      </c>
      <c r="L554" s="185"/>
      <c r="M554" s="185"/>
      <c r="N554" s="185"/>
      <c r="O554" s="185"/>
      <c r="P554" s="185"/>
      <c r="Q554" s="185"/>
      <c r="R554" s="185"/>
      <c r="S554" s="185"/>
      <c r="T554" s="185"/>
      <c r="U554" s="185"/>
      <c r="V554" s="185"/>
      <c r="W554" s="185"/>
      <c r="X554" s="185"/>
      <c r="Y554" s="185"/>
      <c r="Z554" s="185"/>
      <c r="AA554" s="185"/>
      <c r="AB554" s="185"/>
      <c r="AC554" s="185"/>
      <c r="AD554" s="185"/>
      <c r="AE554" s="185"/>
      <c r="AF554" s="185"/>
      <c r="AG554" s="185"/>
      <c r="AH554" s="185"/>
      <c r="AI554" s="185"/>
      <c r="AJ554" s="185"/>
      <c r="AK554" s="185"/>
      <c r="AL554" s="185"/>
      <c r="AM554" s="185"/>
      <c r="AN554" s="185"/>
      <c r="AO554" s="185"/>
      <c r="AP554" s="185"/>
      <c r="AQ554" s="94"/>
      <c r="AR554" s="94"/>
      <c r="AS554" s="94"/>
      <c r="AT554" s="149" t="s">
        <v>371</v>
      </c>
      <c r="AU554" s="94" t="s">
        <v>1839</v>
      </c>
    </row>
    <row r="555" spans="1:47" ht="21" customHeight="1" x14ac:dyDescent="0.35">
      <c r="A555" s="260"/>
      <c r="B555" s="98" t="s">
        <v>17</v>
      </c>
      <c r="C555" s="99" t="s">
        <v>388</v>
      </c>
      <c r="D555" s="100" t="s">
        <v>385</v>
      </c>
      <c r="E555" s="101">
        <v>45651</v>
      </c>
      <c r="F555" s="102">
        <f t="shared" si="23"/>
        <v>0</v>
      </c>
      <c r="G555" s="150">
        <f>SUMIF(积分汇总!$B:$B,C555,积分汇总!$E:$E)</f>
        <v>0</v>
      </c>
      <c r="H555" s="150">
        <f>SUMIF(记录巡查问题条数汇总!$B:$B,C555,记录巡查问题条数汇总!$E:$E)</f>
        <v>0</v>
      </c>
      <c r="I555" s="150"/>
      <c r="J555" s="150">
        <f>SUMIF(安全质量事故!$B:$B,C555,安全质量事故!$G:$G)</f>
        <v>0</v>
      </c>
      <c r="K555" s="141">
        <f>COUNTIF(L555:AP555,标准数据!$A$2)*标准数据!$B$2+COUNTIF(L555:AP555,标准数据!$A$3)*标准数据!$B$3+COUNTIF(L555:AP555,标准数据!$A$4)*标准数据!$B$4</f>
        <v>0</v>
      </c>
      <c r="L555" s="185"/>
      <c r="M555" s="185"/>
      <c r="N555" s="185"/>
      <c r="O555" s="185"/>
      <c r="P555" s="185"/>
      <c r="Q555" s="185"/>
      <c r="R555" s="185"/>
      <c r="S555" s="185"/>
      <c r="T555" s="185"/>
      <c r="U555" s="185"/>
      <c r="V555" s="185"/>
      <c r="W555" s="185"/>
      <c r="X555" s="185"/>
      <c r="Y555" s="185"/>
      <c r="Z555" s="185"/>
      <c r="AA555" s="185"/>
      <c r="AB555" s="185"/>
      <c r="AC555" s="185"/>
      <c r="AD555" s="185"/>
      <c r="AE555" s="185"/>
      <c r="AF555" s="185"/>
      <c r="AG555" s="185"/>
      <c r="AH555" s="185"/>
      <c r="AI555" s="185"/>
      <c r="AJ555" s="185"/>
      <c r="AK555" s="185"/>
      <c r="AL555" s="185"/>
      <c r="AM555" s="185"/>
      <c r="AN555" s="185"/>
      <c r="AO555" s="185"/>
      <c r="AP555" s="185"/>
      <c r="AQ555" s="94"/>
      <c r="AR555" s="94"/>
      <c r="AS555" s="94"/>
      <c r="AT555" s="149" t="s">
        <v>385</v>
      </c>
      <c r="AU555" s="94" t="s">
        <v>1839</v>
      </c>
    </row>
    <row r="556" spans="1:47" ht="21" customHeight="1" x14ac:dyDescent="0.35">
      <c r="A556" s="259"/>
      <c r="B556" s="98" t="s">
        <v>17</v>
      </c>
      <c r="C556" s="99" t="s">
        <v>241</v>
      </c>
      <c r="D556" s="105" t="s">
        <v>242</v>
      </c>
      <c r="E556" s="101">
        <v>45483</v>
      </c>
      <c r="F556" s="102">
        <f t="shared" si="23"/>
        <v>0</v>
      </c>
      <c r="G556" s="150">
        <f>SUMIF(积分汇总!$B:$B,C556,积分汇总!$E:$E)</f>
        <v>0</v>
      </c>
      <c r="H556" s="150">
        <f>SUMIF(记录巡查问题条数汇总!$B:$B,C556,记录巡查问题条数汇总!$E:$E)</f>
        <v>0</v>
      </c>
      <c r="I556" s="150"/>
      <c r="J556" s="150">
        <f>SUMIF(安全质量事故!$B:$B,C556,安全质量事故!$G:$G)</f>
        <v>0</v>
      </c>
      <c r="K556" s="141">
        <f>COUNTIF(L556:AP556,标准数据!$A$2)*标准数据!$B$2+COUNTIF(L556:AP556,标准数据!$A$3)*标准数据!$B$3+COUNTIF(L556:AP556,标准数据!$A$4)*标准数据!$B$4</f>
        <v>0</v>
      </c>
      <c r="L556" s="185"/>
      <c r="M556" s="185"/>
      <c r="N556" s="185"/>
      <c r="O556" s="185"/>
      <c r="P556" s="185"/>
      <c r="Q556" s="185"/>
      <c r="R556" s="185"/>
      <c r="S556" s="185"/>
      <c r="T556" s="185"/>
      <c r="U556" s="185"/>
      <c r="V556" s="185"/>
      <c r="W556" s="185"/>
      <c r="X556" s="185"/>
      <c r="Y556" s="185"/>
      <c r="Z556" s="185"/>
      <c r="AA556" s="185"/>
      <c r="AB556" s="185"/>
      <c r="AC556" s="185"/>
      <c r="AD556" s="185"/>
      <c r="AE556" s="185"/>
      <c r="AF556" s="185"/>
      <c r="AG556" s="185"/>
      <c r="AH556" s="185"/>
      <c r="AI556" s="185"/>
      <c r="AJ556" s="185"/>
      <c r="AK556" s="185"/>
      <c r="AL556" s="185"/>
      <c r="AM556" s="185"/>
      <c r="AN556" s="185"/>
      <c r="AO556" s="185"/>
      <c r="AP556" s="185"/>
      <c r="AT556" s="149" t="s">
        <v>242</v>
      </c>
      <c r="AU556" s="94" t="s">
        <v>1839</v>
      </c>
    </row>
    <row r="557" spans="1:47" ht="21" customHeight="1" x14ac:dyDescent="0.35">
      <c r="A557" s="260"/>
      <c r="B557" s="98" t="s">
        <v>17</v>
      </c>
      <c r="C557" s="99" t="s">
        <v>267</v>
      </c>
      <c r="D557" s="105" t="s">
        <v>271</v>
      </c>
      <c r="E557" s="101">
        <v>44617</v>
      </c>
      <c r="F557" s="102">
        <f t="shared" si="23"/>
        <v>0</v>
      </c>
      <c r="G557" s="150">
        <f>SUMIF(积分汇总!$B:$B,C557,积分汇总!$E:$E)</f>
        <v>0</v>
      </c>
      <c r="H557" s="150">
        <f>SUMIF(记录巡查问题条数汇总!$B:$B,C557,记录巡查问题条数汇总!$E:$E)</f>
        <v>0</v>
      </c>
      <c r="I557" s="150"/>
      <c r="J557" s="150">
        <f>SUMIF(安全质量事故!$B:$B,C557,安全质量事故!$G:$G)</f>
        <v>0</v>
      </c>
      <c r="K557" s="141">
        <f>COUNTIF(L557:AP557,标准数据!$A$2)*标准数据!$B$2+COUNTIF(L557:AP557,标准数据!$A$3)*标准数据!$B$3+COUNTIF(L557:AP557,标准数据!$A$4)*标准数据!$B$4</f>
        <v>0</v>
      </c>
      <c r="L557" s="185"/>
      <c r="M557" s="185"/>
      <c r="N557" s="185"/>
      <c r="O557" s="185"/>
      <c r="P557" s="185"/>
      <c r="Q557" s="185"/>
      <c r="R557" s="185"/>
      <c r="S557" s="185"/>
      <c r="T557" s="185"/>
      <c r="U557" s="185"/>
      <c r="V557" s="185"/>
      <c r="W557" s="185"/>
      <c r="X557" s="185"/>
      <c r="Y557" s="185"/>
      <c r="Z557" s="185"/>
      <c r="AA557" s="185"/>
      <c r="AB557" s="185"/>
      <c r="AC557" s="185"/>
      <c r="AD557" s="185"/>
      <c r="AE557" s="185"/>
      <c r="AF557" s="185"/>
      <c r="AG557" s="185"/>
      <c r="AH557" s="185"/>
      <c r="AI557" s="185"/>
      <c r="AJ557" s="185"/>
      <c r="AK557" s="185"/>
      <c r="AL557" s="185"/>
      <c r="AM557" s="185"/>
      <c r="AN557" s="185"/>
      <c r="AO557" s="185"/>
      <c r="AP557" s="185"/>
      <c r="AT557" s="149" t="s">
        <v>1843</v>
      </c>
      <c r="AU557" s="94" t="s">
        <v>1839</v>
      </c>
    </row>
    <row r="558" spans="1:47" ht="21" customHeight="1" x14ac:dyDescent="0.35">
      <c r="A558" s="260"/>
      <c r="B558" s="98" t="s">
        <v>17</v>
      </c>
      <c r="C558" s="99" t="s">
        <v>531</v>
      </c>
      <c r="D558" s="100" t="s">
        <v>497</v>
      </c>
      <c r="E558" s="101">
        <v>45847</v>
      </c>
      <c r="F558" s="102">
        <f t="shared" si="23"/>
        <v>0</v>
      </c>
      <c r="G558" s="150">
        <f>SUMIF(积分汇总!$B:$B,C558,积分汇总!$E:$E)</f>
        <v>0</v>
      </c>
      <c r="H558" s="150">
        <f>SUMIF(记录巡查问题条数汇总!$B:$B,C558,记录巡查问题条数汇总!$E:$E)</f>
        <v>0</v>
      </c>
      <c r="I558" s="150"/>
      <c r="J558" s="150">
        <f>SUMIF(安全质量事故!$B:$B,C558,安全质量事故!$G:$G)</f>
        <v>0</v>
      </c>
      <c r="K558" s="141">
        <f>COUNTIF(L558:AP558,标准数据!$A$2)*标准数据!$B$2+COUNTIF(L558:AP558,标准数据!$A$3)*标准数据!$B$3+COUNTIF(L558:AP558,标准数据!$A$4)*标准数据!$B$4</f>
        <v>0</v>
      </c>
      <c r="L558" s="185"/>
      <c r="M558" s="185"/>
      <c r="N558" s="185"/>
      <c r="O558" s="185"/>
      <c r="P558" s="185"/>
      <c r="Q558" s="185"/>
      <c r="R558" s="185"/>
      <c r="S558" s="185"/>
      <c r="T558" s="185"/>
      <c r="U558" s="185"/>
      <c r="V558" s="185"/>
      <c r="W558" s="185"/>
      <c r="X558" s="185"/>
      <c r="Y558" s="185"/>
      <c r="Z558" s="185"/>
      <c r="AA558" s="185"/>
      <c r="AB558" s="185"/>
      <c r="AC558" s="185"/>
      <c r="AD558" s="185"/>
      <c r="AE558" s="185"/>
      <c r="AF558" s="185"/>
      <c r="AG558" s="185"/>
      <c r="AH558" s="185"/>
      <c r="AI558" s="185"/>
      <c r="AJ558" s="185"/>
      <c r="AK558" s="185"/>
      <c r="AL558" s="185"/>
      <c r="AM558" s="185"/>
      <c r="AN558" s="185"/>
      <c r="AO558" s="185"/>
      <c r="AP558" s="185"/>
      <c r="AQ558" s="94"/>
      <c r="AR558" s="94"/>
      <c r="AS558" s="94"/>
      <c r="AT558" s="149" t="s">
        <v>497</v>
      </c>
      <c r="AU558" s="94" t="s">
        <v>1839</v>
      </c>
    </row>
    <row r="559" spans="1:47" ht="21" customHeight="1" x14ac:dyDescent="0.35">
      <c r="A559" s="260"/>
      <c r="B559" s="98" t="s">
        <v>17</v>
      </c>
      <c r="C559" s="99" t="s">
        <v>535</v>
      </c>
      <c r="D559" s="100" t="s">
        <v>496</v>
      </c>
      <c r="E559" s="101">
        <v>45854</v>
      </c>
      <c r="F559" s="102">
        <f t="shared" si="23"/>
        <v>0</v>
      </c>
      <c r="G559" s="150">
        <f>SUMIF(积分汇总!$B:$B,C559,积分汇总!$E:$E)</f>
        <v>0</v>
      </c>
      <c r="H559" s="150">
        <f>SUMIF(记录巡查问题条数汇总!$B:$B,C559,记录巡查问题条数汇总!$E:$E)</f>
        <v>0</v>
      </c>
      <c r="I559" s="150"/>
      <c r="J559" s="150">
        <f>SUMIF(安全质量事故!$B:$B,C559,安全质量事故!$G:$G)</f>
        <v>0</v>
      </c>
      <c r="K559" s="141">
        <f>COUNTIF(L559:AP559,标准数据!$A$2)*标准数据!$B$2+COUNTIF(L559:AP559,标准数据!$A$3)*标准数据!$B$3+COUNTIF(L559:AP559,标准数据!$A$4)*标准数据!$B$4</f>
        <v>0</v>
      </c>
      <c r="L559" s="185"/>
      <c r="M559" s="185"/>
      <c r="N559" s="185"/>
      <c r="O559" s="185"/>
      <c r="P559" s="185"/>
      <c r="Q559" s="185"/>
      <c r="R559" s="185"/>
      <c r="S559" s="185"/>
      <c r="T559" s="185"/>
      <c r="U559" s="185"/>
      <c r="V559" s="185"/>
      <c r="W559" s="185"/>
      <c r="X559" s="185"/>
      <c r="Y559" s="185"/>
      <c r="Z559" s="185"/>
      <c r="AA559" s="185"/>
      <c r="AB559" s="185"/>
      <c r="AC559" s="185"/>
      <c r="AD559" s="185"/>
      <c r="AE559" s="185"/>
      <c r="AF559" s="185"/>
      <c r="AG559" s="185"/>
      <c r="AH559" s="185"/>
      <c r="AI559" s="185"/>
      <c r="AJ559" s="185"/>
      <c r="AK559" s="185"/>
      <c r="AL559" s="185"/>
      <c r="AM559" s="185"/>
      <c r="AN559" s="185"/>
      <c r="AO559" s="185"/>
      <c r="AP559" s="185"/>
      <c r="AQ559" s="94"/>
      <c r="AR559" s="94"/>
      <c r="AS559" s="94"/>
      <c r="AT559" s="149" t="s">
        <v>496</v>
      </c>
      <c r="AU559" s="94" t="s">
        <v>1844</v>
      </c>
    </row>
    <row r="560" spans="1:47" ht="21" customHeight="1" x14ac:dyDescent="0.35">
      <c r="A560" s="260"/>
      <c r="B560" s="98" t="s">
        <v>17</v>
      </c>
      <c r="C560" s="99" t="s">
        <v>603</v>
      </c>
      <c r="D560" s="100" t="s">
        <v>575</v>
      </c>
      <c r="E560" s="101">
        <v>45882</v>
      </c>
      <c r="F560" s="102">
        <f t="shared" si="23"/>
        <v>0</v>
      </c>
      <c r="G560" s="150">
        <f>SUMIF(积分汇总!$B:$B,C560,积分汇总!$E:$E)</f>
        <v>0</v>
      </c>
      <c r="H560" s="150">
        <f>SUMIF(记录巡查问题条数汇总!$B:$B,C560,记录巡查问题条数汇总!$E:$E)</f>
        <v>0</v>
      </c>
      <c r="I560" s="150"/>
      <c r="J560" s="150">
        <f>SUMIF(安全质量事故!$B:$B,C560,安全质量事故!$G:$G)</f>
        <v>0</v>
      </c>
      <c r="K560" s="141">
        <f>COUNTIF(L560:AP560,标准数据!$A$2)*标准数据!$B$2+COUNTIF(L560:AP560,标准数据!$A$3)*标准数据!$B$3+COUNTIF(L560:AP560,标准数据!$A$4)*标准数据!$B$4</f>
        <v>0</v>
      </c>
      <c r="L560" s="185"/>
      <c r="M560" s="185"/>
      <c r="N560" s="185"/>
      <c r="O560" s="185"/>
      <c r="P560" s="185"/>
      <c r="Q560" s="185"/>
      <c r="R560" s="185"/>
      <c r="S560" s="185"/>
      <c r="T560" s="185"/>
      <c r="U560" s="185"/>
      <c r="V560" s="185"/>
      <c r="W560" s="185"/>
      <c r="X560" s="185"/>
      <c r="Y560" s="185"/>
      <c r="Z560" s="185"/>
      <c r="AA560" s="185"/>
      <c r="AB560" s="185"/>
      <c r="AC560" s="185"/>
      <c r="AD560" s="185"/>
      <c r="AE560" s="185"/>
      <c r="AF560" s="185"/>
      <c r="AG560" s="185"/>
      <c r="AH560" s="185"/>
      <c r="AI560" s="185"/>
      <c r="AJ560" s="185"/>
      <c r="AK560" s="185"/>
      <c r="AL560" s="185"/>
      <c r="AM560" s="185"/>
      <c r="AN560" s="185"/>
      <c r="AO560" s="185"/>
      <c r="AP560" s="185"/>
      <c r="AQ560" s="94"/>
      <c r="AR560" s="94"/>
      <c r="AS560" s="94"/>
      <c r="AT560" s="149" t="s">
        <v>575</v>
      </c>
      <c r="AU560" s="94" t="s">
        <v>1842</v>
      </c>
    </row>
    <row r="561" spans="1:47" ht="21" customHeight="1" x14ac:dyDescent="0.35">
      <c r="A561" s="260"/>
      <c r="B561" s="98" t="s">
        <v>17</v>
      </c>
      <c r="C561" s="99" t="s">
        <v>604</v>
      </c>
      <c r="D561" s="100" t="s">
        <v>576</v>
      </c>
      <c r="E561" s="101">
        <v>45882</v>
      </c>
      <c r="F561" s="102">
        <f t="shared" si="23"/>
        <v>0</v>
      </c>
      <c r="G561" s="150">
        <f>SUMIF(积分汇总!$B:$B,C561,积分汇总!$E:$E)</f>
        <v>0</v>
      </c>
      <c r="H561" s="150">
        <f>SUMIF(记录巡查问题条数汇总!$B:$B,C561,记录巡查问题条数汇总!$E:$E)</f>
        <v>0</v>
      </c>
      <c r="I561" s="150"/>
      <c r="J561" s="150">
        <f>SUMIF(安全质量事故!$B:$B,C561,安全质量事故!$G:$G)</f>
        <v>0</v>
      </c>
      <c r="K561" s="141">
        <f>COUNTIF(L561:AP561,标准数据!$A$2)*标准数据!$B$2+COUNTIF(L561:AP561,标准数据!$A$3)*标准数据!$B$3+COUNTIF(L561:AP561,标准数据!$A$4)*标准数据!$B$4</f>
        <v>0</v>
      </c>
      <c r="L561" s="185"/>
      <c r="M561" s="185"/>
      <c r="N561" s="185"/>
      <c r="O561" s="185"/>
      <c r="P561" s="185"/>
      <c r="Q561" s="185"/>
      <c r="R561" s="185"/>
      <c r="S561" s="185"/>
      <c r="T561" s="185"/>
      <c r="U561" s="185"/>
      <c r="V561" s="185"/>
      <c r="W561" s="185"/>
      <c r="X561" s="185"/>
      <c r="Y561" s="185"/>
      <c r="Z561" s="185"/>
      <c r="AA561" s="185"/>
      <c r="AB561" s="185"/>
      <c r="AC561" s="185"/>
      <c r="AD561" s="185"/>
      <c r="AE561" s="185"/>
      <c r="AF561" s="185"/>
      <c r="AG561" s="185"/>
      <c r="AH561" s="185"/>
      <c r="AI561" s="185"/>
      <c r="AJ561" s="185"/>
      <c r="AK561" s="185"/>
      <c r="AL561" s="185"/>
      <c r="AM561" s="185"/>
      <c r="AN561" s="185"/>
      <c r="AO561" s="185"/>
      <c r="AP561" s="185"/>
      <c r="AQ561" s="94"/>
      <c r="AR561" s="94"/>
      <c r="AS561" s="94"/>
      <c r="AT561" s="149" t="s">
        <v>576</v>
      </c>
      <c r="AU561" s="94" t="s">
        <v>1842</v>
      </c>
    </row>
    <row r="562" spans="1:47" ht="21" customHeight="1" x14ac:dyDescent="0.35">
      <c r="A562" s="260"/>
      <c r="B562" s="98" t="s">
        <v>17</v>
      </c>
      <c r="C562" s="99" t="s">
        <v>692</v>
      </c>
      <c r="D562" s="100" t="s">
        <v>655</v>
      </c>
      <c r="E562" s="101">
        <v>45908</v>
      </c>
      <c r="F562" s="102">
        <f t="shared" si="23"/>
        <v>0</v>
      </c>
      <c r="G562" s="150">
        <f>SUMIF(积分汇总!$B:$B,C562,积分汇总!$E:$E)</f>
        <v>0</v>
      </c>
      <c r="H562" s="150">
        <f>SUMIF(记录巡查问题条数汇总!$B:$B,C562,记录巡查问题条数汇总!$E:$E)</f>
        <v>0</v>
      </c>
      <c r="I562" s="150"/>
      <c r="J562" s="150">
        <f>SUMIF(安全质量事故!$B:$B,C562,安全质量事故!$G:$G)</f>
        <v>0</v>
      </c>
      <c r="K562" s="141">
        <f>COUNTIF(L562:AP562,标准数据!$A$2)*标准数据!$B$2+COUNTIF(L562:AP562,标准数据!$A$3)*标准数据!$B$3+COUNTIF(L562:AP562,标准数据!$A$4)*标准数据!$B$4</f>
        <v>0</v>
      </c>
      <c r="L562" s="185"/>
      <c r="M562" s="185"/>
      <c r="N562" s="185"/>
      <c r="O562" s="185"/>
      <c r="P562" s="185"/>
      <c r="Q562" s="185"/>
      <c r="R562" s="185"/>
      <c r="S562" s="185"/>
      <c r="T562" s="185"/>
      <c r="U562" s="185"/>
      <c r="V562" s="185"/>
      <c r="W562" s="185"/>
      <c r="X562" s="185"/>
      <c r="Y562" s="185"/>
      <c r="Z562" s="185"/>
      <c r="AA562" s="185"/>
      <c r="AB562" s="185"/>
      <c r="AC562" s="185"/>
      <c r="AD562" s="185"/>
      <c r="AE562" s="185"/>
      <c r="AF562" s="185"/>
      <c r="AG562" s="185"/>
      <c r="AH562" s="185"/>
      <c r="AI562" s="185"/>
      <c r="AJ562" s="185"/>
      <c r="AK562" s="185"/>
      <c r="AL562" s="185"/>
      <c r="AM562" s="185"/>
      <c r="AN562" s="185"/>
      <c r="AO562" s="185"/>
      <c r="AP562" s="185"/>
      <c r="AQ562" s="94"/>
      <c r="AR562" s="94"/>
      <c r="AS562" s="94"/>
      <c r="AT562" s="149" t="s">
        <v>655</v>
      </c>
      <c r="AU562" s="94" t="s">
        <v>1844</v>
      </c>
    </row>
    <row r="563" spans="1:47" ht="21" customHeight="1" x14ac:dyDescent="0.35">
      <c r="A563" s="260"/>
      <c r="B563" s="98" t="s">
        <v>17</v>
      </c>
      <c r="C563" s="99" t="s">
        <v>693</v>
      </c>
      <c r="D563" s="100" t="s">
        <v>656</v>
      </c>
      <c r="E563" s="101">
        <v>45910</v>
      </c>
      <c r="F563" s="102">
        <f t="shared" si="23"/>
        <v>0</v>
      </c>
      <c r="G563" s="150">
        <f>SUMIF(积分汇总!$B:$B,C563,积分汇总!$E:$E)</f>
        <v>0</v>
      </c>
      <c r="H563" s="150">
        <f>SUMIF(记录巡查问题条数汇总!$B:$B,C563,记录巡查问题条数汇总!$E:$E)</f>
        <v>0</v>
      </c>
      <c r="I563" s="150"/>
      <c r="J563" s="150">
        <f>SUMIF(安全质量事故!$B:$B,C563,安全质量事故!$G:$G)</f>
        <v>0</v>
      </c>
      <c r="K563" s="141">
        <f>COUNTIF(L563:AP563,标准数据!$A$2)*标准数据!$B$2+COUNTIF(L563:AP563,标准数据!$A$3)*标准数据!$B$3+COUNTIF(L563:AP563,标准数据!$A$4)*标准数据!$B$4</f>
        <v>0</v>
      </c>
      <c r="L563" s="185"/>
      <c r="M563" s="185"/>
      <c r="N563" s="185"/>
      <c r="O563" s="185"/>
      <c r="P563" s="185"/>
      <c r="Q563" s="185"/>
      <c r="R563" s="185"/>
      <c r="S563" s="185"/>
      <c r="T563" s="185"/>
      <c r="U563" s="185"/>
      <c r="V563" s="185"/>
      <c r="W563" s="185"/>
      <c r="X563" s="185"/>
      <c r="Y563" s="185"/>
      <c r="Z563" s="185"/>
      <c r="AA563" s="185"/>
      <c r="AB563" s="185"/>
      <c r="AC563" s="185"/>
      <c r="AD563" s="185"/>
      <c r="AE563" s="185"/>
      <c r="AF563" s="185"/>
      <c r="AG563" s="185"/>
      <c r="AH563" s="185"/>
      <c r="AI563" s="185"/>
      <c r="AJ563" s="185"/>
      <c r="AK563" s="185"/>
      <c r="AL563" s="185"/>
      <c r="AM563" s="185"/>
      <c r="AN563" s="185"/>
      <c r="AO563" s="185"/>
      <c r="AP563" s="185"/>
      <c r="AQ563" s="94"/>
      <c r="AR563" s="94"/>
      <c r="AS563" s="94"/>
      <c r="AT563" s="149" t="s">
        <v>656</v>
      </c>
      <c r="AU563" s="94" t="s">
        <v>1840</v>
      </c>
    </row>
    <row r="564" spans="1:47" ht="21" customHeight="1" x14ac:dyDescent="0.35">
      <c r="A564" s="260"/>
      <c r="B564" s="98" t="s">
        <v>17</v>
      </c>
      <c r="C564" s="99" t="s">
        <v>810</v>
      </c>
      <c r="D564" s="100" t="s">
        <v>774</v>
      </c>
      <c r="E564" s="101">
        <v>45980</v>
      </c>
      <c r="F564" s="102">
        <f t="shared" si="23"/>
        <v>0</v>
      </c>
      <c r="G564" s="150">
        <f>SUMIF(积分汇总!$B:$B,C564,积分汇总!$E:$E)</f>
        <v>0</v>
      </c>
      <c r="H564" s="150">
        <f>SUMIF(记录巡查问题条数汇总!$B:$B,C564,记录巡查问题条数汇总!$E:$E)</f>
        <v>0</v>
      </c>
      <c r="I564" s="150"/>
      <c r="J564" s="150">
        <f>SUMIF(安全质量事故!$B:$B,C564,安全质量事故!$G:$G)</f>
        <v>0</v>
      </c>
      <c r="K564" s="141">
        <f>COUNTIF(L564:AP564,标准数据!$A$2)*标准数据!$B$2+COUNTIF(L564:AP564,标准数据!$A$3)*标准数据!$B$3+COUNTIF(L564:AP564,标准数据!$A$4)*标准数据!$B$4</f>
        <v>0</v>
      </c>
      <c r="L564" s="185"/>
      <c r="M564" s="185"/>
      <c r="N564" s="185"/>
      <c r="O564" s="185"/>
      <c r="P564" s="185"/>
      <c r="Q564" s="185"/>
      <c r="R564" s="185"/>
      <c r="S564" s="185"/>
      <c r="T564" s="185"/>
      <c r="U564" s="185"/>
      <c r="V564" s="185"/>
      <c r="W564" s="185"/>
      <c r="X564" s="185"/>
      <c r="Y564" s="185"/>
      <c r="Z564" s="185"/>
      <c r="AA564" s="185"/>
      <c r="AB564" s="185"/>
      <c r="AC564" s="185"/>
      <c r="AD564" s="185"/>
      <c r="AE564" s="185"/>
      <c r="AF564" s="185"/>
      <c r="AG564" s="185"/>
      <c r="AH564" s="185"/>
      <c r="AI564" s="185"/>
      <c r="AJ564" s="185"/>
      <c r="AK564" s="185"/>
      <c r="AL564" s="185"/>
      <c r="AM564" s="185"/>
      <c r="AN564" s="185"/>
      <c r="AO564" s="185"/>
      <c r="AP564" s="185"/>
      <c r="AQ564" s="94"/>
      <c r="AR564" s="94"/>
      <c r="AS564" s="94"/>
      <c r="AT564" s="149" t="s">
        <v>774</v>
      </c>
      <c r="AU564" s="94" t="s">
        <v>1839</v>
      </c>
    </row>
    <row r="565" spans="1:47" ht="21" customHeight="1" x14ac:dyDescent="0.35">
      <c r="A565" s="260"/>
      <c r="B565" s="98" t="s">
        <v>17</v>
      </c>
      <c r="C565" s="99" t="s">
        <v>704</v>
      </c>
      <c r="D565" s="100" t="s">
        <v>641</v>
      </c>
      <c r="E565" s="101">
        <v>45901</v>
      </c>
      <c r="F565" s="102">
        <f t="shared" si="23"/>
        <v>0</v>
      </c>
      <c r="G565" s="150">
        <f>SUMIF(积分汇总!$B:$B,C565,积分汇总!$E:$E)</f>
        <v>0</v>
      </c>
      <c r="H565" s="150">
        <f>SUMIF(记录巡查问题条数汇总!$B:$B,C565,记录巡查问题条数汇总!$E:$E)</f>
        <v>0</v>
      </c>
      <c r="I565" s="150"/>
      <c r="J565" s="150">
        <f>SUMIF(安全质量事故!$B:$B,C565,安全质量事故!$G:$G)</f>
        <v>0</v>
      </c>
      <c r="K565" s="141">
        <f>COUNTIF(L565:AP565,标准数据!$A$2)*标准数据!$B$2+COUNTIF(L565:AP565,标准数据!$A$3)*标准数据!$B$3+COUNTIF(L565:AP565,标准数据!$A$4)*标准数据!$B$4</f>
        <v>0</v>
      </c>
      <c r="L565" s="185"/>
      <c r="M565" s="185"/>
      <c r="N565" s="185"/>
      <c r="O565" s="185"/>
      <c r="P565" s="185"/>
      <c r="Q565" s="109"/>
      <c r="R565" s="109"/>
      <c r="S565" s="109"/>
      <c r="T565" s="109"/>
      <c r="U565" s="109"/>
      <c r="V565" s="109"/>
      <c r="W565" s="109"/>
      <c r="X565" s="109"/>
      <c r="Y565" s="109"/>
      <c r="Z565" s="109"/>
      <c r="AA565" s="109"/>
      <c r="AB565" s="109"/>
      <c r="AC565" s="109"/>
      <c r="AD565" s="109"/>
      <c r="AE565" s="109"/>
      <c r="AF565" s="109"/>
      <c r="AG565" s="109"/>
      <c r="AH565" s="109"/>
      <c r="AI565" s="109"/>
      <c r="AJ565" s="109"/>
      <c r="AK565" s="109"/>
      <c r="AL565" s="109"/>
      <c r="AM565" s="109"/>
      <c r="AN565" s="109"/>
      <c r="AO565" s="109"/>
      <c r="AP565" s="109"/>
      <c r="AT565" s="149" t="s">
        <v>641</v>
      </c>
      <c r="AU565" s="94" t="s">
        <v>1842</v>
      </c>
    </row>
    <row r="566" spans="1:47" ht="21" customHeight="1" x14ac:dyDescent="0.35">
      <c r="A566" s="260"/>
      <c r="B566" s="98" t="s">
        <v>17</v>
      </c>
      <c r="C566" s="99" t="s">
        <v>945</v>
      </c>
      <c r="D566" s="100" t="s">
        <v>886</v>
      </c>
      <c r="E566" s="101">
        <v>46008</v>
      </c>
      <c r="F566" s="102">
        <f t="shared" si="23"/>
        <v>0</v>
      </c>
      <c r="G566" s="150">
        <f>SUMIF(积分汇总!$B:$B,C566,积分汇总!$E:$E)</f>
        <v>0</v>
      </c>
      <c r="H566" s="150">
        <f>SUMIF(记录巡查问题条数汇总!$B:$B,C566,记录巡查问题条数汇总!$E:$E)</f>
        <v>0</v>
      </c>
      <c r="I566" s="150"/>
      <c r="J566" s="150">
        <f>SUMIF(安全质量事故!$B:$B,C566,安全质量事故!$G:$G)</f>
        <v>0</v>
      </c>
      <c r="K566" s="141">
        <f>COUNTIF(L566:AP566,标准数据!$A$2)*标准数据!$B$2+COUNTIF(L566:AP566,标准数据!$A$3)*标准数据!$B$3+COUNTIF(L566:AP566,标准数据!$A$4)*标准数据!$B$4</f>
        <v>0</v>
      </c>
      <c r="L566" s="109"/>
      <c r="M566" s="109"/>
      <c r="N566" s="109"/>
      <c r="O566" s="109"/>
      <c r="P566" s="109"/>
      <c r="Q566" s="109"/>
      <c r="R566" s="109"/>
      <c r="S566" s="109"/>
      <c r="T566" s="109"/>
      <c r="U566" s="109"/>
      <c r="V566" s="109"/>
      <c r="W566" s="109"/>
      <c r="X566" s="109"/>
      <c r="Y566" s="109"/>
      <c r="Z566" s="109"/>
      <c r="AA566" s="109"/>
      <c r="AB566" s="109"/>
      <c r="AC566" s="109"/>
      <c r="AD566" s="109"/>
      <c r="AE566" s="109"/>
      <c r="AF566" s="109"/>
      <c r="AG566" s="109"/>
      <c r="AH566" s="109"/>
      <c r="AI566" s="109"/>
      <c r="AJ566" s="109"/>
      <c r="AK566" s="109"/>
      <c r="AL566" s="109"/>
      <c r="AM566" s="109"/>
      <c r="AN566" s="109"/>
      <c r="AO566" s="109"/>
      <c r="AP566" s="109"/>
      <c r="AT566" s="149" t="s">
        <v>886</v>
      </c>
      <c r="AU566" s="94" t="s">
        <v>1839</v>
      </c>
    </row>
    <row r="567" spans="1:47" ht="21" customHeight="1" x14ac:dyDescent="0.35">
      <c r="A567" s="260"/>
      <c r="B567" s="98" t="s">
        <v>17</v>
      </c>
      <c r="C567" s="99" t="s">
        <v>1002</v>
      </c>
      <c r="D567" s="100" t="s">
        <v>986</v>
      </c>
      <c r="E567" s="101">
        <v>46013</v>
      </c>
      <c r="F567" s="102">
        <f t="shared" si="23"/>
        <v>0</v>
      </c>
      <c r="G567" s="150">
        <f>SUMIF(积分汇总!$B:$B,C567,积分汇总!$E:$E)</f>
        <v>0</v>
      </c>
      <c r="H567" s="150">
        <f>SUMIF(记录巡查问题条数汇总!$B:$B,C567,记录巡查问题条数汇总!$E:$E)</f>
        <v>0</v>
      </c>
      <c r="I567" s="150"/>
      <c r="J567" s="150">
        <f>SUMIF(安全质量事故!$B:$B,C567,安全质量事故!$G:$G)</f>
        <v>0</v>
      </c>
      <c r="K567" s="141">
        <f>COUNTIF(L567:AP567,标准数据!$A$2)*标准数据!$B$2+COUNTIF(L567:AP567,标准数据!$A$3)*标准数据!$B$3+COUNTIF(L567:AP567,标准数据!$A$4)*标准数据!$B$4</f>
        <v>0</v>
      </c>
      <c r="L567" s="109"/>
      <c r="M567" s="109"/>
      <c r="N567" s="109"/>
      <c r="O567" s="109"/>
      <c r="P567" s="109"/>
      <c r="Q567" s="109"/>
      <c r="R567" s="109"/>
      <c r="S567" s="109"/>
      <c r="T567" s="109"/>
      <c r="U567" s="109"/>
      <c r="V567" s="109"/>
      <c r="W567" s="109"/>
      <c r="X567" s="109"/>
      <c r="Y567" s="109"/>
      <c r="Z567" s="109"/>
      <c r="AA567" s="109"/>
      <c r="AB567" s="109"/>
      <c r="AC567" s="109"/>
      <c r="AD567" s="109"/>
      <c r="AE567" s="109"/>
      <c r="AF567" s="109"/>
      <c r="AG567" s="109"/>
      <c r="AH567" s="109"/>
      <c r="AI567" s="109"/>
      <c r="AJ567" s="109"/>
      <c r="AK567" s="109"/>
      <c r="AL567" s="109"/>
      <c r="AM567" s="109"/>
      <c r="AN567" s="109"/>
      <c r="AO567" s="109"/>
      <c r="AP567" s="109"/>
      <c r="AT567" s="149" t="s">
        <v>986</v>
      </c>
      <c r="AU567" s="94" t="s">
        <v>1840</v>
      </c>
    </row>
    <row r="568" spans="1:47" ht="21" customHeight="1" x14ac:dyDescent="0.35">
      <c r="A568" s="260"/>
      <c r="B568" s="98" t="s">
        <v>17</v>
      </c>
      <c r="C568" s="99" t="s">
        <v>1003</v>
      </c>
      <c r="D568" s="100" t="s">
        <v>987</v>
      </c>
      <c r="E568" s="101">
        <v>46015</v>
      </c>
      <c r="F568" s="102">
        <f t="shared" si="23"/>
        <v>0</v>
      </c>
      <c r="G568" s="150">
        <f>SUMIF(积分汇总!$B:$B,C568,积分汇总!$E:$E)</f>
        <v>0</v>
      </c>
      <c r="H568" s="150">
        <f>SUMIF(记录巡查问题条数汇总!$B:$B,C568,记录巡查问题条数汇总!$E:$E)</f>
        <v>0</v>
      </c>
      <c r="I568" s="150"/>
      <c r="J568" s="150">
        <f>SUMIF(安全质量事故!$B:$B,C568,安全质量事故!$G:$G)</f>
        <v>0</v>
      </c>
      <c r="K568" s="141">
        <f>COUNTIF(L568:AP568,标准数据!$A$2)*标准数据!$B$2+COUNTIF(L568:AP568,标准数据!$A$3)*标准数据!$B$3+COUNTIF(L568:AP568,标准数据!$A$4)*标准数据!$B$4</f>
        <v>0</v>
      </c>
      <c r="L568" s="185"/>
      <c r="M568" s="185"/>
      <c r="N568" s="185"/>
      <c r="O568" s="185"/>
      <c r="P568" s="185"/>
      <c r="Q568" s="109"/>
      <c r="R568" s="109"/>
      <c r="S568" s="109"/>
      <c r="T568" s="109"/>
      <c r="U568" s="109"/>
      <c r="V568" s="109"/>
      <c r="W568" s="109"/>
      <c r="X568" s="109"/>
      <c r="Y568" s="109"/>
      <c r="Z568" s="109"/>
      <c r="AA568" s="109"/>
      <c r="AB568" s="109"/>
      <c r="AC568" s="109"/>
      <c r="AD568" s="109"/>
      <c r="AE568" s="109"/>
      <c r="AF568" s="109"/>
      <c r="AG568" s="109"/>
      <c r="AH568" s="109"/>
      <c r="AI568" s="109"/>
      <c r="AJ568" s="109"/>
      <c r="AK568" s="109"/>
      <c r="AL568" s="109"/>
      <c r="AM568" s="109"/>
      <c r="AN568" s="109"/>
      <c r="AO568" s="109"/>
      <c r="AP568" s="109"/>
      <c r="AT568" s="149" t="s">
        <v>987</v>
      </c>
      <c r="AU568" s="94" t="s">
        <v>1844</v>
      </c>
    </row>
    <row r="569" spans="1:47" ht="21" customHeight="1" x14ac:dyDescent="0.35">
      <c r="A569" s="260"/>
      <c r="B569" s="98" t="s">
        <v>17</v>
      </c>
      <c r="C569" s="99" t="s">
        <v>1015</v>
      </c>
      <c r="D569" s="100" t="s">
        <v>980</v>
      </c>
      <c r="E569" s="101">
        <v>46015</v>
      </c>
      <c r="F569" s="102">
        <f t="shared" si="23"/>
        <v>0</v>
      </c>
      <c r="G569" s="150">
        <f>SUMIF(积分汇总!$B:$B,C569,积分汇总!$E:$E)</f>
        <v>0</v>
      </c>
      <c r="H569" s="150">
        <f>SUMIF(记录巡查问题条数汇总!$B:$B,C569,记录巡查问题条数汇总!$E:$E)</f>
        <v>0</v>
      </c>
      <c r="I569" s="150"/>
      <c r="J569" s="150">
        <f>SUMIF(安全质量事故!$B:$B,C569,安全质量事故!$G:$G)</f>
        <v>0</v>
      </c>
      <c r="K569" s="141">
        <f>COUNTIF(L569:AP569,标准数据!$A$2)*标准数据!$B$2+COUNTIF(L569:AP569,标准数据!$A$3)*标准数据!$B$3+COUNTIF(L569:AP569,标准数据!$A$4)*标准数据!$B$4</f>
        <v>0</v>
      </c>
      <c r="L569" s="185"/>
      <c r="M569" s="185"/>
      <c r="N569" s="185"/>
      <c r="O569" s="185"/>
      <c r="P569" s="185"/>
      <c r="Q569" s="109"/>
      <c r="R569" s="109"/>
      <c r="S569" s="109"/>
      <c r="T569" s="109"/>
      <c r="U569" s="109"/>
      <c r="V569" s="109"/>
      <c r="W569" s="109"/>
      <c r="X569" s="109"/>
      <c r="Y569" s="109"/>
      <c r="Z569" s="109"/>
      <c r="AA569" s="109"/>
      <c r="AB569" s="109"/>
      <c r="AC569" s="109"/>
      <c r="AD569" s="109"/>
      <c r="AE569" s="109"/>
      <c r="AF569" s="109"/>
      <c r="AG569" s="109"/>
      <c r="AH569" s="109"/>
      <c r="AI569" s="109"/>
      <c r="AJ569" s="109"/>
      <c r="AK569" s="109"/>
      <c r="AL569" s="109"/>
      <c r="AM569" s="109"/>
      <c r="AN569" s="109"/>
      <c r="AO569" s="109"/>
      <c r="AP569" s="109"/>
      <c r="AT569" s="149" t="s">
        <v>980</v>
      </c>
      <c r="AU569" s="94" t="s">
        <v>1839</v>
      </c>
    </row>
    <row r="570" spans="1:47" ht="21" customHeight="1" x14ac:dyDescent="0.35">
      <c r="A570" s="260"/>
      <c r="B570" s="98" t="s">
        <v>17</v>
      </c>
      <c r="C570" s="99" t="s">
        <v>601</v>
      </c>
      <c r="D570" s="105" t="s">
        <v>573</v>
      </c>
      <c r="E570" s="101">
        <v>45868</v>
      </c>
      <c r="F570" s="102">
        <f t="shared" si="23"/>
        <v>0</v>
      </c>
      <c r="G570" s="150">
        <f>SUMIF(积分汇总!$B:$B,C570,积分汇总!$E:$E)</f>
        <v>0</v>
      </c>
      <c r="H570" s="150">
        <f>SUMIF(记录巡查问题条数汇总!$B:$B,C570,记录巡查问题条数汇总!$E:$E)</f>
        <v>0</v>
      </c>
      <c r="I570" s="150"/>
      <c r="J570" s="150">
        <f>SUMIF(安全质量事故!$B:$B,C570,安全质量事故!$G:$G)</f>
        <v>0</v>
      </c>
      <c r="K570" s="141">
        <f>COUNTIF(L570:AP570,标准数据!$A$2)*标准数据!$B$2+COUNTIF(L570:AP570,标准数据!$A$3)*标准数据!$B$3+COUNTIF(L570:AP570,标准数据!$A$4)*标准数据!$B$4</f>
        <v>0</v>
      </c>
      <c r="L570" s="185"/>
      <c r="M570" s="185"/>
      <c r="N570" s="185"/>
      <c r="O570" s="185"/>
      <c r="P570" s="185"/>
      <c r="Q570" s="185"/>
      <c r="R570" s="185"/>
      <c r="S570" s="185"/>
      <c r="T570" s="185"/>
      <c r="U570" s="185"/>
      <c r="V570" s="185"/>
      <c r="W570" s="185"/>
      <c r="X570" s="185"/>
      <c r="Y570" s="185"/>
      <c r="Z570" s="185"/>
      <c r="AA570" s="185"/>
      <c r="AB570" s="185"/>
      <c r="AC570" s="185"/>
      <c r="AD570" s="185"/>
      <c r="AE570" s="185"/>
      <c r="AF570" s="185"/>
      <c r="AG570" s="185"/>
      <c r="AH570" s="185"/>
      <c r="AI570" s="185"/>
      <c r="AJ570" s="185"/>
      <c r="AK570" s="185"/>
      <c r="AL570" s="185"/>
      <c r="AM570" s="185"/>
      <c r="AN570" s="185"/>
      <c r="AO570" s="185"/>
      <c r="AP570" s="185"/>
      <c r="AT570" s="149" t="s">
        <v>573</v>
      </c>
      <c r="AU570" s="94" t="s">
        <v>1842</v>
      </c>
    </row>
    <row r="571" spans="1:47" ht="21" customHeight="1" x14ac:dyDescent="0.35">
      <c r="A571" s="260"/>
      <c r="B571" s="98" t="s">
        <v>17</v>
      </c>
      <c r="C571" s="99" t="s">
        <v>908</v>
      </c>
      <c r="D571" s="100" t="s">
        <v>860</v>
      </c>
      <c r="E571" s="101">
        <v>45994</v>
      </c>
      <c r="F571" s="102">
        <f t="shared" si="23"/>
        <v>0</v>
      </c>
      <c r="G571" s="150">
        <f>SUMIF(积分汇总!$B:$B,C571,积分汇总!$E:$E)</f>
        <v>0</v>
      </c>
      <c r="H571" s="150">
        <f>SUMIF(记录巡查问题条数汇总!$B:$B,C571,记录巡查问题条数汇总!$E:$E)</f>
        <v>0</v>
      </c>
      <c r="I571" s="150"/>
      <c r="J571" s="150">
        <f>SUMIF(安全质量事故!$B:$B,C571,安全质量事故!$G:$G)</f>
        <v>0</v>
      </c>
      <c r="K571" s="141">
        <f>COUNTIF(L571:AP571,标准数据!$A$2)*标准数据!$B$2+COUNTIF(L571:AP571,标准数据!$A$3)*标准数据!$B$3+COUNTIF(L571:AP571,标准数据!$A$4)*标准数据!$B$4</f>
        <v>0</v>
      </c>
      <c r="L571" s="185"/>
      <c r="M571" s="185"/>
      <c r="N571" s="185"/>
      <c r="O571" s="185"/>
      <c r="P571" s="185"/>
      <c r="Q571" s="185"/>
      <c r="R571" s="185"/>
      <c r="S571" s="185"/>
      <c r="T571" s="185"/>
      <c r="U571" s="185"/>
      <c r="V571" s="185"/>
      <c r="W571" s="185"/>
      <c r="X571" s="185"/>
      <c r="Y571" s="185"/>
      <c r="Z571" s="185"/>
      <c r="AA571" s="185"/>
      <c r="AB571" s="185"/>
      <c r="AC571" s="185"/>
      <c r="AD571" s="185"/>
      <c r="AE571" s="185"/>
      <c r="AF571" s="185"/>
      <c r="AG571" s="185"/>
      <c r="AH571" s="185"/>
      <c r="AI571" s="185"/>
      <c r="AJ571" s="185"/>
      <c r="AK571" s="185"/>
      <c r="AL571" s="185"/>
      <c r="AM571" s="185"/>
      <c r="AN571" s="185"/>
      <c r="AO571" s="185"/>
      <c r="AP571" s="185"/>
      <c r="AQ571" s="94"/>
      <c r="AR571" s="94"/>
      <c r="AS571" s="94"/>
      <c r="AT571" s="149" t="s">
        <v>860</v>
      </c>
      <c r="AU571" s="94" t="s">
        <v>1842</v>
      </c>
    </row>
    <row r="572" spans="1:47" ht="21" customHeight="1" x14ac:dyDescent="0.35">
      <c r="A572" s="260"/>
      <c r="B572" s="98" t="s">
        <v>17</v>
      </c>
      <c r="C572" s="99" t="s">
        <v>518</v>
      </c>
      <c r="D572" s="100" t="s">
        <v>480</v>
      </c>
      <c r="E572" s="101">
        <v>45847</v>
      </c>
      <c r="F572" s="102">
        <f t="shared" si="23"/>
        <v>0</v>
      </c>
      <c r="G572" s="150">
        <f>SUMIF(积分汇总!$B:$B,C572,积分汇总!$E:$E)</f>
        <v>0</v>
      </c>
      <c r="H572" s="150">
        <f>SUMIF(记录巡查问题条数汇总!$B:$B,C572,记录巡查问题条数汇总!$E:$E)</f>
        <v>0</v>
      </c>
      <c r="I572" s="150"/>
      <c r="J572" s="150">
        <f>SUMIF(安全质量事故!$B:$B,C572,安全质量事故!$G:$G)</f>
        <v>0</v>
      </c>
      <c r="K572" s="141">
        <f>COUNTIF(L572:AP572,标准数据!$A$2)*标准数据!$B$2+COUNTIF(L572:AP572,标准数据!$A$3)*标准数据!$B$3+COUNTIF(L572:AP572,标准数据!$A$4)*标准数据!$B$4</f>
        <v>0</v>
      </c>
      <c r="L572" s="109"/>
      <c r="M572" s="109"/>
      <c r="N572" s="109"/>
      <c r="O572" s="109"/>
      <c r="P572" s="109"/>
      <c r="Q572" s="109"/>
      <c r="R572" s="109"/>
      <c r="S572" s="109"/>
      <c r="T572" s="109"/>
      <c r="U572" s="109"/>
      <c r="V572" s="109"/>
      <c r="W572" s="109"/>
      <c r="X572" s="109"/>
      <c r="Y572" s="109"/>
      <c r="Z572" s="109"/>
      <c r="AA572" s="109"/>
      <c r="AB572" s="109"/>
      <c r="AC572" s="109"/>
      <c r="AD572" s="109"/>
      <c r="AE572" s="109"/>
      <c r="AF572" s="109"/>
      <c r="AG572" s="109"/>
      <c r="AH572" s="109"/>
      <c r="AI572" s="109"/>
      <c r="AJ572" s="109"/>
      <c r="AK572" s="109"/>
      <c r="AL572" s="109"/>
      <c r="AM572" s="109"/>
      <c r="AN572" s="109"/>
      <c r="AO572" s="109"/>
      <c r="AP572" s="109"/>
      <c r="AT572" s="149" t="s">
        <v>480</v>
      </c>
      <c r="AU572" s="94" t="s">
        <v>1842</v>
      </c>
    </row>
    <row r="573" spans="1:47" ht="21" customHeight="1" x14ac:dyDescent="0.35">
      <c r="A573" s="260"/>
      <c r="B573" s="98" t="s">
        <v>17</v>
      </c>
      <c r="C573" s="99" t="s">
        <v>519</v>
      </c>
      <c r="D573" s="100" t="s">
        <v>484</v>
      </c>
      <c r="E573" s="101">
        <v>45847</v>
      </c>
      <c r="F573" s="102">
        <f t="shared" si="23"/>
        <v>0</v>
      </c>
      <c r="G573" s="150">
        <f>SUMIF(积分汇总!$B:$B,C573,积分汇总!$E:$E)</f>
        <v>0</v>
      </c>
      <c r="H573" s="150">
        <f>SUMIF(记录巡查问题条数汇总!$B:$B,C573,记录巡查问题条数汇总!$E:$E)</f>
        <v>0</v>
      </c>
      <c r="I573" s="150"/>
      <c r="J573" s="150">
        <f>SUMIF(安全质量事故!$B:$B,C573,安全质量事故!$G:$G)</f>
        <v>0</v>
      </c>
      <c r="K573" s="141">
        <f>COUNTIF(L573:AP573,标准数据!$A$2)*标准数据!$B$2+COUNTIF(L573:AP573,标准数据!$A$3)*标准数据!$B$3+COUNTIF(L573:AP573,标准数据!$A$4)*标准数据!$B$4</f>
        <v>0</v>
      </c>
      <c r="L573" s="109"/>
      <c r="M573" s="109"/>
      <c r="N573" s="109"/>
      <c r="O573" s="109"/>
      <c r="P573" s="109"/>
      <c r="Q573" s="109"/>
      <c r="R573" s="109"/>
      <c r="S573" s="109"/>
      <c r="T573" s="109"/>
      <c r="U573" s="109"/>
      <c r="V573" s="109"/>
      <c r="W573" s="109"/>
      <c r="X573" s="109"/>
      <c r="Y573" s="109"/>
      <c r="Z573" s="109"/>
      <c r="AA573" s="109"/>
      <c r="AB573" s="109"/>
      <c r="AC573" s="109"/>
      <c r="AD573" s="109"/>
      <c r="AE573" s="109"/>
      <c r="AF573" s="109"/>
      <c r="AG573" s="109"/>
      <c r="AH573" s="109"/>
      <c r="AI573" s="109"/>
      <c r="AJ573" s="109"/>
      <c r="AK573" s="109"/>
      <c r="AL573" s="109"/>
      <c r="AM573" s="109"/>
      <c r="AN573" s="109"/>
      <c r="AO573" s="109"/>
      <c r="AP573" s="109"/>
      <c r="AT573" s="149" t="s">
        <v>484</v>
      </c>
      <c r="AU573" s="94" t="s">
        <v>1842</v>
      </c>
    </row>
    <row r="574" spans="1:47" ht="21" customHeight="1" x14ac:dyDescent="0.35">
      <c r="A574" s="260"/>
      <c r="B574" s="98" t="s">
        <v>95</v>
      </c>
      <c r="C574" s="99" t="s">
        <v>910</v>
      </c>
      <c r="D574" s="105" t="s">
        <v>862</v>
      </c>
      <c r="E574" s="99">
        <v>46001</v>
      </c>
      <c r="F574" s="102">
        <f t="shared" si="23"/>
        <v>0</v>
      </c>
      <c r="G574" s="150">
        <f>SUMIF(积分汇总!$B:$B,C574,积分汇总!$E:$E)</f>
        <v>0</v>
      </c>
      <c r="H574" s="150">
        <f>SUMIF(记录巡查问题条数汇总!$B:$B,C574,记录巡查问题条数汇总!$E:$E)</f>
        <v>0</v>
      </c>
      <c r="I574" s="150"/>
      <c r="J574" s="150">
        <f>SUMIF(安全质量事故!$B:$B,C574,安全质量事故!$G:$G)</f>
        <v>0</v>
      </c>
      <c r="K574" s="141">
        <f>COUNTIF(L574:AP574,标准数据!$A$2)*标准数据!$B$2+COUNTIF(L574:AP574,标准数据!$A$3)*标准数据!$B$3+COUNTIF(L574:AP574,标准数据!$A$4)*标准数据!$B$4</f>
        <v>0</v>
      </c>
      <c r="L574" s="109"/>
      <c r="M574" s="109"/>
      <c r="N574" s="109"/>
      <c r="O574" s="109"/>
      <c r="P574" s="109"/>
      <c r="Q574" s="109"/>
      <c r="R574" s="109"/>
      <c r="S574" s="109"/>
      <c r="T574" s="109"/>
      <c r="U574" s="109"/>
      <c r="V574" s="109"/>
      <c r="W574" s="109"/>
      <c r="X574" s="109"/>
      <c r="Y574" s="109"/>
      <c r="Z574" s="109"/>
      <c r="AA574" s="109"/>
      <c r="AB574" s="109"/>
      <c r="AC574" s="109"/>
      <c r="AD574" s="109"/>
      <c r="AE574" s="109"/>
      <c r="AF574" s="109"/>
      <c r="AG574" s="109"/>
      <c r="AH574" s="109"/>
      <c r="AI574" s="109"/>
      <c r="AJ574" s="109"/>
      <c r="AK574" s="109"/>
      <c r="AL574" s="109"/>
      <c r="AM574" s="109"/>
      <c r="AN574" s="109"/>
      <c r="AO574" s="109"/>
      <c r="AP574" s="109"/>
      <c r="AQ574" s="94"/>
      <c r="AR574" s="94"/>
      <c r="AS574" s="94"/>
      <c r="AT574" s="149" t="s">
        <v>862</v>
      </c>
      <c r="AU574" s="94" t="s">
        <v>1842</v>
      </c>
    </row>
    <row r="575" spans="1:47" ht="21" customHeight="1" x14ac:dyDescent="0.35">
      <c r="A575" s="260"/>
      <c r="B575" s="98" t="s">
        <v>95</v>
      </c>
      <c r="C575" s="99" t="s">
        <v>1370</v>
      </c>
      <c r="D575" s="105" t="s">
        <v>1371</v>
      </c>
      <c r="E575" s="99">
        <v>46113</v>
      </c>
      <c r="F575" s="102">
        <f t="shared" si="23"/>
        <v>0</v>
      </c>
      <c r="G575" s="150">
        <f>SUMIF(积分汇总!$B:$B,C575,积分汇总!$E:$E)</f>
        <v>0</v>
      </c>
      <c r="H575" s="150">
        <f>SUMIF(记录巡查问题条数汇总!$B:$B,C575,记录巡查问题条数汇总!$E:$E)</f>
        <v>0</v>
      </c>
      <c r="I575" s="150"/>
      <c r="J575" s="150">
        <f>SUMIF(安全质量事故!$B:$B,C575,安全质量事故!$G:$G)</f>
        <v>0</v>
      </c>
      <c r="K575" s="141">
        <f>COUNTIF(L575:AP575,标准数据!$A$2)*标准数据!$B$2+COUNTIF(L575:AP575,标准数据!$A$3)*标准数据!$B$3+COUNTIF(L575:AP575,标准数据!$A$4)*标准数据!$B$4</f>
        <v>0</v>
      </c>
      <c r="L575" s="109"/>
      <c r="M575" s="109"/>
      <c r="N575" s="109"/>
      <c r="O575" s="109"/>
      <c r="P575" s="109"/>
      <c r="Q575" s="109"/>
      <c r="R575" s="109"/>
      <c r="S575" s="109"/>
      <c r="T575" s="109"/>
      <c r="U575" s="109"/>
      <c r="V575" s="109"/>
      <c r="W575" s="109"/>
      <c r="X575" s="109"/>
      <c r="Y575" s="109"/>
      <c r="Z575" s="109"/>
      <c r="AA575" s="109"/>
      <c r="AB575" s="109"/>
      <c r="AC575" s="109"/>
      <c r="AD575" s="109"/>
      <c r="AE575" s="109"/>
      <c r="AF575" s="109"/>
      <c r="AG575" s="109"/>
      <c r="AH575" s="109"/>
      <c r="AI575" s="109"/>
      <c r="AJ575" s="109"/>
      <c r="AK575" s="109"/>
      <c r="AL575" s="109"/>
      <c r="AM575" s="109"/>
      <c r="AN575" s="109"/>
      <c r="AO575" s="109"/>
      <c r="AP575" s="109"/>
      <c r="AQ575" s="94"/>
      <c r="AR575" s="94"/>
      <c r="AS575" s="94"/>
      <c r="AT575" s="149" t="s">
        <v>1371</v>
      </c>
      <c r="AU575" s="94" t="s">
        <v>1844</v>
      </c>
    </row>
    <row r="576" spans="1:47" ht="21" customHeight="1" x14ac:dyDescent="0.35">
      <c r="A576" s="260"/>
      <c r="B576" s="98" t="s">
        <v>17</v>
      </c>
      <c r="C576" s="99" t="s">
        <v>1374</v>
      </c>
      <c r="D576" s="100" t="s">
        <v>1375</v>
      </c>
      <c r="E576" s="101">
        <v>46120</v>
      </c>
      <c r="F576" s="102">
        <f t="shared" si="23"/>
        <v>0</v>
      </c>
      <c r="G576" s="150">
        <f>SUMIF(积分汇总!$B:$B,C576,积分汇总!$E:$E)</f>
        <v>0</v>
      </c>
      <c r="H576" s="150">
        <f>SUMIF(记录巡查问题条数汇总!$B:$B,C576,记录巡查问题条数汇总!$E:$E)</f>
        <v>0</v>
      </c>
      <c r="I576" s="150"/>
      <c r="J576" s="150">
        <f>SUMIF(安全质量事故!$B:$B,C576,安全质量事故!$G:$G)</f>
        <v>0</v>
      </c>
      <c r="K576" s="141">
        <f>COUNTIF(L576:AP576,标准数据!$A$2)*标准数据!$B$2+COUNTIF(L576:AP576,标准数据!$A$3)*标准数据!$B$3+COUNTIF(L576:AP576,标准数据!$A$4)*标准数据!$B$4</f>
        <v>0</v>
      </c>
      <c r="L576" s="109"/>
      <c r="M576" s="109"/>
      <c r="N576" s="109"/>
      <c r="O576" s="109"/>
      <c r="P576" s="109"/>
      <c r="Q576" s="109"/>
      <c r="R576" s="109"/>
      <c r="S576" s="109"/>
      <c r="T576" s="109"/>
      <c r="U576" s="109"/>
      <c r="V576" s="109"/>
      <c r="W576" s="109"/>
      <c r="X576" s="109"/>
      <c r="Y576" s="109"/>
      <c r="Z576" s="109"/>
      <c r="AA576" s="109"/>
      <c r="AB576" s="109"/>
      <c r="AC576" s="109"/>
      <c r="AD576" s="109"/>
      <c r="AE576" s="109"/>
      <c r="AF576" s="109"/>
      <c r="AG576" s="109"/>
      <c r="AH576" s="109"/>
      <c r="AI576" s="109"/>
      <c r="AJ576" s="109"/>
      <c r="AK576" s="109"/>
      <c r="AL576" s="109"/>
      <c r="AM576" s="109"/>
      <c r="AN576" s="109"/>
      <c r="AO576" s="109"/>
      <c r="AP576" s="109"/>
      <c r="AQ576" s="94"/>
      <c r="AR576" s="94"/>
      <c r="AS576" s="94"/>
      <c r="AT576" s="149" t="s">
        <v>1375</v>
      </c>
      <c r="AU576" s="94" t="s">
        <v>1839</v>
      </c>
    </row>
    <row r="577" spans="1:47" ht="21" customHeight="1" x14ac:dyDescent="0.35">
      <c r="A577" s="260"/>
      <c r="B577" s="98" t="s">
        <v>17</v>
      </c>
      <c r="C577" s="99" t="s">
        <v>1376</v>
      </c>
      <c r="D577" s="105" t="s">
        <v>1377</v>
      </c>
      <c r="E577" s="99">
        <v>46125</v>
      </c>
      <c r="F577" s="102">
        <f t="shared" si="23"/>
        <v>0</v>
      </c>
      <c r="G577" s="150">
        <f>SUMIF(积分汇总!$B:$B,C577,积分汇总!$E:$E)</f>
        <v>0</v>
      </c>
      <c r="H577" s="150">
        <f>SUMIF(记录巡查问题条数汇总!$B:$B,C577,记录巡查问题条数汇总!$E:$E)</f>
        <v>0</v>
      </c>
      <c r="I577" s="150"/>
      <c r="J577" s="150">
        <f>SUMIF(安全质量事故!$B:$B,C577,安全质量事故!$G:$G)</f>
        <v>0</v>
      </c>
      <c r="K577" s="141">
        <f>COUNTIF(L577:AP577,标准数据!$A$2)*标准数据!$B$2+COUNTIF(L577:AP577,标准数据!$A$3)*标准数据!$B$3+COUNTIF(L577:AP577,标准数据!$A$4)*标准数据!$B$4</f>
        <v>0</v>
      </c>
      <c r="L577" s="109"/>
      <c r="M577" s="109"/>
      <c r="N577" s="109"/>
      <c r="O577" s="109"/>
      <c r="P577" s="109"/>
      <c r="Q577" s="109"/>
      <c r="R577" s="109"/>
      <c r="S577" s="109"/>
      <c r="T577" s="109"/>
      <c r="U577" s="109"/>
      <c r="V577" s="109"/>
      <c r="W577" s="109"/>
      <c r="X577" s="109"/>
      <c r="Y577" s="109"/>
      <c r="Z577" s="109"/>
      <c r="AA577" s="109"/>
      <c r="AB577" s="109"/>
      <c r="AC577" s="109"/>
      <c r="AD577" s="109"/>
      <c r="AE577" s="109"/>
      <c r="AF577" s="109"/>
      <c r="AG577" s="109"/>
      <c r="AH577" s="109"/>
      <c r="AI577" s="109"/>
      <c r="AJ577" s="109"/>
      <c r="AK577" s="109"/>
      <c r="AL577" s="109"/>
      <c r="AM577" s="109"/>
      <c r="AN577" s="109"/>
      <c r="AO577" s="109"/>
      <c r="AP577" s="109"/>
      <c r="AQ577" s="94"/>
      <c r="AR577" s="94"/>
      <c r="AS577" s="94"/>
      <c r="AT577" s="149" t="s">
        <v>1377</v>
      </c>
      <c r="AU577" s="94" t="s">
        <v>1839</v>
      </c>
    </row>
    <row r="578" spans="1:47" ht="21" customHeight="1" x14ac:dyDescent="0.35">
      <c r="A578" s="260"/>
      <c r="B578" s="98" t="s">
        <v>17</v>
      </c>
      <c r="C578" s="99" t="s">
        <v>1378</v>
      </c>
      <c r="D578" s="105" t="s">
        <v>1379</v>
      </c>
      <c r="E578" s="101">
        <v>46127</v>
      </c>
      <c r="F578" s="102">
        <f t="shared" si="23"/>
        <v>0</v>
      </c>
      <c r="G578" s="150">
        <f>SUMIF(积分汇总!$B:$B,C578,积分汇总!$E:$E)</f>
        <v>0</v>
      </c>
      <c r="H578" s="150">
        <f>SUMIF(记录巡查问题条数汇总!$B:$B,C578,记录巡查问题条数汇总!$E:$E)</f>
        <v>0</v>
      </c>
      <c r="I578" s="150"/>
      <c r="J578" s="150">
        <f>SUMIF(安全质量事故!$B:$B,C578,安全质量事故!$G:$G)</f>
        <v>0</v>
      </c>
      <c r="K578" s="141">
        <f>COUNTIF(L578:AP578,标准数据!$A$2)*标准数据!$B$2+COUNTIF(L578:AP578,标准数据!$A$3)*标准数据!$B$3+COUNTIF(L578:AP578,标准数据!$A$4)*标准数据!$B$4</f>
        <v>0</v>
      </c>
      <c r="L578" s="109"/>
      <c r="M578" s="109"/>
      <c r="N578" s="109"/>
      <c r="O578" s="109"/>
      <c r="P578" s="109"/>
      <c r="Q578" s="109"/>
      <c r="R578" s="109"/>
      <c r="S578" s="109"/>
      <c r="T578" s="109"/>
      <c r="U578" s="109"/>
      <c r="V578" s="109"/>
      <c r="W578" s="109"/>
      <c r="X578" s="109"/>
      <c r="Y578" s="109"/>
      <c r="Z578" s="185"/>
      <c r="AA578" s="185"/>
      <c r="AB578" s="185"/>
      <c r="AC578" s="185"/>
      <c r="AD578" s="185"/>
      <c r="AE578" s="185"/>
      <c r="AF578" s="185"/>
      <c r="AG578" s="185"/>
      <c r="AH578" s="185"/>
      <c r="AI578" s="185"/>
      <c r="AJ578" s="185"/>
      <c r="AK578" s="185"/>
      <c r="AL578" s="185"/>
      <c r="AM578" s="185"/>
      <c r="AN578" s="185"/>
      <c r="AO578" s="185"/>
      <c r="AP578" s="185"/>
      <c r="AT578" s="149" t="s">
        <v>1379</v>
      </c>
      <c r="AU578" s="94" t="s">
        <v>1839</v>
      </c>
    </row>
    <row r="579" spans="1:47" ht="21" customHeight="1" x14ac:dyDescent="0.35">
      <c r="A579" s="260"/>
      <c r="B579" s="98" t="s">
        <v>17</v>
      </c>
      <c r="C579" s="99" t="s">
        <v>1380</v>
      </c>
      <c r="D579" s="105" t="s">
        <v>1381</v>
      </c>
      <c r="E579" s="99">
        <v>46127</v>
      </c>
      <c r="F579" s="102">
        <f t="shared" si="23"/>
        <v>0</v>
      </c>
      <c r="G579" s="150">
        <f>SUMIF(积分汇总!$B:$B,C579,积分汇总!$E:$E)</f>
        <v>0</v>
      </c>
      <c r="H579" s="150">
        <f>SUMIF(记录巡查问题条数汇总!$B:$B,C579,记录巡查问题条数汇总!$E:$E)</f>
        <v>0</v>
      </c>
      <c r="I579" s="150"/>
      <c r="J579" s="150">
        <f>SUMIF(安全质量事故!$B:$B,C579,安全质量事故!$G:$G)</f>
        <v>0</v>
      </c>
      <c r="K579" s="141">
        <f>COUNTIF(L579:AP579,标准数据!$A$2)*标准数据!$B$2+COUNTIF(L579:AP579,标准数据!$A$3)*标准数据!$B$3+COUNTIF(L579:AP579,标准数据!$A$4)*标准数据!$B$4</f>
        <v>0</v>
      </c>
      <c r="L579" s="109"/>
      <c r="M579" s="109"/>
      <c r="N579" s="109"/>
      <c r="O579" s="109"/>
      <c r="P579" s="109"/>
      <c r="Q579" s="109"/>
      <c r="R579" s="109"/>
      <c r="S579" s="109"/>
      <c r="T579" s="109"/>
      <c r="U579" s="109"/>
      <c r="V579" s="109"/>
      <c r="W579" s="109"/>
      <c r="X579" s="109"/>
      <c r="Y579" s="109"/>
      <c r="Z579" s="109"/>
      <c r="AA579" s="109"/>
      <c r="AB579" s="109"/>
      <c r="AC579" s="109"/>
      <c r="AD579" s="109"/>
      <c r="AE579" s="109"/>
      <c r="AF579" s="109"/>
      <c r="AG579" s="109"/>
      <c r="AH579" s="109"/>
      <c r="AI579" s="109"/>
      <c r="AJ579" s="109"/>
      <c r="AK579" s="109"/>
      <c r="AL579" s="109"/>
      <c r="AM579" s="109"/>
      <c r="AN579" s="109"/>
      <c r="AO579" s="109"/>
      <c r="AP579" s="109"/>
      <c r="AQ579" s="94"/>
      <c r="AR579" s="94"/>
      <c r="AS579" s="94"/>
      <c r="AT579" s="149" t="s">
        <v>1381</v>
      </c>
      <c r="AU579" s="94" t="s">
        <v>1839</v>
      </c>
    </row>
    <row r="580" spans="1:47" ht="21" customHeight="1" x14ac:dyDescent="0.35">
      <c r="A580" s="260"/>
      <c r="B580" s="98" t="s">
        <v>17</v>
      </c>
      <c r="C580" s="99" t="s">
        <v>1382</v>
      </c>
      <c r="D580" s="100" t="s">
        <v>1383</v>
      </c>
      <c r="E580" s="101">
        <v>46113</v>
      </c>
      <c r="F580" s="102">
        <f t="shared" si="23"/>
        <v>0</v>
      </c>
      <c r="G580" s="150">
        <f>SUMIF(积分汇总!$B:$B,C580,积分汇总!$E:$E)</f>
        <v>0</v>
      </c>
      <c r="H580" s="150">
        <f>SUMIF(记录巡查问题条数汇总!$B:$B,C580,记录巡查问题条数汇总!$E:$E)</f>
        <v>0</v>
      </c>
      <c r="I580" s="150"/>
      <c r="J580" s="150">
        <f>SUMIF(安全质量事故!$B:$B,C580,安全质量事故!$G:$G)</f>
        <v>0</v>
      </c>
      <c r="K580" s="141">
        <f>COUNTIF(L580:AP580,标准数据!$A$2)*标准数据!$B$2+COUNTIF(L580:AP580,标准数据!$A$3)*标准数据!$B$3+COUNTIF(L580:AP580,标准数据!$A$4)*标准数据!$B$4</f>
        <v>0</v>
      </c>
      <c r="L580" s="185"/>
      <c r="M580" s="185"/>
      <c r="N580" s="185"/>
      <c r="O580" s="185"/>
      <c r="P580" s="185"/>
      <c r="Q580" s="185"/>
      <c r="R580" s="185"/>
      <c r="S580" s="185"/>
      <c r="T580" s="185"/>
      <c r="U580" s="185"/>
      <c r="V580" s="185"/>
      <c r="W580" s="185"/>
      <c r="X580" s="185"/>
      <c r="Y580" s="185"/>
      <c r="Z580" s="185"/>
      <c r="AA580" s="185"/>
      <c r="AB580" s="185"/>
      <c r="AC580" s="185"/>
      <c r="AD580" s="185"/>
      <c r="AE580" s="185"/>
      <c r="AF580" s="185"/>
      <c r="AG580" s="185"/>
      <c r="AH580" s="185"/>
      <c r="AI580" s="185"/>
      <c r="AJ580" s="185"/>
      <c r="AK580" s="185"/>
      <c r="AL580" s="185"/>
      <c r="AM580" s="185"/>
      <c r="AN580" s="185"/>
      <c r="AO580" s="185"/>
      <c r="AP580" s="185"/>
      <c r="AQ580" s="94"/>
      <c r="AR580" s="94"/>
      <c r="AS580" s="94"/>
      <c r="AT580" s="149" t="s">
        <v>1383</v>
      </c>
      <c r="AU580" s="94" t="s">
        <v>1839</v>
      </c>
    </row>
    <row r="581" spans="1:47" ht="21" customHeight="1" x14ac:dyDescent="0.35">
      <c r="A581" s="260"/>
      <c r="B581" s="98" t="s">
        <v>17</v>
      </c>
      <c r="C581" s="99" t="s">
        <v>1384</v>
      </c>
      <c r="D581" s="100" t="s">
        <v>1385</v>
      </c>
      <c r="E581" s="101">
        <v>46120</v>
      </c>
      <c r="F581" s="102">
        <f t="shared" si="23"/>
        <v>0</v>
      </c>
      <c r="G581" s="150">
        <f>SUMIF(积分汇总!$B:$B,C581,积分汇总!$E:$E)</f>
        <v>0</v>
      </c>
      <c r="H581" s="150">
        <f>SUMIF(记录巡查问题条数汇总!$B:$B,C581,记录巡查问题条数汇总!$E:$E)</f>
        <v>0</v>
      </c>
      <c r="I581" s="150"/>
      <c r="J581" s="150">
        <f>SUMIF(安全质量事故!$B:$B,C581,安全质量事故!$G:$G)</f>
        <v>0</v>
      </c>
      <c r="K581" s="141">
        <f>COUNTIF(L581:AP581,标准数据!$A$2)*标准数据!$B$2+COUNTIF(L581:AP581,标准数据!$A$3)*标准数据!$B$3+COUNTIF(L581:AP581,标准数据!$A$4)*标准数据!$B$4</f>
        <v>0</v>
      </c>
      <c r="L581" s="109"/>
      <c r="M581" s="109"/>
      <c r="N581" s="109"/>
      <c r="O581" s="109"/>
      <c r="P581" s="109"/>
      <c r="Q581" s="109"/>
      <c r="R581" s="109"/>
      <c r="S581" s="109"/>
      <c r="T581" s="109"/>
      <c r="U581" s="109"/>
      <c r="V581" s="109"/>
      <c r="W581" s="109"/>
      <c r="X581" s="109"/>
      <c r="Y581" s="109"/>
      <c r="Z581" s="109"/>
      <c r="AA581" s="109"/>
      <c r="AB581" s="109"/>
      <c r="AC581" s="109"/>
      <c r="AD581" s="109"/>
      <c r="AE581" s="109"/>
      <c r="AF581" s="109"/>
      <c r="AG581" s="109"/>
      <c r="AH581" s="109"/>
      <c r="AI581" s="109"/>
      <c r="AJ581" s="109"/>
      <c r="AK581" s="109"/>
      <c r="AL581" s="109"/>
      <c r="AM581" s="109"/>
      <c r="AN581" s="109"/>
      <c r="AO581" s="109"/>
      <c r="AP581" s="109"/>
      <c r="AT581" s="149" t="s">
        <v>1385</v>
      </c>
      <c r="AU581" s="94" t="s">
        <v>1839</v>
      </c>
    </row>
    <row r="582" spans="1:47" ht="21" customHeight="1" x14ac:dyDescent="0.35">
      <c r="A582" s="260"/>
      <c r="B582" s="98" t="s">
        <v>17</v>
      </c>
      <c r="C582" s="99" t="s">
        <v>1386</v>
      </c>
      <c r="D582" s="100" t="s">
        <v>1387</v>
      </c>
      <c r="E582" s="101">
        <v>46127</v>
      </c>
      <c r="F582" s="102">
        <f t="shared" si="23"/>
        <v>0</v>
      </c>
      <c r="G582" s="150">
        <f>SUMIF(积分汇总!$B:$B,C582,积分汇总!$E:$E)</f>
        <v>0</v>
      </c>
      <c r="H582" s="150">
        <f>SUMIF(记录巡查问题条数汇总!$B:$B,C582,记录巡查问题条数汇总!$E:$E)</f>
        <v>0</v>
      </c>
      <c r="I582" s="150"/>
      <c r="J582" s="150">
        <f>SUMIF(安全质量事故!$B:$B,C582,安全质量事故!$G:$G)</f>
        <v>0</v>
      </c>
      <c r="K582" s="141">
        <f>COUNTIF(L582:AP582,标准数据!$A$2)*标准数据!$B$2+COUNTIF(L582:AP582,标准数据!$A$3)*标准数据!$B$3+COUNTIF(L582:AP582,标准数据!$A$4)*标准数据!$B$4</f>
        <v>0</v>
      </c>
      <c r="L582" s="109"/>
      <c r="M582" s="109"/>
      <c r="N582" s="109"/>
      <c r="O582" s="109"/>
      <c r="P582" s="109"/>
      <c r="Q582" s="109"/>
      <c r="R582" s="109"/>
      <c r="S582" s="109"/>
      <c r="T582" s="109"/>
      <c r="U582" s="109"/>
      <c r="V582" s="109"/>
      <c r="W582" s="109"/>
      <c r="X582" s="109"/>
      <c r="Y582" s="109"/>
      <c r="Z582" s="109"/>
      <c r="AA582" s="109"/>
      <c r="AB582" s="109"/>
      <c r="AC582" s="109"/>
      <c r="AD582" s="109"/>
      <c r="AE582" s="109"/>
      <c r="AF582" s="109"/>
      <c r="AG582" s="109"/>
      <c r="AH582" s="109"/>
      <c r="AI582" s="109"/>
      <c r="AJ582" s="109"/>
      <c r="AK582" s="109"/>
      <c r="AL582" s="109"/>
      <c r="AM582" s="109"/>
      <c r="AN582" s="109"/>
      <c r="AO582" s="109"/>
      <c r="AP582" s="109"/>
      <c r="AT582" s="149" t="s">
        <v>1387</v>
      </c>
      <c r="AU582" s="94" t="s">
        <v>1839</v>
      </c>
    </row>
    <row r="583" spans="1:47" ht="21" customHeight="1" x14ac:dyDescent="0.35">
      <c r="A583" s="260"/>
      <c r="B583" s="98" t="s">
        <v>95</v>
      </c>
      <c r="C583" s="99" t="s">
        <v>1388</v>
      </c>
      <c r="D583" s="105" t="s">
        <v>1389</v>
      </c>
      <c r="E583" s="99">
        <v>46127</v>
      </c>
      <c r="F583" s="102">
        <f t="shared" si="23"/>
        <v>0</v>
      </c>
      <c r="G583" s="150">
        <f>SUMIF(积分汇总!$B:$B,C583,积分汇总!$E:$E)</f>
        <v>0</v>
      </c>
      <c r="H583" s="150">
        <f>SUMIF(记录巡查问题条数汇总!$B:$B,C583,记录巡查问题条数汇总!$E:$E)</f>
        <v>0</v>
      </c>
      <c r="I583" s="150"/>
      <c r="J583" s="150">
        <f>SUMIF(安全质量事故!$B:$B,C583,安全质量事故!$G:$G)</f>
        <v>0</v>
      </c>
      <c r="K583" s="141">
        <f>COUNTIF(L583:AP583,标准数据!$A$2)*标准数据!$B$2+COUNTIF(L583:AP583,标准数据!$A$3)*标准数据!$B$3+COUNTIF(L583:AP583,标准数据!$A$4)*标准数据!$B$4</f>
        <v>0</v>
      </c>
      <c r="L583" s="109"/>
      <c r="M583" s="109"/>
      <c r="N583" s="109"/>
      <c r="O583" s="109"/>
      <c r="P583" s="109"/>
      <c r="Q583" s="109"/>
      <c r="R583" s="109"/>
      <c r="S583" s="109"/>
      <c r="T583" s="109"/>
      <c r="U583" s="109"/>
      <c r="V583" s="109"/>
      <c r="W583" s="109"/>
      <c r="X583" s="109"/>
      <c r="Y583" s="109"/>
      <c r="Z583" s="109"/>
      <c r="AA583" s="109"/>
      <c r="AB583" s="109"/>
      <c r="AC583" s="109"/>
      <c r="AD583" s="109"/>
      <c r="AE583" s="109"/>
      <c r="AF583" s="109"/>
      <c r="AG583" s="109"/>
      <c r="AH583" s="109"/>
      <c r="AI583" s="109"/>
      <c r="AJ583" s="109"/>
      <c r="AK583" s="109"/>
      <c r="AL583" s="109"/>
      <c r="AM583" s="109"/>
      <c r="AN583" s="109"/>
      <c r="AO583" s="109"/>
      <c r="AP583" s="109"/>
      <c r="AQ583" s="94"/>
      <c r="AR583" s="94"/>
      <c r="AS583" s="94"/>
      <c r="AT583" s="149" t="s">
        <v>1389</v>
      </c>
      <c r="AU583" s="94" t="s">
        <v>1839</v>
      </c>
    </row>
    <row r="584" spans="1:47" ht="21" customHeight="1" x14ac:dyDescent="0.35">
      <c r="A584" s="260"/>
      <c r="B584" s="98" t="s">
        <v>95</v>
      </c>
      <c r="C584" s="99" t="s">
        <v>1390</v>
      </c>
      <c r="D584" s="105" t="s">
        <v>1391</v>
      </c>
      <c r="E584" s="99">
        <v>46127</v>
      </c>
      <c r="F584" s="102">
        <f t="shared" si="23"/>
        <v>0</v>
      </c>
      <c r="G584" s="150">
        <f>SUMIF(积分汇总!$B:$B,C584,积分汇总!$E:$E)</f>
        <v>0</v>
      </c>
      <c r="H584" s="150">
        <f>SUMIF(记录巡查问题条数汇总!$B:$B,C584,记录巡查问题条数汇总!$E:$E)</f>
        <v>0</v>
      </c>
      <c r="I584" s="150"/>
      <c r="J584" s="150">
        <f>SUMIF(安全质量事故!$B:$B,C584,安全质量事故!$G:$G)</f>
        <v>0</v>
      </c>
      <c r="K584" s="141">
        <f>COUNTIF(L584:AP584,标准数据!$A$2)*标准数据!$B$2+COUNTIF(L584:AP584,标准数据!$A$3)*标准数据!$B$3+COUNTIF(L584:AP584,标准数据!$A$4)*标准数据!$B$4</f>
        <v>0</v>
      </c>
      <c r="L584" s="109"/>
      <c r="M584" s="109"/>
      <c r="N584" s="109"/>
      <c r="O584" s="109"/>
      <c r="P584" s="109"/>
      <c r="Q584" s="109"/>
      <c r="R584" s="109"/>
      <c r="S584" s="109"/>
      <c r="T584" s="109"/>
      <c r="U584" s="109"/>
      <c r="V584" s="109"/>
      <c r="W584" s="109"/>
      <c r="X584" s="109"/>
      <c r="Y584" s="109"/>
      <c r="Z584" s="109"/>
      <c r="AA584" s="109"/>
      <c r="AB584" s="109"/>
      <c r="AC584" s="109"/>
      <c r="AD584" s="109"/>
      <c r="AE584" s="109"/>
      <c r="AF584" s="109"/>
      <c r="AG584" s="109"/>
      <c r="AH584" s="109"/>
      <c r="AI584" s="109"/>
      <c r="AJ584" s="109"/>
      <c r="AK584" s="109"/>
      <c r="AL584" s="109"/>
      <c r="AM584" s="109"/>
      <c r="AN584" s="109"/>
      <c r="AO584" s="109"/>
      <c r="AP584" s="109"/>
      <c r="AQ584" s="94"/>
      <c r="AR584" s="94"/>
      <c r="AS584" s="94"/>
      <c r="AT584" s="149" t="s">
        <v>1391</v>
      </c>
      <c r="AU584" s="94" t="s">
        <v>1839</v>
      </c>
    </row>
    <row r="585" spans="1:47" ht="21" customHeight="1" x14ac:dyDescent="0.35">
      <c r="A585" s="260"/>
      <c r="B585" s="98" t="s">
        <v>17</v>
      </c>
      <c r="C585" s="99" t="s">
        <v>1348</v>
      </c>
      <c r="D585" s="105" t="s">
        <v>1349</v>
      </c>
      <c r="E585" s="99">
        <v>46125</v>
      </c>
      <c r="F585" s="102">
        <f t="shared" si="23"/>
        <v>0</v>
      </c>
      <c r="G585" s="150">
        <f>SUMIF(积分汇总!$B:$B,C585,积分汇总!$E:$E)</f>
        <v>0</v>
      </c>
      <c r="H585" s="150">
        <f>SUMIF(记录巡查问题条数汇总!$B:$B,C585,记录巡查问题条数汇总!$E:$E)</f>
        <v>0</v>
      </c>
      <c r="I585" s="150"/>
      <c r="J585" s="150">
        <f>SUMIF(安全质量事故!$B:$B,C585,安全质量事故!$G:$G)</f>
        <v>0</v>
      </c>
      <c r="K585" s="141">
        <f>COUNTIF(L585:AP585,标准数据!$A$2)*标准数据!$B$2+COUNTIF(L585:AP585,标准数据!$A$3)*标准数据!$B$3+COUNTIF(L585:AP585,标准数据!$A$4)*标准数据!$B$4</f>
        <v>0</v>
      </c>
      <c r="L585" s="183"/>
      <c r="M585" s="183"/>
      <c r="N585" s="183"/>
      <c r="O585" s="183"/>
      <c r="P585" s="183"/>
      <c r="Q585" s="183"/>
      <c r="R585" s="183"/>
      <c r="S585" s="183"/>
      <c r="T585" s="183"/>
      <c r="U585" s="183"/>
      <c r="V585" s="183"/>
      <c r="W585" s="183"/>
      <c r="X585" s="183"/>
      <c r="Y585" s="183"/>
      <c r="Z585" s="183"/>
      <c r="AA585" s="183"/>
      <c r="AB585" s="183"/>
      <c r="AC585" s="183"/>
      <c r="AD585" s="183"/>
      <c r="AE585" s="183"/>
      <c r="AF585" s="183"/>
      <c r="AG585" s="183"/>
      <c r="AH585" s="183"/>
      <c r="AI585" s="183"/>
      <c r="AJ585" s="183"/>
      <c r="AK585" s="183"/>
      <c r="AL585" s="183"/>
      <c r="AM585" s="183"/>
      <c r="AN585" s="183"/>
      <c r="AO585" s="183"/>
      <c r="AP585" s="183"/>
      <c r="AT585" s="149" t="s">
        <v>1349</v>
      </c>
      <c r="AU585" s="94" t="s">
        <v>1845</v>
      </c>
    </row>
    <row r="586" spans="1:47" ht="21" customHeight="1" x14ac:dyDescent="0.35">
      <c r="A586" s="260"/>
      <c r="B586" s="98" t="s">
        <v>95</v>
      </c>
      <c r="C586" s="99" t="s">
        <v>921</v>
      </c>
      <c r="D586" s="105" t="s">
        <v>878</v>
      </c>
      <c r="E586" s="99">
        <v>45469</v>
      </c>
      <c r="F586" s="102">
        <f t="shared" si="23"/>
        <v>0</v>
      </c>
      <c r="G586" s="150">
        <f>SUMIF(积分汇总!$B:$B,C586,积分汇总!$E:$E)</f>
        <v>0</v>
      </c>
      <c r="H586" s="150">
        <f>SUMIF(记录巡查问题条数汇总!$B:$B,C586,记录巡查问题条数汇总!$E:$E)</f>
        <v>0</v>
      </c>
      <c r="I586" s="150"/>
      <c r="J586" s="150">
        <f>SUMIF(安全质量事故!$B:$B,C586,安全质量事故!$G:$G)</f>
        <v>0</v>
      </c>
      <c r="K586" s="141">
        <f>COUNTIF(L586:AP586,标准数据!$A$2)*标准数据!$B$2+COUNTIF(L586:AP586,标准数据!$A$3)*标准数据!$B$3+COUNTIF(L586:AP586,标准数据!$A$4)*标准数据!$B$4</f>
        <v>0</v>
      </c>
      <c r="L586" s="109"/>
      <c r="M586" s="109"/>
      <c r="N586" s="109"/>
      <c r="O586" s="109"/>
      <c r="P586" s="109"/>
      <c r="Q586" s="109"/>
      <c r="R586" s="109"/>
      <c r="S586" s="109"/>
      <c r="T586" s="109"/>
      <c r="U586" s="109"/>
      <c r="V586" s="109"/>
      <c r="W586" s="109"/>
      <c r="X586" s="109"/>
      <c r="Y586" s="109"/>
      <c r="Z586" s="109"/>
      <c r="AA586" s="109"/>
      <c r="AB586" s="109"/>
      <c r="AC586" s="109"/>
      <c r="AD586" s="109"/>
      <c r="AE586" s="109"/>
      <c r="AF586" s="109"/>
      <c r="AG586" s="109"/>
      <c r="AH586" s="109"/>
      <c r="AI586" s="109"/>
      <c r="AJ586" s="109"/>
      <c r="AK586" s="109"/>
      <c r="AL586" s="109"/>
      <c r="AM586" s="109"/>
      <c r="AN586" s="109"/>
      <c r="AO586" s="109"/>
      <c r="AP586" s="109"/>
      <c r="AQ586" s="94"/>
      <c r="AR586" s="94"/>
      <c r="AS586" s="94"/>
      <c r="AT586" s="149" t="s">
        <v>878</v>
      </c>
      <c r="AU586" s="94" t="s">
        <v>1842</v>
      </c>
    </row>
    <row r="587" spans="1:47" ht="21" customHeight="1" x14ac:dyDescent="0.35">
      <c r="A587" s="260"/>
      <c r="B587" s="98" t="s">
        <v>95</v>
      </c>
      <c r="C587" s="99" t="s">
        <v>922</v>
      </c>
      <c r="D587" s="105" t="s">
        <v>879</v>
      </c>
      <c r="E587" s="99">
        <v>45889</v>
      </c>
      <c r="F587" s="102">
        <f t="shared" si="23"/>
        <v>0</v>
      </c>
      <c r="G587" s="150">
        <f>SUMIF(积分汇总!$B:$B,C587,积分汇总!$E:$E)</f>
        <v>0</v>
      </c>
      <c r="H587" s="150">
        <f>SUMIF(记录巡查问题条数汇总!$B:$B,C587,记录巡查问题条数汇总!$E:$E)</f>
        <v>0</v>
      </c>
      <c r="I587" s="150"/>
      <c r="J587" s="150">
        <f>SUMIF(安全质量事故!$B:$B,C587,安全质量事故!$G:$G)</f>
        <v>0</v>
      </c>
      <c r="K587" s="141">
        <f>COUNTIF(L587:AP587,标准数据!$A$2)*标准数据!$B$2+COUNTIF(L587:AP587,标准数据!$A$3)*标准数据!$B$3+COUNTIF(L587:AP587,标准数据!$A$4)*标准数据!$B$4</f>
        <v>0</v>
      </c>
      <c r="L587" s="109"/>
      <c r="M587" s="109"/>
      <c r="N587" s="109"/>
      <c r="O587" s="109"/>
      <c r="P587" s="109"/>
      <c r="Q587" s="109"/>
      <c r="R587" s="109"/>
      <c r="S587" s="109"/>
      <c r="T587" s="109"/>
      <c r="U587" s="109"/>
      <c r="V587" s="109"/>
      <c r="W587" s="109"/>
      <c r="X587" s="109"/>
      <c r="Y587" s="109"/>
      <c r="Z587" s="109"/>
      <c r="AA587" s="109"/>
      <c r="AB587" s="109"/>
      <c r="AC587" s="109"/>
      <c r="AD587" s="109"/>
      <c r="AE587" s="109"/>
      <c r="AF587" s="109"/>
      <c r="AG587" s="109"/>
      <c r="AH587" s="109"/>
      <c r="AI587" s="109"/>
      <c r="AJ587" s="109"/>
      <c r="AK587" s="109"/>
      <c r="AL587" s="109"/>
      <c r="AM587" s="109"/>
      <c r="AN587" s="109"/>
      <c r="AO587" s="109"/>
      <c r="AP587" s="109"/>
      <c r="AQ587" s="94"/>
      <c r="AR587" s="94"/>
      <c r="AS587" s="94"/>
      <c r="AT587" s="149" t="s">
        <v>879</v>
      </c>
      <c r="AU587" s="94" t="s">
        <v>1842</v>
      </c>
    </row>
    <row r="588" spans="1:47" ht="21" customHeight="1" x14ac:dyDescent="0.35">
      <c r="A588" s="260"/>
      <c r="B588" s="98" t="s">
        <v>17</v>
      </c>
      <c r="C588" s="99" t="s">
        <v>923</v>
      </c>
      <c r="D588" s="105" t="s">
        <v>880</v>
      </c>
      <c r="E588" s="101">
        <v>45987</v>
      </c>
      <c r="F588" s="102">
        <f t="shared" si="23"/>
        <v>0</v>
      </c>
      <c r="G588" s="150">
        <f>SUMIF(积分汇总!$B:$B,C588,积分汇总!$E:$E)</f>
        <v>0</v>
      </c>
      <c r="H588" s="150">
        <f>SUMIF(记录巡查问题条数汇总!$B:$B,C588,记录巡查问题条数汇总!$E:$E)</f>
        <v>0</v>
      </c>
      <c r="I588" s="150"/>
      <c r="J588" s="150">
        <f>SUMIF(安全质量事故!$B:$B,C588,安全质量事故!$G:$G)</f>
        <v>0</v>
      </c>
      <c r="K588" s="141">
        <f>COUNTIF(L588:AP588,标准数据!$A$2)*标准数据!$B$2+COUNTIF(L588:AP588,标准数据!$A$3)*标准数据!$B$3+COUNTIF(L588:AP588,标准数据!$A$4)*标准数据!$B$4</f>
        <v>0</v>
      </c>
      <c r="L588" s="185"/>
      <c r="M588" s="185"/>
      <c r="N588" s="185"/>
      <c r="O588" s="185"/>
      <c r="P588" s="185"/>
      <c r="Q588" s="185"/>
      <c r="R588" s="185"/>
      <c r="S588" s="185"/>
      <c r="T588" s="185"/>
      <c r="U588" s="185"/>
      <c r="V588" s="185"/>
      <c r="W588" s="185"/>
      <c r="X588" s="185"/>
      <c r="Y588" s="185"/>
      <c r="Z588" s="185"/>
      <c r="AA588" s="185"/>
      <c r="AB588" s="185"/>
      <c r="AC588" s="185"/>
      <c r="AD588" s="185"/>
      <c r="AE588" s="185"/>
      <c r="AF588" s="185"/>
      <c r="AG588" s="185"/>
      <c r="AH588" s="185"/>
      <c r="AI588" s="185"/>
      <c r="AJ588" s="185"/>
      <c r="AK588" s="185"/>
      <c r="AL588" s="185"/>
      <c r="AM588" s="185"/>
      <c r="AN588" s="185"/>
      <c r="AO588" s="185"/>
      <c r="AP588" s="185"/>
      <c r="AT588" s="149" t="s">
        <v>880</v>
      </c>
      <c r="AU588" s="94" t="s">
        <v>1842</v>
      </c>
    </row>
    <row r="589" spans="1:47" ht="21" customHeight="1" x14ac:dyDescent="0.35">
      <c r="A589" s="260"/>
      <c r="B589" s="98" t="s">
        <v>17</v>
      </c>
      <c r="C589" s="99" t="s">
        <v>1588</v>
      </c>
      <c r="D589" s="100" t="s">
        <v>1589</v>
      </c>
      <c r="E589" s="101">
        <v>46153</v>
      </c>
      <c r="F589" s="102">
        <f t="shared" si="23"/>
        <v>0</v>
      </c>
      <c r="G589" s="150">
        <f>SUMIF(积分汇总!$B:$B,C589,积分汇总!$E:$E)</f>
        <v>0</v>
      </c>
      <c r="H589" s="150">
        <f>SUMIF(记录巡查问题条数汇总!$B:$B,C589,记录巡查问题条数汇总!$E:$E)</f>
        <v>0</v>
      </c>
      <c r="I589" s="150"/>
      <c r="J589" s="150">
        <f>SUMIF(安全质量事故!$B:$B,C589,安全质量事故!$G:$G)</f>
        <v>0</v>
      </c>
      <c r="K589" s="141">
        <f>COUNTIF(L589:AP589,标准数据!$A$2)*标准数据!$B$2+COUNTIF(L589:AP589,标准数据!$A$3)*标准数据!$B$3+COUNTIF(L589:AP589,标准数据!$A$4)*标准数据!$B$4</f>
        <v>0</v>
      </c>
      <c r="L589" s="109"/>
      <c r="M589" s="109"/>
      <c r="N589" s="109"/>
      <c r="O589" s="109"/>
      <c r="P589" s="109"/>
      <c r="Q589" s="109"/>
      <c r="R589" s="109"/>
      <c r="S589" s="109"/>
      <c r="T589" s="109"/>
      <c r="U589" s="109"/>
      <c r="V589" s="109"/>
      <c r="W589" s="109"/>
      <c r="X589" s="109"/>
      <c r="Y589" s="109"/>
      <c r="Z589" s="109"/>
      <c r="AA589" s="109"/>
      <c r="AB589" s="109"/>
      <c r="AC589" s="109"/>
      <c r="AD589" s="109"/>
      <c r="AE589" s="109"/>
      <c r="AF589" s="109"/>
      <c r="AG589" s="109"/>
      <c r="AH589" s="109"/>
      <c r="AI589" s="109"/>
      <c r="AJ589" s="109"/>
      <c r="AK589" s="109"/>
      <c r="AL589" s="109"/>
      <c r="AM589" s="109"/>
      <c r="AN589" s="109"/>
      <c r="AO589" s="109"/>
      <c r="AP589" s="109"/>
      <c r="AT589" s="149" t="s">
        <v>1589</v>
      </c>
      <c r="AU589" s="94" t="s">
        <v>1839</v>
      </c>
    </row>
    <row r="590" spans="1:47" ht="21" customHeight="1" x14ac:dyDescent="0.35">
      <c r="A590" s="260"/>
      <c r="B590" s="98" t="s">
        <v>95</v>
      </c>
      <c r="C590" s="99" t="s">
        <v>1590</v>
      </c>
      <c r="D590" s="105" t="s">
        <v>1591</v>
      </c>
      <c r="E590" s="99">
        <v>46155</v>
      </c>
      <c r="F590" s="102">
        <f t="shared" si="23"/>
        <v>0</v>
      </c>
      <c r="G590" s="150">
        <f>SUMIF(积分汇总!$B:$B,C590,积分汇总!$E:$E)</f>
        <v>0</v>
      </c>
      <c r="H590" s="150">
        <f>SUMIF(记录巡查问题条数汇总!$B:$B,C590,记录巡查问题条数汇总!$E:$E)</f>
        <v>0</v>
      </c>
      <c r="I590" s="150"/>
      <c r="J590" s="150">
        <f>SUMIF(安全质量事故!$B:$B,C590,安全质量事故!$G:$G)</f>
        <v>0</v>
      </c>
      <c r="K590" s="141">
        <f>COUNTIF(L590:AP590,标准数据!$A$2)*标准数据!$B$2+COUNTIF(L590:AP590,标准数据!$A$3)*标准数据!$B$3+COUNTIF(L590:AP590,标准数据!$A$4)*标准数据!$B$4</f>
        <v>0</v>
      </c>
      <c r="L590" s="109"/>
      <c r="M590" s="109"/>
      <c r="N590" s="109"/>
      <c r="O590" s="109"/>
      <c r="P590" s="109"/>
      <c r="Q590" s="109"/>
      <c r="R590" s="109"/>
      <c r="S590" s="109"/>
      <c r="T590" s="109"/>
      <c r="U590" s="109"/>
      <c r="V590" s="109"/>
      <c r="W590" s="109"/>
      <c r="X590" s="109"/>
      <c r="Y590" s="109"/>
      <c r="Z590" s="109"/>
      <c r="AA590" s="109"/>
      <c r="AB590" s="109"/>
      <c r="AC590" s="109"/>
      <c r="AD590" s="109"/>
      <c r="AE590" s="109"/>
      <c r="AF590" s="109"/>
      <c r="AG590" s="109"/>
      <c r="AH590" s="109"/>
      <c r="AI590" s="109"/>
      <c r="AJ590" s="109"/>
      <c r="AK590" s="109"/>
      <c r="AL590" s="109"/>
      <c r="AM590" s="109"/>
      <c r="AN590" s="109"/>
      <c r="AO590" s="109"/>
      <c r="AP590" s="109"/>
      <c r="AQ590" s="94"/>
      <c r="AR590" s="94"/>
      <c r="AS590" s="94"/>
      <c r="AT590" s="149" t="s">
        <v>1591</v>
      </c>
      <c r="AU590" s="94" t="s">
        <v>1844</v>
      </c>
    </row>
    <row r="591" spans="1:47" ht="21" customHeight="1" x14ac:dyDescent="0.35">
      <c r="A591" s="260"/>
      <c r="B591" s="98" t="s">
        <v>95</v>
      </c>
      <c r="C591" s="99" t="s">
        <v>1592</v>
      </c>
      <c r="D591" s="105" t="s">
        <v>1593</v>
      </c>
      <c r="E591" s="99">
        <v>46134</v>
      </c>
      <c r="F591" s="102">
        <f t="shared" si="23"/>
        <v>0</v>
      </c>
      <c r="G591" s="150">
        <f>SUMIF(积分汇总!$B:$B,C591,积分汇总!$E:$E)</f>
        <v>0</v>
      </c>
      <c r="H591" s="150">
        <f>SUMIF(记录巡查问题条数汇总!$B:$B,C591,记录巡查问题条数汇总!$E:$E)</f>
        <v>0</v>
      </c>
      <c r="I591" s="150"/>
      <c r="J591" s="150">
        <f>SUMIF(安全质量事故!$B:$B,C591,安全质量事故!$G:$G)</f>
        <v>0</v>
      </c>
      <c r="K591" s="141">
        <f>COUNTIF(L591:AP591,标准数据!$A$2)*标准数据!$B$2+COUNTIF(L591:AP591,标准数据!$A$3)*标准数据!$B$3+COUNTIF(L591:AP591,标准数据!$A$4)*标准数据!$B$4</f>
        <v>0</v>
      </c>
      <c r="L591" s="109"/>
      <c r="M591" s="109"/>
      <c r="N591" s="109"/>
      <c r="O591" s="109"/>
      <c r="P591" s="109"/>
      <c r="Q591" s="109"/>
      <c r="R591" s="109"/>
      <c r="S591" s="109"/>
      <c r="T591" s="109"/>
      <c r="U591" s="109"/>
      <c r="V591" s="109"/>
      <c r="W591" s="109"/>
      <c r="X591" s="109"/>
      <c r="Y591" s="109"/>
      <c r="Z591" s="109"/>
      <c r="AA591" s="109"/>
      <c r="AB591" s="109"/>
      <c r="AC591" s="109"/>
      <c r="AD591" s="109"/>
      <c r="AE591" s="109"/>
      <c r="AF591" s="109"/>
      <c r="AG591" s="109"/>
      <c r="AH591" s="109"/>
      <c r="AI591" s="109"/>
      <c r="AJ591" s="109"/>
      <c r="AK591" s="109"/>
      <c r="AL591" s="109"/>
      <c r="AM591" s="109"/>
      <c r="AN591" s="109"/>
      <c r="AO591" s="109"/>
      <c r="AP591" s="109"/>
      <c r="AQ591" s="94"/>
      <c r="AR591" s="94"/>
      <c r="AS591" s="94"/>
      <c r="AT591" s="149" t="s">
        <v>1593</v>
      </c>
      <c r="AU591" s="94" t="s">
        <v>1839</v>
      </c>
    </row>
    <row r="592" spans="1:47" ht="21" customHeight="1" x14ac:dyDescent="0.35">
      <c r="A592" s="260"/>
      <c r="B592" s="98" t="s">
        <v>17</v>
      </c>
      <c r="C592" s="99" t="s">
        <v>1594</v>
      </c>
      <c r="D592" s="100" t="s">
        <v>1595</v>
      </c>
      <c r="E592" s="101">
        <v>46153</v>
      </c>
      <c r="F592" s="102">
        <f t="shared" si="23"/>
        <v>0</v>
      </c>
      <c r="G592" s="150">
        <f>SUMIF(积分汇总!$B:$B,C592,积分汇总!$E:$E)</f>
        <v>0</v>
      </c>
      <c r="H592" s="150">
        <f>SUMIF(记录巡查问题条数汇总!$B:$B,C592,记录巡查问题条数汇总!$E:$E)</f>
        <v>0</v>
      </c>
      <c r="I592" s="150"/>
      <c r="J592" s="150">
        <f>SUMIF(安全质量事故!$B:$B,C592,安全质量事故!$G:$G)</f>
        <v>0</v>
      </c>
      <c r="K592" s="141">
        <f>COUNTIF(L592:AP592,标准数据!$A$2)*标准数据!$B$2+COUNTIF(L592:AP592,标准数据!$A$3)*标准数据!$B$3+COUNTIF(L592:AP592,标准数据!$A$4)*标准数据!$B$4</f>
        <v>0</v>
      </c>
      <c r="L592" s="109"/>
      <c r="M592" s="109"/>
      <c r="N592" s="109"/>
      <c r="O592" s="109"/>
      <c r="P592" s="109"/>
      <c r="Q592" s="109"/>
      <c r="R592" s="109"/>
      <c r="S592" s="109"/>
      <c r="T592" s="109"/>
      <c r="U592" s="109"/>
      <c r="V592" s="109"/>
      <c r="W592" s="109"/>
      <c r="X592" s="109"/>
      <c r="Y592" s="109"/>
      <c r="Z592" s="109"/>
      <c r="AA592" s="109"/>
      <c r="AB592" s="109"/>
      <c r="AC592" s="109"/>
      <c r="AD592" s="109"/>
      <c r="AE592" s="109"/>
      <c r="AF592" s="109"/>
      <c r="AG592" s="109"/>
      <c r="AH592" s="109"/>
      <c r="AI592" s="109"/>
      <c r="AJ592" s="109"/>
      <c r="AK592" s="109"/>
      <c r="AL592" s="109"/>
      <c r="AM592" s="109"/>
      <c r="AN592" s="109"/>
      <c r="AO592" s="109"/>
      <c r="AP592" s="109"/>
      <c r="AT592" s="149" t="s">
        <v>1595</v>
      </c>
      <c r="AU592" s="94" t="s">
        <v>1839</v>
      </c>
    </row>
    <row r="593" spans="1:47" ht="21" customHeight="1" x14ac:dyDescent="0.35">
      <c r="A593" s="260"/>
      <c r="B593" s="98" t="s">
        <v>95</v>
      </c>
      <c r="C593" s="99" t="s">
        <v>1596</v>
      </c>
      <c r="D593" s="105" t="s">
        <v>1597</v>
      </c>
      <c r="E593" s="99">
        <v>46153</v>
      </c>
      <c r="F593" s="102">
        <f t="shared" si="23"/>
        <v>0</v>
      </c>
      <c r="G593" s="150">
        <f>SUMIF(积分汇总!$B:$B,C593,积分汇总!$E:$E)</f>
        <v>0</v>
      </c>
      <c r="H593" s="150">
        <f>SUMIF(记录巡查问题条数汇总!$B:$B,C593,记录巡查问题条数汇总!$E:$E)</f>
        <v>0</v>
      </c>
      <c r="I593" s="150"/>
      <c r="J593" s="150">
        <f>SUMIF(安全质量事故!$B:$B,C593,安全质量事故!$G:$G)</f>
        <v>0</v>
      </c>
      <c r="K593" s="141">
        <f>COUNTIF(L593:AP593,标准数据!$A$2)*标准数据!$B$2+COUNTIF(L593:AP593,标准数据!$A$3)*标准数据!$B$3+COUNTIF(L593:AP593,标准数据!$A$4)*标准数据!$B$4</f>
        <v>0</v>
      </c>
      <c r="L593" s="109"/>
      <c r="M593" s="109"/>
      <c r="N593" s="109"/>
      <c r="O593" s="109"/>
      <c r="P593" s="109"/>
      <c r="Q593" s="109"/>
      <c r="R593" s="109"/>
      <c r="S593" s="109"/>
      <c r="T593" s="109"/>
      <c r="U593" s="109"/>
      <c r="V593" s="109"/>
      <c r="W593" s="109"/>
      <c r="X593" s="109"/>
      <c r="Y593" s="109"/>
      <c r="Z593" s="109"/>
      <c r="AA593" s="109"/>
      <c r="AB593" s="109"/>
      <c r="AC593" s="109"/>
      <c r="AD593" s="109"/>
      <c r="AE593" s="109"/>
      <c r="AF593" s="109"/>
      <c r="AG593" s="109"/>
      <c r="AH593" s="109"/>
      <c r="AI593" s="109"/>
      <c r="AJ593" s="109"/>
      <c r="AK593" s="109"/>
      <c r="AL593" s="109"/>
      <c r="AM593" s="109"/>
      <c r="AN593" s="109"/>
      <c r="AO593" s="109"/>
      <c r="AP593" s="109"/>
      <c r="AQ593" s="94"/>
      <c r="AR593" s="94"/>
      <c r="AS593" s="94"/>
      <c r="AT593" s="149" t="s">
        <v>1597</v>
      </c>
      <c r="AU593" s="94" t="s">
        <v>1839</v>
      </c>
    </row>
    <row r="594" spans="1:47" ht="21" customHeight="1" x14ac:dyDescent="0.35">
      <c r="A594" s="260"/>
      <c r="B594" s="98" t="s">
        <v>95</v>
      </c>
      <c r="C594" s="99" t="s">
        <v>1598</v>
      </c>
      <c r="D594" s="105" t="s">
        <v>1599</v>
      </c>
      <c r="E594" s="99">
        <v>46155</v>
      </c>
      <c r="F594" s="102">
        <f t="shared" si="23"/>
        <v>0</v>
      </c>
      <c r="G594" s="150">
        <f>SUMIF(积分汇总!$B:$B,C594,积分汇总!$E:$E)</f>
        <v>0</v>
      </c>
      <c r="H594" s="150">
        <f>SUMIF(记录巡查问题条数汇总!$B:$B,C594,记录巡查问题条数汇总!$E:$E)</f>
        <v>0</v>
      </c>
      <c r="I594" s="150"/>
      <c r="J594" s="150">
        <f>SUMIF(安全质量事故!$B:$B,C594,安全质量事故!$G:$G)</f>
        <v>0</v>
      </c>
      <c r="K594" s="141">
        <f>COUNTIF(L594:AP594,标准数据!$A$2)*标准数据!$B$2+COUNTIF(L594:AP594,标准数据!$A$3)*标准数据!$B$3+COUNTIF(L594:AP594,标准数据!$A$4)*标准数据!$B$4</f>
        <v>0</v>
      </c>
      <c r="L594" s="109"/>
      <c r="M594" s="109"/>
      <c r="N594" s="109"/>
      <c r="O594" s="109"/>
      <c r="P594" s="109"/>
      <c r="Q594" s="109"/>
      <c r="R594" s="109"/>
      <c r="S594" s="109"/>
      <c r="T594" s="109"/>
      <c r="U594" s="109"/>
      <c r="V594" s="109"/>
      <c r="W594" s="109"/>
      <c r="X594" s="109"/>
      <c r="Y594" s="109"/>
      <c r="Z594" s="109"/>
      <c r="AA594" s="109"/>
      <c r="AB594" s="109"/>
      <c r="AC594" s="109"/>
      <c r="AD594" s="109"/>
      <c r="AE594" s="109"/>
      <c r="AF594" s="109"/>
      <c r="AG594" s="109"/>
      <c r="AH594" s="109"/>
      <c r="AI594" s="109"/>
      <c r="AJ594" s="109"/>
      <c r="AK594" s="109"/>
      <c r="AL594" s="109"/>
      <c r="AM594" s="109"/>
      <c r="AN594" s="109"/>
      <c r="AO594" s="109"/>
      <c r="AP594" s="109"/>
      <c r="AQ594" s="94"/>
      <c r="AR594" s="94"/>
      <c r="AS594" s="94"/>
      <c r="AT594" s="149" t="s">
        <v>1599</v>
      </c>
      <c r="AU594" s="94" t="s">
        <v>1839</v>
      </c>
    </row>
    <row r="595" spans="1:47" ht="21" customHeight="1" x14ac:dyDescent="0.35">
      <c r="A595" s="260"/>
      <c r="B595" s="98" t="s">
        <v>17</v>
      </c>
      <c r="C595" s="99" t="s">
        <v>1568</v>
      </c>
      <c r="D595" s="100" t="s">
        <v>1569</v>
      </c>
      <c r="E595" s="101">
        <v>46139</v>
      </c>
      <c r="F595" s="102">
        <f t="shared" ref="F595:F662" si="25">(K595+G595+H595+I595-J595)</f>
        <v>0</v>
      </c>
      <c r="G595" s="150">
        <f>SUMIF(积分汇总!$B:$B,C595,积分汇总!$E:$E)</f>
        <v>0</v>
      </c>
      <c r="H595" s="150">
        <f>SUMIF(记录巡查问题条数汇总!$B:$B,C595,记录巡查问题条数汇总!$E:$E)</f>
        <v>0</v>
      </c>
      <c r="I595" s="150"/>
      <c r="J595" s="150">
        <f>SUMIF(安全质量事故!$B:$B,C595,安全质量事故!$G:$G)</f>
        <v>0</v>
      </c>
      <c r="K595" s="141">
        <f>COUNTIF(L595:AP595,标准数据!$A$2)*标准数据!$B$2+COUNTIF(L595:AP595,标准数据!$A$3)*标准数据!$B$3+COUNTIF(L595:AP595,标准数据!$A$4)*标准数据!$B$4</f>
        <v>0</v>
      </c>
      <c r="L595" s="109"/>
      <c r="M595" s="109"/>
      <c r="N595" s="109"/>
      <c r="O595" s="109"/>
      <c r="P595" s="109"/>
      <c r="Q595" s="109"/>
      <c r="R595" s="109"/>
      <c r="S595" s="109"/>
      <c r="T595" s="109"/>
      <c r="U595" s="109"/>
      <c r="V595" s="109"/>
      <c r="W595" s="109"/>
      <c r="X595" s="109"/>
      <c r="Y595" s="109"/>
      <c r="Z595" s="109"/>
      <c r="AA595" s="109"/>
      <c r="AB595" s="109"/>
      <c r="AC595" s="109"/>
      <c r="AD595" s="109"/>
      <c r="AE595" s="109"/>
      <c r="AF595" s="109"/>
      <c r="AG595" s="109"/>
      <c r="AH595" s="109"/>
      <c r="AI595" s="109"/>
      <c r="AJ595" s="109"/>
      <c r="AK595" s="109"/>
      <c r="AL595" s="109"/>
      <c r="AM595" s="109"/>
      <c r="AN595" s="109"/>
      <c r="AO595" s="109"/>
      <c r="AP595" s="109"/>
      <c r="AT595" s="149" t="s">
        <v>1569</v>
      </c>
      <c r="AU595" s="94" t="s">
        <v>1609</v>
      </c>
    </row>
    <row r="596" spans="1:47" ht="21" customHeight="1" x14ac:dyDescent="0.35">
      <c r="A596" s="260"/>
      <c r="B596" s="98" t="s">
        <v>95</v>
      </c>
      <c r="C596" s="99" t="s">
        <v>1570</v>
      </c>
      <c r="D596" s="105" t="s">
        <v>1571</v>
      </c>
      <c r="E596" s="99">
        <v>46139</v>
      </c>
      <c r="F596" s="102">
        <f t="shared" si="25"/>
        <v>0</v>
      </c>
      <c r="G596" s="150">
        <f>SUMIF(积分汇总!$B:$B,C596,积分汇总!$E:$E)</f>
        <v>0</v>
      </c>
      <c r="H596" s="150">
        <f>SUMIF(记录巡查问题条数汇总!$B:$B,C596,记录巡查问题条数汇总!$E:$E)</f>
        <v>0</v>
      </c>
      <c r="I596" s="150"/>
      <c r="J596" s="150">
        <f>SUMIF(安全质量事故!$B:$B,C596,安全质量事故!$G:$G)</f>
        <v>0</v>
      </c>
      <c r="K596" s="141">
        <f>COUNTIF(L596:AP596,标准数据!$A$2)*标准数据!$B$2+COUNTIF(L596:AP596,标准数据!$A$3)*标准数据!$B$3+COUNTIF(L596:AP596,标准数据!$A$4)*标准数据!$B$4</f>
        <v>0</v>
      </c>
      <c r="L596" s="109"/>
      <c r="M596" s="109"/>
      <c r="N596" s="109"/>
      <c r="O596" s="109"/>
      <c r="P596" s="109"/>
      <c r="Q596" s="109"/>
      <c r="R596" s="109"/>
      <c r="S596" s="109"/>
      <c r="T596" s="109"/>
      <c r="U596" s="109"/>
      <c r="V596" s="109"/>
      <c r="W596" s="109"/>
      <c r="X596" s="109"/>
      <c r="Y596" s="109"/>
      <c r="Z596" s="109"/>
      <c r="AA596" s="109"/>
      <c r="AB596" s="109"/>
      <c r="AC596" s="109"/>
      <c r="AD596" s="109"/>
      <c r="AE596" s="109"/>
      <c r="AF596" s="109"/>
      <c r="AG596" s="109"/>
      <c r="AH596" s="109"/>
      <c r="AI596" s="109"/>
      <c r="AJ596" s="109"/>
      <c r="AK596" s="109"/>
      <c r="AL596" s="109"/>
      <c r="AM596" s="109"/>
      <c r="AN596" s="109"/>
      <c r="AO596" s="109"/>
      <c r="AP596" s="109"/>
      <c r="AQ596" s="94"/>
      <c r="AR596" s="94"/>
      <c r="AS596" s="94"/>
      <c r="AT596" s="149" t="s">
        <v>1571</v>
      </c>
      <c r="AU596" s="94" t="s">
        <v>1609</v>
      </c>
    </row>
    <row r="597" spans="1:47" ht="21" customHeight="1" x14ac:dyDescent="0.35">
      <c r="A597" s="260"/>
      <c r="B597" s="98" t="s">
        <v>95</v>
      </c>
      <c r="C597" s="99" t="s">
        <v>1572</v>
      </c>
      <c r="D597" s="105" t="s">
        <v>1573</v>
      </c>
      <c r="E597" s="99">
        <v>46139</v>
      </c>
      <c r="F597" s="102">
        <f t="shared" si="25"/>
        <v>0</v>
      </c>
      <c r="G597" s="150">
        <f>SUMIF(积分汇总!$B:$B,C597,积分汇总!$E:$E)</f>
        <v>0</v>
      </c>
      <c r="H597" s="150">
        <f>SUMIF(记录巡查问题条数汇总!$B:$B,C597,记录巡查问题条数汇总!$E:$E)</f>
        <v>0</v>
      </c>
      <c r="I597" s="150"/>
      <c r="J597" s="150">
        <f>SUMIF(安全质量事故!$B:$B,C597,安全质量事故!$G:$G)</f>
        <v>0</v>
      </c>
      <c r="K597" s="141">
        <f>COUNTIF(L597:AP597,标准数据!$A$2)*标准数据!$B$2+COUNTIF(L597:AP597,标准数据!$A$3)*标准数据!$B$3+COUNTIF(L597:AP597,标准数据!$A$4)*标准数据!$B$4</f>
        <v>0</v>
      </c>
      <c r="L597" s="109"/>
      <c r="M597" s="109"/>
      <c r="N597" s="109"/>
      <c r="O597" s="109"/>
      <c r="P597" s="109"/>
      <c r="Q597" s="109"/>
      <c r="R597" s="109"/>
      <c r="S597" s="109"/>
      <c r="T597" s="109"/>
      <c r="U597" s="109"/>
      <c r="V597" s="109"/>
      <c r="W597" s="109"/>
      <c r="X597" s="109"/>
      <c r="Y597" s="109"/>
      <c r="Z597" s="109"/>
      <c r="AA597" s="109"/>
      <c r="AB597" s="109"/>
      <c r="AC597" s="109"/>
      <c r="AD597" s="109"/>
      <c r="AE597" s="109"/>
      <c r="AF597" s="109"/>
      <c r="AG597" s="109"/>
      <c r="AH597" s="109"/>
      <c r="AI597" s="109"/>
      <c r="AJ597" s="109"/>
      <c r="AK597" s="109"/>
      <c r="AL597" s="109"/>
      <c r="AM597" s="109"/>
      <c r="AN597" s="109"/>
      <c r="AO597" s="109"/>
      <c r="AP597" s="109"/>
      <c r="AQ597" s="94"/>
      <c r="AR597" s="94"/>
      <c r="AS597" s="94"/>
      <c r="AT597" s="149" t="s">
        <v>1573</v>
      </c>
      <c r="AU597" s="94" t="s">
        <v>1846</v>
      </c>
    </row>
    <row r="598" spans="1:47" ht="21" customHeight="1" x14ac:dyDescent="0.35">
      <c r="A598" s="260"/>
      <c r="B598" s="98" t="s">
        <v>17</v>
      </c>
      <c r="C598" s="99" t="s">
        <v>1574</v>
      </c>
      <c r="D598" s="105" t="s">
        <v>1575</v>
      </c>
      <c r="E598" s="99">
        <v>46139</v>
      </c>
      <c r="F598" s="102">
        <f t="shared" si="25"/>
        <v>0</v>
      </c>
      <c r="G598" s="150">
        <f>SUMIF(积分汇总!$B:$B,C598,积分汇总!$E:$E)</f>
        <v>0</v>
      </c>
      <c r="H598" s="150">
        <f>SUMIF(记录巡查问题条数汇总!$B:$B,C598,记录巡查问题条数汇总!$E:$E)</f>
        <v>0</v>
      </c>
      <c r="I598" s="150"/>
      <c r="J598" s="150">
        <f>SUMIF(安全质量事故!$B:$B,C598,安全质量事故!$G:$G)</f>
        <v>0</v>
      </c>
      <c r="K598" s="141">
        <f>COUNTIF(L598:AP598,标准数据!$A$2)*标准数据!$B$2+COUNTIF(L598:AP598,标准数据!$A$3)*标准数据!$B$3+COUNTIF(L598:AP598,标准数据!$A$4)*标准数据!$B$4</f>
        <v>0</v>
      </c>
      <c r="L598" s="183"/>
      <c r="M598" s="183"/>
      <c r="N598" s="183"/>
      <c r="O598" s="183"/>
      <c r="P598" s="183"/>
      <c r="Q598" s="183"/>
      <c r="R598" s="183"/>
      <c r="S598" s="183"/>
      <c r="T598" s="183"/>
      <c r="U598" s="183"/>
      <c r="V598" s="183"/>
      <c r="W598" s="183"/>
      <c r="X598" s="183"/>
      <c r="Y598" s="183"/>
      <c r="Z598" s="183"/>
      <c r="AA598" s="183"/>
      <c r="AB598" s="183"/>
      <c r="AC598" s="183"/>
      <c r="AD598" s="183"/>
      <c r="AE598" s="183"/>
      <c r="AF598" s="183"/>
      <c r="AG598" s="183"/>
      <c r="AH598" s="183"/>
      <c r="AI598" s="183"/>
      <c r="AJ598" s="183"/>
      <c r="AK598" s="183"/>
      <c r="AL598" s="183"/>
      <c r="AM598" s="183"/>
      <c r="AN598" s="183"/>
      <c r="AO598" s="183"/>
      <c r="AP598" s="183"/>
      <c r="AT598" s="149" t="s">
        <v>1575</v>
      </c>
      <c r="AU598" s="94" t="s">
        <v>1609</v>
      </c>
    </row>
    <row r="599" spans="1:47" ht="21" customHeight="1" x14ac:dyDescent="0.35">
      <c r="A599" s="260"/>
      <c r="B599" s="98" t="s">
        <v>17</v>
      </c>
      <c r="C599" s="99" t="s">
        <v>1576</v>
      </c>
      <c r="D599" s="100" t="s">
        <v>1577</v>
      </c>
      <c r="E599" s="101">
        <v>46139</v>
      </c>
      <c r="F599" s="102">
        <f t="shared" si="25"/>
        <v>0</v>
      </c>
      <c r="G599" s="150">
        <f>SUMIF(积分汇总!$B:$B,C599,积分汇总!$E:$E)</f>
        <v>0</v>
      </c>
      <c r="H599" s="150">
        <f>SUMIF(记录巡查问题条数汇总!$B:$B,C599,记录巡查问题条数汇总!$E:$E)</f>
        <v>0</v>
      </c>
      <c r="I599" s="150"/>
      <c r="J599" s="150">
        <f>SUMIF(安全质量事故!$B:$B,C599,安全质量事故!$G:$G)</f>
        <v>0</v>
      </c>
      <c r="K599" s="141">
        <f>COUNTIF(L599:AP599,标准数据!$A$2)*标准数据!$B$2+COUNTIF(L599:AP599,标准数据!$A$3)*标准数据!$B$3+COUNTIF(L599:AP599,标准数据!$A$4)*标准数据!$B$4</f>
        <v>0</v>
      </c>
      <c r="L599" s="109"/>
      <c r="M599" s="109"/>
      <c r="N599" s="109"/>
      <c r="O599" s="109"/>
      <c r="P599" s="109"/>
      <c r="Q599" s="109"/>
      <c r="R599" s="109"/>
      <c r="S599" s="109"/>
      <c r="T599" s="109"/>
      <c r="U599" s="109"/>
      <c r="V599" s="109"/>
      <c r="W599" s="109"/>
      <c r="X599" s="109"/>
      <c r="Y599" s="109"/>
      <c r="Z599" s="109"/>
      <c r="AA599" s="109"/>
      <c r="AB599" s="109"/>
      <c r="AC599" s="109"/>
      <c r="AD599" s="109"/>
      <c r="AE599" s="109"/>
      <c r="AF599" s="109"/>
      <c r="AG599" s="109"/>
      <c r="AH599" s="109"/>
      <c r="AI599" s="109"/>
      <c r="AJ599" s="109"/>
      <c r="AK599" s="109"/>
      <c r="AL599" s="109"/>
      <c r="AM599" s="109"/>
      <c r="AN599" s="109"/>
      <c r="AO599" s="109"/>
      <c r="AP599" s="109"/>
      <c r="AT599" s="149" t="s">
        <v>1577</v>
      </c>
      <c r="AU599" s="94" t="s">
        <v>1609</v>
      </c>
    </row>
    <row r="600" spans="1:47" ht="21" customHeight="1" x14ac:dyDescent="0.35">
      <c r="A600" s="260"/>
      <c r="B600" s="98" t="s">
        <v>95</v>
      </c>
      <c r="C600" s="99" t="s">
        <v>1578</v>
      </c>
      <c r="D600" s="105" t="s">
        <v>1579</v>
      </c>
      <c r="E600" s="99">
        <v>46139</v>
      </c>
      <c r="F600" s="102">
        <f t="shared" si="25"/>
        <v>0</v>
      </c>
      <c r="G600" s="150">
        <f>SUMIF(积分汇总!$B:$B,C600,积分汇总!$E:$E)</f>
        <v>0</v>
      </c>
      <c r="H600" s="150">
        <f>SUMIF(记录巡查问题条数汇总!$B:$B,C600,记录巡查问题条数汇总!$E:$E)</f>
        <v>0</v>
      </c>
      <c r="I600" s="150"/>
      <c r="J600" s="150">
        <f>SUMIF(安全质量事故!$B:$B,C600,安全质量事故!$G:$G)</f>
        <v>0</v>
      </c>
      <c r="K600" s="141">
        <f>COUNTIF(L600:AP600,标准数据!$A$2)*标准数据!$B$2+COUNTIF(L600:AP600,标准数据!$A$3)*标准数据!$B$3+COUNTIF(L600:AP600,标准数据!$A$4)*标准数据!$B$4</f>
        <v>0</v>
      </c>
      <c r="L600" s="109"/>
      <c r="M600" s="109"/>
      <c r="N600" s="109"/>
      <c r="O600" s="109"/>
      <c r="P600" s="109"/>
      <c r="Q600" s="109"/>
      <c r="R600" s="109"/>
      <c r="S600" s="109"/>
      <c r="T600" s="109"/>
      <c r="U600" s="109"/>
      <c r="V600" s="109"/>
      <c r="W600" s="109"/>
      <c r="X600" s="109"/>
      <c r="Y600" s="109"/>
      <c r="Z600" s="109"/>
      <c r="AA600" s="109"/>
      <c r="AB600" s="109"/>
      <c r="AC600" s="109"/>
      <c r="AD600" s="109"/>
      <c r="AE600" s="109"/>
      <c r="AF600" s="109"/>
      <c r="AG600" s="109"/>
      <c r="AH600" s="109"/>
      <c r="AI600" s="109"/>
      <c r="AJ600" s="109"/>
      <c r="AK600" s="109"/>
      <c r="AL600" s="109"/>
      <c r="AM600" s="109"/>
      <c r="AN600" s="109"/>
      <c r="AO600" s="109"/>
      <c r="AP600" s="109"/>
      <c r="AQ600" s="94"/>
      <c r="AR600" s="94"/>
      <c r="AS600" s="94"/>
      <c r="AT600" s="149" t="s">
        <v>1579</v>
      </c>
      <c r="AU600" s="94" t="s">
        <v>1609</v>
      </c>
    </row>
    <row r="601" spans="1:47" ht="21" customHeight="1" x14ac:dyDescent="0.35">
      <c r="A601" s="260"/>
      <c r="B601" s="98" t="s">
        <v>95</v>
      </c>
      <c r="C601" s="99" t="s">
        <v>912</v>
      </c>
      <c r="D601" s="105" t="s">
        <v>1580</v>
      </c>
      <c r="E601" s="99">
        <v>46139</v>
      </c>
      <c r="F601" s="102">
        <f t="shared" si="25"/>
        <v>0</v>
      </c>
      <c r="G601" s="150">
        <f>SUMIF(积分汇总!$B:$B,C601,积分汇总!$E:$E)</f>
        <v>0</v>
      </c>
      <c r="H601" s="150">
        <f>SUMIF(记录巡查问题条数汇总!$B:$B,C601,记录巡查问题条数汇总!$E:$E)</f>
        <v>0</v>
      </c>
      <c r="I601" s="150"/>
      <c r="J601" s="150">
        <f>SUMIF(安全质量事故!$B:$B,C601,安全质量事故!$G:$G)</f>
        <v>0</v>
      </c>
      <c r="K601" s="141">
        <f>COUNTIF(L601:AP601,标准数据!$A$2)*标准数据!$B$2+COUNTIF(L601:AP601,标准数据!$A$3)*标准数据!$B$3+COUNTIF(L601:AP601,标准数据!$A$4)*标准数据!$B$4</f>
        <v>0</v>
      </c>
      <c r="L601" s="109"/>
      <c r="M601" s="109"/>
      <c r="N601" s="109"/>
      <c r="O601" s="109"/>
      <c r="P601" s="109"/>
      <c r="Q601" s="109"/>
      <c r="R601" s="109"/>
      <c r="S601" s="109"/>
      <c r="T601" s="109"/>
      <c r="U601" s="109"/>
      <c r="V601" s="109"/>
      <c r="W601" s="109"/>
      <c r="X601" s="109"/>
      <c r="Y601" s="109"/>
      <c r="Z601" s="109"/>
      <c r="AA601" s="109"/>
      <c r="AB601" s="109"/>
      <c r="AC601" s="109"/>
      <c r="AD601" s="109"/>
      <c r="AE601" s="109"/>
      <c r="AF601" s="109"/>
      <c r="AG601" s="109"/>
      <c r="AH601" s="109"/>
      <c r="AI601" s="109"/>
      <c r="AJ601" s="109"/>
      <c r="AK601" s="109"/>
      <c r="AL601" s="109"/>
      <c r="AM601" s="109"/>
      <c r="AN601" s="109"/>
      <c r="AO601" s="109"/>
      <c r="AP601" s="109"/>
      <c r="AQ601" s="94"/>
      <c r="AR601" s="94"/>
      <c r="AS601" s="94"/>
      <c r="AT601" s="149" t="s">
        <v>1580</v>
      </c>
      <c r="AU601" s="94" t="s">
        <v>1609</v>
      </c>
    </row>
    <row r="602" spans="1:47" ht="21" customHeight="1" x14ac:dyDescent="0.35">
      <c r="A602" s="260"/>
      <c r="B602" s="98" t="s">
        <v>17</v>
      </c>
      <c r="C602" s="99" t="s">
        <v>1581</v>
      </c>
      <c r="D602" s="105" t="s">
        <v>1582</v>
      </c>
      <c r="E602" s="99">
        <v>46139</v>
      </c>
      <c r="F602" s="102">
        <f t="shared" si="25"/>
        <v>0</v>
      </c>
      <c r="G602" s="150">
        <f>SUMIF(积分汇总!$B:$B,C602,积分汇总!$E:$E)</f>
        <v>0</v>
      </c>
      <c r="H602" s="150">
        <f>SUMIF(记录巡查问题条数汇总!$B:$B,C602,记录巡查问题条数汇总!$E:$E)</f>
        <v>0</v>
      </c>
      <c r="I602" s="150"/>
      <c r="J602" s="150">
        <f>SUMIF(安全质量事故!$B:$B,C602,安全质量事故!$G:$G)</f>
        <v>0</v>
      </c>
      <c r="K602" s="141">
        <f>COUNTIF(L602:AP602,标准数据!$A$2)*标准数据!$B$2+COUNTIF(L602:AP602,标准数据!$A$3)*标准数据!$B$3+COUNTIF(L602:AP602,标准数据!$A$4)*标准数据!$B$4</f>
        <v>0</v>
      </c>
      <c r="L602" s="183"/>
      <c r="M602" s="183"/>
      <c r="N602" s="183"/>
      <c r="O602" s="183"/>
      <c r="P602" s="183"/>
      <c r="Q602" s="183"/>
      <c r="R602" s="183"/>
      <c r="S602" s="183"/>
      <c r="T602" s="183"/>
      <c r="U602" s="183"/>
      <c r="V602" s="183"/>
      <c r="W602" s="183"/>
      <c r="X602" s="183"/>
      <c r="Y602" s="183"/>
      <c r="Z602" s="183"/>
      <c r="AA602" s="183"/>
      <c r="AB602" s="183"/>
      <c r="AC602" s="183"/>
      <c r="AD602" s="183"/>
      <c r="AE602" s="183"/>
      <c r="AF602" s="183"/>
      <c r="AG602" s="183"/>
      <c r="AH602" s="183"/>
      <c r="AI602" s="183"/>
      <c r="AJ602" s="183"/>
      <c r="AK602" s="183"/>
      <c r="AL602" s="183"/>
      <c r="AM602" s="183"/>
      <c r="AN602" s="183"/>
      <c r="AO602" s="183"/>
      <c r="AP602" s="183"/>
      <c r="AT602" s="149" t="s">
        <v>1582</v>
      </c>
      <c r="AU602" s="94" t="s">
        <v>1846</v>
      </c>
    </row>
    <row r="603" spans="1:47" ht="21" customHeight="1" x14ac:dyDescent="0.35">
      <c r="A603" s="260"/>
      <c r="B603" s="98" t="s">
        <v>17</v>
      </c>
      <c r="C603" s="99" t="s">
        <v>1473</v>
      </c>
      <c r="D603" s="100" t="s">
        <v>1474</v>
      </c>
      <c r="E603" s="101">
        <v>46134</v>
      </c>
      <c r="F603" s="102">
        <f t="shared" si="25"/>
        <v>0</v>
      </c>
      <c r="G603" s="150">
        <f>SUMIF(积分汇总!$B:$B,C603,积分汇总!$E:$E)</f>
        <v>0</v>
      </c>
      <c r="H603" s="150">
        <f>SUMIF(记录巡查问题条数汇总!$B:$B,C603,记录巡查问题条数汇总!$E:$E)</f>
        <v>0</v>
      </c>
      <c r="I603" s="150"/>
      <c r="J603" s="150">
        <f>SUMIF(安全质量事故!$B:$B,C603,安全质量事故!$G:$G)</f>
        <v>0</v>
      </c>
      <c r="K603" s="141">
        <f>COUNTIF(L603:AP603,标准数据!$A$2)*标准数据!$B$2+COUNTIF(L603:AP603,标准数据!$A$3)*标准数据!$B$3+COUNTIF(L603:AP603,标准数据!$A$4)*标准数据!$B$4</f>
        <v>0</v>
      </c>
      <c r="L603" s="109"/>
      <c r="M603" s="109"/>
      <c r="N603" s="109"/>
      <c r="O603" s="109"/>
      <c r="P603" s="109"/>
      <c r="Q603" s="109"/>
      <c r="R603" s="109"/>
      <c r="S603" s="109"/>
      <c r="T603" s="109"/>
      <c r="U603" s="109"/>
      <c r="V603" s="109"/>
      <c r="W603" s="109"/>
      <c r="X603" s="109"/>
      <c r="Y603" s="109"/>
      <c r="Z603" s="109"/>
      <c r="AA603" s="109"/>
      <c r="AB603" s="109"/>
      <c r="AC603" s="109"/>
      <c r="AD603" s="109"/>
      <c r="AE603" s="109"/>
      <c r="AF603" s="109"/>
      <c r="AG603" s="109"/>
      <c r="AH603" s="109"/>
      <c r="AI603" s="109"/>
      <c r="AJ603" s="109"/>
      <c r="AK603" s="109"/>
      <c r="AL603" s="109"/>
      <c r="AM603" s="109"/>
      <c r="AN603" s="109"/>
      <c r="AO603" s="109"/>
      <c r="AP603" s="109"/>
      <c r="AT603" s="149" t="s">
        <v>1474</v>
      </c>
      <c r="AU603" s="94" t="s">
        <v>1842</v>
      </c>
    </row>
    <row r="604" spans="1:47" ht="21" customHeight="1" x14ac:dyDescent="0.35">
      <c r="A604" s="260"/>
      <c r="B604" s="98" t="s">
        <v>17</v>
      </c>
      <c r="C604" s="100" t="s">
        <v>1475</v>
      </c>
      <c r="D604" s="105" t="s">
        <v>1476</v>
      </c>
      <c r="E604" s="99">
        <v>46134</v>
      </c>
      <c r="F604" s="102">
        <f t="shared" ref="F604:F608" si="26">(K604+G604+H604+I604-J604)</f>
        <v>0</v>
      </c>
      <c r="G604" s="150">
        <f>SUMIF(积分汇总!$B:$B,C604,积分汇总!$E:$E)</f>
        <v>0</v>
      </c>
      <c r="H604" s="150">
        <f>SUMIF(记录巡查问题条数汇总!$B:$B,C604,记录巡查问题条数汇总!$E:$E)</f>
        <v>0</v>
      </c>
      <c r="I604" s="150"/>
      <c r="J604" s="150">
        <f>SUMIF(安全质量事故!$B:$B,C604,安全质量事故!$G:$G)</f>
        <v>0</v>
      </c>
      <c r="K604" s="141">
        <f>COUNTIF(L604:AP604,标准数据!$A$2)*标准数据!$B$2+COUNTIF(L604:AP604,标准数据!$A$3)*标准数据!$B$3+COUNTIF(L604:AP604,标准数据!$A$4)*标准数据!$B$4</f>
        <v>0</v>
      </c>
      <c r="L604" s="109"/>
      <c r="M604" s="109"/>
      <c r="N604" s="109"/>
      <c r="O604" s="109"/>
      <c r="P604" s="109"/>
      <c r="Q604" s="109"/>
      <c r="R604" s="109"/>
      <c r="S604" s="109"/>
      <c r="T604" s="109"/>
      <c r="U604" s="109"/>
      <c r="V604" s="109"/>
      <c r="W604" s="109"/>
      <c r="X604" s="109"/>
      <c r="Y604" s="109"/>
      <c r="Z604" s="109"/>
      <c r="AA604" s="109"/>
      <c r="AB604" s="109"/>
      <c r="AC604" s="109"/>
      <c r="AD604" s="109"/>
      <c r="AE604" s="109"/>
      <c r="AF604" s="109"/>
      <c r="AG604" s="109"/>
      <c r="AH604" s="109"/>
      <c r="AI604" s="109"/>
      <c r="AJ604" s="109"/>
      <c r="AK604" s="109"/>
      <c r="AL604" s="109"/>
      <c r="AM604" s="109"/>
      <c r="AN604" s="109"/>
      <c r="AO604" s="109"/>
      <c r="AP604" s="109"/>
      <c r="AT604" s="149" t="s">
        <v>1476</v>
      </c>
      <c r="AU604" s="94" t="s">
        <v>1842</v>
      </c>
    </row>
    <row r="605" spans="1:47" ht="21" customHeight="1" x14ac:dyDescent="0.35">
      <c r="A605" s="260"/>
      <c r="B605" s="98" t="s">
        <v>17</v>
      </c>
      <c r="C605" s="100" t="s">
        <v>1477</v>
      </c>
      <c r="D605" s="105" t="s">
        <v>1478</v>
      </c>
      <c r="E605" s="99">
        <v>46134</v>
      </c>
      <c r="F605" s="102">
        <f t="shared" si="26"/>
        <v>0</v>
      </c>
      <c r="G605" s="150">
        <f>SUMIF(积分汇总!$B:$B,C605,积分汇总!$E:$E)</f>
        <v>0</v>
      </c>
      <c r="H605" s="150">
        <f>SUMIF(记录巡查问题条数汇总!$B:$B,C605,记录巡查问题条数汇总!$E:$E)</f>
        <v>0</v>
      </c>
      <c r="I605" s="150"/>
      <c r="J605" s="150">
        <f>SUMIF(安全质量事故!$B:$B,C605,安全质量事故!$G:$G)</f>
        <v>0</v>
      </c>
      <c r="K605" s="141">
        <f>COUNTIF(L605:AP605,标准数据!$A$2)*标准数据!$B$2+COUNTIF(L605:AP605,标准数据!$A$3)*标准数据!$B$3+COUNTIF(L605:AP605,标准数据!$A$4)*标准数据!$B$4</f>
        <v>0</v>
      </c>
      <c r="L605" s="109"/>
      <c r="M605" s="109"/>
      <c r="N605" s="109"/>
      <c r="O605" s="109"/>
      <c r="P605" s="109"/>
      <c r="Q605" s="109"/>
      <c r="R605" s="109"/>
      <c r="S605" s="109"/>
      <c r="T605" s="109"/>
      <c r="U605" s="109"/>
      <c r="V605" s="109"/>
      <c r="W605" s="109"/>
      <c r="X605" s="109"/>
      <c r="Y605" s="109"/>
      <c r="Z605" s="109"/>
      <c r="AA605" s="109"/>
      <c r="AB605" s="109"/>
      <c r="AC605" s="109"/>
      <c r="AD605" s="109"/>
      <c r="AE605" s="109"/>
      <c r="AF605" s="109"/>
      <c r="AG605" s="109"/>
      <c r="AH605" s="109"/>
      <c r="AI605" s="109"/>
      <c r="AJ605" s="109"/>
      <c r="AK605" s="109"/>
      <c r="AL605" s="109"/>
      <c r="AM605" s="109"/>
      <c r="AN605" s="109"/>
      <c r="AO605" s="109"/>
      <c r="AP605" s="109"/>
      <c r="AT605" s="149" t="s">
        <v>1478</v>
      </c>
      <c r="AU605" s="94" t="s">
        <v>1842</v>
      </c>
    </row>
    <row r="606" spans="1:47" ht="21" customHeight="1" x14ac:dyDescent="0.35">
      <c r="A606" s="260"/>
      <c r="B606" s="98" t="s">
        <v>17</v>
      </c>
      <c r="C606" s="100" t="s">
        <v>1479</v>
      </c>
      <c r="D606" s="105" t="s">
        <v>1480</v>
      </c>
      <c r="E606" s="99">
        <v>46134</v>
      </c>
      <c r="F606" s="102">
        <f t="shared" si="26"/>
        <v>0</v>
      </c>
      <c r="G606" s="150">
        <f>SUMIF(积分汇总!$B:$B,C606,积分汇总!$E:$E)</f>
        <v>0</v>
      </c>
      <c r="H606" s="150">
        <f>SUMIF(记录巡查问题条数汇总!$B:$B,C606,记录巡查问题条数汇总!$E:$E)</f>
        <v>0</v>
      </c>
      <c r="I606" s="150"/>
      <c r="J606" s="150">
        <f>SUMIF(安全质量事故!$B:$B,C606,安全质量事故!$G:$G)</f>
        <v>0</v>
      </c>
      <c r="K606" s="141">
        <f>COUNTIF(L606:AP606,标准数据!$A$2)*标准数据!$B$2+COUNTIF(L606:AP606,标准数据!$A$3)*标准数据!$B$3+COUNTIF(L606:AP606,标准数据!$A$4)*标准数据!$B$4</f>
        <v>0</v>
      </c>
      <c r="L606" s="109"/>
      <c r="M606" s="109"/>
      <c r="N606" s="109"/>
      <c r="O606" s="109"/>
      <c r="P606" s="109"/>
      <c r="Q606" s="109"/>
      <c r="R606" s="109"/>
      <c r="S606" s="109"/>
      <c r="T606" s="109"/>
      <c r="U606" s="109"/>
      <c r="V606" s="109"/>
      <c r="W606" s="109"/>
      <c r="X606" s="109"/>
      <c r="Y606" s="109"/>
      <c r="Z606" s="109"/>
      <c r="AA606" s="109"/>
      <c r="AB606" s="109"/>
      <c r="AC606" s="109"/>
      <c r="AD606" s="109"/>
      <c r="AE606" s="109"/>
      <c r="AF606" s="109"/>
      <c r="AG606" s="109"/>
      <c r="AH606" s="109"/>
      <c r="AI606" s="109"/>
      <c r="AJ606" s="109"/>
      <c r="AK606" s="109"/>
      <c r="AL606" s="109"/>
      <c r="AM606" s="109"/>
      <c r="AN606" s="109"/>
      <c r="AO606" s="109"/>
      <c r="AP606" s="109"/>
      <c r="AT606" s="149" t="s">
        <v>1480</v>
      </c>
      <c r="AU606" s="94" t="s">
        <v>1842</v>
      </c>
    </row>
    <row r="607" spans="1:47" ht="21" customHeight="1" x14ac:dyDescent="0.35">
      <c r="A607" s="260"/>
      <c r="B607" s="98" t="s">
        <v>17</v>
      </c>
      <c r="C607" s="99" t="s">
        <v>1481</v>
      </c>
      <c r="D607" s="100" t="s">
        <v>1482</v>
      </c>
      <c r="E607" s="101">
        <v>46134</v>
      </c>
      <c r="F607" s="102">
        <f t="shared" si="26"/>
        <v>0</v>
      </c>
      <c r="G607" s="150">
        <f>SUMIF(积分汇总!$B:$B,C607,积分汇总!$E:$E)</f>
        <v>0</v>
      </c>
      <c r="H607" s="150">
        <f>SUMIF(记录巡查问题条数汇总!$B:$B,C607,记录巡查问题条数汇总!$E:$E)</f>
        <v>0</v>
      </c>
      <c r="I607" s="150"/>
      <c r="J607" s="150">
        <f>SUMIF(安全质量事故!$B:$B,C607,安全质量事故!$G:$G)</f>
        <v>0</v>
      </c>
      <c r="K607" s="141">
        <f>COUNTIF(L607:AP607,标准数据!$A$2)*标准数据!$B$2+COUNTIF(L607:AP607,标准数据!$A$3)*标准数据!$B$3+COUNTIF(L607:AP607,标准数据!$A$4)*标准数据!$B$4</f>
        <v>0</v>
      </c>
      <c r="L607" s="109"/>
      <c r="M607" s="109"/>
      <c r="N607" s="109"/>
      <c r="O607" s="109"/>
      <c r="P607" s="109"/>
      <c r="Q607" s="109"/>
      <c r="R607" s="109"/>
      <c r="S607" s="109"/>
      <c r="T607" s="109"/>
      <c r="U607" s="109"/>
      <c r="V607" s="109"/>
      <c r="W607" s="109"/>
      <c r="X607" s="109"/>
      <c r="Y607" s="109"/>
      <c r="Z607" s="109"/>
      <c r="AA607" s="109"/>
      <c r="AB607" s="109"/>
      <c r="AC607" s="109"/>
      <c r="AD607" s="109"/>
      <c r="AE607" s="109"/>
      <c r="AF607" s="109"/>
      <c r="AG607" s="109"/>
      <c r="AH607" s="109"/>
      <c r="AI607" s="109"/>
      <c r="AJ607" s="109"/>
      <c r="AK607" s="109"/>
      <c r="AL607" s="109"/>
      <c r="AM607" s="109"/>
      <c r="AN607" s="109"/>
      <c r="AO607" s="109"/>
      <c r="AP607" s="109"/>
      <c r="AT607" s="149" t="s">
        <v>1482</v>
      </c>
      <c r="AU607" s="94" t="s">
        <v>1842</v>
      </c>
    </row>
    <row r="608" spans="1:47" s="104" customFormat="1" ht="21" customHeight="1" x14ac:dyDescent="0.35">
      <c r="A608" s="260"/>
      <c r="B608" s="98" t="s">
        <v>17</v>
      </c>
      <c r="C608" s="99" t="s">
        <v>1483</v>
      </c>
      <c r="D608" s="100" t="s">
        <v>1484</v>
      </c>
      <c r="E608" s="101">
        <v>46139</v>
      </c>
      <c r="F608" s="102">
        <f t="shared" si="26"/>
        <v>0</v>
      </c>
      <c r="G608" s="150">
        <f>SUMIF(积分汇总!$B:$B,C608,积分汇总!$E:$E)</f>
        <v>0</v>
      </c>
      <c r="H608" s="150">
        <f>SUMIF(记录巡查问题条数汇总!$B:$B,C608,记录巡查问题条数汇总!$E:$E)</f>
        <v>0</v>
      </c>
      <c r="I608" s="150"/>
      <c r="J608" s="150">
        <f>SUMIF(安全质量事故!$B:$B,C608,安全质量事故!$G:$G)</f>
        <v>0</v>
      </c>
      <c r="K608" s="141">
        <f>COUNTIF(L608:AP608,标准数据!$A$2)*标准数据!$B$2+COUNTIF(L608:AP608,标准数据!$A$3)*标准数据!$B$3+COUNTIF(L608:AP608,标准数据!$A$4)*标准数据!$B$4</f>
        <v>0</v>
      </c>
      <c r="L608" s="109"/>
      <c r="M608" s="109"/>
      <c r="N608" s="109"/>
      <c r="O608" s="109"/>
      <c r="P608" s="109"/>
      <c r="Q608" s="109"/>
      <c r="R608" s="109"/>
      <c r="S608" s="109"/>
      <c r="T608" s="109"/>
      <c r="U608" s="109"/>
      <c r="V608" s="109"/>
      <c r="W608" s="109"/>
      <c r="X608" s="109"/>
      <c r="Y608" s="109"/>
      <c r="Z608" s="185"/>
      <c r="AA608" s="185"/>
      <c r="AB608" s="185"/>
      <c r="AC608" s="185"/>
      <c r="AD608" s="185"/>
      <c r="AE608" s="185"/>
      <c r="AF608" s="185"/>
      <c r="AG608" s="185"/>
      <c r="AH608" s="185"/>
      <c r="AI608" s="185"/>
      <c r="AJ608" s="185"/>
      <c r="AK608" s="185"/>
      <c r="AL608" s="185"/>
      <c r="AM608" s="185"/>
      <c r="AN608" s="185"/>
      <c r="AO608" s="185"/>
      <c r="AP608" s="185"/>
      <c r="AT608" s="149" t="s">
        <v>1484</v>
      </c>
      <c r="AU608" s="94" t="s">
        <v>1842</v>
      </c>
    </row>
    <row r="609" spans="1:47" s="104" customFormat="1" ht="21" customHeight="1" x14ac:dyDescent="0.35">
      <c r="A609" s="260"/>
      <c r="B609" s="98" t="s">
        <v>17</v>
      </c>
      <c r="C609" s="99" t="s">
        <v>1545</v>
      </c>
      <c r="D609" s="100" t="s">
        <v>1546</v>
      </c>
      <c r="E609" s="101">
        <v>46155</v>
      </c>
      <c r="F609" s="102">
        <f t="shared" ref="F609:F612" si="27">(K609+G609+H609+I609-J609)</f>
        <v>0</v>
      </c>
      <c r="G609" s="150">
        <f>SUMIF(积分汇总!$B:$B,C609,积分汇总!$E:$E)</f>
        <v>0</v>
      </c>
      <c r="H609" s="150">
        <f>SUMIF(记录巡查问题条数汇总!$B:$B,C609,记录巡查问题条数汇总!$E:$E)</f>
        <v>0</v>
      </c>
      <c r="I609" s="150"/>
      <c r="J609" s="150">
        <f>SUMIF(安全质量事故!$B:$B,C609,安全质量事故!$G:$G)</f>
        <v>0</v>
      </c>
      <c r="K609" s="141">
        <f>COUNTIF(L609:AP609,标准数据!$A$2)*标准数据!$B$2+COUNTIF(L609:AP609,标准数据!$A$3)*标准数据!$B$3+COUNTIF(L609:AP609,标准数据!$A$4)*标准数据!$B$4</f>
        <v>0</v>
      </c>
      <c r="L609" s="109"/>
      <c r="M609" s="109"/>
      <c r="N609" s="109"/>
      <c r="O609" s="109"/>
      <c r="P609" s="109"/>
      <c r="Q609" s="109"/>
      <c r="R609" s="109"/>
      <c r="S609" s="109"/>
      <c r="T609" s="109"/>
      <c r="U609" s="109"/>
      <c r="V609" s="109"/>
      <c r="W609" s="109"/>
      <c r="X609" s="109"/>
      <c r="Y609" s="109"/>
      <c r="Z609" s="185"/>
      <c r="AA609" s="185"/>
      <c r="AB609" s="185"/>
      <c r="AC609" s="185"/>
      <c r="AD609" s="185"/>
      <c r="AE609" s="185"/>
      <c r="AF609" s="185"/>
      <c r="AG609" s="185"/>
      <c r="AH609" s="185"/>
      <c r="AI609" s="185"/>
      <c r="AJ609" s="185"/>
      <c r="AK609" s="185"/>
      <c r="AL609" s="185"/>
      <c r="AM609" s="185"/>
      <c r="AN609" s="185"/>
      <c r="AO609" s="185"/>
      <c r="AP609" s="185"/>
      <c r="AQ609" s="26" t="s">
        <v>1609</v>
      </c>
      <c r="AT609" s="149" t="s">
        <v>1546</v>
      </c>
      <c r="AU609" s="94" t="s">
        <v>1609</v>
      </c>
    </row>
    <row r="610" spans="1:47" ht="21" customHeight="1" x14ac:dyDescent="0.35">
      <c r="A610" s="260"/>
      <c r="B610" s="98" t="s">
        <v>17</v>
      </c>
      <c r="C610" s="99" t="s">
        <v>534</v>
      </c>
      <c r="D610" s="100" t="s">
        <v>495</v>
      </c>
      <c r="E610" s="101">
        <v>45847</v>
      </c>
      <c r="F610" s="102">
        <f t="shared" si="27"/>
        <v>0</v>
      </c>
      <c r="G610" s="150">
        <f>SUMIF(积分汇总!$B:$B,C610,积分汇总!$E:$E)</f>
        <v>0</v>
      </c>
      <c r="H610" s="150">
        <f>SUMIF(记录巡查问题条数汇总!$B:$B,C610,记录巡查问题条数汇总!$E:$E)</f>
        <v>0</v>
      </c>
      <c r="I610" s="150"/>
      <c r="J610" s="150">
        <f>SUMIF(安全质量事故!$B:$B,C610,安全质量事故!$G:$G)</f>
        <v>0</v>
      </c>
      <c r="K610" s="141">
        <f>COUNTIF(L610:AP610,标准数据!$A$2)*标准数据!$B$2+COUNTIF(L610:AP610,标准数据!$A$3)*标准数据!$B$3+COUNTIF(L610:AP610,标准数据!$A$4)*标准数据!$B$4</f>
        <v>0</v>
      </c>
      <c r="L610" s="185"/>
      <c r="M610" s="185"/>
      <c r="N610" s="185"/>
      <c r="O610" s="185"/>
      <c r="P610" s="185"/>
      <c r="Q610" s="185"/>
      <c r="R610" s="185"/>
      <c r="S610" s="185"/>
      <c r="T610" s="185"/>
      <c r="U610" s="185"/>
      <c r="V610" s="185"/>
      <c r="W610" s="185"/>
      <c r="X610" s="185"/>
      <c r="Y610" s="185"/>
      <c r="Z610" s="185"/>
      <c r="AA610" s="185"/>
      <c r="AB610" s="185"/>
      <c r="AC610" s="185"/>
      <c r="AD610" s="185"/>
      <c r="AE610" s="185"/>
      <c r="AF610" s="185"/>
      <c r="AG610" s="185"/>
      <c r="AH610" s="185"/>
      <c r="AI610" s="185"/>
      <c r="AJ610" s="185"/>
      <c r="AK610" s="185"/>
      <c r="AL610" s="185"/>
      <c r="AM610" s="183"/>
      <c r="AN610" s="183"/>
      <c r="AO610" s="183"/>
      <c r="AP610" s="183"/>
      <c r="AQ610" s="103" t="e">
        <f>AQ609/($AQ$633+$AR$633+$AS$633)</f>
        <v>#VALUE!</v>
      </c>
      <c r="AR610" s="113" t="e">
        <f>AR609/($AQ$633+$AR$633+$AS$633)</f>
        <v>#DIV/0!</v>
      </c>
      <c r="AS610" s="113" t="e">
        <f>AS609/($AQ$633+$AR$633+$AS$633)</f>
        <v>#DIV/0!</v>
      </c>
      <c r="AT610" s="149" t="s">
        <v>495</v>
      </c>
      <c r="AU610" s="94" t="s">
        <v>1839</v>
      </c>
    </row>
    <row r="611" spans="1:47" ht="21" customHeight="1" x14ac:dyDescent="0.35">
      <c r="A611" s="260"/>
      <c r="B611" s="98" t="s">
        <v>17</v>
      </c>
      <c r="C611" s="99" t="s">
        <v>941</v>
      </c>
      <c r="D611" s="105" t="s">
        <v>883</v>
      </c>
      <c r="E611" s="101">
        <v>45994</v>
      </c>
      <c r="F611" s="102">
        <f t="shared" si="27"/>
        <v>0</v>
      </c>
      <c r="G611" s="150">
        <f>SUMIF(积分汇总!$B:$B,C611,积分汇总!$E:$E)</f>
        <v>0</v>
      </c>
      <c r="H611" s="150">
        <f>SUMIF(记录巡查问题条数汇总!$B:$B,C611,记录巡查问题条数汇总!$E:$E)</f>
        <v>0</v>
      </c>
      <c r="I611" s="150"/>
      <c r="J611" s="150">
        <f>SUMIF(安全质量事故!$B:$B,C611,安全质量事故!$G:$G)</f>
        <v>0</v>
      </c>
      <c r="K611" s="141">
        <f>COUNTIF(L611:AP611,标准数据!$A$2)*标准数据!$B$2+COUNTIF(L611:AP611,标准数据!$A$3)*标准数据!$B$3+COUNTIF(L611:AP611,标准数据!$A$4)*标准数据!$B$4</f>
        <v>0</v>
      </c>
      <c r="L611" s="185"/>
      <c r="M611" s="185"/>
      <c r="N611" s="185"/>
      <c r="O611" s="185"/>
      <c r="P611" s="185"/>
      <c r="Q611" s="185"/>
      <c r="R611" s="185"/>
      <c r="S611" s="185"/>
      <c r="T611" s="185"/>
      <c r="U611" s="185"/>
      <c r="V611" s="185"/>
      <c r="W611" s="185"/>
      <c r="X611" s="185"/>
      <c r="Y611" s="185"/>
      <c r="Z611" s="185"/>
      <c r="AA611" s="185"/>
      <c r="AB611" s="185"/>
      <c r="AC611" s="185"/>
      <c r="AD611" s="185"/>
      <c r="AE611" s="185"/>
      <c r="AF611" s="185"/>
      <c r="AG611" s="185"/>
      <c r="AH611" s="185"/>
      <c r="AI611" s="185"/>
      <c r="AJ611" s="185"/>
      <c r="AK611" s="185"/>
      <c r="AL611" s="185"/>
      <c r="AM611" s="185"/>
      <c r="AN611" s="185"/>
      <c r="AO611" s="185"/>
      <c r="AP611" s="185"/>
      <c r="AT611" s="149" t="s">
        <v>883</v>
      </c>
      <c r="AU611" s="94" t="s">
        <v>1839</v>
      </c>
    </row>
    <row r="612" spans="1:47" ht="21" customHeight="1" x14ac:dyDescent="0.35">
      <c r="A612" s="260"/>
      <c r="B612" s="98" t="s">
        <v>17</v>
      </c>
      <c r="C612" s="99" t="s">
        <v>942</v>
      </c>
      <c r="D612" s="105" t="s">
        <v>884</v>
      </c>
      <c r="E612" s="101">
        <v>45994</v>
      </c>
      <c r="F612" s="102">
        <f t="shared" si="27"/>
        <v>0</v>
      </c>
      <c r="G612" s="150">
        <f>SUMIF(积分汇总!$B:$B,C612,积分汇总!$E:$E)</f>
        <v>0</v>
      </c>
      <c r="H612" s="150">
        <f>SUMIF(记录巡查问题条数汇总!$B:$B,C612,记录巡查问题条数汇总!$E:$E)</f>
        <v>0</v>
      </c>
      <c r="I612" s="150"/>
      <c r="J612" s="150">
        <f>SUMIF(安全质量事故!$B:$B,C612,安全质量事故!$G:$G)</f>
        <v>0</v>
      </c>
      <c r="K612" s="141">
        <f>COUNTIF(L612:AP612,标准数据!$A$2)*标准数据!$B$2+COUNTIF(L612:AP612,标准数据!$A$3)*标准数据!$B$3+COUNTIF(L612:AP612,标准数据!$A$4)*标准数据!$B$4</f>
        <v>0</v>
      </c>
      <c r="L612" s="185"/>
      <c r="M612" s="185"/>
      <c r="N612" s="185"/>
      <c r="O612" s="185"/>
      <c r="P612" s="185"/>
      <c r="Q612" s="185"/>
      <c r="R612" s="185"/>
      <c r="S612" s="185"/>
      <c r="T612" s="185"/>
      <c r="U612" s="185"/>
      <c r="V612" s="185"/>
      <c r="W612" s="185"/>
      <c r="X612" s="185"/>
      <c r="Y612" s="185"/>
      <c r="Z612" s="185"/>
      <c r="AA612" s="185"/>
      <c r="AB612" s="185"/>
      <c r="AC612" s="185"/>
      <c r="AD612" s="185"/>
      <c r="AE612" s="185"/>
      <c r="AF612" s="185"/>
      <c r="AG612" s="185"/>
      <c r="AH612" s="185"/>
      <c r="AI612" s="185"/>
      <c r="AJ612" s="185"/>
      <c r="AK612" s="185"/>
      <c r="AL612" s="185"/>
      <c r="AM612" s="185"/>
      <c r="AN612" s="185"/>
      <c r="AO612" s="185"/>
      <c r="AP612" s="185"/>
      <c r="AT612" s="149" t="s">
        <v>884</v>
      </c>
      <c r="AU612" s="94" t="s">
        <v>1839</v>
      </c>
    </row>
    <row r="613" spans="1:47" ht="21" customHeight="1" x14ac:dyDescent="0.35">
      <c r="A613" s="260"/>
      <c r="B613" s="98" t="s">
        <v>17</v>
      </c>
      <c r="C613" s="216" t="s">
        <v>1633</v>
      </c>
      <c r="D613" s="215" t="s">
        <v>1634</v>
      </c>
      <c r="E613" s="214">
        <v>45952</v>
      </c>
      <c r="F613" s="102">
        <f t="shared" si="25"/>
        <v>0</v>
      </c>
      <c r="G613" s="150">
        <f>SUMIF(积分汇总!$B:$B,C613,积分汇总!$E:$E)</f>
        <v>0</v>
      </c>
      <c r="H613" s="150">
        <f>SUMIF(记录巡查问题条数汇总!$B:$B,C613,记录巡查问题条数汇总!$E:$E)</f>
        <v>0</v>
      </c>
      <c r="I613" s="150"/>
      <c r="J613" s="150">
        <f>SUMIF(安全质量事故!$B:$B,C613,安全质量事故!$G:$G)</f>
        <v>0</v>
      </c>
      <c r="K613" s="141">
        <f>COUNTIF(L613:AP613,标准数据!$A$2)*标准数据!$B$2+COUNTIF(L613:AP613,标准数据!$A$3)*标准数据!$B$3+COUNTIF(L613:AP613,标准数据!$A$4)*标准数据!$B$4</f>
        <v>0</v>
      </c>
      <c r="L613" s="224"/>
      <c r="M613" s="185"/>
      <c r="N613" s="185"/>
      <c r="O613" s="185"/>
      <c r="P613" s="185"/>
      <c r="Q613" s="185"/>
      <c r="R613" s="185"/>
      <c r="S613" s="185"/>
      <c r="T613" s="185"/>
      <c r="U613" s="185"/>
      <c r="V613" s="185"/>
      <c r="W613" s="185"/>
      <c r="X613" s="109"/>
      <c r="Y613" s="109"/>
      <c r="Z613" s="109"/>
      <c r="AA613" s="109"/>
      <c r="AB613" s="109"/>
      <c r="AC613" s="109"/>
      <c r="AD613" s="109"/>
      <c r="AE613" s="109"/>
      <c r="AF613" s="109"/>
      <c r="AG613" s="109"/>
      <c r="AH613" s="109"/>
      <c r="AI613" s="109"/>
      <c r="AJ613" s="109"/>
      <c r="AK613" s="109"/>
      <c r="AL613" s="109"/>
      <c r="AM613" s="109"/>
      <c r="AN613" s="109"/>
      <c r="AO613" s="109"/>
      <c r="AP613" s="109"/>
      <c r="AQ613" s="175" t="s">
        <v>1643</v>
      </c>
      <c r="AT613" s="149" t="s">
        <v>1634</v>
      </c>
      <c r="AU613" s="94" t="s">
        <v>1847</v>
      </c>
    </row>
    <row r="614" spans="1:47" ht="21" customHeight="1" x14ac:dyDescent="0.35">
      <c r="A614" s="260"/>
      <c r="B614" s="98" t="s">
        <v>17</v>
      </c>
      <c r="C614" s="216" t="s">
        <v>1635</v>
      </c>
      <c r="D614" s="215" t="s">
        <v>1636</v>
      </c>
      <c r="E614" s="214">
        <v>46176</v>
      </c>
      <c r="F614" s="102">
        <f t="shared" si="25"/>
        <v>0</v>
      </c>
      <c r="G614" s="150">
        <f>SUMIF(积分汇总!$B:$B,C614,积分汇总!$E:$E)</f>
        <v>0</v>
      </c>
      <c r="H614" s="150">
        <f>SUMIF(记录巡查问题条数汇总!$B:$B,C614,记录巡查问题条数汇总!$E:$E)</f>
        <v>0</v>
      </c>
      <c r="I614" s="150"/>
      <c r="J614" s="150">
        <f>SUMIF(安全质量事故!$B:$B,C614,安全质量事故!$G:$G)</f>
        <v>0</v>
      </c>
      <c r="K614" s="141">
        <f>COUNTIF(L614:AP614,标准数据!$A$2)*标准数据!$B$2+COUNTIF(L614:AP614,标准数据!$A$3)*标准数据!$B$3+COUNTIF(L614:AP614,标准数据!$A$4)*标准数据!$B$4</f>
        <v>0</v>
      </c>
      <c r="L614" s="185"/>
      <c r="M614" s="185"/>
      <c r="N614" s="109"/>
      <c r="O614" s="109"/>
      <c r="P614" s="109"/>
      <c r="Q614" s="109"/>
      <c r="R614" s="109"/>
      <c r="S614" s="109"/>
      <c r="T614" s="109"/>
      <c r="U614" s="109"/>
      <c r="V614" s="109"/>
      <c r="W614" s="109"/>
      <c r="X614" s="109"/>
      <c r="Y614" s="109"/>
      <c r="Z614" s="109"/>
      <c r="AA614" s="109"/>
      <c r="AB614" s="109"/>
      <c r="AC614" s="109"/>
      <c r="AD614" s="109"/>
      <c r="AE614" s="109"/>
      <c r="AF614" s="109"/>
      <c r="AG614" s="109"/>
      <c r="AH614" s="109"/>
      <c r="AI614" s="109"/>
      <c r="AJ614" s="109"/>
      <c r="AK614" s="109"/>
      <c r="AL614" s="109"/>
      <c r="AM614" s="109"/>
      <c r="AN614" s="109"/>
      <c r="AO614" s="109"/>
      <c r="AP614" s="109"/>
      <c r="AT614" s="149" t="s">
        <v>1636</v>
      </c>
      <c r="AU614" s="94" t="s">
        <v>1847</v>
      </c>
    </row>
    <row r="615" spans="1:47" ht="21" customHeight="1" x14ac:dyDescent="0.35">
      <c r="A615" s="260"/>
      <c r="B615" s="98" t="s">
        <v>17</v>
      </c>
      <c r="C615" s="216" t="s">
        <v>1637</v>
      </c>
      <c r="D615" s="215" t="s">
        <v>1638</v>
      </c>
      <c r="E615" s="214">
        <v>46167</v>
      </c>
      <c r="F615" s="102">
        <f t="shared" si="25"/>
        <v>0</v>
      </c>
      <c r="G615" s="150">
        <f>SUMIF(积分汇总!$B:$B,C615,积分汇总!$E:$E)</f>
        <v>0</v>
      </c>
      <c r="H615" s="150">
        <f>SUMIF(记录巡查问题条数汇总!$B:$B,C615,记录巡查问题条数汇总!$E:$E)</f>
        <v>0</v>
      </c>
      <c r="I615" s="150"/>
      <c r="J615" s="150">
        <f>SUMIF(安全质量事故!$B:$B,C615,安全质量事故!$G:$G)</f>
        <v>0</v>
      </c>
      <c r="K615" s="141">
        <f>COUNTIF(L615:AP615,标准数据!$A$2)*标准数据!$B$2+COUNTIF(L615:AP615,标准数据!$A$3)*标准数据!$B$3+COUNTIF(L615:AP615,标准数据!$A$4)*标准数据!$B$4</f>
        <v>0</v>
      </c>
      <c r="L615" s="109"/>
      <c r="M615" s="109"/>
      <c r="N615" s="109"/>
      <c r="O615" s="109"/>
      <c r="P615" s="109"/>
      <c r="Q615" s="109"/>
      <c r="R615" s="109"/>
      <c r="S615" s="109"/>
      <c r="T615" s="109"/>
      <c r="U615" s="109"/>
      <c r="V615" s="109"/>
      <c r="W615" s="109"/>
      <c r="X615" s="109"/>
      <c r="Y615" s="109"/>
      <c r="Z615" s="109"/>
      <c r="AA615" s="109"/>
      <c r="AB615" s="109"/>
      <c r="AC615" s="109"/>
      <c r="AD615" s="109"/>
      <c r="AE615" s="109"/>
      <c r="AF615" s="109"/>
      <c r="AG615" s="109"/>
      <c r="AH615" s="109"/>
      <c r="AI615" s="109"/>
      <c r="AJ615" s="109"/>
      <c r="AK615" s="109"/>
      <c r="AL615" s="109"/>
      <c r="AM615" s="109"/>
      <c r="AN615" s="109"/>
      <c r="AO615" s="109"/>
      <c r="AP615" s="109"/>
      <c r="AT615" s="149" t="s">
        <v>1638</v>
      </c>
      <c r="AU615" s="94" t="s">
        <v>1609</v>
      </c>
    </row>
    <row r="616" spans="1:47" ht="21" customHeight="1" x14ac:dyDescent="0.35">
      <c r="A616" s="260"/>
      <c r="B616" s="98" t="s">
        <v>17</v>
      </c>
      <c r="C616" s="214" t="s">
        <v>1639</v>
      </c>
      <c r="D616" s="216" t="s">
        <v>1640</v>
      </c>
      <c r="E616" s="217">
        <v>46183</v>
      </c>
      <c r="F616" s="102">
        <f t="shared" si="25"/>
        <v>0</v>
      </c>
      <c r="G616" s="150">
        <f>SUMIF(积分汇总!$B:$B,C616,积分汇总!$E:$E)</f>
        <v>0</v>
      </c>
      <c r="H616" s="150">
        <f>SUMIF(记录巡查问题条数汇总!$B:$B,C616,记录巡查问题条数汇总!$E:$E)</f>
        <v>0</v>
      </c>
      <c r="I616" s="150"/>
      <c r="J616" s="150">
        <f>SUMIF(安全质量事故!$B:$B,C616,安全质量事故!$G:$G)</f>
        <v>0</v>
      </c>
      <c r="K616" s="141">
        <f>COUNTIF(L616:AP616,标准数据!$A$2)*标准数据!$B$2+COUNTIF(L616:AP616,标准数据!$A$3)*标准数据!$B$3+COUNTIF(L616:AP616,标准数据!$A$4)*标准数据!$B$4</f>
        <v>0</v>
      </c>
      <c r="L616" s="185"/>
      <c r="M616" s="185"/>
      <c r="N616" s="185"/>
      <c r="O616" s="185"/>
      <c r="P616" s="185"/>
      <c r="Q616" s="185"/>
      <c r="R616" s="185"/>
      <c r="S616" s="185"/>
      <c r="T616" s="185"/>
      <c r="U616" s="109"/>
      <c r="V616" s="109"/>
      <c r="W616" s="109"/>
      <c r="X616" s="109"/>
      <c r="Y616" s="109"/>
      <c r="Z616" s="109"/>
      <c r="AA616" s="109"/>
      <c r="AB616" s="109"/>
      <c r="AC616" s="109"/>
      <c r="AD616" s="109"/>
      <c r="AE616" s="109"/>
      <c r="AF616" s="109"/>
      <c r="AG616" s="109"/>
      <c r="AH616" s="109"/>
      <c r="AI616" s="109"/>
      <c r="AJ616" s="109"/>
      <c r="AK616" s="109"/>
      <c r="AL616" s="109"/>
      <c r="AM616" s="109"/>
      <c r="AN616" s="109"/>
      <c r="AO616" s="109"/>
      <c r="AP616" s="109"/>
      <c r="AT616" s="149" t="s">
        <v>1640</v>
      </c>
      <c r="AU616" s="94" t="s">
        <v>1609</v>
      </c>
    </row>
    <row r="617" spans="1:47" s="104" customFormat="1" ht="21" customHeight="1" x14ac:dyDescent="0.35">
      <c r="A617" s="260"/>
      <c r="B617" s="98" t="s">
        <v>17</v>
      </c>
      <c r="C617" s="214" t="s">
        <v>1641</v>
      </c>
      <c r="D617" s="216" t="s">
        <v>1642</v>
      </c>
      <c r="E617" s="217">
        <v>46183</v>
      </c>
      <c r="F617" s="102">
        <f t="shared" si="25"/>
        <v>0</v>
      </c>
      <c r="G617" s="150">
        <f>SUMIF(积分汇总!$B:$B,C617,积分汇总!$E:$E)</f>
        <v>0</v>
      </c>
      <c r="H617" s="150">
        <f>SUMIF(记录巡查问题条数汇总!$B:$B,C617,记录巡查问题条数汇总!$E:$E)</f>
        <v>0</v>
      </c>
      <c r="I617" s="150"/>
      <c r="J617" s="150">
        <f>SUMIF(安全质量事故!$B:$B,C617,安全质量事故!$G:$G)</f>
        <v>0</v>
      </c>
      <c r="K617" s="141">
        <f>COUNTIF(L617:AP617,标准数据!$A$2)*标准数据!$B$2+COUNTIF(L617:AP617,标准数据!$A$3)*标准数据!$B$3+COUNTIF(L617:AP617,标准数据!$A$4)*标准数据!$B$4</f>
        <v>0</v>
      </c>
      <c r="L617" s="185"/>
      <c r="M617" s="185"/>
      <c r="N617" s="185"/>
      <c r="O617" s="185"/>
      <c r="P617" s="185"/>
      <c r="Q617" s="185"/>
      <c r="R617" s="185"/>
      <c r="S617" s="185"/>
      <c r="T617" s="185"/>
      <c r="U617" s="109"/>
      <c r="V617" s="109"/>
      <c r="W617" s="109"/>
      <c r="X617" s="109"/>
      <c r="Y617" s="109"/>
      <c r="Z617" s="185"/>
      <c r="AA617" s="185"/>
      <c r="AB617" s="185"/>
      <c r="AC617" s="185"/>
      <c r="AD617" s="185"/>
      <c r="AE617" s="185"/>
      <c r="AF617" s="185"/>
      <c r="AG617" s="185"/>
      <c r="AH617" s="185"/>
      <c r="AI617" s="185"/>
      <c r="AJ617" s="185"/>
      <c r="AK617" s="185"/>
      <c r="AL617" s="185"/>
      <c r="AM617" s="185"/>
      <c r="AN617" s="185"/>
      <c r="AO617" s="185"/>
      <c r="AP617" s="185"/>
      <c r="AT617" s="149" t="s">
        <v>1642</v>
      </c>
      <c r="AU617" s="94" t="s">
        <v>1609</v>
      </c>
    </row>
    <row r="618" spans="1:47" ht="21" customHeight="1" x14ac:dyDescent="0.35">
      <c r="A618" s="260"/>
      <c r="B618" s="98" t="s">
        <v>138</v>
      </c>
      <c r="C618" s="99" t="s">
        <v>524</v>
      </c>
      <c r="D618" s="100" t="s">
        <v>488</v>
      </c>
      <c r="E618" s="101">
        <v>45840</v>
      </c>
      <c r="F618" s="102">
        <f t="shared" si="25"/>
        <v>0</v>
      </c>
      <c r="G618" s="150">
        <f>SUMIF(积分汇总!$B:$B,C618,积分汇总!$E:$E)</f>
        <v>0</v>
      </c>
      <c r="H618" s="150">
        <f>SUMIF(记录巡查问题条数汇总!$B:$B,C618,记录巡查问题条数汇总!$E:$E)</f>
        <v>0</v>
      </c>
      <c r="I618" s="150"/>
      <c r="J618" s="150">
        <f>SUMIF(安全质量事故!$B:$B,C618,安全质量事故!$G:$G)</f>
        <v>0</v>
      </c>
      <c r="K618" s="141">
        <f>COUNTIF(L618:AP618,标准数据!$A$2)*标准数据!$B$2+COUNTIF(L618:AP618,标准数据!$A$3)*标准数据!$B$3+COUNTIF(L618:AP618,标准数据!$A$4)*标准数据!$B$4</f>
        <v>0</v>
      </c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9"/>
      <c r="Y618" s="109"/>
      <c r="Z618" s="109"/>
      <c r="AA618" s="109"/>
      <c r="AB618" s="109"/>
      <c r="AC618" s="109"/>
      <c r="AD618" s="109"/>
      <c r="AE618" s="109"/>
      <c r="AF618" s="109"/>
      <c r="AG618" s="109"/>
      <c r="AH618" s="109"/>
      <c r="AI618" s="109"/>
      <c r="AJ618" s="109"/>
      <c r="AK618" s="109"/>
      <c r="AL618" s="109"/>
      <c r="AM618" s="109"/>
      <c r="AN618" s="109"/>
      <c r="AO618" s="109"/>
      <c r="AP618" s="109"/>
      <c r="AQ618" s="94"/>
      <c r="AR618" s="94"/>
      <c r="AS618" s="94"/>
      <c r="AT618" s="149" t="s">
        <v>488</v>
      </c>
      <c r="AU618" s="94" t="s">
        <v>1842</v>
      </c>
    </row>
    <row r="619" spans="1:47" ht="21" customHeight="1" x14ac:dyDescent="0.35">
      <c r="A619" s="260"/>
      <c r="B619" s="98" t="s">
        <v>138</v>
      </c>
      <c r="C619" s="99" t="s">
        <v>537</v>
      </c>
      <c r="D619" s="100" t="s">
        <v>483</v>
      </c>
      <c r="E619" s="101">
        <v>45854</v>
      </c>
      <c r="F619" s="102">
        <f t="shared" si="25"/>
        <v>0</v>
      </c>
      <c r="G619" s="150">
        <f>SUMIF(积分汇总!$B:$B,C619,积分汇总!$E:$E)</f>
        <v>0</v>
      </c>
      <c r="H619" s="150">
        <f>SUMIF(记录巡查问题条数汇总!$B:$B,C619,记录巡查问题条数汇总!$E:$E)</f>
        <v>0</v>
      </c>
      <c r="I619" s="150"/>
      <c r="J619" s="150">
        <f>SUMIF(安全质量事故!$B:$B,C619,安全质量事故!$G:$G)</f>
        <v>0</v>
      </c>
      <c r="K619" s="141">
        <f>COUNTIF(L619:AP619,标准数据!$A$2)*标准数据!$B$2+COUNTIF(L619:AP619,标准数据!$A$3)*标准数据!$B$3+COUNTIF(L619:AP619,标准数据!$A$4)*标准数据!$B$4</f>
        <v>0</v>
      </c>
      <c r="L619" s="111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  <c r="AA619" s="108"/>
      <c r="AB619" s="108"/>
      <c r="AC619" s="108"/>
      <c r="AD619" s="108"/>
      <c r="AE619" s="108"/>
      <c r="AF619" s="108"/>
      <c r="AG619" s="108"/>
      <c r="AH619" s="108"/>
      <c r="AI619" s="108"/>
      <c r="AJ619" s="108"/>
      <c r="AK619" s="108"/>
      <c r="AL619" s="108"/>
      <c r="AM619" s="108"/>
      <c r="AN619" s="108"/>
      <c r="AO619" s="108"/>
      <c r="AP619" s="108"/>
      <c r="AQ619" s="94"/>
      <c r="AR619" s="94"/>
      <c r="AS619" s="94"/>
      <c r="AT619" s="149" t="s">
        <v>483</v>
      </c>
      <c r="AU619" s="94" t="s">
        <v>1842</v>
      </c>
    </row>
    <row r="620" spans="1:47" ht="21" customHeight="1" x14ac:dyDescent="0.35">
      <c r="A620" s="260"/>
      <c r="B620" s="98" t="s">
        <v>138</v>
      </c>
      <c r="C620" s="99" t="s">
        <v>806</v>
      </c>
      <c r="D620" s="100" t="s">
        <v>764</v>
      </c>
      <c r="E620" s="101">
        <v>45966</v>
      </c>
      <c r="F620" s="102">
        <f t="shared" si="25"/>
        <v>0</v>
      </c>
      <c r="G620" s="150">
        <f>SUMIF(积分汇总!$B:$B,C620,积分汇总!$E:$E)</f>
        <v>0</v>
      </c>
      <c r="H620" s="150">
        <f>SUMIF(记录巡查问题条数汇总!$B:$B,C620,记录巡查问题条数汇总!$E:$E)</f>
        <v>0</v>
      </c>
      <c r="I620" s="150"/>
      <c r="J620" s="150">
        <f>SUMIF(安全质量事故!$B:$B,C620,安全质量事故!$G:$G)</f>
        <v>0</v>
      </c>
      <c r="K620" s="141">
        <f>COUNTIF(L620:AP620,标准数据!$A$2)*标准数据!$B$2+COUNTIF(L620:AP620,标准数据!$A$3)*标准数据!$B$3+COUNTIF(L620:AP620,标准数据!$A$4)*标准数据!$B$4</f>
        <v>0</v>
      </c>
      <c r="L620" s="185"/>
      <c r="M620" s="185"/>
      <c r="N620" s="185"/>
      <c r="O620" s="185"/>
      <c r="P620" s="185"/>
      <c r="Q620" s="185"/>
      <c r="R620" s="185"/>
      <c r="S620" s="185"/>
      <c r="T620" s="185"/>
      <c r="U620" s="185"/>
      <c r="V620" s="185"/>
      <c r="W620" s="185"/>
      <c r="X620" s="109"/>
      <c r="Y620" s="109"/>
      <c r="Z620" s="109"/>
      <c r="AA620" s="109"/>
      <c r="AB620" s="109"/>
      <c r="AC620" s="109"/>
      <c r="AD620" s="109"/>
      <c r="AE620" s="109"/>
      <c r="AF620" s="109"/>
      <c r="AG620" s="109"/>
      <c r="AH620" s="109"/>
      <c r="AI620" s="109"/>
      <c r="AJ620" s="109"/>
      <c r="AK620" s="109"/>
      <c r="AL620" s="109"/>
      <c r="AM620" s="109"/>
      <c r="AN620" s="109"/>
      <c r="AO620" s="109"/>
      <c r="AP620" s="109"/>
      <c r="AT620" s="149" t="s">
        <v>764</v>
      </c>
      <c r="AU620" s="94" t="s">
        <v>1842</v>
      </c>
    </row>
    <row r="621" spans="1:47" ht="21" customHeight="1" x14ac:dyDescent="0.35">
      <c r="A621" s="260"/>
      <c r="B621" s="98" t="s">
        <v>138</v>
      </c>
      <c r="C621" s="99" t="s">
        <v>302</v>
      </c>
      <c r="D621" s="100" t="s">
        <v>288</v>
      </c>
      <c r="E621" s="101">
        <v>45537</v>
      </c>
      <c r="F621" s="102">
        <f t="shared" si="25"/>
        <v>0</v>
      </c>
      <c r="G621" s="150">
        <f>SUMIF(积分汇总!$B:$B,C621,积分汇总!$E:$E)</f>
        <v>0</v>
      </c>
      <c r="H621" s="150">
        <f>SUMIF(记录巡查问题条数汇总!$B:$B,C621,记录巡查问题条数汇总!$E:$E)</f>
        <v>0</v>
      </c>
      <c r="I621" s="150"/>
      <c r="J621" s="150">
        <f>SUMIF(安全质量事故!$B:$B,C621,安全质量事故!$G:$G)</f>
        <v>0</v>
      </c>
      <c r="K621" s="141">
        <f>COUNTIF(L621:AP621,标准数据!$A$2)*标准数据!$B$2+COUNTIF(L621:AP621,标准数据!$A$3)*标准数据!$B$3+COUNTIF(L621:AP621,标准数据!$A$4)*标准数据!$B$4</f>
        <v>0</v>
      </c>
      <c r="L621" s="109"/>
      <c r="M621" s="109"/>
      <c r="N621" s="109"/>
      <c r="O621" s="109"/>
      <c r="P621" s="109"/>
      <c r="Q621" s="109"/>
      <c r="R621" s="109"/>
      <c r="S621" s="109"/>
      <c r="T621" s="109"/>
      <c r="U621" s="109"/>
      <c r="V621" s="109"/>
      <c r="W621" s="109"/>
      <c r="X621" s="109"/>
      <c r="Y621" s="109"/>
      <c r="Z621" s="109"/>
      <c r="AA621" s="109"/>
      <c r="AB621" s="109"/>
      <c r="AC621" s="109"/>
      <c r="AD621" s="109"/>
      <c r="AE621" s="109"/>
      <c r="AF621" s="109"/>
      <c r="AG621" s="109"/>
      <c r="AH621" s="109"/>
      <c r="AI621" s="109"/>
      <c r="AJ621" s="109"/>
      <c r="AK621" s="109"/>
      <c r="AL621" s="109"/>
      <c r="AM621" s="109"/>
      <c r="AN621" s="109"/>
      <c r="AO621" s="109"/>
      <c r="AP621" s="109"/>
      <c r="AQ621" s="94"/>
      <c r="AR621" s="94"/>
      <c r="AS621" s="94"/>
      <c r="AT621" s="149" t="s">
        <v>288</v>
      </c>
      <c r="AU621" s="94" t="s">
        <v>1842</v>
      </c>
    </row>
    <row r="622" spans="1:47" ht="21" customHeight="1" x14ac:dyDescent="0.35">
      <c r="A622" s="260"/>
      <c r="B622" s="98" t="s">
        <v>158</v>
      </c>
      <c r="C622" s="99" t="s">
        <v>1029</v>
      </c>
      <c r="D622" s="100" t="s">
        <v>984</v>
      </c>
      <c r="E622" s="101">
        <v>45889</v>
      </c>
      <c r="F622" s="102">
        <f t="shared" ref="F622" si="28">(K622+G622+H622+I622-J622)</f>
        <v>0</v>
      </c>
      <c r="G622" s="150">
        <f>SUMIF(积分汇总!$B:$B,C622,积分汇总!$E:$E)</f>
        <v>0</v>
      </c>
      <c r="H622" s="150">
        <f>SUMIF(记录巡查问题条数汇总!$B:$B,C622,记录巡查问题条数汇总!$E:$E)</f>
        <v>0</v>
      </c>
      <c r="I622" s="150"/>
      <c r="J622" s="150">
        <f>SUMIF(安全质量事故!$B:$B,C622,安全质量事故!$G:$G)</f>
        <v>0</v>
      </c>
      <c r="K622" s="141">
        <f>COUNTIF(L622:AP622,标准数据!$A$2)*标准数据!$B$2+COUNTIF(L622:AP622,标准数据!$A$3)*标准数据!$B$3+COUNTIF(L622:AP622,标准数据!$A$4)*标准数据!$B$4</f>
        <v>0</v>
      </c>
      <c r="L622" s="185"/>
      <c r="M622" s="185"/>
      <c r="N622" s="185"/>
      <c r="O622" s="185"/>
      <c r="P622" s="185"/>
      <c r="Q622" s="109"/>
      <c r="R622" s="109"/>
      <c r="S622" s="109"/>
      <c r="T622" s="109"/>
      <c r="U622" s="109"/>
      <c r="V622" s="109"/>
      <c r="W622" s="109"/>
      <c r="X622" s="109"/>
      <c r="Y622" s="109"/>
      <c r="Z622" s="109"/>
      <c r="AA622" s="109"/>
      <c r="AB622" s="109"/>
      <c r="AC622" s="109"/>
      <c r="AD622" s="109"/>
      <c r="AE622" s="109"/>
      <c r="AF622" s="109"/>
      <c r="AG622" s="109"/>
      <c r="AH622" s="109"/>
      <c r="AI622" s="109"/>
      <c r="AJ622" s="109"/>
      <c r="AK622" s="109"/>
      <c r="AL622" s="109"/>
      <c r="AM622" s="109"/>
      <c r="AN622" s="109"/>
      <c r="AO622" s="109"/>
      <c r="AP622" s="109"/>
      <c r="AT622" s="149" t="s">
        <v>984</v>
      </c>
      <c r="AU622" s="94" t="s">
        <v>1842</v>
      </c>
    </row>
    <row r="623" spans="1:47" ht="21" customHeight="1" x14ac:dyDescent="0.35">
      <c r="A623" s="260"/>
      <c r="B623" s="98" t="s">
        <v>158</v>
      </c>
      <c r="C623" s="214" t="s">
        <v>1631</v>
      </c>
      <c r="D623" s="216" t="s">
        <v>1632</v>
      </c>
      <c r="E623" s="217">
        <v>46176</v>
      </c>
      <c r="F623" s="102">
        <f t="shared" si="25"/>
        <v>0</v>
      </c>
      <c r="G623" s="150">
        <f>SUMIF(积分汇总!$B:$B,C623,积分汇总!$E:$E)</f>
        <v>0</v>
      </c>
      <c r="H623" s="150">
        <f>SUMIF(记录巡查问题条数汇总!$B:$B,C623,记录巡查问题条数汇总!$E:$E)</f>
        <v>0</v>
      </c>
      <c r="I623" s="150"/>
      <c r="J623" s="150">
        <f>SUMIF(安全质量事故!$B:$B,C623,安全质量事故!$G:$G)</f>
        <v>0</v>
      </c>
      <c r="K623" s="141">
        <f>COUNTIF(L623:AP623,标准数据!$A$2)*标准数据!$B$2+COUNTIF(L623:AP623,标准数据!$A$3)*标准数据!$B$3+COUNTIF(L623:AP623,标准数据!$A$4)*标准数据!$B$4</f>
        <v>0</v>
      </c>
      <c r="L623" s="185"/>
      <c r="M623" s="185"/>
      <c r="N623" s="185"/>
      <c r="O623" s="185"/>
      <c r="P623" s="185"/>
      <c r="Q623" s="109"/>
      <c r="R623" s="109"/>
      <c r="S623" s="109"/>
      <c r="T623" s="109"/>
      <c r="U623" s="109"/>
      <c r="V623" s="109"/>
      <c r="W623" s="109"/>
      <c r="X623" s="109"/>
      <c r="Y623" s="109"/>
      <c r="Z623" s="109"/>
      <c r="AA623" s="109"/>
      <c r="AB623" s="109"/>
      <c r="AC623" s="109"/>
      <c r="AD623" s="109"/>
      <c r="AE623" s="109"/>
      <c r="AF623" s="109"/>
      <c r="AG623" s="109"/>
      <c r="AH623" s="109"/>
      <c r="AI623" s="109"/>
      <c r="AJ623" s="109"/>
      <c r="AK623" s="109"/>
      <c r="AL623" s="109"/>
      <c r="AM623" s="109"/>
      <c r="AN623" s="109"/>
      <c r="AO623" s="109"/>
      <c r="AP623" s="109"/>
      <c r="AT623" s="149" t="s">
        <v>1632</v>
      </c>
      <c r="AU623" s="94" t="s">
        <v>1847</v>
      </c>
    </row>
    <row r="624" spans="1:47" ht="21" customHeight="1" x14ac:dyDescent="0.35">
      <c r="A624" s="259" t="s">
        <v>449</v>
      </c>
      <c r="B624" s="98" t="s">
        <v>1712</v>
      </c>
      <c r="C624" s="214" t="s">
        <v>1796</v>
      </c>
      <c r="D624" s="215" t="s">
        <v>1797</v>
      </c>
      <c r="E624" s="217">
        <v>46183</v>
      </c>
      <c r="F624" s="102">
        <f t="shared" si="25"/>
        <v>0</v>
      </c>
      <c r="G624" s="150">
        <f>SUMIF(积分汇总!$B:$B,C624,积分汇总!$E:$E)</f>
        <v>0</v>
      </c>
      <c r="H624" s="150">
        <f>SUMIF(记录巡查问题条数汇总!$B:$B,C624,记录巡查问题条数汇总!$E:$E)</f>
        <v>0</v>
      </c>
      <c r="I624" s="150"/>
      <c r="J624" s="150">
        <f>SUMIF(安全质量事故!$B:$B,C624,安全质量事故!$G:$G)</f>
        <v>0</v>
      </c>
      <c r="K624" s="141">
        <f>COUNTIF(L624:AP624,标准数据!$A$2)*标准数据!$B$2+COUNTIF(L624:AP624,标准数据!$A$3)*标准数据!$B$3+COUNTIF(L624:AP624,标准数据!$A$4)*标准数据!$B$4</f>
        <v>0</v>
      </c>
      <c r="L624" s="185"/>
      <c r="M624" s="185"/>
      <c r="N624" s="185"/>
      <c r="O624" s="185"/>
      <c r="P624" s="185"/>
      <c r="Q624" s="185"/>
      <c r="R624" s="185"/>
      <c r="S624" s="185"/>
      <c r="T624" s="185"/>
      <c r="U624" s="185"/>
      <c r="V624" s="185"/>
      <c r="W624" s="185"/>
      <c r="X624" s="185"/>
      <c r="Y624" s="185"/>
      <c r="Z624" s="185"/>
      <c r="AA624" s="185"/>
      <c r="AB624" s="185"/>
      <c r="AC624" s="185"/>
      <c r="AD624" s="185"/>
      <c r="AE624" s="185"/>
      <c r="AF624" s="185"/>
      <c r="AG624" s="185"/>
      <c r="AH624" s="185"/>
      <c r="AI624" s="185"/>
      <c r="AJ624" s="185"/>
      <c r="AK624" s="185"/>
      <c r="AL624" s="185"/>
      <c r="AM624" s="185"/>
      <c r="AN624" s="185"/>
      <c r="AO624" s="185"/>
      <c r="AP624" s="185"/>
      <c r="AQ624" s="248" t="s">
        <v>1148</v>
      </c>
      <c r="AR624" s="249"/>
      <c r="AS624" s="249"/>
      <c r="AT624" s="149" t="s">
        <v>1797</v>
      </c>
      <c r="AU624" s="94" t="s">
        <v>1848</v>
      </c>
    </row>
    <row r="625" spans="1:47" ht="21" customHeight="1" x14ac:dyDescent="0.35">
      <c r="A625" s="259"/>
      <c r="B625" s="98" t="s">
        <v>17</v>
      </c>
      <c r="C625" s="99" t="s">
        <v>673</v>
      </c>
      <c r="D625" s="105" t="s">
        <v>651</v>
      </c>
      <c r="E625" s="101">
        <v>45896</v>
      </c>
      <c r="F625" s="102">
        <f t="shared" ref="F625:F628" si="29">(K625+G625+H625+I625-J625)</f>
        <v>0</v>
      </c>
      <c r="G625" s="150">
        <f>SUMIF(积分汇总!$B:$B,C625,积分汇总!$E:$E)</f>
        <v>0</v>
      </c>
      <c r="H625" s="150">
        <f>SUMIF(记录巡查问题条数汇总!$B:$B,C625,记录巡查问题条数汇总!$E:$E)</f>
        <v>0</v>
      </c>
      <c r="I625" s="150"/>
      <c r="J625" s="150">
        <f>SUMIF(安全质量事故!$B:$B,C625,安全质量事故!$G:$G)</f>
        <v>0</v>
      </c>
      <c r="K625" s="141">
        <f>COUNTIF(L625:AP625,标准数据!$A$2)*标准数据!$B$2+COUNTIF(L625:AP625,标准数据!$A$3)*标准数据!$B$3+COUNTIF(L625:AP625,标准数据!$A$4)*标准数据!$B$4</f>
        <v>0</v>
      </c>
      <c r="L625" s="185"/>
      <c r="M625" s="185"/>
      <c r="N625" s="185"/>
      <c r="O625" s="185"/>
      <c r="P625" s="185"/>
      <c r="Q625" s="185"/>
      <c r="R625" s="185"/>
      <c r="S625" s="185"/>
      <c r="T625" s="185"/>
      <c r="U625" s="185"/>
      <c r="V625" s="185"/>
      <c r="W625" s="185"/>
      <c r="X625" s="185"/>
      <c r="Y625" s="185"/>
      <c r="Z625" s="185"/>
      <c r="AA625" s="185"/>
      <c r="AB625" s="185"/>
      <c r="AC625" s="185"/>
      <c r="AD625" s="185"/>
      <c r="AE625" s="185"/>
      <c r="AF625" s="185"/>
      <c r="AG625" s="185"/>
      <c r="AH625" s="185"/>
      <c r="AI625" s="185"/>
      <c r="AJ625" s="185"/>
      <c r="AK625" s="185"/>
      <c r="AL625" s="185"/>
      <c r="AM625" s="185"/>
      <c r="AN625" s="185"/>
      <c r="AO625" s="185"/>
      <c r="AP625" s="185"/>
      <c r="AQ625" s="112" t="s">
        <v>1138</v>
      </c>
      <c r="AR625" s="110" t="s">
        <v>1149</v>
      </c>
      <c r="AS625" s="110" t="s">
        <v>1135</v>
      </c>
      <c r="AT625" s="149" t="s">
        <v>651</v>
      </c>
      <c r="AU625" s="94" t="s">
        <v>1848</v>
      </c>
    </row>
    <row r="626" spans="1:47" ht="21" customHeight="1" x14ac:dyDescent="0.35">
      <c r="A626" s="259"/>
      <c r="B626" s="98" t="s">
        <v>17</v>
      </c>
      <c r="C626" s="99" t="s">
        <v>402</v>
      </c>
      <c r="D626" s="105" t="s">
        <v>393</v>
      </c>
      <c r="E626" s="101">
        <v>45700</v>
      </c>
      <c r="F626" s="102">
        <f t="shared" si="29"/>
        <v>0</v>
      </c>
      <c r="G626" s="150">
        <f>SUMIF(积分汇总!$B:$B,C626,积分汇总!$E:$E)</f>
        <v>0</v>
      </c>
      <c r="H626" s="150">
        <f>SUMIF(记录巡查问题条数汇总!$B:$B,C626,记录巡查问题条数汇总!$E:$E)</f>
        <v>0</v>
      </c>
      <c r="I626" s="150"/>
      <c r="J626" s="150">
        <f>SUMIF(安全质量事故!$B:$B,C626,安全质量事故!$G:$G)</f>
        <v>0</v>
      </c>
      <c r="K626" s="141">
        <f>COUNTIF(L626:AP626,标准数据!$A$2)*标准数据!$B$2+COUNTIF(L626:AP626,标准数据!$A$3)*标准数据!$B$3+COUNTIF(L626:AP626,标准数据!$A$4)*标准数据!$B$4</f>
        <v>0</v>
      </c>
      <c r="L626" s="185"/>
      <c r="M626" s="185"/>
      <c r="N626" s="185"/>
      <c r="O626" s="185"/>
      <c r="P626" s="185"/>
      <c r="Q626" s="185"/>
      <c r="R626" s="185"/>
      <c r="S626" s="185"/>
      <c r="T626" s="185"/>
      <c r="U626" s="185"/>
      <c r="V626" s="185"/>
      <c r="W626" s="185"/>
      <c r="X626" s="185"/>
      <c r="Y626" s="185"/>
      <c r="Z626" s="185"/>
      <c r="AA626" s="185"/>
      <c r="AB626" s="185"/>
      <c r="AC626" s="185"/>
      <c r="AD626" s="185"/>
      <c r="AE626" s="185"/>
      <c r="AF626" s="185"/>
      <c r="AG626" s="185"/>
      <c r="AH626" s="185"/>
      <c r="AI626" s="185"/>
      <c r="AJ626" s="185"/>
      <c r="AK626" s="185"/>
      <c r="AL626" s="185"/>
      <c r="AM626" s="185"/>
      <c r="AN626" s="185"/>
      <c r="AO626" s="185"/>
      <c r="AP626" s="185"/>
      <c r="AQ626" s="117">
        <f>COUNTIF(L624:AP630,"a")</f>
        <v>0</v>
      </c>
      <c r="AR626" s="117">
        <f>COUNTIF(L624:AP630,"b")</f>
        <v>0</v>
      </c>
      <c r="AS626" s="117">
        <f>COUNTIF(L624:AP630,"c")</f>
        <v>0</v>
      </c>
      <c r="AT626" s="149" t="s">
        <v>393</v>
      </c>
      <c r="AU626" s="94" t="s">
        <v>1848</v>
      </c>
    </row>
    <row r="627" spans="1:47" ht="21" customHeight="1" x14ac:dyDescent="0.35">
      <c r="A627" s="259"/>
      <c r="B627" s="98" t="s">
        <v>17</v>
      </c>
      <c r="C627" s="99" t="s">
        <v>691</v>
      </c>
      <c r="D627" s="100" t="s">
        <v>654</v>
      </c>
      <c r="E627" s="101">
        <v>45908</v>
      </c>
      <c r="F627" s="102">
        <f t="shared" si="29"/>
        <v>0</v>
      </c>
      <c r="G627" s="150">
        <f>SUMIF(积分汇总!$B:$B,C627,积分汇总!$E:$E)</f>
        <v>0</v>
      </c>
      <c r="H627" s="150">
        <f>SUMIF(记录巡查问题条数汇总!$B:$B,C627,记录巡查问题条数汇总!$E:$E)</f>
        <v>0</v>
      </c>
      <c r="I627" s="150"/>
      <c r="J627" s="150">
        <f>SUMIF(安全质量事故!$B:$B,C627,安全质量事故!$G:$G)</f>
        <v>0</v>
      </c>
      <c r="K627" s="141">
        <f>COUNTIF(L627:AP627,标准数据!$A$2)*标准数据!$B$2+COUNTIF(L627:AP627,标准数据!$A$3)*标准数据!$B$3+COUNTIF(L627:AP627,标准数据!$A$4)*标准数据!$B$4</f>
        <v>0</v>
      </c>
      <c r="L627" s="185"/>
      <c r="M627" s="185"/>
      <c r="N627" s="185"/>
      <c r="O627" s="185"/>
      <c r="P627" s="185"/>
      <c r="Q627" s="185"/>
      <c r="R627" s="185"/>
      <c r="S627" s="185"/>
      <c r="T627" s="185"/>
      <c r="U627" s="185"/>
      <c r="V627" s="185"/>
      <c r="W627" s="185"/>
      <c r="X627" s="185"/>
      <c r="Y627" s="185"/>
      <c r="Z627" s="185"/>
      <c r="AA627" s="185"/>
      <c r="AB627" s="185"/>
      <c r="AC627" s="185"/>
      <c r="AD627" s="185"/>
      <c r="AE627" s="185"/>
      <c r="AF627" s="185"/>
      <c r="AG627" s="185"/>
      <c r="AH627" s="185"/>
      <c r="AI627" s="185"/>
      <c r="AJ627" s="185"/>
      <c r="AK627" s="185"/>
      <c r="AL627" s="185"/>
      <c r="AM627" s="185"/>
      <c r="AN627" s="185"/>
      <c r="AO627" s="185"/>
      <c r="AP627" s="185"/>
      <c r="AQ627" s="103" t="e">
        <f>AQ626/($AQ$633+$AR$633+$AS$633)</f>
        <v>#DIV/0!</v>
      </c>
      <c r="AR627" s="103" t="e">
        <f t="shared" ref="AR627:AS627" si="30">AR626/($AQ$633+$AR$633+$AS$633)</f>
        <v>#DIV/0!</v>
      </c>
      <c r="AS627" s="103" t="e">
        <f t="shared" si="30"/>
        <v>#DIV/0!</v>
      </c>
      <c r="AT627" s="149" t="s">
        <v>654</v>
      </c>
      <c r="AU627" s="94" t="s">
        <v>1848</v>
      </c>
    </row>
    <row r="628" spans="1:47" ht="21" customHeight="1" x14ac:dyDescent="0.35">
      <c r="A628" s="259"/>
      <c r="B628" s="98" t="s">
        <v>17</v>
      </c>
      <c r="C628" s="99" t="s">
        <v>1600</v>
      </c>
      <c r="D628" s="105" t="s">
        <v>1601</v>
      </c>
      <c r="E628" s="101">
        <v>46139</v>
      </c>
      <c r="F628" s="102">
        <f t="shared" si="29"/>
        <v>0</v>
      </c>
      <c r="G628" s="150">
        <f>SUMIF(积分汇总!$B:$B,C628,积分汇总!$E:$E)</f>
        <v>0</v>
      </c>
      <c r="H628" s="150">
        <f>SUMIF(记录巡查问题条数汇总!$B:$B,C628,记录巡查问题条数汇总!$E:$E)</f>
        <v>0</v>
      </c>
      <c r="I628" s="150"/>
      <c r="J628" s="150">
        <f>SUMIF(安全质量事故!$B:$B,C628,安全质量事故!$G:$G)</f>
        <v>0</v>
      </c>
      <c r="K628" s="141">
        <f>COUNTIF(L628:AP628,标准数据!$A$2)*标准数据!$B$2+COUNTIF(L628:AP628,标准数据!$A$3)*标准数据!$B$3+COUNTIF(L628:AP628,标准数据!$A$4)*标准数据!$B$4</f>
        <v>0</v>
      </c>
      <c r="L628" s="185"/>
      <c r="M628" s="185"/>
      <c r="N628" s="185"/>
      <c r="O628" s="185"/>
      <c r="P628" s="185"/>
      <c r="Q628" s="185"/>
      <c r="R628" s="185"/>
      <c r="S628" s="185"/>
      <c r="T628" s="185"/>
      <c r="U628" s="185"/>
      <c r="V628" s="185"/>
      <c r="W628" s="185"/>
      <c r="X628" s="185"/>
      <c r="Y628" s="185"/>
      <c r="Z628" s="185"/>
      <c r="AA628" s="185"/>
      <c r="AB628" s="185"/>
      <c r="AC628" s="185"/>
      <c r="AD628" s="185"/>
      <c r="AE628" s="185"/>
      <c r="AF628" s="185"/>
      <c r="AG628" s="185"/>
      <c r="AH628" s="185"/>
      <c r="AI628" s="185"/>
      <c r="AJ628" s="185"/>
      <c r="AK628" s="185"/>
      <c r="AL628" s="185"/>
      <c r="AM628" s="185"/>
      <c r="AN628" s="185"/>
      <c r="AO628" s="185"/>
      <c r="AP628" s="185"/>
      <c r="AT628" s="149" t="s">
        <v>1601</v>
      </c>
      <c r="AU628" s="94" t="s">
        <v>1848</v>
      </c>
    </row>
    <row r="629" spans="1:47" ht="21" customHeight="1" x14ac:dyDescent="0.35">
      <c r="A629" s="259"/>
      <c r="B629" s="98" t="s">
        <v>158</v>
      </c>
      <c r="C629" s="99" t="s">
        <v>1027</v>
      </c>
      <c r="D629" s="105" t="s">
        <v>977</v>
      </c>
      <c r="E629" s="101">
        <v>45882</v>
      </c>
      <c r="F629" s="102">
        <f t="shared" si="25"/>
        <v>0</v>
      </c>
      <c r="G629" s="150">
        <f>SUMIF(积分汇总!$B:$B,C629,积分汇总!$E:$E)</f>
        <v>0</v>
      </c>
      <c r="H629" s="150">
        <f>SUMIF(记录巡查问题条数汇总!$B:$B,C629,记录巡查问题条数汇总!$E:$E)</f>
        <v>0</v>
      </c>
      <c r="I629" s="150"/>
      <c r="J629" s="150">
        <f>SUMIF(安全质量事故!$B:$B,C629,安全质量事故!$G:$G)</f>
        <v>0</v>
      </c>
      <c r="K629" s="141">
        <f>COUNTIF(L629:AP629,标准数据!$A$2)*标准数据!$B$2+COUNTIF(L629:AP629,标准数据!$A$3)*标准数据!$B$3+COUNTIF(L629:AP629,标准数据!$A$4)*标准数据!$B$4</f>
        <v>0</v>
      </c>
      <c r="L629" s="185"/>
      <c r="M629" s="185"/>
      <c r="N629" s="185"/>
      <c r="O629" s="185"/>
      <c r="P629" s="185"/>
      <c r="Q629" s="185"/>
      <c r="R629" s="185"/>
      <c r="S629" s="185"/>
      <c r="T629" s="185"/>
      <c r="U629" s="185"/>
      <c r="V629" s="185"/>
      <c r="W629" s="185"/>
      <c r="X629" s="185"/>
      <c r="Y629" s="185"/>
      <c r="Z629" s="185"/>
      <c r="AA629" s="185"/>
      <c r="AB629" s="185"/>
      <c r="AC629" s="185"/>
      <c r="AD629" s="185"/>
      <c r="AE629" s="185"/>
      <c r="AF629" s="185"/>
      <c r="AG629" s="185"/>
      <c r="AH629" s="185"/>
      <c r="AI629" s="185"/>
      <c r="AJ629" s="185"/>
      <c r="AK629" s="185"/>
      <c r="AL629" s="185"/>
      <c r="AM629" s="185"/>
      <c r="AN629" s="185"/>
      <c r="AO629" s="185"/>
      <c r="AP629" s="185"/>
      <c r="AT629" s="149" t="s">
        <v>977</v>
      </c>
      <c r="AU629" s="94" t="s">
        <v>1848</v>
      </c>
    </row>
    <row r="630" spans="1:47" ht="21" customHeight="1" x14ac:dyDescent="0.35">
      <c r="A630" s="259"/>
      <c r="B630" s="98" t="s">
        <v>158</v>
      </c>
      <c r="C630" s="99" t="s">
        <v>1028</v>
      </c>
      <c r="D630" s="105" t="s">
        <v>978</v>
      </c>
      <c r="E630" s="101">
        <v>45924</v>
      </c>
      <c r="F630" s="102">
        <f t="shared" si="25"/>
        <v>0</v>
      </c>
      <c r="G630" s="150">
        <f>SUMIF(积分汇总!$B:$B,C630,积分汇总!$E:$E)</f>
        <v>0</v>
      </c>
      <c r="H630" s="150">
        <f>SUMIF(记录巡查问题条数汇总!$B:$B,C630,记录巡查问题条数汇总!$E:$E)</f>
        <v>0</v>
      </c>
      <c r="I630" s="150"/>
      <c r="J630" s="150">
        <f>SUMIF(安全质量事故!$B:$B,C630,安全质量事故!$G:$G)</f>
        <v>0</v>
      </c>
      <c r="K630" s="141">
        <f>COUNTIF(L630:AP630,标准数据!$A$2)*标准数据!$B$2+COUNTIF(L630:AP630,标准数据!$A$3)*标准数据!$B$3+COUNTIF(L630:AP630,标准数据!$A$4)*标准数据!$B$4</f>
        <v>0</v>
      </c>
      <c r="L630" s="185"/>
      <c r="M630" s="185"/>
      <c r="N630" s="185"/>
      <c r="O630" s="185"/>
      <c r="P630" s="185"/>
      <c r="Q630" s="185"/>
      <c r="R630" s="185"/>
      <c r="S630" s="185"/>
      <c r="T630" s="185"/>
      <c r="U630" s="185"/>
      <c r="V630" s="185"/>
      <c r="W630" s="185"/>
      <c r="X630" s="185"/>
      <c r="Y630" s="185"/>
      <c r="Z630" s="185"/>
      <c r="AA630" s="185"/>
      <c r="AB630" s="185"/>
      <c r="AC630" s="185"/>
      <c r="AD630" s="185"/>
      <c r="AE630" s="185"/>
      <c r="AF630" s="185"/>
      <c r="AG630" s="185"/>
      <c r="AH630" s="185"/>
      <c r="AI630" s="185"/>
      <c r="AJ630" s="185"/>
      <c r="AK630" s="185"/>
      <c r="AL630" s="185"/>
      <c r="AM630" s="185"/>
      <c r="AN630" s="185"/>
      <c r="AO630" s="185"/>
      <c r="AP630" s="185"/>
      <c r="AT630" s="149" t="s">
        <v>978</v>
      </c>
      <c r="AU630" s="94" t="s">
        <v>1848</v>
      </c>
    </row>
    <row r="631" spans="1:47" ht="21" customHeight="1" x14ac:dyDescent="0.35">
      <c r="A631" s="260" t="s">
        <v>1798</v>
      </c>
      <c r="B631" s="98" t="s">
        <v>95</v>
      </c>
      <c r="C631" s="99" t="s">
        <v>533</v>
      </c>
      <c r="D631" s="105" t="s">
        <v>499</v>
      </c>
      <c r="E631" s="99">
        <v>45833</v>
      </c>
      <c r="F631" s="102">
        <f t="shared" si="25"/>
        <v>0</v>
      </c>
      <c r="G631" s="150">
        <f>SUMIF(积分汇总!$B:$B,C631,积分汇总!$E:$E)</f>
        <v>0</v>
      </c>
      <c r="H631" s="150">
        <f>SUMIF(记录巡查问题条数汇总!$B:$B,C631,记录巡查问题条数汇总!$E:$E)</f>
        <v>0</v>
      </c>
      <c r="I631" s="150"/>
      <c r="J631" s="150">
        <f>SUMIF(安全质量事故!$B:$B,C631,安全质量事故!$G:$G)</f>
        <v>0</v>
      </c>
      <c r="K631" s="141">
        <f>COUNTIF(L631:AP631,标准数据!$A$2)*标准数据!$B$2+COUNTIF(L631:AP631,标准数据!$A$3)*标准数据!$B$3+COUNTIF(L631:AP631,标准数据!$A$4)*标准数据!$B$4</f>
        <v>0</v>
      </c>
      <c r="L631" s="185"/>
      <c r="M631" s="185"/>
      <c r="N631" s="185"/>
      <c r="O631" s="185"/>
      <c r="P631" s="185"/>
      <c r="Q631" s="185"/>
      <c r="R631" s="185"/>
      <c r="S631" s="185"/>
      <c r="T631" s="185"/>
      <c r="U631" s="185"/>
      <c r="V631" s="185"/>
      <c r="W631" s="185"/>
      <c r="X631" s="185"/>
      <c r="Y631" s="185"/>
      <c r="Z631" s="185"/>
      <c r="AA631" s="185"/>
      <c r="AB631" s="185"/>
      <c r="AC631" s="185"/>
      <c r="AD631" s="185"/>
      <c r="AE631" s="185"/>
      <c r="AF631" s="185"/>
      <c r="AG631" s="185"/>
      <c r="AH631" s="185"/>
      <c r="AI631" s="185"/>
      <c r="AJ631" s="185"/>
      <c r="AK631" s="185"/>
      <c r="AL631" s="185"/>
      <c r="AM631" s="185"/>
      <c r="AN631" s="185"/>
      <c r="AO631" s="185"/>
      <c r="AP631" s="185"/>
      <c r="AQ631" s="248" t="s">
        <v>1151</v>
      </c>
      <c r="AR631" s="249"/>
      <c r="AS631" s="249"/>
      <c r="AT631" s="149" t="s">
        <v>499</v>
      </c>
      <c r="AU631" s="94" t="s">
        <v>1849</v>
      </c>
    </row>
    <row r="632" spans="1:47" ht="21" customHeight="1" x14ac:dyDescent="0.35">
      <c r="A632" s="260"/>
      <c r="B632" s="98" t="s">
        <v>95</v>
      </c>
      <c r="C632" s="99" t="s">
        <v>951</v>
      </c>
      <c r="D632" s="100" t="s">
        <v>847</v>
      </c>
      <c r="E632" s="101">
        <v>44454</v>
      </c>
      <c r="F632" s="102">
        <f t="shared" si="25"/>
        <v>0</v>
      </c>
      <c r="G632" s="150">
        <f>SUMIF(积分汇总!$B:$B,C632,积分汇总!$E:$E)</f>
        <v>0</v>
      </c>
      <c r="H632" s="150">
        <f>SUMIF(记录巡查问题条数汇总!$B:$B,C632,记录巡查问题条数汇总!$E:$E)</f>
        <v>0</v>
      </c>
      <c r="I632" s="150"/>
      <c r="J632" s="150">
        <f>SUMIF(安全质量事故!$B:$B,C632,安全质量事故!$G:$G)</f>
        <v>0</v>
      </c>
      <c r="K632" s="141">
        <f>COUNTIF(L632:AP632,标准数据!$A$2)*标准数据!$B$2+COUNTIF(L632:AP632,标准数据!$A$3)*标准数据!$B$3+COUNTIF(L632:AP632,标准数据!$A$4)*标准数据!$B$4</f>
        <v>0</v>
      </c>
      <c r="L632" s="109"/>
      <c r="M632" s="109"/>
      <c r="N632" s="109"/>
      <c r="O632" s="109"/>
      <c r="P632" s="109"/>
      <c r="Q632" s="109"/>
      <c r="R632" s="109"/>
      <c r="S632" s="109"/>
      <c r="T632" s="109"/>
      <c r="U632" s="109"/>
      <c r="V632" s="109"/>
      <c r="W632" s="109"/>
      <c r="X632" s="109"/>
      <c r="Y632" s="109"/>
      <c r="Z632" s="109"/>
      <c r="AA632" s="109"/>
      <c r="AB632" s="109"/>
      <c r="AC632" s="109"/>
      <c r="AD632" s="109"/>
      <c r="AE632" s="109"/>
      <c r="AF632" s="109"/>
      <c r="AG632" s="109"/>
      <c r="AH632" s="109"/>
      <c r="AI632" s="109"/>
      <c r="AJ632" s="109"/>
      <c r="AK632" s="109"/>
      <c r="AL632" s="109"/>
      <c r="AM632" s="109"/>
      <c r="AN632" s="109"/>
      <c r="AO632" s="109"/>
      <c r="AP632" s="109"/>
      <c r="AQ632" s="112" t="s">
        <v>1138</v>
      </c>
      <c r="AR632" s="110" t="s">
        <v>1149</v>
      </c>
      <c r="AS632" s="110" t="s">
        <v>1135</v>
      </c>
      <c r="AT632" s="149" t="s">
        <v>847</v>
      </c>
      <c r="AU632" s="94" t="s">
        <v>1849</v>
      </c>
    </row>
    <row r="633" spans="1:47" ht="21" customHeight="1" x14ac:dyDescent="0.35">
      <c r="A633" s="260"/>
      <c r="B633" s="98" t="s">
        <v>95</v>
      </c>
      <c r="C633" s="99" t="s">
        <v>1372</v>
      </c>
      <c r="D633" s="105" t="s">
        <v>1373</v>
      </c>
      <c r="E633" s="99">
        <v>46120</v>
      </c>
      <c r="F633" s="102">
        <f t="shared" si="25"/>
        <v>0</v>
      </c>
      <c r="G633" s="150">
        <f>SUMIF(积分汇总!$B:$B,C633,积分汇总!$E:$E)</f>
        <v>0</v>
      </c>
      <c r="H633" s="150">
        <f>SUMIF(记录巡查问题条数汇总!$B:$B,C633,记录巡查问题条数汇总!$E:$E)</f>
        <v>0</v>
      </c>
      <c r="I633" s="150"/>
      <c r="J633" s="150">
        <f>SUMIF(安全质量事故!$B:$B,C633,安全质量事故!$G:$G)</f>
        <v>0</v>
      </c>
      <c r="K633" s="141">
        <f>COUNTIF(L633:AP633,标准数据!$A$2)*标准数据!$B$2+COUNTIF(L633:AP633,标准数据!$A$3)*标准数据!$B$3+COUNTIF(L633:AP633,标准数据!$A$4)*标准数据!$B$4</f>
        <v>0</v>
      </c>
      <c r="L633" s="185"/>
      <c r="M633" s="185"/>
      <c r="N633" s="185"/>
      <c r="O633" s="185"/>
      <c r="P633" s="185"/>
      <c r="Q633" s="185"/>
      <c r="R633" s="185"/>
      <c r="S633" s="185"/>
      <c r="T633" s="185"/>
      <c r="U633" s="185"/>
      <c r="V633" s="185"/>
      <c r="W633" s="185"/>
      <c r="X633" s="185"/>
      <c r="Y633" s="185"/>
      <c r="Z633" s="185"/>
      <c r="AA633" s="185"/>
      <c r="AB633" s="185"/>
      <c r="AC633" s="185"/>
      <c r="AD633" s="185"/>
      <c r="AE633" s="185"/>
      <c r="AF633" s="185"/>
      <c r="AG633" s="185"/>
      <c r="AH633" s="185"/>
      <c r="AI633" s="185"/>
      <c r="AJ633" s="185"/>
      <c r="AK633" s="185"/>
      <c r="AL633" s="185"/>
      <c r="AM633" s="185"/>
      <c r="AN633" s="185"/>
      <c r="AO633" s="185"/>
      <c r="AP633" s="185"/>
      <c r="AQ633" s="118">
        <f>COUNTIF(L631:AP643,"a")</f>
        <v>0</v>
      </c>
      <c r="AR633" s="118">
        <f>COUNTIF(L631:AP643,"b")</f>
        <v>0</v>
      </c>
      <c r="AS633" s="118">
        <f>COUNTIF(L631:AP643,"c")</f>
        <v>0</v>
      </c>
      <c r="AT633" s="149" t="s">
        <v>1373</v>
      </c>
      <c r="AU633" s="94" t="s">
        <v>1849</v>
      </c>
    </row>
    <row r="634" spans="1:47" ht="21" customHeight="1" x14ac:dyDescent="0.35">
      <c r="A634" s="260"/>
      <c r="B634" s="98" t="s">
        <v>95</v>
      </c>
      <c r="C634" s="214" t="s">
        <v>1809</v>
      </c>
      <c r="D634" s="215" t="s">
        <v>1810</v>
      </c>
      <c r="E634" s="214">
        <v>46169</v>
      </c>
      <c r="F634" s="102">
        <f t="shared" si="25"/>
        <v>0</v>
      </c>
      <c r="G634" s="150">
        <f>SUMIF(积分汇总!$B:$B,C634,积分汇总!$E:$E)</f>
        <v>0</v>
      </c>
      <c r="H634" s="150">
        <f>SUMIF(记录巡查问题条数汇总!$B:$B,C634,记录巡查问题条数汇总!$E:$E)</f>
        <v>0</v>
      </c>
      <c r="I634" s="150"/>
      <c r="J634" s="150">
        <f>SUMIF(安全质量事故!$B:$B,C634,安全质量事故!$G:$G)</f>
        <v>0</v>
      </c>
      <c r="K634" s="141">
        <f>COUNTIF(L634:AP634,标准数据!$A$2)*标准数据!$B$2+COUNTIF(L634:AP634,标准数据!$A$3)*标准数据!$B$3+COUNTIF(L634:AP634,标准数据!$A$4)*标准数据!$B$4</f>
        <v>0</v>
      </c>
      <c r="L634" s="185"/>
      <c r="M634" s="185"/>
      <c r="N634" s="185"/>
      <c r="O634" s="185"/>
      <c r="P634" s="185"/>
      <c r="Q634" s="185"/>
      <c r="R634" s="185"/>
      <c r="S634" s="185"/>
      <c r="T634" s="185"/>
      <c r="U634" s="185"/>
      <c r="V634" s="185"/>
      <c r="W634" s="185"/>
      <c r="X634" s="185"/>
      <c r="Y634" s="185"/>
      <c r="Z634" s="185"/>
      <c r="AA634" s="185"/>
      <c r="AB634" s="185"/>
      <c r="AC634" s="185"/>
      <c r="AD634" s="185"/>
      <c r="AE634" s="185"/>
      <c r="AF634" s="185"/>
      <c r="AG634" s="185"/>
      <c r="AH634" s="185"/>
      <c r="AI634" s="185"/>
      <c r="AJ634" s="185"/>
      <c r="AK634" s="185"/>
      <c r="AL634" s="185"/>
      <c r="AM634" s="185"/>
      <c r="AN634" s="185"/>
      <c r="AO634" s="185"/>
      <c r="AP634" s="185"/>
      <c r="AQ634" s="103" t="e">
        <f>AQ633/($AQ$633+$AR$633+$AS$633)</f>
        <v>#DIV/0!</v>
      </c>
      <c r="AR634" s="113" t="e">
        <f>AR633/($AQ$633+$AR$633+$AS$633)</f>
        <v>#DIV/0!</v>
      </c>
      <c r="AS634" s="113" t="e">
        <f>AS633/($AQ$633+$AR$633+$AS$633)</f>
        <v>#DIV/0!</v>
      </c>
      <c r="AT634" s="149" t="s">
        <v>1810</v>
      </c>
      <c r="AU634" s="94" t="s">
        <v>1849</v>
      </c>
    </row>
    <row r="635" spans="1:47" ht="21" customHeight="1" x14ac:dyDescent="0.35">
      <c r="A635" s="260"/>
      <c r="B635" s="98" t="s">
        <v>138</v>
      </c>
      <c r="C635" s="99" t="s">
        <v>617</v>
      </c>
      <c r="D635" s="105" t="s">
        <v>580</v>
      </c>
      <c r="E635" s="99">
        <v>45868</v>
      </c>
      <c r="F635" s="102">
        <f t="shared" ref="F635" si="31">(K635+G635+H635+I635-J635)</f>
        <v>0</v>
      </c>
      <c r="G635" s="150">
        <f>SUMIF(积分汇总!$B:$B,C635,积分汇总!$E:$E)</f>
        <v>0</v>
      </c>
      <c r="H635" s="150">
        <f>SUMIF(记录巡查问题条数汇总!$B:$B,C635,记录巡查问题条数汇总!$E:$E)</f>
        <v>0</v>
      </c>
      <c r="I635" s="150"/>
      <c r="J635" s="150">
        <f>SUMIF(安全质量事故!$B:$B,C635,安全质量事故!$G:$G)</f>
        <v>0</v>
      </c>
      <c r="K635" s="141">
        <f>COUNTIF(L635:AP635,标准数据!$A$2)*标准数据!$B$2+COUNTIF(L635:AP635,标准数据!$A$3)*标准数据!$B$3+COUNTIF(L635:AP635,标准数据!$A$4)*标准数据!$B$4</f>
        <v>0</v>
      </c>
      <c r="L635" s="185"/>
      <c r="M635" s="185"/>
      <c r="N635" s="185"/>
      <c r="O635" s="185"/>
      <c r="P635" s="185"/>
      <c r="Q635" s="185"/>
      <c r="R635" s="185"/>
      <c r="S635" s="185"/>
      <c r="T635" s="185"/>
      <c r="U635" s="185"/>
      <c r="V635" s="185"/>
      <c r="W635" s="185"/>
      <c r="X635" s="185"/>
      <c r="Y635" s="185"/>
      <c r="Z635" s="185"/>
      <c r="AA635" s="185"/>
      <c r="AB635" s="185"/>
      <c r="AC635" s="185"/>
      <c r="AD635" s="185"/>
      <c r="AE635" s="185"/>
      <c r="AF635" s="185"/>
      <c r="AG635" s="185"/>
      <c r="AH635" s="185"/>
      <c r="AI635" s="185"/>
      <c r="AJ635" s="185"/>
      <c r="AK635" s="185"/>
      <c r="AL635" s="185"/>
      <c r="AM635" s="185"/>
      <c r="AN635" s="185"/>
      <c r="AO635" s="185"/>
      <c r="AP635" s="185"/>
      <c r="AQ635" s="94"/>
      <c r="AR635" s="94"/>
      <c r="AS635" s="94"/>
      <c r="AT635" s="149" t="s">
        <v>580</v>
      </c>
      <c r="AU635" s="94" t="s">
        <v>1849</v>
      </c>
    </row>
    <row r="636" spans="1:47" ht="21" customHeight="1" x14ac:dyDescent="0.35">
      <c r="A636" s="260"/>
      <c r="B636" s="114" t="s">
        <v>158</v>
      </c>
      <c r="C636" s="99" t="s">
        <v>116</v>
      </c>
      <c r="D636" s="105" t="s">
        <v>112</v>
      </c>
      <c r="E636" s="99">
        <v>45063</v>
      </c>
      <c r="F636" s="102">
        <f t="shared" si="25"/>
        <v>0</v>
      </c>
      <c r="G636" s="150">
        <f>SUMIF(积分汇总!$B:$B,C636,积分汇总!$E:$E)</f>
        <v>0</v>
      </c>
      <c r="H636" s="150">
        <f>SUMIF(记录巡查问题条数汇总!$B:$B,C636,记录巡查问题条数汇总!$E:$E)</f>
        <v>0</v>
      </c>
      <c r="I636" s="150"/>
      <c r="J636" s="150">
        <f>SUMIF(安全质量事故!$B:$B,C636,安全质量事故!$G:$G)</f>
        <v>0</v>
      </c>
      <c r="K636" s="141">
        <f>COUNTIF(L636:AP636,标准数据!$A$2)*标准数据!$B$2+COUNTIF(L636:AP636,标准数据!$A$3)*标准数据!$B$3+COUNTIF(L636:AP636,标准数据!$A$4)*标准数据!$B$4</f>
        <v>0</v>
      </c>
      <c r="L636" s="185"/>
      <c r="M636" s="185"/>
      <c r="N636" s="185"/>
      <c r="O636" s="185"/>
      <c r="P636" s="185"/>
      <c r="Q636" s="185"/>
      <c r="R636" s="185"/>
      <c r="S636" s="185"/>
      <c r="T636" s="185"/>
      <c r="U636" s="185"/>
      <c r="V636" s="185"/>
      <c r="W636" s="185"/>
      <c r="X636" s="185"/>
      <c r="Y636" s="185"/>
      <c r="Z636" s="185"/>
      <c r="AA636" s="185"/>
      <c r="AB636" s="185"/>
      <c r="AC636" s="185"/>
      <c r="AD636" s="185"/>
      <c r="AE636" s="185"/>
      <c r="AF636" s="185"/>
      <c r="AG636" s="185"/>
      <c r="AH636" s="185"/>
      <c r="AI636" s="185"/>
      <c r="AJ636" s="185"/>
      <c r="AK636" s="185"/>
      <c r="AL636" s="185"/>
      <c r="AM636" s="185"/>
      <c r="AN636" s="185"/>
      <c r="AO636" s="185"/>
      <c r="AP636" s="185"/>
      <c r="AQ636" s="94"/>
      <c r="AR636" s="94"/>
      <c r="AS636" s="94"/>
      <c r="AT636" s="149" t="s">
        <v>112</v>
      </c>
      <c r="AU636" s="94" t="s">
        <v>1849</v>
      </c>
    </row>
    <row r="637" spans="1:47" ht="21" customHeight="1" x14ac:dyDescent="0.35">
      <c r="A637" s="260"/>
      <c r="B637" s="114" t="s">
        <v>158</v>
      </c>
      <c r="C637" s="99" t="s">
        <v>117</v>
      </c>
      <c r="D637" s="105" t="s">
        <v>113</v>
      </c>
      <c r="E637" s="99">
        <v>45063</v>
      </c>
      <c r="F637" s="102">
        <f t="shared" si="25"/>
        <v>0</v>
      </c>
      <c r="G637" s="150">
        <f>SUMIF(积分汇总!$B:$B,C637,积分汇总!$E:$E)</f>
        <v>0</v>
      </c>
      <c r="H637" s="150">
        <f>SUMIF(记录巡查问题条数汇总!$B:$B,C637,记录巡查问题条数汇总!$E:$E)</f>
        <v>0</v>
      </c>
      <c r="I637" s="150"/>
      <c r="J637" s="150">
        <f>SUMIF(安全质量事故!$B:$B,C637,安全质量事故!$G:$G)</f>
        <v>0</v>
      </c>
      <c r="K637" s="141">
        <f>COUNTIF(L637:AP637,标准数据!$A$2)*标准数据!$B$2+COUNTIF(L637:AP637,标准数据!$A$3)*标准数据!$B$3+COUNTIF(L637:AP637,标准数据!$A$4)*标准数据!$B$4</f>
        <v>0</v>
      </c>
      <c r="L637" s="185"/>
      <c r="M637" s="185"/>
      <c r="N637" s="185"/>
      <c r="O637" s="185"/>
      <c r="P637" s="185"/>
      <c r="Q637" s="185"/>
      <c r="R637" s="185"/>
      <c r="S637" s="185"/>
      <c r="T637" s="185"/>
      <c r="U637" s="185"/>
      <c r="V637" s="185"/>
      <c r="W637" s="185"/>
      <c r="X637" s="185"/>
      <c r="Y637" s="185"/>
      <c r="Z637" s="185"/>
      <c r="AA637" s="185"/>
      <c r="AB637" s="185"/>
      <c r="AC637" s="185"/>
      <c r="AD637" s="185"/>
      <c r="AE637" s="185"/>
      <c r="AF637" s="185"/>
      <c r="AG637" s="185"/>
      <c r="AH637" s="185"/>
      <c r="AI637" s="185"/>
      <c r="AJ637" s="185"/>
      <c r="AK637" s="185"/>
      <c r="AL637" s="185"/>
      <c r="AM637" s="185"/>
      <c r="AN637" s="185"/>
      <c r="AO637" s="185"/>
      <c r="AP637" s="185"/>
      <c r="AQ637" s="94"/>
      <c r="AR637" s="94"/>
      <c r="AS637" s="94"/>
      <c r="AT637" s="149" t="s">
        <v>113</v>
      </c>
      <c r="AU637" s="94" t="s">
        <v>1849</v>
      </c>
    </row>
    <row r="638" spans="1:47" ht="21" customHeight="1" x14ac:dyDescent="0.35">
      <c r="A638" s="260"/>
      <c r="B638" s="114" t="s">
        <v>158</v>
      </c>
      <c r="C638" s="99" t="s">
        <v>433</v>
      </c>
      <c r="D638" s="105" t="s">
        <v>425</v>
      </c>
      <c r="E638" s="99">
        <v>45756</v>
      </c>
      <c r="F638" s="102">
        <f t="shared" si="25"/>
        <v>0</v>
      </c>
      <c r="G638" s="150">
        <f>SUMIF(积分汇总!$B:$B,C638,积分汇总!$E:$E)</f>
        <v>0</v>
      </c>
      <c r="H638" s="150">
        <f>SUMIF(记录巡查问题条数汇总!$B:$B,C638,记录巡查问题条数汇总!$E:$E)</f>
        <v>0</v>
      </c>
      <c r="I638" s="150"/>
      <c r="J638" s="150">
        <f>SUMIF(安全质量事故!$B:$B,C638,安全质量事故!$G:$G)</f>
        <v>0</v>
      </c>
      <c r="K638" s="141">
        <f>COUNTIF(L638:AP638,标准数据!$A$2)*标准数据!$B$2+COUNTIF(L638:AP638,标准数据!$A$3)*标准数据!$B$3+COUNTIF(L638:AP638,标准数据!$A$4)*标准数据!$B$4</f>
        <v>0</v>
      </c>
      <c r="L638" s="185"/>
      <c r="M638" s="185"/>
      <c r="N638" s="185"/>
      <c r="O638" s="185"/>
      <c r="P638" s="185"/>
      <c r="Q638" s="185"/>
      <c r="R638" s="185"/>
      <c r="S638" s="185"/>
      <c r="T638" s="185"/>
      <c r="U638" s="185"/>
      <c r="V638" s="185"/>
      <c r="W638" s="185"/>
      <c r="X638" s="185"/>
      <c r="Y638" s="185"/>
      <c r="Z638" s="185"/>
      <c r="AA638" s="185"/>
      <c r="AB638" s="185"/>
      <c r="AC638" s="185"/>
      <c r="AD638" s="185"/>
      <c r="AE638" s="185"/>
      <c r="AF638" s="185"/>
      <c r="AG638" s="185"/>
      <c r="AH638" s="185"/>
      <c r="AI638" s="185"/>
      <c r="AJ638" s="185"/>
      <c r="AK638" s="185"/>
      <c r="AL638" s="185"/>
      <c r="AM638" s="185"/>
      <c r="AN638" s="185"/>
      <c r="AO638" s="185"/>
      <c r="AP638" s="185"/>
      <c r="AQ638" s="94"/>
      <c r="AR638" s="94"/>
      <c r="AS638" s="94"/>
      <c r="AT638" s="149" t="s">
        <v>425</v>
      </c>
      <c r="AU638" s="94" t="s">
        <v>1849</v>
      </c>
    </row>
    <row r="639" spans="1:47" ht="21" customHeight="1" x14ac:dyDescent="0.35">
      <c r="A639" s="260"/>
      <c r="B639" s="114" t="s">
        <v>158</v>
      </c>
      <c r="C639" s="99" t="s">
        <v>268</v>
      </c>
      <c r="D639" s="105" t="s">
        <v>259</v>
      </c>
      <c r="E639" s="101">
        <v>43770</v>
      </c>
      <c r="F639" s="102">
        <f t="shared" si="25"/>
        <v>0</v>
      </c>
      <c r="G639" s="150">
        <f>SUMIF(积分汇总!$B:$B,C639,积分汇总!$E:$E)</f>
        <v>0</v>
      </c>
      <c r="H639" s="150">
        <f>SUMIF(记录巡查问题条数汇总!$B:$B,C639,记录巡查问题条数汇总!$E:$E)</f>
        <v>0</v>
      </c>
      <c r="I639" s="150"/>
      <c r="J639" s="150">
        <f>SUMIF(安全质量事故!$B:$B,C639,安全质量事故!$G:$G)</f>
        <v>0</v>
      </c>
      <c r="K639" s="141">
        <f>COUNTIF(L639:AP639,标准数据!$A$2)*标准数据!$B$2+COUNTIF(L639:AP639,标准数据!$A$3)*标准数据!$B$3+COUNTIF(L639:AP639,标准数据!$A$4)*标准数据!$B$4</f>
        <v>0</v>
      </c>
      <c r="L639" s="185"/>
      <c r="M639" s="185"/>
      <c r="N639" s="185"/>
      <c r="O639" s="185"/>
      <c r="P639" s="185"/>
      <c r="Q639" s="185"/>
      <c r="R639" s="185"/>
      <c r="S639" s="185"/>
      <c r="T639" s="185"/>
      <c r="U639" s="185"/>
      <c r="V639" s="185"/>
      <c r="W639" s="185"/>
      <c r="X639" s="185"/>
      <c r="Y639" s="185"/>
      <c r="Z639" s="185"/>
      <c r="AA639" s="185"/>
      <c r="AB639" s="185"/>
      <c r="AC639" s="185"/>
      <c r="AD639" s="185"/>
      <c r="AE639" s="185"/>
      <c r="AF639" s="185"/>
      <c r="AG639" s="185"/>
      <c r="AH639" s="185"/>
      <c r="AI639" s="185"/>
      <c r="AJ639" s="185"/>
      <c r="AK639" s="185"/>
      <c r="AL639" s="185"/>
      <c r="AM639" s="185"/>
      <c r="AN639" s="185"/>
      <c r="AO639" s="185"/>
      <c r="AP639" s="185"/>
      <c r="AT639" s="149" t="s">
        <v>259</v>
      </c>
      <c r="AU639" s="94" t="s">
        <v>1849</v>
      </c>
    </row>
    <row r="640" spans="1:47" ht="21" customHeight="1" x14ac:dyDescent="0.35">
      <c r="A640" s="260"/>
      <c r="B640" s="114" t="s">
        <v>158</v>
      </c>
      <c r="C640" s="99" t="s">
        <v>939</v>
      </c>
      <c r="D640" s="105" t="s">
        <v>892</v>
      </c>
      <c r="E640" s="99">
        <v>44363</v>
      </c>
      <c r="F640" s="102">
        <f t="shared" si="25"/>
        <v>0</v>
      </c>
      <c r="G640" s="150">
        <f>SUMIF(积分汇总!$B:$B,C640,积分汇总!$E:$E)</f>
        <v>0</v>
      </c>
      <c r="H640" s="150">
        <f>SUMIF(记录巡查问题条数汇总!$B:$B,C640,记录巡查问题条数汇总!$E:$E)</f>
        <v>0</v>
      </c>
      <c r="I640" s="150"/>
      <c r="J640" s="150">
        <f>SUMIF(安全质量事故!$B:$B,C640,安全质量事故!$G:$G)</f>
        <v>0</v>
      </c>
      <c r="K640" s="141">
        <f>COUNTIF(L640:AP640,标准数据!$A$2)*标准数据!$B$2+COUNTIF(L640:AP640,标准数据!$A$3)*标准数据!$B$3+COUNTIF(L640:AP640,标准数据!$A$4)*标准数据!$B$4</f>
        <v>0</v>
      </c>
      <c r="L640" s="185"/>
      <c r="M640" s="185"/>
      <c r="N640" s="185"/>
      <c r="O640" s="185"/>
      <c r="P640" s="185"/>
      <c r="Q640" s="185"/>
      <c r="R640" s="185"/>
      <c r="S640" s="185"/>
      <c r="T640" s="185"/>
      <c r="U640" s="185"/>
      <c r="V640" s="185"/>
      <c r="W640" s="185"/>
      <c r="X640" s="185"/>
      <c r="Y640" s="185"/>
      <c r="Z640" s="185"/>
      <c r="AA640" s="185"/>
      <c r="AB640" s="185"/>
      <c r="AC640" s="185"/>
      <c r="AD640" s="185"/>
      <c r="AE640" s="185"/>
      <c r="AF640" s="185"/>
      <c r="AG640" s="185"/>
      <c r="AH640" s="185"/>
      <c r="AI640" s="185"/>
      <c r="AJ640" s="185"/>
      <c r="AK640" s="185"/>
      <c r="AL640" s="185"/>
      <c r="AM640" s="185"/>
      <c r="AN640" s="185"/>
      <c r="AO640" s="185"/>
      <c r="AP640" s="185"/>
      <c r="AQ640" s="94"/>
      <c r="AR640" s="94"/>
      <c r="AS640" s="94"/>
      <c r="AT640" s="149" t="s">
        <v>892</v>
      </c>
      <c r="AU640" s="94" t="s">
        <v>1849</v>
      </c>
    </row>
    <row r="641" spans="1:47" ht="21" customHeight="1" x14ac:dyDescent="0.35">
      <c r="A641" s="260"/>
      <c r="B641" s="114" t="s">
        <v>158</v>
      </c>
      <c r="C641" s="99" t="s">
        <v>940</v>
      </c>
      <c r="D641" s="105" t="s">
        <v>893</v>
      </c>
      <c r="E641" s="99">
        <v>45994</v>
      </c>
      <c r="F641" s="102">
        <f t="shared" si="25"/>
        <v>0</v>
      </c>
      <c r="G641" s="150">
        <f>SUMIF(积分汇总!$B:$B,C641,积分汇总!$E:$E)</f>
        <v>0</v>
      </c>
      <c r="H641" s="150">
        <f>SUMIF(记录巡查问题条数汇总!$B:$B,C641,记录巡查问题条数汇总!$E:$E)</f>
        <v>0</v>
      </c>
      <c r="I641" s="150"/>
      <c r="J641" s="150">
        <f>SUMIF(安全质量事故!$B:$B,C641,安全质量事故!$G:$G)</f>
        <v>0</v>
      </c>
      <c r="K641" s="141">
        <f>COUNTIF(L641:AP641,标准数据!$A$2)*标准数据!$B$2+COUNTIF(L641:AP641,标准数据!$A$3)*标准数据!$B$3+COUNTIF(L641:AP641,标准数据!$A$4)*标准数据!$B$4</f>
        <v>0</v>
      </c>
      <c r="L641" s="185"/>
      <c r="M641" s="185"/>
      <c r="N641" s="185"/>
      <c r="O641" s="185"/>
      <c r="P641" s="185"/>
      <c r="Q641" s="185"/>
      <c r="R641" s="185"/>
      <c r="S641" s="185"/>
      <c r="T641" s="185"/>
      <c r="U641" s="185"/>
      <c r="V641" s="185"/>
      <c r="W641" s="185"/>
      <c r="X641" s="185"/>
      <c r="Y641" s="185"/>
      <c r="Z641" s="185"/>
      <c r="AA641" s="185"/>
      <c r="AB641" s="185"/>
      <c r="AC641" s="185"/>
      <c r="AD641" s="185"/>
      <c r="AE641" s="185"/>
      <c r="AF641" s="185"/>
      <c r="AG641" s="185"/>
      <c r="AH641" s="185"/>
      <c r="AI641" s="185"/>
      <c r="AJ641" s="185"/>
      <c r="AK641" s="185"/>
      <c r="AL641" s="185"/>
      <c r="AM641" s="185"/>
      <c r="AN641" s="185"/>
      <c r="AO641" s="185"/>
      <c r="AP641" s="185"/>
      <c r="AQ641" s="94"/>
      <c r="AR641" s="94"/>
      <c r="AS641" s="94"/>
      <c r="AT641" s="149" t="s">
        <v>893</v>
      </c>
      <c r="AU641" s="94" t="s">
        <v>1849</v>
      </c>
    </row>
    <row r="642" spans="1:47" ht="21" customHeight="1" x14ac:dyDescent="0.35">
      <c r="A642" s="260"/>
      <c r="B642" s="114" t="s">
        <v>158</v>
      </c>
      <c r="C642" s="99" t="s">
        <v>1034</v>
      </c>
      <c r="D642" s="105" t="s">
        <v>991</v>
      </c>
      <c r="E642" s="101">
        <v>46029</v>
      </c>
      <c r="F642" s="102">
        <f t="shared" ref="F642" si="32">(K642+G642+H642+I642-J642)</f>
        <v>0</v>
      </c>
      <c r="G642" s="150">
        <f>SUMIF(积分汇总!$B:$B,C642,积分汇总!$E:$E)</f>
        <v>0</v>
      </c>
      <c r="H642" s="150">
        <f>SUMIF(记录巡查问题条数汇总!$B:$B,C642,记录巡查问题条数汇总!$E:$E)</f>
        <v>0</v>
      </c>
      <c r="I642" s="150"/>
      <c r="J642" s="150">
        <f>SUMIF(安全质量事故!$B:$B,C642,安全质量事故!$G:$G)</f>
        <v>0</v>
      </c>
      <c r="K642" s="141">
        <f>COUNTIF(L642:AP642,标准数据!$A$2)*标准数据!$B$2+COUNTIF(L642:AP642,标准数据!$A$3)*标准数据!$B$3+COUNTIF(L642:AP642,标准数据!$A$4)*标准数据!$B$4</f>
        <v>0</v>
      </c>
      <c r="L642" s="185"/>
      <c r="M642" s="185"/>
      <c r="N642" s="185"/>
      <c r="O642" s="185"/>
      <c r="P642" s="185"/>
      <c r="Q642" s="185"/>
      <c r="R642" s="185"/>
      <c r="S642" s="185"/>
      <c r="T642" s="185"/>
      <c r="U642" s="185"/>
      <c r="V642" s="185"/>
      <c r="W642" s="185"/>
      <c r="X642" s="185"/>
      <c r="Y642" s="185"/>
      <c r="Z642" s="185"/>
      <c r="AA642" s="185"/>
      <c r="AB642" s="185"/>
      <c r="AC642" s="185"/>
      <c r="AD642" s="185"/>
      <c r="AE642" s="185"/>
      <c r="AF642" s="185"/>
      <c r="AG642" s="185"/>
      <c r="AH642" s="185"/>
      <c r="AI642" s="185"/>
      <c r="AJ642" s="185"/>
      <c r="AK642" s="185"/>
      <c r="AL642" s="185"/>
      <c r="AM642" s="185"/>
      <c r="AN642" s="185"/>
      <c r="AO642" s="185"/>
      <c r="AP642" s="185"/>
      <c r="AT642" s="149" t="s">
        <v>991</v>
      </c>
      <c r="AU642" s="94" t="s">
        <v>1849</v>
      </c>
    </row>
    <row r="643" spans="1:47" ht="21" customHeight="1" x14ac:dyDescent="0.35">
      <c r="A643" s="260"/>
      <c r="B643" s="114" t="s">
        <v>158</v>
      </c>
      <c r="C643" s="214" t="s">
        <v>1811</v>
      </c>
      <c r="D643" s="215" t="s">
        <v>1812</v>
      </c>
      <c r="E643" s="217">
        <v>46169</v>
      </c>
      <c r="F643" s="102">
        <f t="shared" si="25"/>
        <v>0</v>
      </c>
      <c r="G643" s="150">
        <f>SUMIF(积分汇总!$B:$B,C643,积分汇总!$E:$E)</f>
        <v>0</v>
      </c>
      <c r="H643" s="150">
        <f>SUMIF(记录巡查问题条数汇总!$B:$B,C643,记录巡查问题条数汇总!$E:$E)</f>
        <v>0</v>
      </c>
      <c r="I643" s="150"/>
      <c r="J643" s="150">
        <f>SUMIF(安全质量事故!$B:$B,C643,安全质量事故!$G:$G)</f>
        <v>0</v>
      </c>
      <c r="K643" s="141">
        <f>COUNTIF(L643:AP643,标准数据!$A$2)*标准数据!$B$2+COUNTIF(L643:AP643,标准数据!$A$3)*标准数据!$B$3+COUNTIF(L643:AP643,标准数据!$A$4)*标准数据!$B$4</f>
        <v>0</v>
      </c>
      <c r="L643" s="185"/>
      <c r="M643" s="185"/>
      <c r="N643" s="185"/>
      <c r="O643" s="185"/>
      <c r="P643" s="185"/>
      <c r="Q643" s="185"/>
      <c r="R643" s="185"/>
      <c r="S643" s="185"/>
      <c r="T643" s="185"/>
      <c r="U643" s="185"/>
      <c r="V643" s="185"/>
      <c r="W643" s="185"/>
      <c r="X643" s="185"/>
      <c r="Y643" s="185"/>
      <c r="Z643" s="185"/>
      <c r="AA643" s="185"/>
      <c r="AB643" s="185"/>
      <c r="AC643" s="185"/>
      <c r="AD643" s="185"/>
      <c r="AE643" s="185"/>
      <c r="AF643" s="185"/>
      <c r="AG643" s="185"/>
      <c r="AH643" s="185"/>
      <c r="AI643" s="185"/>
      <c r="AJ643" s="185"/>
      <c r="AK643" s="185"/>
      <c r="AL643" s="185"/>
      <c r="AM643" s="185"/>
      <c r="AN643" s="185"/>
      <c r="AO643" s="185"/>
      <c r="AP643" s="185"/>
      <c r="AT643" s="149" t="s">
        <v>1812</v>
      </c>
      <c r="AU643" s="94" t="s">
        <v>1849</v>
      </c>
    </row>
    <row r="644" spans="1:47" ht="21" customHeight="1" x14ac:dyDescent="0.35">
      <c r="A644" s="259" t="s">
        <v>272</v>
      </c>
      <c r="B644" s="98" t="s">
        <v>95</v>
      </c>
      <c r="C644" s="99" t="s">
        <v>177</v>
      </c>
      <c r="D644" s="105" t="s">
        <v>97</v>
      </c>
      <c r="E644" s="99">
        <v>44755</v>
      </c>
      <c r="F644" s="102">
        <f t="shared" si="25"/>
        <v>0</v>
      </c>
      <c r="G644" s="150">
        <f>SUMIF(积分汇总!$B:$B,C644,积分汇总!$E:$E)</f>
        <v>0</v>
      </c>
      <c r="H644" s="150">
        <f>SUMIF(记录巡查问题条数汇总!$B:$B,C644,记录巡查问题条数汇总!$E:$E)</f>
        <v>0</v>
      </c>
      <c r="I644" s="150"/>
      <c r="J644" s="150">
        <f>SUMIF(安全质量事故!$B:$B,C644,安全质量事故!$G:$G)</f>
        <v>0</v>
      </c>
      <c r="K644" s="141">
        <f>COUNTIF(L644:AP644,标准数据!$A$2)*标准数据!$B$2+COUNTIF(L644:AP644,标准数据!$A$3)*标准数据!$B$3+COUNTIF(L644:AP644,标准数据!$A$4)*标准数据!$B$4</f>
        <v>0</v>
      </c>
      <c r="L644" s="185"/>
      <c r="M644" s="185"/>
      <c r="N644" s="185"/>
      <c r="O644" s="185"/>
      <c r="P644" s="185"/>
      <c r="Q644" s="185"/>
      <c r="R644" s="185"/>
      <c r="S644" s="185"/>
      <c r="T644" s="185"/>
      <c r="U644" s="185"/>
      <c r="V644" s="185"/>
      <c r="W644" s="185"/>
      <c r="X644" s="185"/>
      <c r="Y644" s="185"/>
      <c r="Z644" s="185"/>
      <c r="AA644" s="185"/>
      <c r="AB644" s="185"/>
      <c r="AC644" s="185"/>
      <c r="AD644" s="185"/>
      <c r="AE644" s="185"/>
      <c r="AF644" s="185"/>
      <c r="AG644" s="185"/>
      <c r="AH644" s="185"/>
      <c r="AI644" s="185"/>
      <c r="AJ644" s="185"/>
      <c r="AK644" s="185"/>
      <c r="AL644" s="185"/>
      <c r="AM644" s="185"/>
      <c r="AN644" s="185"/>
      <c r="AO644" s="185"/>
      <c r="AP644" s="185"/>
      <c r="AQ644" s="248" t="s">
        <v>1152</v>
      </c>
      <c r="AR644" s="249"/>
      <c r="AS644" s="249"/>
      <c r="AT644" s="149" t="s">
        <v>97</v>
      </c>
      <c r="AU644" s="94" t="s">
        <v>1850</v>
      </c>
    </row>
    <row r="645" spans="1:47" ht="21" customHeight="1" x14ac:dyDescent="0.35">
      <c r="A645" s="259"/>
      <c r="B645" s="98" t="s">
        <v>95</v>
      </c>
      <c r="C645" s="99" t="s">
        <v>539</v>
      </c>
      <c r="D645" s="105" t="s">
        <v>500</v>
      </c>
      <c r="E645" s="99">
        <v>45488</v>
      </c>
      <c r="F645" s="102">
        <f t="shared" si="25"/>
        <v>0</v>
      </c>
      <c r="G645" s="150">
        <f>SUMIF(积分汇总!$B:$B,C645,积分汇总!$E:$E)</f>
        <v>0</v>
      </c>
      <c r="H645" s="150">
        <f>SUMIF(记录巡查问题条数汇总!$B:$B,C645,记录巡查问题条数汇总!$E:$E)</f>
        <v>0</v>
      </c>
      <c r="I645" s="150"/>
      <c r="J645" s="150">
        <f>SUMIF(安全质量事故!$B:$B,C645,安全质量事故!$G:$G)</f>
        <v>0</v>
      </c>
      <c r="K645" s="141">
        <f>COUNTIF(L645:AP645,标准数据!$A$2)*标准数据!$B$2+COUNTIF(L645:AP645,标准数据!$A$3)*标准数据!$B$3+COUNTIF(L645:AP645,标准数据!$A$4)*标准数据!$B$4</f>
        <v>0</v>
      </c>
      <c r="L645" s="185"/>
      <c r="M645" s="185"/>
      <c r="N645" s="185"/>
      <c r="O645" s="185"/>
      <c r="P645" s="185"/>
      <c r="Q645" s="185"/>
      <c r="R645" s="185"/>
      <c r="S645" s="185"/>
      <c r="T645" s="185"/>
      <c r="U645" s="185"/>
      <c r="V645" s="185"/>
      <c r="W645" s="185"/>
      <c r="X645" s="185"/>
      <c r="Y645" s="185"/>
      <c r="Z645" s="185"/>
      <c r="AA645" s="185"/>
      <c r="AB645" s="185"/>
      <c r="AC645" s="185"/>
      <c r="AD645" s="185"/>
      <c r="AE645" s="185"/>
      <c r="AF645" s="185"/>
      <c r="AG645" s="185"/>
      <c r="AH645" s="185"/>
      <c r="AI645" s="185"/>
      <c r="AJ645" s="185"/>
      <c r="AK645" s="185"/>
      <c r="AL645" s="185"/>
      <c r="AM645" s="185"/>
      <c r="AN645" s="185"/>
      <c r="AO645" s="185"/>
      <c r="AP645" s="185"/>
      <c r="AQ645" s="112" t="s">
        <v>1138</v>
      </c>
      <c r="AR645" s="110" t="s">
        <v>1149</v>
      </c>
      <c r="AS645" s="110" t="s">
        <v>1135</v>
      </c>
      <c r="AT645" s="149" t="s">
        <v>500</v>
      </c>
      <c r="AU645" s="94" t="s">
        <v>1850</v>
      </c>
    </row>
    <row r="646" spans="1:47" ht="21" customHeight="1" x14ac:dyDescent="0.35">
      <c r="A646" s="259"/>
      <c r="B646" s="98" t="s">
        <v>95</v>
      </c>
      <c r="C646" s="99" t="s">
        <v>540</v>
      </c>
      <c r="D646" s="105" t="s">
        <v>502</v>
      </c>
      <c r="E646" s="99">
        <v>45216</v>
      </c>
      <c r="F646" s="102">
        <f t="shared" si="25"/>
        <v>0</v>
      </c>
      <c r="G646" s="150">
        <f>SUMIF(积分汇总!$B:$B,C646,积分汇总!$E:$E)</f>
        <v>0</v>
      </c>
      <c r="H646" s="150">
        <f>SUMIF(记录巡查问题条数汇总!$B:$B,C646,记录巡查问题条数汇总!$E:$E)</f>
        <v>0</v>
      </c>
      <c r="I646" s="150"/>
      <c r="J646" s="150">
        <f>SUMIF(安全质量事故!$B:$B,C646,安全质量事故!$G:$G)</f>
        <v>0</v>
      </c>
      <c r="K646" s="141">
        <f>COUNTIF(L646:AP646,标准数据!$A$2)*标准数据!$B$2+COUNTIF(L646:AP646,标准数据!$A$3)*标准数据!$B$3+COUNTIF(L646:AP646,标准数据!$A$4)*标准数据!$B$4</f>
        <v>0</v>
      </c>
      <c r="L646" s="185"/>
      <c r="M646" s="185"/>
      <c r="N646" s="185"/>
      <c r="O646" s="185"/>
      <c r="P646" s="185"/>
      <c r="Q646" s="185"/>
      <c r="R646" s="185"/>
      <c r="S646" s="185"/>
      <c r="T646" s="185"/>
      <c r="U646" s="185"/>
      <c r="V646" s="185"/>
      <c r="W646" s="185"/>
      <c r="X646" s="185"/>
      <c r="Y646" s="185"/>
      <c r="Z646" s="185"/>
      <c r="AA646" s="185"/>
      <c r="AB646" s="185"/>
      <c r="AC646" s="185"/>
      <c r="AD646" s="185"/>
      <c r="AE646" s="185"/>
      <c r="AF646" s="185"/>
      <c r="AG646" s="185"/>
      <c r="AH646" s="185"/>
      <c r="AI646" s="185"/>
      <c r="AJ646" s="185"/>
      <c r="AK646" s="185"/>
      <c r="AL646" s="185"/>
      <c r="AM646" s="185"/>
      <c r="AN646" s="185"/>
      <c r="AO646" s="185"/>
      <c r="AP646" s="185"/>
      <c r="AQ646" s="117">
        <f>COUNTIF(L644:AP656,"a")</f>
        <v>0</v>
      </c>
      <c r="AR646" s="117">
        <f>COUNTIF(L644:AP656,"b")</f>
        <v>0</v>
      </c>
      <c r="AS646" s="117">
        <f>COUNTIF(L644:AP656,"c")</f>
        <v>0</v>
      </c>
      <c r="AT646" s="149" t="s">
        <v>502</v>
      </c>
      <c r="AU646" s="94" t="s">
        <v>1850</v>
      </c>
    </row>
    <row r="647" spans="1:47" ht="21" customHeight="1" x14ac:dyDescent="0.35">
      <c r="A647" s="259"/>
      <c r="B647" s="98" t="s">
        <v>95</v>
      </c>
      <c r="C647" s="99" t="s">
        <v>541</v>
      </c>
      <c r="D647" s="105" t="s">
        <v>503</v>
      </c>
      <c r="E647" s="99">
        <v>45042</v>
      </c>
      <c r="F647" s="102">
        <f t="shared" si="25"/>
        <v>0</v>
      </c>
      <c r="G647" s="150">
        <f>SUMIF(积分汇总!$B:$B,C647,积分汇总!$E:$E)</f>
        <v>0</v>
      </c>
      <c r="H647" s="150">
        <f>SUMIF(记录巡查问题条数汇总!$B:$B,C647,记录巡查问题条数汇总!$E:$E)</f>
        <v>0</v>
      </c>
      <c r="I647" s="150"/>
      <c r="J647" s="150">
        <f>SUMIF(安全质量事故!$B:$B,C647,安全质量事故!$G:$G)</f>
        <v>0</v>
      </c>
      <c r="K647" s="141">
        <f>COUNTIF(L647:AP647,标准数据!$A$2)*标准数据!$B$2+COUNTIF(L647:AP647,标准数据!$A$3)*标准数据!$B$3+COUNTIF(L647:AP647,标准数据!$A$4)*标准数据!$B$4</f>
        <v>0</v>
      </c>
      <c r="L647" s="185"/>
      <c r="M647" s="185"/>
      <c r="N647" s="185"/>
      <c r="O647" s="185"/>
      <c r="P647" s="185"/>
      <c r="Q647" s="185"/>
      <c r="R647" s="185"/>
      <c r="S647" s="185"/>
      <c r="T647" s="185"/>
      <c r="U647" s="185"/>
      <c r="V647" s="185"/>
      <c r="W647" s="185"/>
      <c r="X647" s="185"/>
      <c r="Y647" s="185"/>
      <c r="Z647" s="185"/>
      <c r="AA647" s="185"/>
      <c r="AB647" s="185"/>
      <c r="AC647" s="185"/>
      <c r="AD647" s="185"/>
      <c r="AE647" s="185"/>
      <c r="AF647" s="185"/>
      <c r="AG647" s="185"/>
      <c r="AH647" s="185"/>
      <c r="AI647" s="185"/>
      <c r="AJ647" s="185"/>
      <c r="AK647" s="185"/>
      <c r="AL647" s="185"/>
      <c r="AM647" s="185"/>
      <c r="AN647" s="185"/>
      <c r="AO647" s="185"/>
      <c r="AP647" s="185"/>
      <c r="AQ647" s="103" t="e">
        <f>AQ646/($AQ$646+$AR$646+$AS$646)</f>
        <v>#DIV/0!</v>
      </c>
      <c r="AR647" s="113" t="e">
        <f>AR646/($AQ$646+$AR$646+$AS$646)</f>
        <v>#DIV/0!</v>
      </c>
      <c r="AS647" s="113" t="e">
        <f>AS646/($AQ$646+$AR$646+$AS$646)</f>
        <v>#DIV/0!</v>
      </c>
      <c r="AT647" s="149" t="s">
        <v>503</v>
      </c>
      <c r="AU647" s="94" t="s">
        <v>1850</v>
      </c>
    </row>
    <row r="648" spans="1:47" ht="21" customHeight="1" x14ac:dyDescent="0.35">
      <c r="A648" s="259"/>
      <c r="B648" s="98" t="s">
        <v>95</v>
      </c>
      <c r="C648" s="99" t="s">
        <v>674</v>
      </c>
      <c r="D648" s="105" t="s">
        <v>660</v>
      </c>
      <c r="E648" s="99">
        <v>45896</v>
      </c>
      <c r="F648" s="102">
        <f t="shared" si="25"/>
        <v>0</v>
      </c>
      <c r="G648" s="150">
        <f>SUMIF(积分汇总!$B:$B,C648,积分汇总!$E:$E)</f>
        <v>0</v>
      </c>
      <c r="H648" s="150">
        <f>SUMIF(记录巡查问题条数汇总!$B:$B,C648,记录巡查问题条数汇总!$E:$E)</f>
        <v>0</v>
      </c>
      <c r="I648" s="150"/>
      <c r="J648" s="150">
        <f>SUMIF(安全质量事故!$B:$B,C648,安全质量事故!$G:$G)</f>
        <v>0</v>
      </c>
      <c r="K648" s="141">
        <f>COUNTIF(L648:AP648,标准数据!$A$2)*标准数据!$B$2+COUNTIF(L648:AP648,标准数据!$A$3)*标准数据!$B$3+COUNTIF(L648:AP648,标准数据!$A$4)*标准数据!$B$4</f>
        <v>0</v>
      </c>
      <c r="L648" s="185"/>
      <c r="M648" s="185"/>
      <c r="N648" s="185"/>
      <c r="O648" s="185"/>
      <c r="P648" s="185"/>
      <c r="Q648" s="185"/>
      <c r="R648" s="185"/>
      <c r="S648" s="185"/>
      <c r="T648" s="185"/>
      <c r="U648" s="185"/>
      <c r="V648" s="185"/>
      <c r="W648" s="185"/>
      <c r="X648" s="185"/>
      <c r="Y648" s="185"/>
      <c r="Z648" s="185"/>
      <c r="AA648" s="185"/>
      <c r="AB648" s="185"/>
      <c r="AC648" s="185"/>
      <c r="AD648" s="185"/>
      <c r="AE648" s="185"/>
      <c r="AF648" s="185"/>
      <c r="AG648" s="185"/>
      <c r="AH648" s="185"/>
      <c r="AI648" s="185"/>
      <c r="AJ648" s="185"/>
      <c r="AK648" s="185"/>
      <c r="AL648" s="185"/>
      <c r="AM648" s="185"/>
      <c r="AN648" s="185"/>
      <c r="AO648" s="185"/>
      <c r="AP648" s="185"/>
      <c r="AQ648" s="94"/>
      <c r="AR648" s="94"/>
      <c r="AS648" s="94"/>
      <c r="AT648" s="149" t="s">
        <v>660</v>
      </c>
      <c r="AU648" s="94" t="s">
        <v>1850</v>
      </c>
    </row>
    <row r="649" spans="1:47" ht="21" customHeight="1" x14ac:dyDescent="0.35">
      <c r="A649" s="259"/>
      <c r="B649" s="98" t="s">
        <v>95</v>
      </c>
      <c r="C649" s="99" t="s">
        <v>950</v>
      </c>
      <c r="D649" s="105" t="s">
        <v>949</v>
      </c>
      <c r="E649" s="99">
        <v>45999</v>
      </c>
      <c r="F649" s="102">
        <f t="shared" si="25"/>
        <v>0</v>
      </c>
      <c r="G649" s="150">
        <f>SUMIF(积分汇总!$B:$B,C649,积分汇总!$E:$E)</f>
        <v>0</v>
      </c>
      <c r="H649" s="150">
        <f>SUMIF(记录巡查问题条数汇总!$B:$B,C649,记录巡查问题条数汇总!$E:$E)</f>
        <v>0</v>
      </c>
      <c r="I649" s="150"/>
      <c r="J649" s="150">
        <f>SUMIF(安全质量事故!$B:$B,C649,安全质量事故!$G:$G)</f>
        <v>0</v>
      </c>
      <c r="K649" s="141">
        <f>COUNTIF(L649:AP649,标准数据!$A$2)*标准数据!$B$2+COUNTIF(L649:AP649,标准数据!$A$3)*标准数据!$B$3+COUNTIF(L649:AP649,标准数据!$A$4)*标准数据!$B$4</f>
        <v>0</v>
      </c>
      <c r="L649" s="185"/>
      <c r="M649" s="185"/>
      <c r="N649" s="185"/>
      <c r="O649" s="185"/>
      <c r="P649" s="185"/>
      <c r="Q649" s="185"/>
      <c r="R649" s="185"/>
      <c r="S649" s="185"/>
      <c r="T649" s="185"/>
      <c r="U649" s="185"/>
      <c r="V649" s="185"/>
      <c r="W649" s="185"/>
      <c r="X649" s="185"/>
      <c r="Y649" s="185"/>
      <c r="Z649" s="185"/>
      <c r="AA649" s="185"/>
      <c r="AB649" s="185"/>
      <c r="AC649" s="185"/>
      <c r="AD649" s="185"/>
      <c r="AE649" s="185"/>
      <c r="AF649" s="185"/>
      <c r="AG649" s="185"/>
      <c r="AH649" s="185"/>
      <c r="AI649" s="185"/>
      <c r="AJ649" s="185"/>
      <c r="AK649" s="185"/>
      <c r="AL649" s="185"/>
      <c r="AM649" s="185"/>
      <c r="AN649" s="185"/>
      <c r="AO649" s="185"/>
      <c r="AP649" s="185"/>
      <c r="AQ649" s="94"/>
      <c r="AR649" s="94"/>
      <c r="AS649" s="94"/>
      <c r="AT649" s="149" t="s">
        <v>1851</v>
      </c>
      <c r="AU649" s="94" t="s">
        <v>1850</v>
      </c>
    </row>
    <row r="650" spans="1:47" ht="21" customHeight="1" x14ac:dyDescent="0.35">
      <c r="A650" s="259"/>
      <c r="B650" s="98" t="s">
        <v>17</v>
      </c>
      <c r="C650" s="99" t="s">
        <v>1016</v>
      </c>
      <c r="D650" s="100" t="s">
        <v>992</v>
      </c>
      <c r="E650" s="101">
        <v>46036</v>
      </c>
      <c r="F650" s="102">
        <f t="shared" si="25"/>
        <v>0</v>
      </c>
      <c r="G650" s="150">
        <f>SUMIF(积分汇总!$B:$B,C650,积分汇总!$E:$E)</f>
        <v>0</v>
      </c>
      <c r="H650" s="150">
        <f>SUMIF(记录巡查问题条数汇总!$B:$B,C650,记录巡查问题条数汇总!$E:$E)</f>
        <v>0</v>
      </c>
      <c r="I650" s="150"/>
      <c r="J650" s="150">
        <f>SUMIF(安全质量事故!$B:$B,C650,安全质量事故!$G:$G)</f>
        <v>0</v>
      </c>
      <c r="K650" s="141">
        <f>COUNTIF(L650:AP650,标准数据!$A$2)*标准数据!$B$2+COUNTIF(L650:AP650,标准数据!$A$3)*标准数据!$B$3+COUNTIF(L650:AP650,标准数据!$A$4)*标准数据!$B$4</f>
        <v>0</v>
      </c>
      <c r="L650" s="185"/>
      <c r="M650" s="185"/>
      <c r="N650" s="185"/>
      <c r="O650" s="185"/>
      <c r="P650" s="185"/>
      <c r="Q650" s="109"/>
      <c r="R650" s="109"/>
      <c r="S650" s="109"/>
      <c r="T650" s="109"/>
      <c r="U650" s="109"/>
      <c r="V650" s="109"/>
      <c r="W650" s="109"/>
      <c r="X650" s="109"/>
      <c r="Y650" s="109"/>
      <c r="Z650" s="109"/>
      <c r="AA650" s="109"/>
      <c r="AB650" s="109"/>
      <c r="AC650" s="109"/>
      <c r="AD650" s="109"/>
      <c r="AE650" s="109"/>
      <c r="AF650" s="109"/>
      <c r="AG650" s="109"/>
      <c r="AH650" s="109"/>
      <c r="AI650" s="109"/>
      <c r="AJ650" s="109"/>
      <c r="AK650" s="109"/>
      <c r="AL650" s="109"/>
      <c r="AM650" s="109"/>
      <c r="AN650" s="109"/>
      <c r="AO650" s="109"/>
      <c r="AP650" s="109"/>
      <c r="AT650" s="149" t="s">
        <v>992</v>
      </c>
      <c r="AU650" s="94" t="s">
        <v>1850</v>
      </c>
    </row>
    <row r="651" spans="1:47" ht="21" customHeight="1" x14ac:dyDescent="0.35">
      <c r="A651" s="259"/>
      <c r="B651" s="114" t="s">
        <v>16</v>
      </c>
      <c r="C651" s="99" t="s">
        <v>1118</v>
      </c>
      <c r="D651" s="105" t="s">
        <v>1119</v>
      </c>
      <c r="E651" s="99">
        <v>45457</v>
      </c>
      <c r="F651" s="102">
        <f t="shared" si="25"/>
        <v>0</v>
      </c>
      <c r="G651" s="150">
        <f>SUMIF(积分汇总!$B:$B,C651,积分汇总!$E:$E)</f>
        <v>0</v>
      </c>
      <c r="H651" s="150">
        <f>SUMIF(记录巡查问题条数汇总!$B:$B,C651,记录巡查问题条数汇总!$E:$E)</f>
        <v>0</v>
      </c>
      <c r="I651" s="150"/>
      <c r="J651" s="150">
        <f>SUMIF(安全质量事故!$B:$B,C651,安全质量事故!$G:$G)</f>
        <v>0</v>
      </c>
      <c r="K651" s="141">
        <f>COUNTIF(L651:AP651,标准数据!$A$2)*标准数据!$B$2+COUNTIF(L651:AP651,标准数据!$A$3)*标准数据!$B$3+COUNTIF(L651:AP651,标准数据!$A$4)*标准数据!$B$4</f>
        <v>0</v>
      </c>
      <c r="L651" s="185"/>
      <c r="M651" s="185"/>
      <c r="N651" s="185"/>
      <c r="O651" s="185"/>
      <c r="P651" s="185"/>
      <c r="Q651" s="185"/>
      <c r="R651" s="185"/>
      <c r="S651" s="185"/>
      <c r="T651" s="185"/>
      <c r="U651" s="185"/>
      <c r="V651" s="185"/>
      <c r="W651" s="185"/>
      <c r="X651" s="185"/>
      <c r="Y651" s="185"/>
      <c r="Z651" s="185"/>
      <c r="AA651" s="185"/>
      <c r="AB651" s="185"/>
      <c r="AC651" s="185"/>
      <c r="AD651" s="185"/>
      <c r="AE651" s="185"/>
      <c r="AF651" s="185"/>
      <c r="AG651" s="185"/>
      <c r="AH651" s="185"/>
      <c r="AI651" s="185"/>
      <c r="AJ651" s="185"/>
      <c r="AK651" s="185"/>
      <c r="AL651" s="185"/>
      <c r="AM651" s="185"/>
      <c r="AN651" s="185"/>
      <c r="AO651" s="185"/>
      <c r="AP651" s="185"/>
      <c r="AT651" s="149" t="s">
        <v>1119</v>
      </c>
      <c r="AU651" s="94" t="s">
        <v>1850</v>
      </c>
    </row>
    <row r="652" spans="1:47" ht="21" customHeight="1" x14ac:dyDescent="0.35">
      <c r="A652" s="259"/>
      <c r="B652" s="114" t="s">
        <v>158</v>
      </c>
      <c r="C652" s="99" t="s">
        <v>178</v>
      </c>
      <c r="D652" s="105" t="s">
        <v>98</v>
      </c>
      <c r="E652" s="99">
        <v>44790</v>
      </c>
      <c r="F652" s="102">
        <f t="shared" si="25"/>
        <v>0</v>
      </c>
      <c r="G652" s="150">
        <f>SUMIF(积分汇总!$B:$B,C652,积分汇总!$E:$E)</f>
        <v>0</v>
      </c>
      <c r="H652" s="150">
        <f>SUMIF(记录巡查问题条数汇总!$B:$B,C652,记录巡查问题条数汇总!$E:$E)</f>
        <v>0</v>
      </c>
      <c r="I652" s="150"/>
      <c r="J652" s="150">
        <f>SUMIF(安全质量事故!$B:$B,C652,安全质量事故!$G:$G)</f>
        <v>0</v>
      </c>
      <c r="K652" s="141">
        <f>COUNTIF(L652:AP652,标准数据!$A$2)*标准数据!$B$2+COUNTIF(L652:AP652,标准数据!$A$3)*标准数据!$B$3+COUNTIF(L652:AP652,标准数据!$A$4)*标准数据!$B$4</f>
        <v>0</v>
      </c>
      <c r="L652" s="185"/>
      <c r="M652" s="185"/>
      <c r="N652" s="185"/>
      <c r="O652" s="185"/>
      <c r="P652" s="185"/>
      <c r="Q652" s="185"/>
      <c r="R652" s="185"/>
      <c r="S652" s="185"/>
      <c r="T652" s="185"/>
      <c r="U652" s="185"/>
      <c r="V652" s="185"/>
      <c r="W652" s="185"/>
      <c r="X652" s="185"/>
      <c r="Y652" s="185"/>
      <c r="Z652" s="185"/>
      <c r="AA652" s="185"/>
      <c r="AB652" s="185"/>
      <c r="AC652" s="185"/>
      <c r="AD652" s="185"/>
      <c r="AE652" s="185"/>
      <c r="AF652" s="185"/>
      <c r="AG652" s="185"/>
      <c r="AH652" s="185"/>
      <c r="AI652" s="185"/>
      <c r="AJ652" s="185"/>
      <c r="AK652" s="185"/>
      <c r="AL652" s="185"/>
      <c r="AM652" s="185"/>
      <c r="AN652" s="185"/>
      <c r="AO652" s="185"/>
      <c r="AP652" s="185"/>
      <c r="AQ652" s="94"/>
      <c r="AR652" s="94"/>
      <c r="AS652" s="94"/>
      <c r="AT652" s="149" t="s">
        <v>98</v>
      </c>
      <c r="AU652" s="94" t="s">
        <v>1850</v>
      </c>
    </row>
    <row r="653" spans="1:47" ht="21" customHeight="1" x14ac:dyDescent="0.35">
      <c r="A653" s="259"/>
      <c r="B653" s="114" t="s">
        <v>158</v>
      </c>
      <c r="C653" s="99" t="s">
        <v>163</v>
      </c>
      <c r="D653" s="105" t="s">
        <v>99</v>
      </c>
      <c r="E653" s="99">
        <v>44790</v>
      </c>
      <c r="F653" s="102">
        <f t="shared" si="25"/>
        <v>0</v>
      </c>
      <c r="G653" s="150">
        <f>SUMIF(积分汇总!$B:$B,C653,积分汇总!$E:$E)</f>
        <v>0</v>
      </c>
      <c r="H653" s="150">
        <f>SUMIF(记录巡查问题条数汇总!$B:$B,C653,记录巡查问题条数汇总!$E:$E)</f>
        <v>0</v>
      </c>
      <c r="I653" s="150"/>
      <c r="J653" s="150">
        <f>SUMIF(安全质量事故!$B:$B,C653,安全质量事故!$G:$G)</f>
        <v>0</v>
      </c>
      <c r="K653" s="141">
        <f>COUNTIF(L653:AP653,标准数据!$A$2)*标准数据!$B$2+COUNTIF(L653:AP653,标准数据!$A$3)*标准数据!$B$3+COUNTIF(L653:AP653,标准数据!$A$4)*标准数据!$B$4</f>
        <v>0</v>
      </c>
      <c r="L653" s="185"/>
      <c r="M653" s="185"/>
      <c r="N653" s="185"/>
      <c r="O653" s="185"/>
      <c r="P653" s="185"/>
      <c r="Q653" s="185"/>
      <c r="R653" s="185"/>
      <c r="S653" s="185"/>
      <c r="T653" s="185"/>
      <c r="U653" s="185"/>
      <c r="V653" s="185"/>
      <c r="W653" s="185"/>
      <c r="X653" s="185"/>
      <c r="Y653" s="185"/>
      <c r="Z653" s="185"/>
      <c r="AA653" s="185"/>
      <c r="AB653" s="185"/>
      <c r="AC653" s="185"/>
      <c r="AD653" s="185"/>
      <c r="AE653" s="185"/>
      <c r="AF653" s="185"/>
      <c r="AG653" s="185"/>
      <c r="AH653" s="185"/>
      <c r="AI653" s="185"/>
      <c r="AJ653" s="185"/>
      <c r="AK653" s="185"/>
      <c r="AL653" s="185"/>
      <c r="AM653" s="185"/>
      <c r="AN653" s="185"/>
      <c r="AO653" s="185"/>
      <c r="AP653" s="185"/>
      <c r="AQ653" s="94"/>
      <c r="AR653" s="94"/>
      <c r="AS653" s="94"/>
      <c r="AT653" s="149" t="s">
        <v>99</v>
      </c>
      <c r="AU653" s="94" t="s">
        <v>1850</v>
      </c>
    </row>
    <row r="654" spans="1:47" ht="21" customHeight="1" x14ac:dyDescent="0.35">
      <c r="A654" s="259"/>
      <c r="B654" s="114" t="s">
        <v>158</v>
      </c>
      <c r="C654" s="99" t="s">
        <v>179</v>
      </c>
      <c r="D654" s="105" t="s">
        <v>100</v>
      </c>
      <c r="E654" s="99">
        <v>44790</v>
      </c>
      <c r="F654" s="102">
        <f t="shared" si="25"/>
        <v>0</v>
      </c>
      <c r="G654" s="150">
        <f>SUMIF(积分汇总!$B:$B,C654,积分汇总!$E:$E)</f>
        <v>0</v>
      </c>
      <c r="H654" s="150">
        <f>SUMIF(记录巡查问题条数汇总!$B:$B,C654,记录巡查问题条数汇总!$E:$E)</f>
        <v>0</v>
      </c>
      <c r="I654" s="150"/>
      <c r="J654" s="150">
        <f>SUMIF(安全质量事故!$B:$B,C654,安全质量事故!$G:$G)</f>
        <v>0</v>
      </c>
      <c r="K654" s="141">
        <f>COUNTIF(L654:AP654,标准数据!$A$2)*标准数据!$B$2+COUNTIF(L654:AP654,标准数据!$A$3)*标准数据!$B$3+COUNTIF(L654:AP654,标准数据!$A$4)*标准数据!$B$4</f>
        <v>0</v>
      </c>
      <c r="L654" s="185"/>
      <c r="M654" s="185"/>
      <c r="N654" s="185"/>
      <c r="O654" s="185"/>
      <c r="P654" s="185"/>
      <c r="Q654" s="185"/>
      <c r="R654" s="185"/>
      <c r="S654" s="185"/>
      <c r="T654" s="185"/>
      <c r="U654" s="185"/>
      <c r="V654" s="185"/>
      <c r="W654" s="185"/>
      <c r="X654" s="185"/>
      <c r="Y654" s="185"/>
      <c r="Z654" s="185"/>
      <c r="AA654" s="185"/>
      <c r="AB654" s="185"/>
      <c r="AC654" s="185"/>
      <c r="AD654" s="185"/>
      <c r="AE654" s="185"/>
      <c r="AF654" s="185"/>
      <c r="AG654" s="185"/>
      <c r="AH654" s="185"/>
      <c r="AI654" s="185"/>
      <c r="AJ654" s="185"/>
      <c r="AK654" s="185"/>
      <c r="AL654" s="185"/>
      <c r="AM654" s="185"/>
      <c r="AN654" s="185"/>
      <c r="AO654" s="185"/>
      <c r="AP654" s="185"/>
      <c r="AQ654" s="94"/>
      <c r="AR654" s="94"/>
      <c r="AS654" s="94"/>
      <c r="AT654" s="149" t="s">
        <v>100</v>
      </c>
      <c r="AU654" s="94" t="s">
        <v>1850</v>
      </c>
    </row>
    <row r="655" spans="1:47" ht="21" customHeight="1" x14ac:dyDescent="0.35">
      <c r="A655" s="259"/>
      <c r="B655" s="114" t="s">
        <v>158</v>
      </c>
      <c r="C655" s="99" t="s">
        <v>284</v>
      </c>
      <c r="D655" s="105" t="s">
        <v>285</v>
      </c>
      <c r="E655" s="99">
        <v>45063</v>
      </c>
      <c r="F655" s="102">
        <f t="shared" si="25"/>
        <v>0</v>
      </c>
      <c r="G655" s="150">
        <f>SUMIF(积分汇总!$B:$B,C655,积分汇总!$E:$E)</f>
        <v>0</v>
      </c>
      <c r="H655" s="150">
        <f>SUMIF(记录巡查问题条数汇总!$B:$B,C655,记录巡查问题条数汇总!$E:$E)</f>
        <v>0</v>
      </c>
      <c r="I655" s="150"/>
      <c r="J655" s="150">
        <f>SUMIF(安全质量事故!$B:$B,C655,安全质量事故!$G:$G)</f>
        <v>0</v>
      </c>
      <c r="K655" s="141">
        <f>COUNTIF(L655:AP655,标准数据!$A$2)*标准数据!$B$2+COUNTIF(L655:AP655,标准数据!$A$3)*标准数据!$B$3+COUNTIF(L655:AP655,标准数据!$A$4)*标准数据!$B$4</f>
        <v>0</v>
      </c>
      <c r="L655" s="185"/>
      <c r="M655" s="185"/>
      <c r="N655" s="185"/>
      <c r="O655" s="185"/>
      <c r="P655" s="185"/>
      <c r="Q655" s="185"/>
      <c r="R655" s="185"/>
      <c r="S655" s="185"/>
      <c r="T655" s="185"/>
      <c r="U655" s="185"/>
      <c r="V655" s="185"/>
      <c r="W655" s="185"/>
      <c r="X655" s="185"/>
      <c r="Y655" s="185"/>
      <c r="Z655" s="185"/>
      <c r="AA655" s="185"/>
      <c r="AB655" s="185"/>
      <c r="AC655" s="185"/>
      <c r="AD655" s="185"/>
      <c r="AE655" s="185"/>
      <c r="AF655" s="185"/>
      <c r="AG655" s="185"/>
      <c r="AH655" s="185"/>
      <c r="AI655" s="185"/>
      <c r="AJ655" s="185"/>
      <c r="AK655" s="185"/>
      <c r="AL655" s="185"/>
      <c r="AM655" s="185"/>
      <c r="AN655" s="185"/>
      <c r="AO655" s="185"/>
      <c r="AP655" s="185"/>
      <c r="AT655" s="149" t="s">
        <v>285</v>
      </c>
      <c r="AU655" s="94" t="s">
        <v>1850</v>
      </c>
    </row>
    <row r="656" spans="1:47" ht="21" customHeight="1" x14ac:dyDescent="0.35">
      <c r="A656" s="259"/>
      <c r="B656" s="114" t="s">
        <v>158</v>
      </c>
      <c r="C656" s="99" t="s">
        <v>118</v>
      </c>
      <c r="D656" s="105" t="s">
        <v>111</v>
      </c>
      <c r="E656" s="99">
        <v>44770</v>
      </c>
      <c r="F656" s="102">
        <f t="shared" si="25"/>
        <v>0</v>
      </c>
      <c r="G656" s="150">
        <f>SUMIF(积分汇总!$B:$B,C656,积分汇总!$E:$E)</f>
        <v>0</v>
      </c>
      <c r="H656" s="150">
        <f>SUMIF(记录巡查问题条数汇总!$B:$B,C656,记录巡查问题条数汇总!$E:$E)</f>
        <v>0</v>
      </c>
      <c r="I656" s="150"/>
      <c r="J656" s="150">
        <f>SUMIF(安全质量事故!$B:$B,C656,安全质量事故!$G:$G)</f>
        <v>0</v>
      </c>
      <c r="K656" s="141">
        <f>COUNTIF(L656:AP656,标准数据!$A$2)*标准数据!$B$2+COUNTIF(L656:AP656,标准数据!$A$3)*标准数据!$B$3+COUNTIF(L656:AP656,标准数据!$A$4)*标准数据!$B$4</f>
        <v>0</v>
      </c>
      <c r="L656" s="185"/>
      <c r="M656" s="185"/>
      <c r="N656" s="185"/>
      <c r="O656" s="185"/>
      <c r="P656" s="185"/>
      <c r="Q656" s="185"/>
      <c r="R656" s="185"/>
      <c r="S656" s="185"/>
      <c r="T656" s="185"/>
      <c r="U656" s="185"/>
      <c r="V656" s="185"/>
      <c r="W656" s="185"/>
      <c r="X656" s="185"/>
      <c r="Y656" s="185"/>
      <c r="Z656" s="185"/>
      <c r="AA656" s="185"/>
      <c r="AB656" s="185"/>
      <c r="AC656" s="185"/>
      <c r="AD656" s="185"/>
      <c r="AE656" s="185"/>
      <c r="AF656" s="185"/>
      <c r="AG656" s="185"/>
      <c r="AH656" s="185"/>
      <c r="AI656" s="185"/>
      <c r="AJ656" s="185"/>
      <c r="AK656" s="185"/>
      <c r="AL656" s="185"/>
      <c r="AM656" s="185"/>
      <c r="AN656" s="185"/>
      <c r="AO656" s="185"/>
      <c r="AP656" s="185"/>
      <c r="AT656" s="149" t="s">
        <v>111</v>
      </c>
      <c r="AU656" s="94" t="s">
        <v>1850</v>
      </c>
    </row>
    <row r="657" spans="1:47" ht="21" customHeight="1" x14ac:dyDescent="0.35">
      <c r="A657" s="260" t="s">
        <v>1153</v>
      </c>
      <c r="B657" s="98" t="s">
        <v>166</v>
      </c>
      <c r="C657" s="99" t="s">
        <v>180</v>
      </c>
      <c r="D657" s="105" t="s">
        <v>31</v>
      </c>
      <c r="E657" s="99">
        <v>41487</v>
      </c>
      <c r="F657" s="102">
        <f t="shared" si="25"/>
        <v>0</v>
      </c>
      <c r="G657" s="150">
        <f>SUMIF(积分汇总!$B:$B,C657,积分汇总!$E:$E)</f>
        <v>0</v>
      </c>
      <c r="H657" s="150">
        <f>SUMIF(记录巡查问题条数汇总!$B:$B,C657,记录巡查问题条数汇总!$E:$E)</f>
        <v>0</v>
      </c>
      <c r="I657" s="150"/>
      <c r="J657" s="150">
        <f>SUMIF(安全质量事故!$B:$B,C657,安全质量事故!$G:$G)</f>
        <v>0</v>
      </c>
      <c r="K657" s="141">
        <f>COUNTIF(L657:AP657,标准数据!$A$2)*标准数据!$B$2+COUNTIF(L657:AP657,标准数据!$A$3)*标准数据!$B$3+COUNTIF(L657:AP657,标准数据!$A$4)*标准数据!$B$4</f>
        <v>0</v>
      </c>
      <c r="L657" s="185"/>
      <c r="M657" s="185"/>
      <c r="N657" s="185"/>
      <c r="O657" s="185"/>
      <c r="P657" s="185"/>
      <c r="Q657" s="185"/>
      <c r="R657" s="185"/>
      <c r="S657" s="185"/>
      <c r="T657" s="185"/>
      <c r="U657" s="185"/>
      <c r="V657" s="185"/>
      <c r="W657" s="185"/>
      <c r="X657" s="185"/>
      <c r="Y657" s="185"/>
      <c r="Z657" s="185"/>
      <c r="AA657" s="185"/>
      <c r="AB657" s="185"/>
      <c r="AC657" s="185"/>
      <c r="AD657" s="185"/>
      <c r="AE657" s="185"/>
      <c r="AF657" s="185"/>
      <c r="AG657" s="185"/>
      <c r="AH657" s="185"/>
      <c r="AI657" s="185"/>
      <c r="AJ657" s="185"/>
      <c r="AK657" s="185"/>
      <c r="AL657" s="185"/>
      <c r="AM657" s="185"/>
      <c r="AN657" s="185"/>
      <c r="AO657" s="185"/>
      <c r="AP657" s="185"/>
      <c r="AQ657" s="247" t="s">
        <v>1154</v>
      </c>
      <c r="AR657" s="247"/>
      <c r="AS657" s="248"/>
      <c r="AT657" s="149" t="s">
        <v>31</v>
      </c>
      <c r="AU657" s="94" t="s">
        <v>1852</v>
      </c>
    </row>
    <row r="658" spans="1:47" ht="21" customHeight="1" x14ac:dyDescent="0.35">
      <c r="A658" s="260"/>
      <c r="B658" s="114" t="s">
        <v>140</v>
      </c>
      <c r="C658" s="99" t="s">
        <v>181</v>
      </c>
      <c r="D658" s="105" t="s">
        <v>33</v>
      </c>
      <c r="E658" s="99">
        <v>44013</v>
      </c>
      <c r="F658" s="102">
        <f t="shared" si="25"/>
        <v>0</v>
      </c>
      <c r="G658" s="150">
        <f>SUMIF(积分汇总!$B:$B,C658,积分汇总!$E:$E)</f>
        <v>0</v>
      </c>
      <c r="H658" s="150">
        <f>SUMIF(记录巡查问题条数汇总!$B:$B,C658,记录巡查问题条数汇总!$E:$E)</f>
        <v>0</v>
      </c>
      <c r="I658" s="150"/>
      <c r="J658" s="150">
        <f>SUMIF(安全质量事故!$B:$B,C658,安全质量事故!$G:$G)</f>
        <v>0</v>
      </c>
      <c r="K658" s="141">
        <f>COUNTIF(L658:AP658,标准数据!$A$2)*标准数据!$B$2+COUNTIF(L658:AP658,标准数据!$A$3)*标准数据!$B$3+COUNTIF(L658:AP658,标准数据!$A$4)*标准数据!$B$4</f>
        <v>0</v>
      </c>
      <c r="L658" s="185"/>
      <c r="M658" s="185"/>
      <c r="N658" s="185"/>
      <c r="O658" s="185"/>
      <c r="P658" s="185"/>
      <c r="Q658" s="185"/>
      <c r="R658" s="185"/>
      <c r="S658" s="185"/>
      <c r="T658" s="185"/>
      <c r="U658" s="185"/>
      <c r="V658" s="185"/>
      <c r="W658" s="185"/>
      <c r="X658" s="185"/>
      <c r="Y658" s="185"/>
      <c r="Z658" s="185"/>
      <c r="AA658" s="185"/>
      <c r="AB658" s="185"/>
      <c r="AC658" s="185"/>
      <c r="AD658" s="185"/>
      <c r="AE658" s="185"/>
      <c r="AF658" s="185"/>
      <c r="AG658" s="185"/>
      <c r="AH658" s="185"/>
      <c r="AI658" s="185"/>
      <c r="AJ658" s="185"/>
      <c r="AK658" s="185"/>
      <c r="AL658" s="185"/>
      <c r="AM658" s="185"/>
      <c r="AN658" s="185"/>
      <c r="AO658" s="185"/>
      <c r="AP658" s="185"/>
      <c r="AQ658" s="112" t="s">
        <v>1138</v>
      </c>
      <c r="AR658" s="110" t="s">
        <v>1149</v>
      </c>
      <c r="AS658" s="110" t="s">
        <v>1135</v>
      </c>
      <c r="AT658" s="149" t="s">
        <v>33</v>
      </c>
      <c r="AU658" s="94" t="s">
        <v>1853</v>
      </c>
    </row>
    <row r="659" spans="1:47" ht="21.75" customHeight="1" x14ac:dyDescent="0.35">
      <c r="A659" s="260"/>
      <c r="B659" s="114" t="s">
        <v>158</v>
      </c>
      <c r="C659" s="99" t="s">
        <v>164</v>
      </c>
      <c r="D659" s="105" t="s">
        <v>30</v>
      </c>
      <c r="E659" s="99">
        <v>42949</v>
      </c>
      <c r="F659" s="102">
        <f t="shared" si="25"/>
        <v>0</v>
      </c>
      <c r="G659" s="150">
        <f>SUMIF(积分汇总!$B:$B,C659,积分汇总!$E:$E)</f>
        <v>0</v>
      </c>
      <c r="H659" s="150">
        <f>SUMIF(记录巡查问题条数汇总!$B:$B,C659,记录巡查问题条数汇总!$E:$E)</f>
        <v>0</v>
      </c>
      <c r="I659" s="150"/>
      <c r="J659" s="150">
        <f>SUMIF(安全质量事故!$B:$B,C659,安全质量事故!$G:$G)</f>
        <v>0</v>
      </c>
      <c r="K659" s="141">
        <f>COUNTIF(L659:AP659,标准数据!$A$2)*标准数据!$B$2+COUNTIF(L659:AP659,标准数据!$A$3)*标准数据!$B$3+COUNTIF(L659:AP659,标准数据!$A$4)*标准数据!$B$4</f>
        <v>0</v>
      </c>
      <c r="L659" s="185"/>
      <c r="M659" s="185"/>
      <c r="N659" s="185"/>
      <c r="O659" s="185"/>
      <c r="P659" s="185"/>
      <c r="Q659" s="185"/>
      <c r="R659" s="185"/>
      <c r="S659" s="185"/>
      <c r="T659" s="185"/>
      <c r="U659" s="185"/>
      <c r="V659" s="185"/>
      <c r="W659" s="185"/>
      <c r="X659" s="185"/>
      <c r="Y659" s="185"/>
      <c r="Z659" s="185"/>
      <c r="AA659" s="185"/>
      <c r="AB659" s="185"/>
      <c r="AC659" s="185"/>
      <c r="AD659" s="185"/>
      <c r="AE659" s="185"/>
      <c r="AF659" s="185"/>
      <c r="AG659" s="185"/>
      <c r="AH659" s="185"/>
      <c r="AI659" s="185"/>
      <c r="AJ659" s="185"/>
      <c r="AK659" s="185"/>
      <c r="AL659" s="185"/>
      <c r="AM659" s="185"/>
      <c r="AN659" s="185"/>
      <c r="AO659" s="185"/>
      <c r="AP659" s="185"/>
      <c r="AQ659" s="117">
        <f>COUNTIF(L657:AP675,"a")</f>
        <v>0</v>
      </c>
      <c r="AR659" s="117">
        <f>COUNTIF(L657:AP675,"b")</f>
        <v>0</v>
      </c>
      <c r="AS659" s="117">
        <f>COUNTIF(L657:AP675,"c")</f>
        <v>0</v>
      </c>
      <c r="AT659" s="149" t="s">
        <v>30</v>
      </c>
      <c r="AU659" s="94" t="s">
        <v>1852</v>
      </c>
    </row>
    <row r="660" spans="1:47" ht="21" customHeight="1" x14ac:dyDescent="0.35">
      <c r="A660" s="260"/>
      <c r="B660" s="114" t="s">
        <v>158</v>
      </c>
      <c r="C660" s="99" t="s">
        <v>185</v>
      </c>
      <c r="D660" s="105" t="s">
        <v>183</v>
      </c>
      <c r="E660" s="101">
        <v>43271</v>
      </c>
      <c r="F660" s="102">
        <f t="shared" si="25"/>
        <v>0</v>
      </c>
      <c r="G660" s="150">
        <f>SUMIF(积分汇总!$B:$B,C660,积分汇总!$E:$E)</f>
        <v>0</v>
      </c>
      <c r="H660" s="150">
        <f>SUMIF(记录巡查问题条数汇总!$B:$B,C660,记录巡查问题条数汇总!$E:$E)</f>
        <v>0</v>
      </c>
      <c r="I660" s="150"/>
      <c r="J660" s="150">
        <f>SUMIF(安全质量事故!$B:$B,C660,安全质量事故!$G:$G)</f>
        <v>0</v>
      </c>
      <c r="K660" s="141">
        <f>COUNTIF(L660:AP660,标准数据!$A$2)*标准数据!$B$2+COUNTIF(L660:AP660,标准数据!$A$3)*标准数据!$B$3+COUNTIF(L660:AP660,标准数据!$A$4)*标准数据!$B$4</f>
        <v>0</v>
      </c>
      <c r="L660" s="185"/>
      <c r="M660" s="185"/>
      <c r="N660" s="185"/>
      <c r="O660" s="185"/>
      <c r="P660" s="185"/>
      <c r="Q660" s="185"/>
      <c r="R660" s="185"/>
      <c r="S660" s="185"/>
      <c r="T660" s="185"/>
      <c r="U660" s="185"/>
      <c r="V660" s="185"/>
      <c r="W660" s="185"/>
      <c r="X660" s="185"/>
      <c r="Y660" s="185"/>
      <c r="Z660" s="185"/>
      <c r="AA660" s="185"/>
      <c r="AB660" s="185"/>
      <c r="AC660" s="185"/>
      <c r="AD660" s="185"/>
      <c r="AE660" s="185"/>
      <c r="AF660" s="185"/>
      <c r="AG660" s="185"/>
      <c r="AH660" s="185"/>
      <c r="AI660" s="185"/>
      <c r="AJ660" s="185"/>
      <c r="AK660" s="185"/>
      <c r="AL660" s="185"/>
      <c r="AM660" s="185"/>
      <c r="AN660" s="185"/>
      <c r="AO660" s="185"/>
      <c r="AP660" s="185"/>
      <c r="AQ660" s="103" t="e">
        <f>AQ659/($AQ$659+$AR$659+$AS$659)</f>
        <v>#DIV/0!</v>
      </c>
      <c r="AR660" s="113" t="e">
        <f>AR659/($AQ$659+$AR$659+$AS$659)</f>
        <v>#DIV/0!</v>
      </c>
      <c r="AS660" s="113" t="e">
        <f>AS659/($AQ$659+$AR$659+$AS$659)</f>
        <v>#DIV/0!</v>
      </c>
      <c r="AT660" s="149" t="s">
        <v>183</v>
      </c>
      <c r="AU660" s="94" t="s">
        <v>1852</v>
      </c>
    </row>
    <row r="661" spans="1:47" ht="21" customHeight="1" x14ac:dyDescent="0.35">
      <c r="A661" s="260"/>
      <c r="B661" s="114" t="s">
        <v>158</v>
      </c>
      <c r="C661" s="99" t="s">
        <v>182</v>
      </c>
      <c r="D661" s="105" t="s">
        <v>32</v>
      </c>
      <c r="E661" s="99">
        <v>43935</v>
      </c>
      <c r="F661" s="102">
        <f t="shared" si="25"/>
        <v>0</v>
      </c>
      <c r="G661" s="150">
        <f>SUMIF(积分汇总!$B:$B,C661,积分汇总!$E:$E)</f>
        <v>0</v>
      </c>
      <c r="H661" s="150">
        <f>SUMIF(记录巡查问题条数汇总!$B:$B,C661,记录巡查问题条数汇总!$E:$E)</f>
        <v>0</v>
      </c>
      <c r="I661" s="150"/>
      <c r="J661" s="150">
        <f>SUMIF(安全质量事故!$B:$B,C661,安全质量事故!$G:$G)</f>
        <v>0</v>
      </c>
      <c r="K661" s="141">
        <f>COUNTIF(L661:AP661,标准数据!$A$2)*标准数据!$B$2+COUNTIF(L661:AP661,标准数据!$A$3)*标准数据!$B$3+COUNTIF(L661:AP661,标准数据!$A$4)*标准数据!$B$4</f>
        <v>0</v>
      </c>
      <c r="L661" s="185"/>
      <c r="M661" s="185"/>
      <c r="N661" s="185"/>
      <c r="O661" s="185"/>
      <c r="P661" s="185"/>
      <c r="Q661" s="185"/>
      <c r="R661" s="185"/>
      <c r="S661" s="185"/>
      <c r="T661" s="185"/>
      <c r="U661" s="185"/>
      <c r="V661" s="185"/>
      <c r="W661" s="185"/>
      <c r="X661" s="185"/>
      <c r="Y661" s="185"/>
      <c r="Z661" s="185"/>
      <c r="AA661" s="185"/>
      <c r="AB661" s="185"/>
      <c r="AC661" s="185"/>
      <c r="AD661" s="185"/>
      <c r="AE661" s="185"/>
      <c r="AF661" s="185"/>
      <c r="AG661" s="185"/>
      <c r="AH661" s="185"/>
      <c r="AI661" s="185"/>
      <c r="AJ661" s="185"/>
      <c r="AK661" s="185"/>
      <c r="AL661" s="185"/>
      <c r="AM661" s="185"/>
      <c r="AN661" s="185"/>
      <c r="AO661" s="185"/>
      <c r="AP661" s="185"/>
      <c r="AQ661" s="94"/>
      <c r="AR661" s="94"/>
      <c r="AS661" s="94"/>
      <c r="AT661" s="149" t="s">
        <v>32</v>
      </c>
      <c r="AU661" s="94" t="s">
        <v>1853</v>
      </c>
    </row>
    <row r="662" spans="1:47" ht="21" customHeight="1" x14ac:dyDescent="0.35">
      <c r="A662" s="260" t="s">
        <v>1150</v>
      </c>
      <c r="B662" s="114" t="s">
        <v>158</v>
      </c>
      <c r="C662" s="99" t="s">
        <v>186</v>
      </c>
      <c r="D662" s="105" t="s">
        <v>184</v>
      </c>
      <c r="E662" s="101">
        <v>45033</v>
      </c>
      <c r="F662" s="102">
        <f t="shared" si="25"/>
        <v>0</v>
      </c>
      <c r="G662" s="150">
        <f>SUMIF(积分汇总!$B:$B,C662,积分汇总!$E:$E)</f>
        <v>0</v>
      </c>
      <c r="H662" s="150">
        <f>SUMIF(记录巡查问题条数汇总!$B:$B,C662,记录巡查问题条数汇总!$E:$E)</f>
        <v>0</v>
      </c>
      <c r="I662" s="150"/>
      <c r="J662" s="150">
        <f>SUMIF(安全质量事故!$B:$B,C662,安全质量事故!$G:$G)</f>
        <v>0</v>
      </c>
      <c r="K662" s="141">
        <f>COUNTIF(L662:AP662,标准数据!$A$2)*标准数据!$B$2+COUNTIF(L662:AP662,标准数据!$A$3)*标准数据!$B$3+COUNTIF(L662:AP662,标准数据!$A$4)*标准数据!$B$4</f>
        <v>0</v>
      </c>
      <c r="L662" s="185"/>
      <c r="M662" s="185"/>
      <c r="N662" s="185"/>
      <c r="O662" s="185"/>
      <c r="P662" s="185"/>
      <c r="Q662" s="185"/>
      <c r="R662" s="185"/>
      <c r="S662" s="185"/>
      <c r="T662" s="185"/>
      <c r="U662" s="185"/>
      <c r="V662" s="185"/>
      <c r="W662" s="185"/>
      <c r="X662" s="185"/>
      <c r="Y662" s="185"/>
      <c r="Z662" s="185"/>
      <c r="AA662" s="185"/>
      <c r="AB662" s="185"/>
      <c r="AC662" s="185"/>
      <c r="AD662" s="185"/>
      <c r="AE662" s="185"/>
      <c r="AF662" s="185"/>
      <c r="AG662" s="185"/>
      <c r="AH662" s="185"/>
      <c r="AI662" s="185"/>
      <c r="AJ662" s="185"/>
      <c r="AK662" s="185"/>
      <c r="AL662" s="185"/>
      <c r="AM662" s="185"/>
      <c r="AN662" s="185"/>
      <c r="AO662" s="185"/>
      <c r="AP662" s="185"/>
      <c r="AT662" s="149" t="s">
        <v>184</v>
      </c>
      <c r="AU662" s="94" t="s">
        <v>1853</v>
      </c>
    </row>
    <row r="663" spans="1:47" ht="21" customHeight="1" x14ac:dyDescent="0.35">
      <c r="A663" s="260"/>
      <c r="B663" s="114" t="s">
        <v>158</v>
      </c>
      <c r="C663" s="99" t="s">
        <v>379</v>
      </c>
      <c r="D663" s="105" t="s">
        <v>373</v>
      </c>
      <c r="E663" s="99">
        <v>45642</v>
      </c>
      <c r="F663" s="102">
        <f t="shared" ref="F663:F675" si="33">(K663+G663+H663+I663-J663)</f>
        <v>0</v>
      </c>
      <c r="G663" s="150">
        <f>SUMIF(积分汇总!$B:$B,C663,积分汇总!$E:$E)</f>
        <v>0</v>
      </c>
      <c r="H663" s="150">
        <f>SUMIF(记录巡查问题条数汇总!$B:$B,C663,记录巡查问题条数汇总!$E:$E)</f>
        <v>0</v>
      </c>
      <c r="I663" s="150"/>
      <c r="J663" s="150">
        <f>SUMIF(安全质量事故!$B:$B,C663,安全质量事故!$G:$G)</f>
        <v>0</v>
      </c>
      <c r="K663" s="141">
        <f>COUNTIF(L663:AP663,标准数据!$A$2)*标准数据!$B$2+COUNTIF(L663:AP663,标准数据!$A$3)*标准数据!$B$3+COUNTIF(L663:AP663,标准数据!$A$4)*标准数据!$B$4</f>
        <v>0</v>
      </c>
      <c r="L663" s="185"/>
      <c r="M663" s="185"/>
      <c r="N663" s="185"/>
      <c r="O663" s="185"/>
      <c r="P663" s="185"/>
      <c r="Q663" s="185"/>
      <c r="R663" s="185"/>
      <c r="S663" s="185"/>
      <c r="T663" s="185"/>
      <c r="U663" s="185"/>
      <c r="V663" s="185"/>
      <c r="W663" s="185"/>
      <c r="X663" s="185"/>
      <c r="Y663" s="185"/>
      <c r="Z663" s="185"/>
      <c r="AA663" s="185"/>
      <c r="AB663" s="185"/>
      <c r="AC663" s="185"/>
      <c r="AD663" s="185"/>
      <c r="AE663" s="185"/>
      <c r="AF663" s="185"/>
      <c r="AG663" s="185"/>
      <c r="AH663" s="185"/>
      <c r="AI663" s="185"/>
      <c r="AJ663" s="185"/>
      <c r="AK663" s="185"/>
      <c r="AL663" s="185"/>
      <c r="AM663" s="185"/>
      <c r="AN663" s="185"/>
      <c r="AO663" s="185"/>
      <c r="AP663" s="185"/>
      <c r="AT663" s="149" t="s">
        <v>373</v>
      </c>
      <c r="AU663" s="94" t="s">
        <v>1852</v>
      </c>
    </row>
    <row r="664" spans="1:47" ht="21" customHeight="1" x14ac:dyDescent="0.35">
      <c r="A664" s="260"/>
      <c r="B664" s="114" t="s">
        <v>158</v>
      </c>
      <c r="C664" s="99" t="s">
        <v>532</v>
      </c>
      <c r="D664" s="105" t="s">
        <v>498</v>
      </c>
      <c r="E664" s="99">
        <v>45847</v>
      </c>
      <c r="F664" s="102">
        <f t="shared" si="33"/>
        <v>0</v>
      </c>
      <c r="G664" s="150">
        <f>SUMIF(积分汇总!$B:$B,C664,积分汇总!$E:$E)</f>
        <v>0</v>
      </c>
      <c r="H664" s="150">
        <f>SUMIF(记录巡查问题条数汇总!$B:$B,C664,记录巡查问题条数汇总!$E:$E)</f>
        <v>0</v>
      </c>
      <c r="I664" s="150"/>
      <c r="J664" s="150">
        <f>SUMIF(安全质量事故!$B:$B,C664,安全质量事故!$G:$G)</f>
        <v>0</v>
      </c>
      <c r="K664" s="141">
        <f>COUNTIF(L664:AP664,标准数据!$A$2)*标准数据!$B$2+COUNTIF(L664:AP664,标准数据!$A$3)*标准数据!$B$3+COUNTIF(L664:AP664,标准数据!$A$4)*标准数据!$B$4</f>
        <v>0</v>
      </c>
      <c r="L664" s="185"/>
      <c r="M664" s="185"/>
      <c r="N664" s="185"/>
      <c r="O664" s="185"/>
      <c r="P664" s="185"/>
      <c r="Q664" s="185"/>
      <c r="R664" s="185"/>
      <c r="S664" s="185"/>
      <c r="T664" s="185"/>
      <c r="U664" s="185"/>
      <c r="V664" s="185"/>
      <c r="W664" s="185"/>
      <c r="X664" s="185"/>
      <c r="Y664" s="185"/>
      <c r="Z664" s="185"/>
      <c r="AA664" s="185"/>
      <c r="AB664" s="185"/>
      <c r="AC664" s="185"/>
      <c r="AD664" s="185"/>
      <c r="AE664" s="185"/>
      <c r="AF664" s="185"/>
      <c r="AG664" s="185"/>
      <c r="AH664" s="185"/>
      <c r="AI664" s="185"/>
      <c r="AJ664" s="185"/>
      <c r="AK664" s="185"/>
      <c r="AL664" s="185"/>
      <c r="AM664" s="185"/>
      <c r="AN664" s="185"/>
      <c r="AO664" s="185"/>
      <c r="AP664" s="185"/>
      <c r="AT664" s="149" t="s">
        <v>498</v>
      </c>
      <c r="AU664" s="94" t="s">
        <v>1852</v>
      </c>
    </row>
    <row r="665" spans="1:47" ht="21" customHeight="1" x14ac:dyDescent="0.35">
      <c r="A665" s="260"/>
      <c r="B665" s="114" t="s">
        <v>158</v>
      </c>
      <c r="C665" s="99" t="s">
        <v>828</v>
      </c>
      <c r="D665" s="105" t="s">
        <v>777</v>
      </c>
      <c r="E665" s="99">
        <v>45964</v>
      </c>
      <c r="F665" s="102">
        <f t="shared" si="33"/>
        <v>0</v>
      </c>
      <c r="G665" s="150">
        <f>SUMIF(积分汇总!$B:$B,C665,积分汇总!$E:$E)</f>
        <v>0</v>
      </c>
      <c r="H665" s="150">
        <f>SUMIF(记录巡查问题条数汇总!$B:$B,C665,记录巡查问题条数汇总!$E:$E)</f>
        <v>0</v>
      </c>
      <c r="I665" s="150"/>
      <c r="J665" s="150">
        <f>SUMIF(安全质量事故!$B:$B,C665,安全质量事故!$G:$G)</f>
        <v>0</v>
      </c>
      <c r="K665" s="141">
        <f>COUNTIF(L665:AP665,标准数据!$A$2)*标准数据!$B$2+COUNTIF(L665:AP665,标准数据!$A$3)*标准数据!$B$3+COUNTIF(L665:AP665,标准数据!$A$4)*标准数据!$B$4</f>
        <v>0</v>
      </c>
      <c r="L665" s="185"/>
      <c r="M665" s="185"/>
      <c r="N665" s="185"/>
      <c r="O665" s="185"/>
      <c r="P665" s="185"/>
      <c r="Q665" s="185"/>
      <c r="R665" s="185"/>
      <c r="S665" s="185"/>
      <c r="T665" s="185"/>
      <c r="U665" s="185"/>
      <c r="V665" s="185"/>
      <c r="W665" s="185"/>
      <c r="X665" s="185"/>
      <c r="Y665" s="185"/>
      <c r="Z665" s="185"/>
      <c r="AA665" s="185"/>
      <c r="AB665" s="185"/>
      <c r="AC665" s="185"/>
      <c r="AD665" s="185"/>
      <c r="AE665" s="185"/>
      <c r="AF665" s="185"/>
      <c r="AG665" s="185"/>
      <c r="AH665" s="185"/>
      <c r="AI665" s="185"/>
      <c r="AJ665" s="185"/>
      <c r="AK665" s="185"/>
      <c r="AL665" s="185"/>
      <c r="AM665" s="185"/>
      <c r="AN665" s="185"/>
      <c r="AO665" s="185"/>
      <c r="AP665" s="185"/>
      <c r="AQ665" s="94"/>
      <c r="AR665" s="94"/>
      <c r="AS665" s="94"/>
      <c r="AT665" s="149" t="s">
        <v>777</v>
      </c>
      <c r="AU665" s="94" t="s">
        <v>1853</v>
      </c>
    </row>
    <row r="666" spans="1:47" ht="21" customHeight="1" x14ac:dyDescent="0.35">
      <c r="A666" s="260"/>
      <c r="B666" s="114" t="s">
        <v>158</v>
      </c>
      <c r="C666" s="99" t="s">
        <v>829</v>
      </c>
      <c r="D666" s="105" t="s">
        <v>778</v>
      </c>
      <c r="E666" s="101">
        <v>45966</v>
      </c>
      <c r="F666" s="102">
        <f t="shared" si="33"/>
        <v>0</v>
      </c>
      <c r="G666" s="150">
        <f>SUMIF(积分汇总!$B:$B,C666,积分汇总!$E:$E)</f>
        <v>0</v>
      </c>
      <c r="H666" s="150">
        <f>SUMIF(记录巡查问题条数汇总!$B:$B,C666,记录巡查问题条数汇总!$E:$E)</f>
        <v>0</v>
      </c>
      <c r="I666" s="150"/>
      <c r="J666" s="150">
        <f>SUMIF(安全质量事故!$B:$B,C666,安全质量事故!$G:$G)</f>
        <v>0</v>
      </c>
      <c r="K666" s="141">
        <f>COUNTIF(L666:AP666,标准数据!$A$2)*标准数据!$B$2+COUNTIF(L666:AP666,标准数据!$A$3)*标准数据!$B$3+COUNTIF(L666:AP666,标准数据!$A$4)*标准数据!$B$4</f>
        <v>0</v>
      </c>
      <c r="L666" s="185"/>
      <c r="M666" s="185"/>
      <c r="N666" s="185"/>
      <c r="O666" s="185"/>
      <c r="P666" s="185"/>
      <c r="Q666" s="185"/>
      <c r="R666" s="185"/>
      <c r="S666" s="185"/>
      <c r="T666" s="185"/>
      <c r="U666" s="185"/>
      <c r="V666" s="185"/>
      <c r="W666" s="185"/>
      <c r="X666" s="185"/>
      <c r="Y666" s="185"/>
      <c r="Z666" s="185"/>
      <c r="AA666" s="185"/>
      <c r="AB666" s="185"/>
      <c r="AC666" s="185"/>
      <c r="AD666" s="185"/>
      <c r="AE666" s="185"/>
      <c r="AF666" s="185"/>
      <c r="AG666" s="185"/>
      <c r="AH666" s="185"/>
      <c r="AI666" s="185"/>
      <c r="AJ666" s="185"/>
      <c r="AK666" s="185"/>
      <c r="AL666" s="185"/>
      <c r="AM666" s="185"/>
      <c r="AN666" s="185"/>
      <c r="AO666" s="185"/>
      <c r="AP666" s="185"/>
      <c r="AT666" s="149" t="s">
        <v>778</v>
      </c>
      <c r="AU666" s="94" t="s">
        <v>1853</v>
      </c>
    </row>
    <row r="667" spans="1:47" ht="21" customHeight="1" x14ac:dyDescent="0.35">
      <c r="A667" s="260"/>
      <c r="B667" s="114" t="s">
        <v>158</v>
      </c>
      <c r="C667" s="99" t="s">
        <v>830</v>
      </c>
      <c r="D667" s="105" t="s">
        <v>779</v>
      </c>
      <c r="E667" s="99">
        <v>45959</v>
      </c>
      <c r="F667" s="102">
        <f t="shared" si="33"/>
        <v>0</v>
      </c>
      <c r="G667" s="150">
        <f>SUMIF(积分汇总!$B:$B,C667,积分汇总!$E:$E)</f>
        <v>0</v>
      </c>
      <c r="H667" s="150">
        <f>SUMIF(记录巡查问题条数汇总!$B:$B,C667,记录巡查问题条数汇总!$E:$E)</f>
        <v>0</v>
      </c>
      <c r="I667" s="150"/>
      <c r="J667" s="150">
        <f>SUMIF(安全质量事故!$B:$B,C667,安全质量事故!$G:$G)</f>
        <v>0</v>
      </c>
      <c r="K667" s="141">
        <f>COUNTIF(L667:AP667,标准数据!$A$2)*标准数据!$B$2+COUNTIF(L667:AP667,标准数据!$A$3)*标准数据!$B$3+COUNTIF(L667:AP667,标准数据!$A$4)*标准数据!$B$4</f>
        <v>0</v>
      </c>
      <c r="L667" s="185"/>
      <c r="M667" s="185"/>
      <c r="N667" s="185"/>
      <c r="O667" s="185"/>
      <c r="P667" s="185"/>
      <c r="Q667" s="185"/>
      <c r="R667" s="185"/>
      <c r="S667" s="185"/>
      <c r="T667" s="185"/>
      <c r="U667" s="185"/>
      <c r="V667" s="185"/>
      <c r="W667" s="185"/>
      <c r="X667" s="185"/>
      <c r="Y667" s="185"/>
      <c r="Z667" s="185"/>
      <c r="AA667" s="185"/>
      <c r="AB667" s="185"/>
      <c r="AC667" s="185"/>
      <c r="AD667" s="185"/>
      <c r="AE667" s="185"/>
      <c r="AF667" s="185"/>
      <c r="AG667" s="185"/>
      <c r="AH667" s="185"/>
      <c r="AI667" s="185"/>
      <c r="AJ667" s="185"/>
      <c r="AK667" s="185"/>
      <c r="AL667" s="185"/>
      <c r="AM667" s="185"/>
      <c r="AN667" s="185"/>
      <c r="AO667" s="185"/>
      <c r="AP667" s="185"/>
      <c r="AT667" s="149" t="s">
        <v>779</v>
      </c>
      <c r="AU667" s="94" t="s">
        <v>1852</v>
      </c>
    </row>
    <row r="668" spans="1:47" ht="21" customHeight="1" x14ac:dyDescent="0.35">
      <c r="A668" s="260"/>
      <c r="B668" s="114" t="s">
        <v>158</v>
      </c>
      <c r="C668" s="99" t="s">
        <v>831</v>
      </c>
      <c r="D668" s="105" t="s">
        <v>780</v>
      </c>
      <c r="E668" s="99">
        <v>45966</v>
      </c>
      <c r="F668" s="102">
        <f t="shared" si="33"/>
        <v>0</v>
      </c>
      <c r="G668" s="150">
        <f>SUMIF(积分汇总!$B:$B,C668,积分汇总!$E:$E)</f>
        <v>0</v>
      </c>
      <c r="H668" s="150">
        <f>SUMIF(记录巡查问题条数汇总!$B:$B,C668,记录巡查问题条数汇总!$E:$E)</f>
        <v>0</v>
      </c>
      <c r="I668" s="150"/>
      <c r="J668" s="150">
        <f>SUMIF(安全质量事故!$B:$B,C668,安全质量事故!$G:$G)</f>
        <v>0</v>
      </c>
      <c r="K668" s="141">
        <f>COUNTIF(L668:AP668,标准数据!$A$2)*标准数据!$B$2+COUNTIF(L668:AP668,标准数据!$A$3)*标准数据!$B$3+COUNTIF(L668:AP668,标准数据!$A$4)*标准数据!$B$4</f>
        <v>0</v>
      </c>
      <c r="L668" s="185"/>
      <c r="M668" s="185"/>
      <c r="N668" s="185"/>
      <c r="O668" s="185"/>
      <c r="P668" s="185"/>
      <c r="Q668" s="185"/>
      <c r="R668" s="185"/>
      <c r="S668" s="185"/>
      <c r="T668" s="185"/>
      <c r="U668" s="185"/>
      <c r="V668" s="185"/>
      <c r="W668" s="185"/>
      <c r="X668" s="185"/>
      <c r="Y668" s="185"/>
      <c r="Z668" s="185"/>
      <c r="AA668" s="185"/>
      <c r="AB668" s="185"/>
      <c r="AC668" s="185"/>
      <c r="AD668" s="185"/>
      <c r="AE668" s="185"/>
      <c r="AF668" s="185"/>
      <c r="AG668" s="185"/>
      <c r="AH668" s="185"/>
      <c r="AI668" s="185"/>
      <c r="AJ668" s="185"/>
      <c r="AK668" s="185"/>
      <c r="AL668" s="185"/>
      <c r="AM668" s="185"/>
      <c r="AN668" s="185"/>
      <c r="AO668" s="185"/>
      <c r="AP668" s="185"/>
      <c r="AT668" s="149" t="s">
        <v>780</v>
      </c>
      <c r="AU668" s="94" t="s">
        <v>1854</v>
      </c>
    </row>
    <row r="669" spans="1:47" ht="21" customHeight="1" x14ac:dyDescent="0.35">
      <c r="A669" s="260"/>
      <c r="B669" s="114" t="s">
        <v>158</v>
      </c>
      <c r="C669" s="99" t="s">
        <v>832</v>
      </c>
      <c r="D669" s="105" t="s">
        <v>781</v>
      </c>
      <c r="E669" s="99">
        <v>45971</v>
      </c>
      <c r="F669" s="102">
        <f t="shared" si="33"/>
        <v>0</v>
      </c>
      <c r="G669" s="150">
        <f>SUMIF(积分汇总!$B:$B,C669,积分汇总!$E:$E)</f>
        <v>0</v>
      </c>
      <c r="H669" s="150">
        <f>SUMIF(记录巡查问题条数汇总!$B:$B,C669,记录巡查问题条数汇总!$E:$E)</f>
        <v>0</v>
      </c>
      <c r="I669" s="150"/>
      <c r="J669" s="150">
        <f>SUMIF(安全质量事故!$B:$B,C669,安全质量事故!$G:$G)</f>
        <v>0</v>
      </c>
      <c r="K669" s="141">
        <f>COUNTIF(L669:AP669,标准数据!$A$2)*标准数据!$B$2+COUNTIF(L669:AP669,标准数据!$A$3)*标准数据!$B$3+COUNTIF(L669:AP669,标准数据!$A$4)*标准数据!$B$4</f>
        <v>0</v>
      </c>
      <c r="L669" s="185"/>
      <c r="M669" s="185"/>
      <c r="N669" s="185"/>
      <c r="O669" s="185"/>
      <c r="P669" s="185"/>
      <c r="Q669" s="185"/>
      <c r="R669" s="185"/>
      <c r="S669" s="185"/>
      <c r="T669" s="185"/>
      <c r="U669" s="185"/>
      <c r="V669" s="185"/>
      <c r="W669" s="185"/>
      <c r="X669" s="185"/>
      <c r="Y669" s="185"/>
      <c r="Z669" s="185"/>
      <c r="AA669" s="185"/>
      <c r="AB669" s="185"/>
      <c r="AC669" s="185"/>
      <c r="AD669" s="185"/>
      <c r="AE669" s="185"/>
      <c r="AF669" s="185"/>
      <c r="AG669" s="185"/>
      <c r="AH669" s="185"/>
      <c r="AI669" s="185"/>
      <c r="AJ669" s="185"/>
      <c r="AK669" s="185"/>
      <c r="AL669" s="185"/>
      <c r="AM669" s="185"/>
      <c r="AN669" s="185"/>
      <c r="AO669" s="185"/>
      <c r="AP669" s="185"/>
      <c r="AT669" s="149" t="s">
        <v>781</v>
      </c>
      <c r="AU669" s="94" t="s">
        <v>1854</v>
      </c>
    </row>
    <row r="670" spans="1:47" ht="21" customHeight="1" x14ac:dyDescent="0.35">
      <c r="A670" s="260"/>
      <c r="B670" s="114" t="s">
        <v>158</v>
      </c>
      <c r="C670" s="99" t="s">
        <v>938</v>
      </c>
      <c r="D670" s="105" t="s">
        <v>891</v>
      </c>
      <c r="E670" s="99">
        <v>44433</v>
      </c>
      <c r="F670" s="102">
        <f t="shared" si="33"/>
        <v>0</v>
      </c>
      <c r="G670" s="150">
        <f>SUMIF(积分汇总!$B:$B,C670,积分汇总!$E:$E)</f>
        <v>0</v>
      </c>
      <c r="H670" s="150">
        <f>SUMIF(记录巡查问题条数汇总!$B:$B,C670,记录巡查问题条数汇总!$E:$E)</f>
        <v>0</v>
      </c>
      <c r="I670" s="150"/>
      <c r="J670" s="150">
        <f>SUMIF(安全质量事故!$B:$B,C670,安全质量事故!$G:$G)</f>
        <v>0</v>
      </c>
      <c r="K670" s="141">
        <f>COUNTIF(L670:AP670,标准数据!$A$2)*标准数据!$B$2+COUNTIF(L670:AP670,标准数据!$A$3)*标准数据!$B$3+COUNTIF(L670:AP670,标准数据!$A$4)*标准数据!$B$4</f>
        <v>0</v>
      </c>
      <c r="L670" s="185"/>
      <c r="M670" s="185"/>
      <c r="N670" s="185"/>
      <c r="O670" s="185"/>
      <c r="P670" s="185"/>
      <c r="Q670" s="185"/>
      <c r="R670" s="185"/>
      <c r="S670" s="185"/>
      <c r="T670" s="185"/>
      <c r="U670" s="185"/>
      <c r="V670" s="185"/>
      <c r="W670" s="185"/>
      <c r="X670" s="185"/>
      <c r="Y670" s="185"/>
      <c r="Z670" s="185"/>
      <c r="AA670" s="185"/>
      <c r="AB670" s="185"/>
      <c r="AC670" s="185"/>
      <c r="AD670" s="185"/>
      <c r="AE670" s="185"/>
      <c r="AF670" s="185"/>
      <c r="AG670" s="185"/>
      <c r="AH670" s="185"/>
      <c r="AI670" s="185"/>
      <c r="AJ670" s="185"/>
      <c r="AK670" s="185"/>
      <c r="AL670" s="185"/>
      <c r="AM670" s="185"/>
      <c r="AN670" s="185"/>
      <c r="AO670" s="185"/>
      <c r="AP670" s="185"/>
      <c r="AT670" s="149" t="s">
        <v>891</v>
      </c>
      <c r="AU670" s="94" t="s">
        <v>1854</v>
      </c>
    </row>
    <row r="671" spans="1:47" ht="21" customHeight="1" x14ac:dyDescent="0.35">
      <c r="A671" s="260"/>
      <c r="B671" s="114" t="s">
        <v>158</v>
      </c>
      <c r="C671" s="99" t="s">
        <v>1040</v>
      </c>
      <c r="D671" s="105" t="s">
        <v>990</v>
      </c>
      <c r="E671" s="99">
        <v>46029</v>
      </c>
      <c r="F671" s="102">
        <f t="shared" si="33"/>
        <v>0</v>
      </c>
      <c r="G671" s="150">
        <f>SUMIF(积分汇总!$B:$B,C671,积分汇总!$E:$E)</f>
        <v>0</v>
      </c>
      <c r="H671" s="150">
        <f>SUMIF(记录巡查问题条数汇总!$B:$B,C671,记录巡查问题条数汇总!$E:$E)</f>
        <v>0</v>
      </c>
      <c r="I671" s="150"/>
      <c r="J671" s="150">
        <f>SUMIF(安全质量事故!$B:$B,C671,安全质量事故!$G:$G)</f>
        <v>0</v>
      </c>
      <c r="K671" s="141">
        <f>COUNTIF(L671:AP671,标准数据!$A$2)*标准数据!$B$2+COUNTIF(L671:AP671,标准数据!$A$3)*标准数据!$B$3+COUNTIF(L671:AP671,标准数据!$A$4)*标准数据!$B$4</f>
        <v>0</v>
      </c>
      <c r="L671" s="185"/>
      <c r="M671" s="185"/>
      <c r="N671" s="185"/>
      <c r="O671" s="185"/>
      <c r="P671" s="185"/>
      <c r="Q671" s="185"/>
      <c r="R671" s="185"/>
      <c r="S671" s="185"/>
      <c r="T671" s="185"/>
      <c r="U671" s="185"/>
      <c r="V671" s="185"/>
      <c r="W671" s="185"/>
      <c r="X671" s="185"/>
      <c r="Y671" s="185"/>
      <c r="Z671" s="185"/>
      <c r="AA671" s="185"/>
      <c r="AB671" s="185"/>
      <c r="AC671" s="185"/>
      <c r="AD671" s="185"/>
      <c r="AE671" s="185"/>
      <c r="AF671" s="185"/>
      <c r="AG671" s="185"/>
      <c r="AH671" s="185"/>
      <c r="AI671" s="185"/>
      <c r="AJ671" s="185"/>
      <c r="AK671" s="185"/>
      <c r="AL671" s="185"/>
      <c r="AM671" s="185"/>
      <c r="AN671" s="185"/>
      <c r="AO671" s="185"/>
      <c r="AP671" s="185"/>
      <c r="AT671" s="149" t="s">
        <v>990</v>
      </c>
      <c r="AU671" s="94" t="s">
        <v>1855</v>
      </c>
    </row>
    <row r="672" spans="1:47" ht="21" customHeight="1" x14ac:dyDescent="0.35">
      <c r="A672" s="260"/>
      <c r="B672" s="114" t="s">
        <v>158</v>
      </c>
      <c r="C672" s="165" t="s">
        <v>1562</v>
      </c>
      <c r="D672" s="165" t="s">
        <v>1563</v>
      </c>
      <c r="E672" s="164">
        <v>46139</v>
      </c>
      <c r="F672" s="102">
        <f t="shared" si="33"/>
        <v>0</v>
      </c>
      <c r="G672" s="150">
        <f>SUMIF(积分汇总!$B:$B,C672,积分汇总!$E:$E)</f>
        <v>0</v>
      </c>
      <c r="H672" s="150">
        <f>SUMIF(记录巡查问题条数汇总!$B:$B,C672,记录巡查问题条数汇总!$E:$E)</f>
        <v>0</v>
      </c>
      <c r="I672" s="150"/>
      <c r="J672" s="150">
        <f>SUMIF(安全质量事故!$B:$B,C672,安全质量事故!$G:$G)</f>
        <v>0</v>
      </c>
      <c r="K672" s="141">
        <f>COUNTIF(L672:AP672,标准数据!$A$2)*标准数据!$B$2+COUNTIF(L672:AP672,标准数据!$A$3)*标准数据!$B$3+COUNTIF(L672:AP672,标准数据!$A$4)*标准数据!$B$4</f>
        <v>0</v>
      </c>
      <c r="L672" s="185"/>
      <c r="M672" s="185"/>
      <c r="N672" s="185"/>
      <c r="O672" s="185"/>
      <c r="P672" s="185"/>
      <c r="Q672" s="185"/>
      <c r="R672" s="185"/>
      <c r="S672" s="185"/>
      <c r="T672" s="185"/>
      <c r="U672" s="185"/>
      <c r="V672" s="185"/>
      <c r="W672" s="185"/>
      <c r="X672" s="185"/>
      <c r="Y672" s="185"/>
      <c r="Z672" s="185"/>
      <c r="AA672" s="185"/>
      <c r="AB672" s="185"/>
      <c r="AC672" s="185"/>
      <c r="AD672" s="185"/>
      <c r="AE672" s="185"/>
      <c r="AF672" s="185"/>
      <c r="AG672" s="185"/>
      <c r="AH672" s="185"/>
      <c r="AI672" s="185"/>
      <c r="AJ672" s="185"/>
      <c r="AK672" s="185"/>
      <c r="AL672" s="185"/>
      <c r="AM672" s="185"/>
      <c r="AN672" s="185"/>
      <c r="AO672" s="185"/>
      <c r="AP672" s="185"/>
      <c r="AT672" s="149" t="s">
        <v>1563</v>
      </c>
      <c r="AU672" s="94" t="s">
        <v>1856</v>
      </c>
    </row>
    <row r="673" spans="1:47" ht="21" customHeight="1" x14ac:dyDescent="0.35">
      <c r="A673" s="260"/>
      <c r="B673" s="114" t="s">
        <v>158</v>
      </c>
      <c r="C673" s="165" t="s">
        <v>1564</v>
      </c>
      <c r="D673" s="165" t="s">
        <v>1565</v>
      </c>
      <c r="E673" s="164">
        <v>46139</v>
      </c>
      <c r="F673" s="102">
        <f t="shared" si="33"/>
        <v>0</v>
      </c>
      <c r="G673" s="150">
        <f>SUMIF(积分汇总!$B:$B,C673,积分汇总!$E:$E)</f>
        <v>0</v>
      </c>
      <c r="H673" s="150">
        <f>SUMIF(记录巡查问题条数汇总!$B:$B,C673,记录巡查问题条数汇总!$E:$E)</f>
        <v>0</v>
      </c>
      <c r="I673" s="150"/>
      <c r="J673" s="150">
        <f>SUMIF(安全质量事故!$B:$B,C673,安全质量事故!$G:$G)</f>
        <v>0</v>
      </c>
      <c r="K673" s="141">
        <f>COUNTIF(L673:AP673,标准数据!$A$2)*标准数据!$B$2+COUNTIF(L673:AP673,标准数据!$A$3)*标准数据!$B$3+COUNTIF(L673:AP673,标准数据!$A$4)*标准数据!$B$4</f>
        <v>0</v>
      </c>
      <c r="L673" s="185"/>
      <c r="M673" s="185"/>
      <c r="N673" s="185"/>
      <c r="O673" s="185"/>
      <c r="P673" s="185"/>
      <c r="Q673" s="185"/>
      <c r="R673" s="185"/>
      <c r="S673" s="185"/>
      <c r="T673" s="185"/>
      <c r="U673" s="185"/>
      <c r="V673" s="185"/>
      <c r="W673" s="185"/>
      <c r="X673" s="185"/>
      <c r="Y673" s="185"/>
      <c r="Z673" s="185"/>
      <c r="AA673" s="185"/>
      <c r="AB673" s="185"/>
      <c r="AC673" s="185"/>
      <c r="AD673" s="185"/>
      <c r="AE673" s="185"/>
      <c r="AF673" s="185"/>
      <c r="AG673" s="185"/>
      <c r="AH673" s="185"/>
      <c r="AI673" s="185"/>
      <c r="AJ673" s="185"/>
      <c r="AK673" s="185"/>
      <c r="AL673" s="185"/>
      <c r="AM673" s="185"/>
      <c r="AN673" s="185"/>
      <c r="AO673" s="185"/>
      <c r="AP673" s="185"/>
      <c r="AT673" s="149" t="s">
        <v>1565</v>
      </c>
      <c r="AU673" s="94" t="s">
        <v>1856</v>
      </c>
    </row>
    <row r="674" spans="1:47" ht="21" customHeight="1" x14ac:dyDescent="0.35">
      <c r="A674" s="260"/>
      <c r="B674" s="114" t="s">
        <v>158</v>
      </c>
      <c r="C674" s="39" t="s">
        <v>1857</v>
      </c>
      <c r="D674" s="165" t="s">
        <v>1858</v>
      </c>
      <c r="E674" s="164">
        <v>46155</v>
      </c>
      <c r="F674" s="102">
        <f t="shared" ref="F674" si="34">(K674+G674+H674+I674-J674)</f>
        <v>0</v>
      </c>
      <c r="G674" s="150">
        <f>SUMIF(积分汇总!$B:$B,C674,积分汇总!$E:$E)</f>
        <v>0</v>
      </c>
      <c r="H674" s="150">
        <f>SUMIF(记录巡查问题条数汇总!$B:$B,C674,记录巡查问题条数汇总!$E:$E)</f>
        <v>0</v>
      </c>
      <c r="I674" s="150"/>
      <c r="J674" s="150">
        <f>SUMIF(安全质量事故!$B:$B,C674,安全质量事故!$G:$G)</f>
        <v>0</v>
      </c>
      <c r="K674" s="141">
        <f>COUNTIF(L674:AP674,标准数据!$A$2)*标准数据!$B$2+COUNTIF(L674:AP674,标准数据!$A$3)*标准数据!$B$3+COUNTIF(L674:AP674,标准数据!$A$4)*标准数据!$B$4</f>
        <v>0</v>
      </c>
      <c r="L674" s="185"/>
      <c r="M674" s="185"/>
      <c r="N674" s="185"/>
      <c r="O674" s="185"/>
      <c r="P674" s="185"/>
      <c r="Q674" s="185"/>
      <c r="R674" s="185"/>
      <c r="S674" s="185"/>
      <c r="T674" s="185"/>
      <c r="U674" s="185"/>
      <c r="V674" s="185"/>
      <c r="W674" s="185"/>
      <c r="X674" s="185"/>
      <c r="Y674" s="185"/>
      <c r="Z674" s="185"/>
      <c r="AA674" s="185"/>
      <c r="AB674" s="185"/>
      <c r="AC674" s="185"/>
      <c r="AD674" s="185"/>
      <c r="AE674" s="185"/>
      <c r="AF674" s="185"/>
      <c r="AG674" s="185"/>
      <c r="AH674" s="185"/>
      <c r="AI674" s="185"/>
      <c r="AJ674" s="185"/>
      <c r="AK674" s="185"/>
      <c r="AL674" s="185"/>
      <c r="AM674" s="185"/>
      <c r="AN674" s="185"/>
      <c r="AO674" s="185"/>
      <c r="AP674" s="185"/>
      <c r="AT674" s="149" t="s">
        <v>1553</v>
      </c>
      <c r="AU674" s="94" t="s">
        <v>1856</v>
      </c>
    </row>
    <row r="675" spans="1:47" ht="21" customHeight="1" x14ac:dyDescent="0.35">
      <c r="A675" s="260"/>
      <c r="B675" s="114" t="s">
        <v>158</v>
      </c>
      <c r="C675" s="146" t="s">
        <v>1807</v>
      </c>
      <c r="D675" s="146" t="s">
        <v>1808</v>
      </c>
      <c r="E675" s="147">
        <v>46181</v>
      </c>
      <c r="F675" s="102">
        <f t="shared" si="33"/>
        <v>0</v>
      </c>
      <c r="G675" s="150">
        <f>SUMIF(积分汇总!$B:$B,C675,积分汇总!$E:$E)</f>
        <v>0</v>
      </c>
      <c r="H675" s="150">
        <f>SUMIF(记录巡查问题条数汇总!$B:$B,C675,记录巡查问题条数汇总!$E:$E)</f>
        <v>0</v>
      </c>
      <c r="I675" s="150"/>
      <c r="J675" s="150">
        <f>SUMIF(安全质量事故!$B:$B,C675,安全质量事故!$G:$G)</f>
        <v>0</v>
      </c>
      <c r="K675" s="141">
        <f>COUNTIF(L675:AP675,标准数据!$A$2)*标准数据!$B$2+COUNTIF(L675:AP675,标准数据!$A$3)*标准数据!$B$3+COUNTIF(L675:AP675,标准数据!$A$4)*标准数据!$B$4</f>
        <v>0</v>
      </c>
      <c r="L675" s="185"/>
      <c r="M675" s="185"/>
      <c r="N675" s="185"/>
      <c r="O675" s="185"/>
      <c r="P675" s="185"/>
      <c r="Q675" s="185"/>
      <c r="R675" s="185"/>
      <c r="S675" s="185"/>
      <c r="T675" s="185"/>
      <c r="U675" s="185"/>
      <c r="V675" s="185"/>
      <c r="W675" s="185"/>
      <c r="X675" s="185"/>
      <c r="Y675" s="185"/>
      <c r="Z675" s="185"/>
      <c r="AA675" s="185"/>
      <c r="AB675" s="185"/>
      <c r="AC675" s="185"/>
      <c r="AD675" s="185"/>
      <c r="AE675" s="185"/>
      <c r="AF675" s="185"/>
      <c r="AG675" s="185"/>
      <c r="AH675" s="185"/>
      <c r="AI675" s="185"/>
      <c r="AJ675" s="185"/>
      <c r="AK675" s="185"/>
      <c r="AL675" s="185"/>
      <c r="AM675" s="185"/>
      <c r="AN675" s="185"/>
      <c r="AO675" s="185"/>
      <c r="AP675" s="185"/>
      <c r="AT675" s="149" t="s">
        <v>1808</v>
      </c>
      <c r="AU675" s="94" t="s">
        <v>1854</v>
      </c>
    </row>
    <row r="676" spans="1:47" ht="21" customHeight="1" x14ac:dyDescent="0.35">
      <c r="D676" s="168"/>
      <c r="E676" s="115"/>
      <c r="F676" s="189">
        <f>SUM(F3:J675)</f>
        <v>0</v>
      </c>
      <c r="G676" s="190">
        <f>SUM(G12:G675)</f>
        <v>0</v>
      </c>
    </row>
  </sheetData>
  <sheetProtection formatCells="0" insertHyperlinks="0" autoFilter="0"/>
  <autoFilter ref="A1:AU676"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2" showButton="0"/>
    <filterColumn colId="43" showButton="0"/>
  </autoFilter>
  <mergeCells count="35">
    <mergeCell ref="A644:A656"/>
    <mergeCell ref="A657:A675"/>
    <mergeCell ref="A3:A73"/>
    <mergeCell ref="A74:A164"/>
    <mergeCell ref="A631:A643"/>
    <mergeCell ref="A624:A630"/>
    <mergeCell ref="A539:A623"/>
    <mergeCell ref="A523:A538"/>
    <mergeCell ref="A350:A522"/>
    <mergeCell ref="A299:A349"/>
    <mergeCell ref="A227:A298"/>
    <mergeCell ref="A165:A226"/>
    <mergeCell ref="A1:A2"/>
    <mergeCell ref="E1:E2"/>
    <mergeCell ref="F1:F2"/>
    <mergeCell ref="G1:G2"/>
    <mergeCell ref="H1:H2"/>
    <mergeCell ref="B1:B2"/>
    <mergeCell ref="C1:C2"/>
    <mergeCell ref="D1:D2"/>
    <mergeCell ref="I1:I2"/>
    <mergeCell ref="AQ1:AS1"/>
    <mergeCell ref="K1:K2"/>
    <mergeCell ref="L1:AP1"/>
    <mergeCell ref="J1:J2"/>
    <mergeCell ref="AQ657:AS657"/>
    <mergeCell ref="AQ631:AS631"/>
    <mergeCell ref="AQ644:AS644"/>
    <mergeCell ref="AQ350:AS350"/>
    <mergeCell ref="AQ74:AS74"/>
    <mergeCell ref="AQ227:AS227"/>
    <mergeCell ref="AQ165:AS165"/>
    <mergeCell ref="AQ523:AS523"/>
    <mergeCell ref="AQ299:AS299"/>
    <mergeCell ref="AQ624:AS624"/>
  </mergeCells>
  <phoneticPr fontId="12" type="noConversion"/>
  <conditionalFormatting sqref="L2:AP2">
    <cfRule type="expression" dxfId="562" priority="17056" stopIfTrue="1">
      <formula>OR(WEEKDAY(L2)=1,WEEKDAY(L2)=7)</formula>
    </cfRule>
  </conditionalFormatting>
  <conditionalFormatting sqref="D550">
    <cfRule type="duplicateValues" dxfId="561" priority="1067"/>
  </conditionalFormatting>
  <conditionalFormatting sqref="D632">
    <cfRule type="duplicateValues" dxfId="560" priority="1058"/>
  </conditionalFormatting>
  <conditionalFormatting sqref="D64:D70 D72">
    <cfRule type="duplicateValues" dxfId="559" priority="1054"/>
  </conditionalFormatting>
  <conditionalFormatting sqref="D161:D162">
    <cfRule type="duplicateValues" dxfId="558" priority="1052"/>
  </conditionalFormatting>
  <conditionalFormatting sqref="D656">
    <cfRule type="duplicateValues" dxfId="557" priority="1041"/>
  </conditionalFormatting>
  <conditionalFormatting sqref="D412">
    <cfRule type="duplicateValues" dxfId="556" priority="1037"/>
  </conditionalFormatting>
  <conditionalFormatting sqref="D280">
    <cfRule type="duplicateValues" dxfId="555" priority="1033"/>
  </conditionalFormatting>
  <conditionalFormatting sqref="D349">
    <cfRule type="duplicateValues" dxfId="554" priority="1031"/>
  </conditionalFormatting>
  <conditionalFormatting sqref="D651">
    <cfRule type="duplicateValues" dxfId="553" priority="1027"/>
  </conditionalFormatting>
  <conditionalFormatting sqref="D163">
    <cfRule type="duplicateValues" dxfId="552" priority="967"/>
  </conditionalFormatting>
  <conditionalFormatting sqref="D226">
    <cfRule type="duplicateValues" dxfId="551" priority="958"/>
  </conditionalFormatting>
  <conditionalFormatting sqref="D225">
    <cfRule type="duplicateValues" dxfId="550" priority="959"/>
  </conditionalFormatting>
  <conditionalFormatting sqref="D210">
    <cfRule type="duplicateValues" dxfId="549" priority="952"/>
  </conditionalFormatting>
  <conditionalFormatting sqref="D208">
    <cfRule type="duplicateValues" dxfId="548" priority="953"/>
  </conditionalFormatting>
  <conditionalFormatting sqref="D209">
    <cfRule type="duplicateValues" dxfId="547" priority="950"/>
  </conditionalFormatting>
  <conditionalFormatting sqref="D293">
    <cfRule type="duplicateValues" dxfId="546" priority="941"/>
  </conditionalFormatting>
  <conditionalFormatting sqref="D292">
    <cfRule type="duplicateValues" dxfId="545" priority="939"/>
  </conditionalFormatting>
  <conditionalFormatting sqref="D477">
    <cfRule type="duplicateValues" dxfId="544" priority="931"/>
  </conditionalFormatting>
  <conditionalFormatting sqref="D479">
    <cfRule type="duplicateValues" dxfId="543" priority="929"/>
  </conditionalFormatting>
  <conditionalFormatting sqref="D503:D505">
    <cfRule type="duplicateValues" dxfId="542" priority="927"/>
  </conditionalFormatting>
  <conditionalFormatting sqref="D506:D508">
    <cfRule type="duplicateValues" dxfId="541" priority="925"/>
  </conditionalFormatting>
  <conditionalFormatting sqref="D520">
    <cfRule type="duplicateValues" dxfId="540" priority="924"/>
  </conditionalFormatting>
  <conditionalFormatting sqref="D41:D42">
    <cfRule type="duplicateValues" dxfId="539" priority="909"/>
  </conditionalFormatting>
  <conditionalFormatting sqref="D71">
    <cfRule type="duplicateValues" dxfId="538" priority="907"/>
  </conditionalFormatting>
  <conditionalFormatting sqref="D134:D135">
    <cfRule type="duplicateValues" dxfId="537" priority="903"/>
  </conditionalFormatting>
  <conditionalFormatting sqref="D529">
    <cfRule type="duplicateValues" dxfId="536" priority="896"/>
  </conditionalFormatting>
  <conditionalFormatting sqref="D600">
    <cfRule type="duplicateValues" dxfId="535" priority="894"/>
  </conditionalFormatting>
  <conditionalFormatting sqref="D670:D671">
    <cfRule type="duplicateValues" dxfId="534" priority="892"/>
  </conditionalFormatting>
  <conditionalFormatting sqref="D636">
    <cfRule type="duplicateValues" dxfId="533" priority="26017"/>
  </conditionalFormatting>
  <conditionalFormatting sqref="D575 D570:D573">
    <cfRule type="duplicateValues" dxfId="532" priority="887"/>
  </conditionalFormatting>
  <conditionalFormatting sqref="D574">
    <cfRule type="duplicateValues" dxfId="531" priority="885"/>
  </conditionalFormatting>
  <conditionalFormatting sqref="D544">
    <cfRule type="duplicateValues" dxfId="530" priority="883"/>
  </conditionalFormatting>
  <conditionalFormatting sqref="D545">
    <cfRule type="duplicateValues" dxfId="529" priority="881"/>
  </conditionalFormatting>
  <conditionalFormatting sqref="D345:D346">
    <cfRule type="duplicateValues" dxfId="528" priority="26083"/>
  </conditionalFormatting>
  <conditionalFormatting sqref="D360">
    <cfRule type="duplicateValues" dxfId="527" priority="861"/>
  </conditionalFormatting>
  <conditionalFormatting sqref="D359:D360">
    <cfRule type="duplicateValues" dxfId="526" priority="859"/>
    <cfRule type="duplicateValues" dxfId="525" priority="860"/>
  </conditionalFormatting>
  <conditionalFormatting sqref="D359">
    <cfRule type="duplicateValues" dxfId="524" priority="862"/>
  </conditionalFormatting>
  <conditionalFormatting sqref="D359:D360">
    <cfRule type="duplicateValues" dxfId="523" priority="863"/>
  </conditionalFormatting>
  <conditionalFormatting sqref="D413">
    <cfRule type="duplicateValues" dxfId="522" priority="857"/>
  </conditionalFormatting>
  <conditionalFormatting sqref="D413">
    <cfRule type="duplicateValues" dxfId="521" priority="855"/>
    <cfRule type="duplicateValues" dxfId="520" priority="856"/>
  </conditionalFormatting>
  <conditionalFormatting sqref="D413">
    <cfRule type="duplicateValues" dxfId="519" priority="858"/>
  </conditionalFormatting>
  <conditionalFormatting sqref="D414:D415">
    <cfRule type="duplicateValues" dxfId="518" priority="847"/>
    <cfRule type="duplicateValues" dxfId="517" priority="848"/>
  </conditionalFormatting>
  <conditionalFormatting sqref="D414:D415">
    <cfRule type="duplicateValues" dxfId="516" priority="849"/>
  </conditionalFormatting>
  <conditionalFormatting sqref="D414:D415">
    <cfRule type="duplicateValues" dxfId="515" priority="850"/>
  </conditionalFormatting>
  <conditionalFormatting sqref="D417">
    <cfRule type="duplicateValues" dxfId="514" priority="836"/>
  </conditionalFormatting>
  <conditionalFormatting sqref="D417">
    <cfRule type="duplicateValues" dxfId="513" priority="834"/>
    <cfRule type="duplicateValues" dxfId="512" priority="835"/>
  </conditionalFormatting>
  <conditionalFormatting sqref="D417">
    <cfRule type="duplicateValues" dxfId="511" priority="837"/>
  </conditionalFormatting>
  <conditionalFormatting sqref="D510">
    <cfRule type="duplicateValues" dxfId="510" priority="826"/>
    <cfRule type="duplicateValues" dxfId="509" priority="827"/>
  </conditionalFormatting>
  <conditionalFormatting sqref="D510">
    <cfRule type="duplicateValues" dxfId="508" priority="828"/>
  </conditionalFormatting>
  <conditionalFormatting sqref="D510">
    <cfRule type="duplicateValues" dxfId="507" priority="829"/>
  </conditionalFormatting>
  <conditionalFormatting sqref="D515">
    <cfRule type="duplicateValues" dxfId="506" priority="814"/>
    <cfRule type="duplicateValues" dxfId="505" priority="815"/>
  </conditionalFormatting>
  <conditionalFormatting sqref="D515">
    <cfRule type="duplicateValues" dxfId="504" priority="816"/>
  </conditionalFormatting>
  <conditionalFormatting sqref="D515">
    <cfRule type="duplicateValues" dxfId="503" priority="817"/>
  </conditionalFormatting>
  <conditionalFormatting sqref="D519">
    <cfRule type="duplicateValues" dxfId="502" priority="810"/>
    <cfRule type="duplicateValues" dxfId="501" priority="811"/>
  </conditionalFormatting>
  <conditionalFormatting sqref="D519">
    <cfRule type="duplicateValues" dxfId="500" priority="812"/>
  </conditionalFormatting>
  <conditionalFormatting sqref="D519">
    <cfRule type="duplicateValues" dxfId="499" priority="813"/>
  </conditionalFormatting>
  <conditionalFormatting sqref="D516">
    <cfRule type="duplicateValues" dxfId="498" priority="26520"/>
    <cfRule type="duplicateValues" dxfId="497" priority="26521"/>
  </conditionalFormatting>
  <conditionalFormatting sqref="D516">
    <cfRule type="duplicateValues" dxfId="496" priority="26522"/>
  </conditionalFormatting>
  <conditionalFormatting sqref="D627">
    <cfRule type="duplicateValues" dxfId="495" priority="772"/>
  </conditionalFormatting>
  <conditionalFormatting sqref="D627">
    <cfRule type="duplicateValues" dxfId="494" priority="773"/>
    <cfRule type="duplicateValues" dxfId="493" priority="774"/>
  </conditionalFormatting>
  <conditionalFormatting sqref="D627">
    <cfRule type="duplicateValues" dxfId="492" priority="775"/>
  </conditionalFormatting>
  <conditionalFormatting sqref="D627">
    <cfRule type="duplicateValues" dxfId="491" priority="771"/>
  </conditionalFormatting>
  <conditionalFormatting sqref="D297">
    <cfRule type="duplicateValues" dxfId="490" priority="687"/>
  </conditionalFormatting>
  <conditionalFormatting sqref="D297">
    <cfRule type="duplicateValues" dxfId="489" priority="688"/>
  </conditionalFormatting>
  <conditionalFormatting sqref="D297">
    <cfRule type="duplicateValues" dxfId="488" priority="689"/>
    <cfRule type="duplicateValues" dxfId="487" priority="690"/>
  </conditionalFormatting>
  <conditionalFormatting sqref="D297">
    <cfRule type="duplicateValues" dxfId="486" priority="691"/>
  </conditionalFormatting>
  <conditionalFormatting sqref="D298">
    <cfRule type="duplicateValues" dxfId="485" priority="682"/>
    <cfRule type="duplicateValues" dxfId="484" priority="683"/>
  </conditionalFormatting>
  <conditionalFormatting sqref="D298">
    <cfRule type="duplicateValues" dxfId="483" priority="684"/>
  </conditionalFormatting>
  <conditionalFormatting sqref="D298">
    <cfRule type="duplicateValues" dxfId="482" priority="685"/>
  </conditionalFormatting>
  <conditionalFormatting sqref="D298">
    <cfRule type="duplicateValues" dxfId="481" priority="681"/>
  </conditionalFormatting>
  <conditionalFormatting sqref="D190:D193 D177:D178">
    <cfRule type="duplicateValues" dxfId="480" priority="26799"/>
  </conditionalFormatting>
  <conditionalFormatting sqref="D602">
    <cfRule type="duplicateValues" dxfId="479" priority="595"/>
  </conditionalFormatting>
  <conditionalFormatting sqref="D602">
    <cfRule type="duplicateValues" dxfId="478" priority="596"/>
  </conditionalFormatting>
  <conditionalFormatting sqref="D602">
    <cfRule type="duplicateValues" dxfId="477" priority="597"/>
    <cfRule type="duplicateValues" dxfId="476" priority="598"/>
  </conditionalFormatting>
  <conditionalFormatting sqref="D602">
    <cfRule type="duplicateValues" dxfId="475" priority="599"/>
  </conditionalFormatting>
  <conditionalFormatting sqref="D170 D166">
    <cfRule type="duplicateValues" dxfId="474" priority="585"/>
  </conditionalFormatting>
  <conditionalFormatting sqref="D170 D166">
    <cfRule type="duplicateValues" dxfId="473" priority="587"/>
    <cfRule type="duplicateValues" dxfId="472" priority="588"/>
  </conditionalFormatting>
  <conditionalFormatting sqref="D179:D182">
    <cfRule type="duplicateValues" dxfId="471" priority="574"/>
  </conditionalFormatting>
  <conditionalFormatting sqref="D186">
    <cfRule type="duplicateValues" dxfId="470" priority="567"/>
  </conditionalFormatting>
  <conditionalFormatting sqref="D186">
    <cfRule type="duplicateValues" dxfId="469" priority="565"/>
    <cfRule type="duplicateValues" dxfId="468" priority="566"/>
  </conditionalFormatting>
  <conditionalFormatting sqref="D186">
    <cfRule type="duplicateValues" dxfId="467" priority="568"/>
  </conditionalFormatting>
  <conditionalFormatting sqref="D186">
    <cfRule type="duplicateValues" dxfId="466" priority="564"/>
  </conditionalFormatting>
  <conditionalFormatting sqref="D257:D261">
    <cfRule type="duplicateValues" dxfId="465" priority="563"/>
  </conditionalFormatting>
  <conditionalFormatting sqref="D457">
    <cfRule type="duplicateValues" dxfId="464" priority="553"/>
  </conditionalFormatting>
  <conditionalFormatting sqref="D458">
    <cfRule type="duplicateValues" dxfId="463" priority="552"/>
  </conditionalFormatting>
  <conditionalFormatting sqref="D194:D201">
    <cfRule type="duplicateValues" dxfId="462" priority="541"/>
  </conditionalFormatting>
  <conditionalFormatting sqref="D194:D201">
    <cfRule type="duplicateValues" dxfId="461" priority="542"/>
  </conditionalFormatting>
  <conditionalFormatting sqref="D194:D201">
    <cfRule type="duplicateValues" dxfId="460" priority="543"/>
    <cfRule type="duplicateValues" dxfId="459" priority="544"/>
  </conditionalFormatting>
  <conditionalFormatting sqref="D194:D201">
    <cfRule type="duplicateValues" dxfId="458" priority="545"/>
  </conditionalFormatting>
  <conditionalFormatting sqref="D202">
    <cfRule type="duplicateValues" dxfId="457" priority="539"/>
  </conditionalFormatting>
  <conditionalFormatting sqref="D202">
    <cfRule type="duplicateValues" dxfId="456" priority="537"/>
    <cfRule type="duplicateValues" dxfId="455" priority="538"/>
  </conditionalFormatting>
  <conditionalFormatting sqref="D202">
    <cfRule type="duplicateValues" dxfId="454" priority="540"/>
  </conditionalFormatting>
  <conditionalFormatting sqref="D202">
    <cfRule type="duplicateValues" dxfId="453" priority="536"/>
  </conditionalFormatting>
  <conditionalFormatting sqref="D281:D282">
    <cfRule type="duplicateValues" dxfId="452" priority="531"/>
  </conditionalFormatting>
  <conditionalFormatting sqref="D281:D282">
    <cfRule type="duplicateValues" dxfId="451" priority="532"/>
  </conditionalFormatting>
  <conditionalFormatting sqref="D281:D282">
    <cfRule type="duplicateValues" dxfId="450" priority="533"/>
    <cfRule type="duplicateValues" dxfId="449" priority="534"/>
  </conditionalFormatting>
  <conditionalFormatting sqref="D281:D282">
    <cfRule type="duplicateValues" dxfId="448" priority="535"/>
  </conditionalFormatting>
  <conditionalFormatting sqref="D283">
    <cfRule type="duplicateValues" dxfId="447" priority="529"/>
  </conditionalFormatting>
  <conditionalFormatting sqref="D283">
    <cfRule type="duplicateValues" dxfId="446" priority="527"/>
    <cfRule type="duplicateValues" dxfId="445" priority="528"/>
  </conditionalFormatting>
  <conditionalFormatting sqref="D283">
    <cfRule type="duplicateValues" dxfId="444" priority="530"/>
  </conditionalFormatting>
  <conditionalFormatting sqref="D283">
    <cfRule type="duplicateValues" dxfId="443" priority="526"/>
  </conditionalFormatting>
  <conditionalFormatting sqref="D442">
    <cfRule type="duplicateValues" dxfId="442" priority="509"/>
  </conditionalFormatting>
  <conditionalFormatting sqref="D443">
    <cfRule type="duplicateValues" dxfId="441" priority="508"/>
  </conditionalFormatting>
  <conditionalFormatting sqref="D675">
    <cfRule type="duplicateValues" dxfId="440" priority="498"/>
  </conditionalFormatting>
  <conditionalFormatting sqref="D675">
    <cfRule type="duplicateValues" dxfId="439" priority="497"/>
  </conditionalFormatting>
  <conditionalFormatting sqref="D675">
    <cfRule type="duplicateValues" dxfId="438" priority="499"/>
    <cfRule type="duplicateValues" dxfId="437" priority="500"/>
  </conditionalFormatting>
  <conditionalFormatting sqref="D675">
    <cfRule type="duplicateValues" dxfId="436" priority="501"/>
  </conditionalFormatting>
  <conditionalFormatting sqref="D673">
    <cfRule type="duplicateValues" dxfId="435" priority="493"/>
  </conditionalFormatting>
  <conditionalFormatting sqref="D673">
    <cfRule type="duplicateValues" dxfId="434" priority="492"/>
  </conditionalFormatting>
  <conditionalFormatting sqref="D673">
    <cfRule type="duplicateValues" dxfId="433" priority="494"/>
    <cfRule type="duplicateValues" dxfId="432" priority="495"/>
  </conditionalFormatting>
  <conditionalFormatting sqref="D673">
    <cfRule type="duplicateValues" dxfId="431" priority="496"/>
  </conditionalFormatting>
  <conditionalFormatting sqref="D672">
    <cfRule type="duplicateValues" dxfId="430" priority="488"/>
  </conditionalFormatting>
  <conditionalFormatting sqref="D672">
    <cfRule type="duplicateValues" dxfId="429" priority="487"/>
  </conditionalFormatting>
  <conditionalFormatting sqref="D672">
    <cfRule type="duplicateValues" dxfId="428" priority="489"/>
    <cfRule type="duplicateValues" dxfId="427" priority="490"/>
  </conditionalFormatting>
  <conditionalFormatting sqref="D672">
    <cfRule type="duplicateValues" dxfId="426" priority="491"/>
  </conditionalFormatting>
  <conditionalFormatting sqref="D583">
    <cfRule type="duplicateValues" dxfId="425" priority="482"/>
  </conditionalFormatting>
  <conditionalFormatting sqref="D582:D584">
    <cfRule type="duplicateValues" dxfId="424" priority="481"/>
  </conditionalFormatting>
  <conditionalFormatting sqref="D584 D582">
    <cfRule type="duplicateValues" dxfId="423" priority="483"/>
  </conditionalFormatting>
  <conditionalFormatting sqref="D582:D584">
    <cfRule type="duplicateValues" dxfId="422" priority="484"/>
    <cfRule type="duplicateValues" dxfId="421" priority="485"/>
  </conditionalFormatting>
  <conditionalFormatting sqref="D582:D584">
    <cfRule type="duplicateValues" dxfId="420" priority="486"/>
  </conditionalFormatting>
  <conditionalFormatting sqref="D585">
    <cfRule type="duplicateValues" dxfId="419" priority="476"/>
  </conditionalFormatting>
  <conditionalFormatting sqref="D585">
    <cfRule type="duplicateValues" dxfId="418" priority="477"/>
  </conditionalFormatting>
  <conditionalFormatting sqref="D585">
    <cfRule type="duplicateValues" dxfId="417" priority="478"/>
    <cfRule type="duplicateValues" dxfId="416" priority="479"/>
  </conditionalFormatting>
  <conditionalFormatting sqref="D585">
    <cfRule type="duplicateValues" dxfId="415" priority="480"/>
  </conditionalFormatting>
  <conditionalFormatting sqref="D596">
    <cfRule type="duplicateValues" dxfId="414" priority="471"/>
  </conditionalFormatting>
  <conditionalFormatting sqref="D595:D597">
    <cfRule type="duplicateValues" dxfId="413" priority="470"/>
  </conditionalFormatting>
  <conditionalFormatting sqref="D597 D595">
    <cfRule type="duplicateValues" dxfId="412" priority="472"/>
  </conditionalFormatting>
  <conditionalFormatting sqref="D595:D597">
    <cfRule type="duplicateValues" dxfId="411" priority="473"/>
    <cfRule type="duplicateValues" dxfId="410" priority="474"/>
  </conditionalFormatting>
  <conditionalFormatting sqref="D595:D597">
    <cfRule type="duplicateValues" dxfId="409" priority="475"/>
  </conditionalFormatting>
  <conditionalFormatting sqref="D598">
    <cfRule type="duplicateValues" dxfId="408" priority="465"/>
  </conditionalFormatting>
  <conditionalFormatting sqref="D598">
    <cfRule type="duplicateValues" dxfId="407" priority="466"/>
  </conditionalFormatting>
  <conditionalFormatting sqref="D598">
    <cfRule type="duplicateValues" dxfId="406" priority="467"/>
    <cfRule type="duplicateValues" dxfId="405" priority="468"/>
  </conditionalFormatting>
  <conditionalFormatting sqref="D598">
    <cfRule type="duplicateValues" dxfId="404" priority="469"/>
  </conditionalFormatting>
  <conditionalFormatting sqref="D137">
    <cfRule type="duplicateValues" dxfId="403" priority="460"/>
  </conditionalFormatting>
  <conditionalFormatting sqref="D137">
    <cfRule type="duplicateValues" dxfId="402" priority="461"/>
  </conditionalFormatting>
  <conditionalFormatting sqref="D137">
    <cfRule type="duplicateValues" dxfId="401" priority="462"/>
    <cfRule type="duplicateValues" dxfId="400" priority="463"/>
  </conditionalFormatting>
  <conditionalFormatting sqref="D137">
    <cfRule type="duplicateValues" dxfId="399" priority="464"/>
  </conditionalFormatting>
  <conditionalFormatting sqref="D158">
    <cfRule type="duplicateValues" dxfId="398" priority="455"/>
  </conditionalFormatting>
  <conditionalFormatting sqref="D158">
    <cfRule type="duplicateValues" dxfId="397" priority="456"/>
  </conditionalFormatting>
  <conditionalFormatting sqref="D158">
    <cfRule type="duplicateValues" dxfId="396" priority="457"/>
    <cfRule type="duplicateValues" dxfId="395" priority="458"/>
  </conditionalFormatting>
  <conditionalFormatting sqref="D158">
    <cfRule type="duplicateValues" dxfId="394" priority="459"/>
  </conditionalFormatting>
  <conditionalFormatting sqref="D7">
    <cfRule type="duplicateValues" dxfId="393" priority="450"/>
  </conditionalFormatting>
  <conditionalFormatting sqref="D7">
    <cfRule type="duplicateValues" dxfId="392" priority="451"/>
  </conditionalFormatting>
  <conditionalFormatting sqref="D7">
    <cfRule type="duplicateValues" dxfId="391" priority="452"/>
    <cfRule type="duplicateValues" dxfId="390" priority="453"/>
  </conditionalFormatting>
  <conditionalFormatting sqref="D7">
    <cfRule type="duplicateValues" dxfId="389" priority="454"/>
  </conditionalFormatting>
  <conditionalFormatting sqref="D347">
    <cfRule type="duplicateValues" dxfId="388" priority="446"/>
  </conditionalFormatting>
  <conditionalFormatting sqref="D347">
    <cfRule type="duplicateValues" dxfId="387" priority="445"/>
  </conditionalFormatting>
  <conditionalFormatting sqref="D347">
    <cfRule type="duplicateValues" dxfId="386" priority="447"/>
    <cfRule type="duplicateValues" dxfId="385" priority="448"/>
  </conditionalFormatting>
  <conditionalFormatting sqref="D347">
    <cfRule type="duplicateValues" dxfId="384" priority="449"/>
  </conditionalFormatting>
  <conditionalFormatting sqref="D339:D340">
    <cfRule type="duplicateValues" dxfId="383" priority="440"/>
  </conditionalFormatting>
  <conditionalFormatting sqref="D338:D340">
    <cfRule type="duplicateValues" dxfId="382" priority="439"/>
  </conditionalFormatting>
  <conditionalFormatting sqref="D338">
    <cfRule type="duplicateValues" dxfId="381" priority="441"/>
  </conditionalFormatting>
  <conditionalFormatting sqref="D338:D340">
    <cfRule type="duplicateValues" dxfId="380" priority="442"/>
    <cfRule type="duplicateValues" dxfId="379" priority="443"/>
  </conditionalFormatting>
  <conditionalFormatting sqref="D338:D340">
    <cfRule type="duplicateValues" dxfId="378" priority="444"/>
  </conditionalFormatting>
  <conditionalFormatting sqref="D593">
    <cfRule type="duplicateValues" dxfId="377" priority="434"/>
  </conditionalFormatting>
  <conditionalFormatting sqref="D592:D594">
    <cfRule type="duplicateValues" dxfId="376" priority="433"/>
  </conditionalFormatting>
  <conditionalFormatting sqref="D594 D592">
    <cfRule type="duplicateValues" dxfId="375" priority="435"/>
  </conditionalFormatting>
  <conditionalFormatting sqref="D592:D594">
    <cfRule type="duplicateValues" dxfId="374" priority="436"/>
    <cfRule type="duplicateValues" dxfId="373" priority="437"/>
  </conditionalFormatting>
  <conditionalFormatting sqref="D592:D594">
    <cfRule type="duplicateValues" dxfId="372" priority="438"/>
  </conditionalFormatting>
  <conditionalFormatting sqref="D590">
    <cfRule type="duplicateValues" dxfId="371" priority="428"/>
  </conditionalFormatting>
  <conditionalFormatting sqref="D589:D591">
    <cfRule type="duplicateValues" dxfId="370" priority="427"/>
  </conditionalFormatting>
  <conditionalFormatting sqref="D591 D589">
    <cfRule type="duplicateValues" dxfId="369" priority="429"/>
  </conditionalFormatting>
  <conditionalFormatting sqref="D589:D591">
    <cfRule type="duplicateValues" dxfId="368" priority="430"/>
    <cfRule type="duplicateValues" dxfId="367" priority="431"/>
  </conditionalFormatting>
  <conditionalFormatting sqref="D589:D591">
    <cfRule type="duplicateValues" dxfId="366" priority="432"/>
  </conditionalFormatting>
  <conditionalFormatting sqref="D546">
    <cfRule type="duplicateValues" dxfId="365" priority="414"/>
  </conditionalFormatting>
  <conditionalFormatting sqref="D546">
    <cfRule type="duplicateValues" dxfId="364" priority="413"/>
  </conditionalFormatting>
  <conditionalFormatting sqref="D546">
    <cfRule type="duplicateValues" dxfId="363" priority="415"/>
    <cfRule type="duplicateValues" dxfId="362" priority="416"/>
  </conditionalFormatting>
  <conditionalFormatting sqref="D546">
    <cfRule type="duplicateValues" dxfId="361" priority="417"/>
  </conditionalFormatting>
  <conditionalFormatting sqref="D264">
    <cfRule type="duplicateValues" dxfId="360" priority="408"/>
  </conditionalFormatting>
  <conditionalFormatting sqref="D262:D264">
    <cfRule type="duplicateValues" dxfId="359" priority="409"/>
  </conditionalFormatting>
  <conditionalFormatting sqref="D131">
    <cfRule type="duplicateValues" dxfId="358" priority="397"/>
  </conditionalFormatting>
  <conditionalFormatting sqref="D131">
    <cfRule type="duplicateValues" dxfId="357" priority="398"/>
  </conditionalFormatting>
  <conditionalFormatting sqref="D131">
    <cfRule type="duplicateValues" dxfId="356" priority="399"/>
    <cfRule type="duplicateValues" dxfId="355" priority="400"/>
  </conditionalFormatting>
  <conditionalFormatting sqref="D131">
    <cfRule type="duplicateValues" dxfId="354" priority="401"/>
  </conditionalFormatting>
  <conditionalFormatting sqref="D132">
    <cfRule type="duplicateValues" dxfId="353" priority="392"/>
  </conditionalFormatting>
  <conditionalFormatting sqref="D132">
    <cfRule type="duplicateValues" dxfId="352" priority="393"/>
  </conditionalFormatting>
  <conditionalFormatting sqref="D132">
    <cfRule type="duplicateValues" dxfId="351" priority="394"/>
    <cfRule type="duplicateValues" dxfId="350" priority="395"/>
  </conditionalFormatting>
  <conditionalFormatting sqref="D132">
    <cfRule type="duplicateValues" dxfId="349" priority="396"/>
  </conditionalFormatting>
  <conditionalFormatting sqref="D211:D216">
    <cfRule type="duplicateValues" dxfId="348" priority="26981"/>
  </conditionalFormatting>
  <conditionalFormatting sqref="D38:D40">
    <cfRule type="duplicateValues" dxfId="347" priority="27150"/>
  </conditionalFormatting>
  <conditionalFormatting sqref="D156">
    <cfRule type="duplicateValues" dxfId="346" priority="27154"/>
  </conditionalFormatting>
  <conditionalFormatting sqref="D257:D261">
    <cfRule type="duplicateValues" dxfId="345" priority="27308"/>
  </conditionalFormatting>
  <conditionalFormatting sqref="D257:D261">
    <cfRule type="duplicateValues" dxfId="344" priority="27309"/>
  </conditionalFormatting>
  <conditionalFormatting sqref="D257:D261">
    <cfRule type="duplicateValues" dxfId="343" priority="27310"/>
    <cfRule type="duplicateValues" dxfId="342" priority="27311"/>
  </conditionalFormatting>
  <conditionalFormatting sqref="D187:D189">
    <cfRule type="duplicateValues" dxfId="341" priority="387"/>
  </conditionalFormatting>
  <conditionalFormatting sqref="D187:D189">
    <cfRule type="duplicateValues" dxfId="340" priority="388"/>
  </conditionalFormatting>
  <conditionalFormatting sqref="D187:D189">
    <cfRule type="duplicateValues" dxfId="339" priority="389"/>
    <cfRule type="duplicateValues" dxfId="338" priority="390"/>
  </conditionalFormatting>
  <conditionalFormatting sqref="D187:D189">
    <cfRule type="duplicateValues" dxfId="337" priority="391"/>
  </conditionalFormatting>
  <conditionalFormatting sqref="D621">
    <cfRule type="duplicateValues" dxfId="336" priority="383"/>
    <cfRule type="duplicateValues" dxfId="335" priority="384"/>
  </conditionalFormatting>
  <conditionalFormatting sqref="D621">
    <cfRule type="duplicateValues" dxfId="334" priority="385"/>
  </conditionalFormatting>
  <conditionalFormatting sqref="D621">
    <cfRule type="duplicateValues" dxfId="333" priority="386"/>
  </conditionalFormatting>
  <conditionalFormatting sqref="D621">
    <cfRule type="duplicateValues" dxfId="332" priority="382"/>
  </conditionalFormatting>
  <conditionalFormatting sqref="D509">
    <cfRule type="duplicateValues" dxfId="331" priority="27314"/>
    <cfRule type="duplicateValues" dxfId="330" priority="27315"/>
  </conditionalFormatting>
  <conditionalFormatting sqref="D509">
    <cfRule type="duplicateValues" dxfId="329" priority="27316"/>
  </conditionalFormatting>
  <conditionalFormatting sqref="D603 D613:D615">
    <cfRule type="duplicateValues" dxfId="328" priority="378"/>
  </conditionalFormatting>
  <conditionalFormatting sqref="D616">
    <cfRule type="duplicateValues" dxfId="327" priority="377"/>
  </conditionalFormatting>
  <conditionalFormatting sqref="D617">
    <cfRule type="duplicateValues" dxfId="326" priority="376"/>
  </conditionalFormatting>
  <conditionalFormatting sqref="D603 D613:D617">
    <cfRule type="duplicateValues" dxfId="325" priority="375"/>
  </conditionalFormatting>
  <conditionalFormatting sqref="D603 D613:D617">
    <cfRule type="duplicateValues" dxfId="324" priority="379"/>
    <cfRule type="duplicateValues" dxfId="323" priority="380"/>
  </conditionalFormatting>
  <conditionalFormatting sqref="D603">
    <cfRule type="duplicateValues" dxfId="322" priority="381"/>
  </conditionalFormatting>
  <conditionalFormatting sqref="D444:D447 D433:D434">
    <cfRule type="duplicateValues" dxfId="321" priority="27475"/>
  </conditionalFormatting>
  <conditionalFormatting sqref="D444:D447 D433:D434">
    <cfRule type="duplicateValues" dxfId="320" priority="27479"/>
    <cfRule type="duplicateValues" dxfId="319" priority="27480"/>
  </conditionalFormatting>
  <conditionalFormatting sqref="D444:D447">
    <cfRule type="duplicateValues" dxfId="318" priority="27483"/>
  </conditionalFormatting>
  <conditionalFormatting sqref="D586:D588">
    <cfRule type="duplicateValues" dxfId="317" priority="370"/>
  </conditionalFormatting>
  <conditionalFormatting sqref="D586:D588">
    <cfRule type="duplicateValues" dxfId="316" priority="371"/>
  </conditionalFormatting>
  <conditionalFormatting sqref="D586:D588">
    <cfRule type="duplicateValues" dxfId="315" priority="372"/>
    <cfRule type="duplicateValues" dxfId="314" priority="373"/>
  </conditionalFormatting>
  <conditionalFormatting sqref="D586:D588">
    <cfRule type="duplicateValues" dxfId="313" priority="374"/>
  </conditionalFormatting>
  <conditionalFormatting sqref="D219:D220">
    <cfRule type="duplicateValues" dxfId="312" priority="27664"/>
  </conditionalFormatting>
  <conditionalFormatting sqref="D219:D220">
    <cfRule type="duplicateValues" dxfId="311" priority="27666"/>
    <cfRule type="duplicateValues" dxfId="310" priority="27667"/>
  </conditionalFormatting>
  <conditionalFormatting sqref="D179:D185">
    <cfRule type="duplicateValues" dxfId="309" priority="28001"/>
  </conditionalFormatting>
  <conditionalFormatting sqref="D183:D185">
    <cfRule type="duplicateValues" dxfId="308" priority="28003"/>
  </conditionalFormatting>
  <conditionalFormatting sqref="D179:D185">
    <cfRule type="duplicateValues" dxfId="307" priority="28005"/>
    <cfRule type="duplicateValues" dxfId="306" priority="28006"/>
  </conditionalFormatting>
  <conditionalFormatting sqref="D262:D263">
    <cfRule type="duplicateValues" dxfId="305" priority="28171"/>
  </conditionalFormatting>
  <conditionalFormatting sqref="D262:D264">
    <cfRule type="duplicateValues" dxfId="304" priority="28172"/>
    <cfRule type="duplicateValues" dxfId="303" priority="28173"/>
  </conditionalFormatting>
  <conditionalFormatting sqref="D237:D250">
    <cfRule type="duplicateValues" dxfId="302" priority="28510"/>
  </conditionalFormatting>
  <conditionalFormatting sqref="D518">
    <cfRule type="duplicateValues" dxfId="301" priority="28511"/>
  </conditionalFormatting>
  <conditionalFormatting sqref="D459:D460 D418:D432 D448:D449 D472:D476">
    <cfRule type="duplicateValues" dxfId="300" priority="28512"/>
  </conditionalFormatting>
  <conditionalFormatting sqref="D450:D456">
    <cfRule type="duplicateValues" dxfId="299" priority="28664"/>
  </conditionalFormatting>
  <conditionalFormatting sqref="D450:D458">
    <cfRule type="duplicateValues" dxfId="298" priority="28666"/>
  </conditionalFormatting>
  <conditionalFormatting sqref="D450:D458">
    <cfRule type="duplicateValues" dxfId="297" priority="28668"/>
    <cfRule type="duplicateValues" dxfId="296" priority="28669"/>
  </conditionalFormatting>
  <conditionalFormatting sqref="D435:D441">
    <cfRule type="duplicateValues" dxfId="295" priority="28821"/>
  </conditionalFormatting>
  <conditionalFormatting sqref="D435:D443">
    <cfRule type="duplicateValues" dxfId="294" priority="28822"/>
  </conditionalFormatting>
  <conditionalFormatting sqref="D435:D443">
    <cfRule type="duplicateValues" dxfId="293" priority="28823"/>
    <cfRule type="duplicateValues" dxfId="292" priority="28824"/>
  </conditionalFormatting>
  <conditionalFormatting sqref="D353">
    <cfRule type="duplicateValues" dxfId="291" priority="365"/>
  </conditionalFormatting>
  <conditionalFormatting sqref="D353">
    <cfRule type="duplicateValues" dxfId="290" priority="366"/>
  </conditionalFormatting>
  <conditionalFormatting sqref="D353">
    <cfRule type="duplicateValues" dxfId="289" priority="367"/>
    <cfRule type="duplicateValues" dxfId="288" priority="368"/>
  </conditionalFormatting>
  <conditionalFormatting sqref="D353">
    <cfRule type="duplicateValues" dxfId="287" priority="369"/>
  </conditionalFormatting>
  <conditionalFormatting sqref="D626">
    <cfRule type="duplicateValues" dxfId="286" priority="356"/>
  </conditionalFormatting>
  <conditionalFormatting sqref="D626">
    <cfRule type="duplicateValues" dxfId="285" priority="357"/>
    <cfRule type="duplicateValues" dxfId="284" priority="358"/>
  </conditionalFormatting>
  <conditionalFormatting sqref="D626">
    <cfRule type="duplicateValues" dxfId="283" priority="359"/>
  </conditionalFormatting>
  <conditionalFormatting sqref="D626">
    <cfRule type="duplicateValues" dxfId="282" priority="355"/>
  </conditionalFormatting>
  <conditionalFormatting sqref="D548">
    <cfRule type="duplicateValues" dxfId="281" priority="351"/>
  </conditionalFormatting>
  <conditionalFormatting sqref="D548">
    <cfRule type="duplicateValues" dxfId="280" priority="350"/>
  </conditionalFormatting>
  <conditionalFormatting sqref="D548">
    <cfRule type="duplicateValues" dxfId="279" priority="352"/>
    <cfRule type="duplicateValues" dxfId="278" priority="353"/>
  </conditionalFormatting>
  <conditionalFormatting sqref="D548">
    <cfRule type="duplicateValues" dxfId="277" priority="354"/>
  </conditionalFormatting>
  <conditionalFormatting sqref="D622">
    <cfRule type="duplicateValues" dxfId="276" priority="345"/>
  </conditionalFormatting>
  <conditionalFormatting sqref="D622">
    <cfRule type="duplicateValues" dxfId="275" priority="346"/>
  </conditionalFormatting>
  <conditionalFormatting sqref="D622">
    <cfRule type="duplicateValues" dxfId="274" priority="347"/>
    <cfRule type="duplicateValues" dxfId="273" priority="348"/>
  </conditionalFormatting>
  <conditionalFormatting sqref="D622">
    <cfRule type="duplicateValues" dxfId="272" priority="349"/>
  </conditionalFormatting>
  <conditionalFormatting sqref="D604:D606">
    <cfRule type="duplicateValues" dxfId="271" priority="341"/>
  </conditionalFormatting>
  <conditionalFormatting sqref="D607">
    <cfRule type="duplicateValues" dxfId="270" priority="340"/>
  </conditionalFormatting>
  <conditionalFormatting sqref="D608">
    <cfRule type="duplicateValues" dxfId="269" priority="339"/>
  </conditionalFormatting>
  <conditionalFormatting sqref="D604:D608">
    <cfRule type="duplicateValues" dxfId="268" priority="338"/>
  </conditionalFormatting>
  <conditionalFormatting sqref="D604:D608">
    <cfRule type="duplicateValues" dxfId="267" priority="342"/>
    <cfRule type="duplicateValues" dxfId="266" priority="343"/>
  </conditionalFormatting>
  <conditionalFormatting sqref="D604:D608">
    <cfRule type="duplicateValues" dxfId="265" priority="344"/>
  </conditionalFormatting>
  <conditionalFormatting sqref="D205">
    <cfRule type="duplicateValues" dxfId="264" priority="333"/>
  </conditionalFormatting>
  <conditionalFormatting sqref="D205">
    <cfRule type="duplicateValues" dxfId="263" priority="334"/>
  </conditionalFormatting>
  <conditionalFormatting sqref="D205">
    <cfRule type="duplicateValues" dxfId="262" priority="335"/>
    <cfRule type="duplicateValues" dxfId="261" priority="336"/>
  </conditionalFormatting>
  <conditionalFormatting sqref="D205">
    <cfRule type="duplicateValues" dxfId="260" priority="337"/>
  </conditionalFormatting>
  <conditionalFormatting sqref="D206">
    <cfRule type="duplicateValues" dxfId="259" priority="328"/>
  </conditionalFormatting>
  <conditionalFormatting sqref="D206">
    <cfRule type="duplicateValues" dxfId="258" priority="329"/>
  </conditionalFormatting>
  <conditionalFormatting sqref="D206">
    <cfRule type="duplicateValues" dxfId="257" priority="330"/>
    <cfRule type="duplicateValues" dxfId="256" priority="331"/>
  </conditionalFormatting>
  <conditionalFormatting sqref="D206">
    <cfRule type="duplicateValues" dxfId="255" priority="332"/>
  </conditionalFormatting>
  <conditionalFormatting sqref="D223:D224">
    <cfRule type="duplicateValues" dxfId="254" priority="323"/>
  </conditionalFormatting>
  <conditionalFormatting sqref="D223:D224">
    <cfRule type="duplicateValues" dxfId="253" priority="324"/>
  </conditionalFormatting>
  <conditionalFormatting sqref="D223:D224">
    <cfRule type="duplicateValues" dxfId="252" priority="325"/>
    <cfRule type="duplicateValues" dxfId="251" priority="326"/>
  </conditionalFormatting>
  <conditionalFormatting sqref="D223:D224">
    <cfRule type="duplicateValues" dxfId="250" priority="327"/>
  </conditionalFormatting>
  <conditionalFormatting sqref="D272">
    <cfRule type="duplicateValues" dxfId="249" priority="318"/>
  </conditionalFormatting>
  <conditionalFormatting sqref="D269:D272">
    <cfRule type="duplicateValues" dxfId="248" priority="317"/>
  </conditionalFormatting>
  <conditionalFormatting sqref="D269:D271">
    <cfRule type="duplicateValues" dxfId="247" priority="319"/>
  </conditionalFormatting>
  <conditionalFormatting sqref="D269:D272">
    <cfRule type="duplicateValues" dxfId="246" priority="320"/>
    <cfRule type="duplicateValues" dxfId="245" priority="321"/>
  </conditionalFormatting>
  <conditionalFormatting sqref="D269:D272">
    <cfRule type="duplicateValues" dxfId="244" priority="322"/>
  </conditionalFormatting>
  <conditionalFormatting sqref="D273:D274">
    <cfRule type="duplicateValues" dxfId="243" priority="312"/>
  </conditionalFormatting>
  <conditionalFormatting sqref="D273:D274">
    <cfRule type="duplicateValues" dxfId="242" priority="313"/>
  </conditionalFormatting>
  <conditionalFormatting sqref="D273:D274">
    <cfRule type="duplicateValues" dxfId="241" priority="314"/>
    <cfRule type="duplicateValues" dxfId="240" priority="315"/>
  </conditionalFormatting>
  <conditionalFormatting sqref="D273:D274">
    <cfRule type="duplicateValues" dxfId="239" priority="316"/>
  </conditionalFormatting>
  <conditionalFormatting sqref="D275">
    <cfRule type="duplicateValues" dxfId="238" priority="310"/>
  </conditionalFormatting>
  <conditionalFormatting sqref="D275">
    <cfRule type="duplicateValues" dxfId="237" priority="308"/>
    <cfRule type="duplicateValues" dxfId="236" priority="309"/>
  </conditionalFormatting>
  <conditionalFormatting sqref="D275">
    <cfRule type="duplicateValues" dxfId="235" priority="311"/>
  </conditionalFormatting>
  <conditionalFormatting sqref="D275">
    <cfRule type="duplicateValues" dxfId="234" priority="307"/>
  </conditionalFormatting>
  <conditionalFormatting sqref="D466">
    <cfRule type="duplicateValues" dxfId="233" priority="302"/>
  </conditionalFormatting>
  <conditionalFormatting sqref="D467">
    <cfRule type="duplicateValues" dxfId="232" priority="301"/>
  </conditionalFormatting>
  <conditionalFormatting sqref="D461:D467">
    <cfRule type="duplicateValues" dxfId="231" priority="300"/>
  </conditionalFormatting>
  <conditionalFormatting sqref="D461:D467">
    <cfRule type="duplicateValues" dxfId="230" priority="303"/>
    <cfRule type="duplicateValues" dxfId="229" priority="304"/>
  </conditionalFormatting>
  <conditionalFormatting sqref="D461:D467">
    <cfRule type="duplicateValues" dxfId="228" priority="305"/>
  </conditionalFormatting>
  <conditionalFormatting sqref="D461:D465">
    <cfRule type="duplicateValues" dxfId="227" priority="306"/>
  </conditionalFormatting>
  <conditionalFormatting sqref="D511">
    <cfRule type="duplicateValues" dxfId="226" priority="288"/>
    <cfRule type="duplicateValues" dxfId="225" priority="289"/>
  </conditionalFormatting>
  <conditionalFormatting sqref="D511">
    <cfRule type="duplicateValues" dxfId="224" priority="290"/>
  </conditionalFormatting>
  <conditionalFormatting sqref="D511">
    <cfRule type="duplicateValues" dxfId="223" priority="291"/>
  </conditionalFormatting>
  <conditionalFormatting sqref="D512">
    <cfRule type="duplicateValues" dxfId="222" priority="292"/>
    <cfRule type="duplicateValues" dxfId="221" priority="293"/>
  </conditionalFormatting>
  <conditionalFormatting sqref="D512">
    <cfRule type="duplicateValues" dxfId="220" priority="294"/>
  </conditionalFormatting>
  <conditionalFormatting sqref="D511:D514">
    <cfRule type="duplicateValues" dxfId="219" priority="287"/>
  </conditionalFormatting>
  <conditionalFormatting sqref="D513">
    <cfRule type="duplicateValues" dxfId="218" priority="295"/>
  </conditionalFormatting>
  <conditionalFormatting sqref="D513:D514">
    <cfRule type="duplicateValues" dxfId="217" priority="296"/>
    <cfRule type="duplicateValues" dxfId="216" priority="297"/>
  </conditionalFormatting>
  <conditionalFormatting sqref="D513:D514">
    <cfRule type="duplicateValues" dxfId="215" priority="298"/>
  </conditionalFormatting>
  <conditionalFormatting sqref="D514">
    <cfRule type="duplicateValues" dxfId="214" priority="299"/>
  </conditionalFormatting>
  <conditionalFormatting sqref="D361">
    <cfRule type="duplicateValues" dxfId="213" priority="283"/>
  </conditionalFormatting>
  <conditionalFormatting sqref="D361">
    <cfRule type="duplicateValues" dxfId="212" priority="282"/>
  </conditionalFormatting>
  <conditionalFormatting sqref="D361">
    <cfRule type="duplicateValues" dxfId="211" priority="284"/>
    <cfRule type="duplicateValues" dxfId="210" priority="285"/>
  </conditionalFormatting>
  <conditionalFormatting sqref="D361">
    <cfRule type="duplicateValues" dxfId="209" priority="286"/>
  </conditionalFormatting>
  <conditionalFormatting sqref="D478">
    <cfRule type="duplicateValues" dxfId="208" priority="278"/>
  </conditionalFormatting>
  <conditionalFormatting sqref="D478">
    <cfRule type="duplicateValues" dxfId="207" priority="277"/>
  </conditionalFormatting>
  <conditionalFormatting sqref="D478">
    <cfRule type="duplicateValues" dxfId="206" priority="279"/>
    <cfRule type="duplicateValues" dxfId="205" priority="280"/>
  </conditionalFormatting>
  <conditionalFormatting sqref="D478">
    <cfRule type="duplicateValues" dxfId="204" priority="281"/>
  </conditionalFormatting>
  <conditionalFormatting sqref="D53:D54">
    <cfRule type="duplicateValues" dxfId="203" priority="273"/>
  </conditionalFormatting>
  <conditionalFormatting sqref="D53:D54">
    <cfRule type="duplicateValues" dxfId="202" priority="272"/>
  </conditionalFormatting>
  <conditionalFormatting sqref="D53:D54">
    <cfRule type="duplicateValues" dxfId="201" priority="274"/>
    <cfRule type="duplicateValues" dxfId="200" priority="275"/>
  </conditionalFormatting>
  <conditionalFormatting sqref="D53:D54">
    <cfRule type="duplicateValues" dxfId="199" priority="276"/>
  </conditionalFormatting>
  <conditionalFormatting sqref="D51:D52">
    <cfRule type="duplicateValues" dxfId="198" priority="268"/>
  </conditionalFormatting>
  <conditionalFormatting sqref="D51:D52">
    <cfRule type="duplicateValues" dxfId="197" priority="267"/>
  </conditionalFormatting>
  <conditionalFormatting sqref="D51:D52">
    <cfRule type="duplicateValues" dxfId="196" priority="269"/>
    <cfRule type="duplicateValues" dxfId="195" priority="270"/>
  </conditionalFormatting>
  <conditionalFormatting sqref="D51:D52">
    <cfRule type="duplicateValues" dxfId="194" priority="271"/>
  </conditionalFormatting>
  <conditionalFormatting sqref="D49:D50">
    <cfRule type="duplicateValues" dxfId="193" priority="263"/>
  </conditionalFormatting>
  <conditionalFormatting sqref="D49:D50">
    <cfRule type="duplicateValues" dxfId="192" priority="262"/>
  </conditionalFormatting>
  <conditionalFormatting sqref="D49:D50">
    <cfRule type="duplicateValues" dxfId="191" priority="264"/>
    <cfRule type="duplicateValues" dxfId="190" priority="265"/>
  </conditionalFormatting>
  <conditionalFormatting sqref="D49:D50">
    <cfRule type="duplicateValues" dxfId="189" priority="266"/>
  </conditionalFormatting>
  <conditionalFormatting sqref="D55:D56">
    <cfRule type="duplicateValues" dxfId="188" priority="258"/>
  </conditionalFormatting>
  <conditionalFormatting sqref="D55:D56">
    <cfRule type="duplicateValues" dxfId="187" priority="257"/>
  </conditionalFormatting>
  <conditionalFormatting sqref="D55:D56">
    <cfRule type="duplicateValues" dxfId="186" priority="259"/>
    <cfRule type="duplicateValues" dxfId="185" priority="260"/>
  </conditionalFormatting>
  <conditionalFormatting sqref="D55:D56">
    <cfRule type="duplicateValues" dxfId="184" priority="261"/>
  </conditionalFormatting>
  <conditionalFormatting sqref="D306">
    <cfRule type="duplicateValues" dxfId="183" priority="252"/>
  </conditionalFormatting>
  <conditionalFormatting sqref="D306">
    <cfRule type="duplicateValues" dxfId="182" priority="253"/>
  </conditionalFormatting>
  <conditionalFormatting sqref="D306">
    <cfRule type="duplicateValues" dxfId="181" priority="254"/>
    <cfRule type="duplicateValues" dxfId="180" priority="255"/>
  </conditionalFormatting>
  <conditionalFormatting sqref="D306">
    <cfRule type="duplicateValues" dxfId="179" priority="256"/>
  </conditionalFormatting>
  <conditionalFormatting sqref="D348">
    <cfRule type="duplicateValues" dxfId="178" priority="248"/>
  </conditionalFormatting>
  <conditionalFormatting sqref="D348">
    <cfRule type="duplicateValues" dxfId="177" priority="247"/>
  </conditionalFormatting>
  <conditionalFormatting sqref="D348">
    <cfRule type="duplicateValues" dxfId="176" priority="249"/>
    <cfRule type="duplicateValues" dxfId="175" priority="250"/>
  </conditionalFormatting>
  <conditionalFormatting sqref="D348">
    <cfRule type="duplicateValues" dxfId="174" priority="251"/>
  </conditionalFormatting>
  <conditionalFormatting sqref="D342">
    <cfRule type="duplicateValues" dxfId="173" priority="242"/>
  </conditionalFormatting>
  <conditionalFormatting sqref="D323 D307:D319">
    <cfRule type="duplicateValues" dxfId="172" priority="243"/>
  </conditionalFormatting>
  <conditionalFormatting sqref="D321:D322">
    <cfRule type="duplicateValues" dxfId="171" priority="236"/>
  </conditionalFormatting>
  <conditionalFormatting sqref="D320:D322">
    <cfRule type="duplicateValues" dxfId="170" priority="235"/>
  </conditionalFormatting>
  <conditionalFormatting sqref="D320">
    <cfRule type="duplicateValues" dxfId="169" priority="237"/>
  </conditionalFormatting>
  <conditionalFormatting sqref="D320:D322">
    <cfRule type="duplicateValues" dxfId="168" priority="238"/>
    <cfRule type="duplicateValues" dxfId="167" priority="239"/>
  </conditionalFormatting>
  <conditionalFormatting sqref="D320:D322">
    <cfRule type="duplicateValues" dxfId="166" priority="240"/>
  </conditionalFormatting>
  <conditionalFormatting sqref="D323 D342 D307:D319">
    <cfRule type="duplicateValues" dxfId="165" priority="29138"/>
  </conditionalFormatting>
  <conditionalFormatting sqref="D323 D342 D307:D319">
    <cfRule type="duplicateValues" dxfId="164" priority="29141"/>
    <cfRule type="duplicateValues" dxfId="163" priority="29142"/>
  </conditionalFormatting>
  <conditionalFormatting sqref="D324">
    <cfRule type="duplicateValues" dxfId="162" priority="230"/>
  </conditionalFormatting>
  <conditionalFormatting sqref="D324">
    <cfRule type="duplicateValues" dxfId="161" priority="231"/>
  </conditionalFormatting>
  <conditionalFormatting sqref="D324">
    <cfRule type="duplicateValues" dxfId="160" priority="232"/>
    <cfRule type="duplicateValues" dxfId="159" priority="233"/>
  </conditionalFormatting>
  <conditionalFormatting sqref="D324">
    <cfRule type="duplicateValues" dxfId="158" priority="234"/>
  </conditionalFormatting>
  <conditionalFormatting sqref="D627">
    <cfRule type="duplicateValues" dxfId="157" priority="217"/>
  </conditionalFormatting>
  <conditionalFormatting sqref="D627">
    <cfRule type="duplicateValues" dxfId="156" priority="218"/>
    <cfRule type="duplicateValues" dxfId="155" priority="219"/>
  </conditionalFormatting>
  <conditionalFormatting sqref="D627">
    <cfRule type="duplicateValues" dxfId="154" priority="220"/>
  </conditionalFormatting>
  <conditionalFormatting sqref="D627">
    <cfRule type="duplicateValues" dxfId="153" priority="216"/>
  </conditionalFormatting>
  <conditionalFormatting sqref="D547">
    <cfRule type="duplicateValues" dxfId="152" priority="207"/>
  </conditionalFormatting>
  <conditionalFormatting sqref="D547">
    <cfRule type="duplicateValues" dxfId="151" priority="206"/>
  </conditionalFormatting>
  <conditionalFormatting sqref="D547">
    <cfRule type="duplicateValues" dxfId="150" priority="208"/>
    <cfRule type="duplicateValues" dxfId="149" priority="209"/>
  </conditionalFormatting>
  <conditionalFormatting sqref="D547">
    <cfRule type="duplicateValues" dxfId="148" priority="210"/>
  </conditionalFormatting>
  <conditionalFormatting sqref="D527:D528">
    <cfRule type="duplicateValues" dxfId="147" priority="201"/>
  </conditionalFormatting>
  <conditionalFormatting sqref="D527:D528">
    <cfRule type="duplicateValues" dxfId="146" priority="202"/>
  </conditionalFormatting>
  <conditionalFormatting sqref="D527:D528">
    <cfRule type="duplicateValues" dxfId="145" priority="203"/>
    <cfRule type="duplicateValues" dxfId="144" priority="204"/>
  </conditionalFormatting>
  <conditionalFormatting sqref="D527:D528">
    <cfRule type="duplicateValues" dxfId="143" priority="205"/>
  </conditionalFormatting>
  <conditionalFormatting sqref="D531">
    <cfRule type="duplicateValues" dxfId="142" priority="196"/>
  </conditionalFormatting>
  <conditionalFormatting sqref="D531">
    <cfRule type="duplicateValues" dxfId="141" priority="197"/>
  </conditionalFormatting>
  <conditionalFormatting sqref="D531">
    <cfRule type="duplicateValues" dxfId="140" priority="198"/>
    <cfRule type="duplicateValues" dxfId="139" priority="199"/>
  </conditionalFormatting>
  <conditionalFormatting sqref="D531">
    <cfRule type="duplicateValues" dxfId="138" priority="200"/>
  </conditionalFormatting>
  <conditionalFormatting sqref="D635">
    <cfRule type="duplicateValues" dxfId="137" priority="181"/>
  </conditionalFormatting>
  <conditionalFormatting sqref="D635">
    <cfRule type="duplicateValues" dxfId="136" priority="182"/>
  </conditionalFormatting>
  <conditionalFormatting sqref="D635">
    <cfRule type="duplicateValues" dxfId="135" priority="183"/>
    <cfRule type="duplicateValues" dxfId="134" priority="184"/>
  </conditionalFormatting>
  <conditionalFormatting sqref="D635">
    <cfRule type="duplicateValues" dxfId="133" priority="185"/>
  </conditionalFormatting>
  <conditionalFormatting sqref="D642">
    <cfRule type="duplicateValues" dxfId="132" priority="176"/>
  </conditionalFormatting>
  <conditionalFormatting sqref="D642">
    <cfRule type="duplicateValues" dxfId="131" priority="177"/>
  </conditionalFormatting>
  <conditionalFormatting sqref="D642">
    <cfRule type="duplicateValues" dxfId="130" priority="178"/>
    <cfRule type="duplicateValues" dxfId="129" priority="179"/>
  </conditionalFormatting>
  <conditionalFormatting sqref="D642">
    <cfRule type="duplicateValues" dxfId="128" priority="180"/>
  </conditionalFormatting>
  <conditionalFormatting sqref="D609">
    <cfRule type="duplicateValues" dxfId="127" priority="172"/>
  </conditionalFormatting>
  <conditionalFormatting sqref="D609">
    <cfRule type="duplicateValues" dxfId="126" priority="171"/>
  </conditionalFormatting>
  <conditionalFormatting sqref="D609">
    <cfRule type="duplicateValues" dxfId="125" priority="173"/>
    <cfRule type="duplicateValues" dxfId="124" priority="174"/>
  </conditionalFormatting>
  <conditionalFormatting sqref="D609">
    <cfRule type="duplicateValues" dxfId="123" priority="175"/>
  </conditionalFormatting>
  <conditionalFormatting sqref="D549">
    <cfRule type="duplicateValues" dxfId="122" priority="167"/>
  </conditionalFormatting>
  <conditionalFormatting sqref="D549">
    <cfRule type="duplicateValues" dxfId="121" priority="166"/>
  </conditionalFormatting>
  <conditionalFormatting sqref="D549">
    <cfRule type="duplicateValues" dxfId="120" priority="168"/>
    <cfRule type="duplicateValues" dxfId="119" priority="169"/>
  </conditionalFormatting>
  <conditionalFormatting sqref="D549">
    <cfRule type="duplicateValues" dxfId="118" priority="170"/>
  </conditionalFormatting>
  <conditionalFormatting sqref="D276">
    <cfRule type="duplicateValues" dxfId="117" priority="163"/>
  </conditionalFormatting>
  <conditionalFormatting sqref="D276">
    <cfRule type="duplicateValues" dxfId="116" priority="164"/>
    <cfRule type="duplicateValues" dxfId="115" priority="165"/>
  </conditionalFormatting>
  <conditionalFormatting sqref="D276">
    <cfRule type="duplicateValues" dxfId="114" priority="162"/>
  </conditionalFormatting>
  <conditionalFormatting sqref="D416">
    <cfRule type="duplicateValues" dxfId="113" priority="29173"/>
  </conditionalFormatting>
  <conditionalFormatting sqref="D416">
    <cfRule type="duplicateValues" dxfId="112" priority="29174"/>
    <cfRule type="duplicateValues" dxfId="111" priority="29175"/>
  </conditionalFormatting>
  <conditionalFormatting sqref="D295">
    <cfRule type="duplicateValues" dxfId="110" priority="142"/>
  </conditionalFormatting>
  <conditionalFormatting sqref="D295">
    <cfRule type="duplicateValues" dxfId="109" priority="143"/>
  </conditionalFormatting>
  <conditionalFormatting sqref="D295">
    <cfRule type="duplicateValues" dxfId="108" priority="144"/>
    <cfRule type="duplicateValues" dxfId="107" priority="145"/>
  </conditionalFormatting>
  <conditionalFormatting sqref="D295">
    <cfRule type="duplicateValues" dxfId="106" priority="146"/>
  </conditionalFormatting>
  <conditionalFormatting sqref="D294">
    <cfRule type="duplicateValues" dxfId="105" priority="137"/>
  </conditionalFormatting>
  <conditionalFormatting sqref="D294">
    <cfRule type="duplicateValues" dxfId="104" priority="138"/>
  </conditionalFormatting>
  <conditionalFormatting sqref="D294">
    <cfRule type="duplicateValues" dxfId="103" priority="139"/>
    <cfRule type="duplicateValues" dxfId="102" priority="140"/>
  </conditionalFormatting>
  <conditionalFormatting sqref="D294">
    <cfRule type="duplicateValues" dxfId="101" priority="141"/>
  </conditionalFormatting>
  <conditionalFormatting sqref="D8">
    <cfRule type="duplicateValues" dxfId="100" priority="132"/>
  </conditionalFormatting>
  <conditionalFormatting sqref="D8">
    <cfRule type="duplicateValues" dxfId="99" priority="133"/>
  </conditionalFormatting>
  <conditionalFormatting sqref="D8">
    <cfRule type="duplicateValues" dxfId="98" priority="134"/>
    <cfRule type="duplicateValues" dxfId="97" priority="135"/>
  </conditionalFormatting>
  <conditionalFormatting sqref="D8">
    <cfRule type="duplicateValues" dxfId="96" priority="136"/>
  </conditionalFormatting>
  <conditionalFormatting sqref="D480">
    <cfRule type="duplicateValues" dxfId="95" priority="97"/>
  </conditionalFormatting>
  <conditionalFormatting sqref="D480">
    <cfRule type="duplicateValues" dxfId="94" priority="98"/>
  </conditionalFormatting>
  <conditionalFormatting sqref="D480">
    <cfRule type="duplicateValues" dxfId="93" priority="99"/>
    <cfRule type="duplicateValues" dxfId="92" priority="100"/>
  </conditionalFormatting>
  <conditionalFormatting sqref="D480">
    <cfRule type="duplicateValues" dxfId="91" priority="101"/>
  </conditionalFormatting>
  <conditionalFormatting sqref="D481:D482">
    <cfRule type="duplicateValues" dxfId="90" priority="92"/>
  </conditionalFormatting>
  <conditionalFormatting sqref="D481:D482">
    <cfRule type="duplicateValues" dxfId="89" priority="93"/>
  </conditionalFormatting>
  <conditionalFormatting sqref="D481:D482">
    <cfRule type="duplicateValues" dxfId="88" priority="94"/>
    <cfRule type="duplicateValues" dxfId="87" priority="95"/>
  </conditionalFormatting>
  <conditionalFormatting sqref="D481:D482">
    <cfRule type="duplicateValues" dxfId="86" priority="96"/>
  </conditionalFormatting>
  <conditionalFormatting sqref="D468:D470">
    <cfRule type="duplicateValues" dxfId="85" priority="87"/>
  </conditionalFormatting>
  <conditionalFormatting sqref="D468:D470">
    <cfRule type="duplicateValues" dxfId="84" priority="88"/>
  </conditionalFormatting>
  <conditionalFormatting sqref="D468:D470">
    <cfRule type="duplicateValues" dxfId="83" priority="89"/>
    <cfRule type="duplicateValues" dxfId="82" priority="90"/>
  </conditionalFormatting>
  <conditionalFormatting sqref="D468:D470">
    <cfRule type="duplicateValues" dxfId="81" priority="91"/>
  </conditionalFormatting>
  <conditionalFormatting sqref="D471">
    <cfRule type="duplicateValues" dxfId="80" priority="83"/>
  </conditionalFormatting>
  <conditionalFormatting sqref="D471">
    <cfRule type="duplicateValues" dxfId="79" priority="82"/>
  </conditionalFormatting>
  <conditionalFormatting sqref="D471">
    <cfRule type="duplicateValues" dxfId="78" priority="84"/>
    <cfRule type="duplicateValues" dxfId="77" priority="85"/>
  </conditionalFormatting>
  <conditionalFormatting sqref="D471">
    <cfRule type="duplicateValues" dxfId="76" priority="86"/>
  </conditionalFormatting>
  <conditionalFormatting sqref="D628">
    <cfRule type="duplicateValues" dxfId="75" priority="77"/>
  </conditionalFormatting>
  <conditionalFormatting sqref="D628">
    <cfRule type="duplicateValues" dxfId="74" priority="79"/>
    <cfRule type="duplicateValues" dxfId="73" priority="80"/>
  </conditionalFormatting>
  <conditionalFormatting sqref="D611">
    <cfRule type="duplicateValues" dxfId="72" priority="63"/>
  </conditionalFormatting>
  <conditionalFormatting sqref="D611">
    <cfRule type="duplicateValues" dxfId="71" priority="64"/>
  </conditionalFormatting>
  <conditionalFormatting sqref="D611">
    <cfRule type="duplicateValues" dxfId="70" priority="65"/>
    <cfRule type="duplicateValues" dxfId="69" priority="66"/>
  </conditionalFormatting>
  <conditionalFormatting sqref="D612">
    <cfRule type="duplicateValues" dxfId="68" priority="59"/>
  </conditionalFormatting>
  <conditionalFormatting sqref="D612">
    <cfRule type="duplicateValues" dxfId="67" priority="60"/>
  </conditionalFormatting>
  <conditionalFormatting sqref="D612">
    <cfRule type="duplicateValues" dxfId="66" priority="61"/>
    <cfRule type="duplicateValues" dxfId="65" priority="62"/>
  </conditionalFormatting>
  <conditionalFormatting sqref="D611">
    <cfRule type="duplicateValues" dxfId="64" priority="55"/>
  </conditionalFormatting>
  <conditionalFormatting sqref="D611">
    <cfRule type="duplicateValues" dxfId="63" priority="56"/>
    <cfRule type="duplicateValues" dxfId="62" priority="57"/>
  </conditionalFormatting>
  <conditionalFormatting sqref="D611">
    <cfRule type="duplicateValues" dxfId="61" priority="58"/>
  </conditionalFormatting>
  <conditionalFormatting sqref="D611">
    <cfRule type="duplicateValues" dxfId="60" priority="54"/>
  </conditionalFormatting>
  <conditionalFormatting sqref="D612">
    <cfRule type="duplicateValues" dxfId="59" priority="50"/>
  </conditionalFormatting>
  <conditionalFormatting sqref="D612">
    <cfRule type="duplicateValues" dxfId="58" priority="51"/>
  </conditionalFormatting>
  <conditionalFormatting sqref="D612">
    <cfRule type="duplicateValues" dxfId="57" priority="52"/>
    <cfRule type="duplicateValues" dxfId="56" priority="53"/>
  </conditionalFormatting>
  <conditionalFormatting sqref="D610">
    <cfRule type="duplicateValues" dxfId="55" priority="45"/>
  </conditionalFormatting>
  <conditionalFormatting sqref="D610">
    <cfRule type="duplicateValues" dxfId="54" priority="46"/>
  </conditionalFormatting>
  <conditionalFormatting sqref="D610">
    <cfRule type="duplicateValues" dxfId="53" priority="47"/>
    <cfRule type="duplicateValues" dxfId="52" priority="48"/>
  </conditionalFormatting>
  <conditionalFormatting sqref="D610">
    <cfRule type="duplicateValues" dxfId="51" priority="49"/>
  </conditionalFormatting>
  <conditionalFormatting sqref="D610">
    <cfRule type="duplicateValues" dxfId="50" priority="41"/>
  </conditionalFormatting>
  <conditionalFormatting sqref="D610">
    <cfRule type="duplicateValues" dxfId="49" priority="42"/>
    <cfRule type="duplicateValues" dxfId="48" priority="43"/>
  </conditionalFormatting>
  <conditionalFormatting sqref="D610">
    <cfRule type="duplicateValues" dxfId="47" priority="44"/>
  </conditionalFormatting>
  <conditionalFormatting sqref="D610">
    <cfRule type="duplicateValues" dxfId="46" priority="40"/>
  </conditionalFormatting>
  <conditionalFormatting sqref="D610">
    <cfRule type="duplicateValues" dxfId="45" priority="36"/>
  </conditionalFormatting>
  <conditionalFormatting sqref="D610">
    <cfRule type="duplicateValues" dxfId="44" priority="37"/>
    <cfRule type="duplicateValues" dxfId="43" priority="38"/>
  </conditionalFormatting>
  <conditionalFormatting sqref="D610">
    <cfRule type="duplicateValues" dxfId="42" priority="39"/>
  </conditionalFormatting>
  <conditionalFormatting sqref="D610">
    <cfRule type="duplicateValues" dxfId="41" priority="35"/>
  </conditionalFormatting>
  <conditionalFormatting sqref="D674">
    <cfRule type="duplicateValues" dxfId="40" priority="12"/>
  </conditionalFormatting>
  <conditionalFormatting sqref="D674">
    <cfRule type="duplicateValues" dxfId="39" priority="11"/>
  </conditionalFormatting>
  <conditionalFormatting sqref="D674">
    <cfRule type="duplicateValues" dxfId="38" priority="13"/>
    <cfRule type="duplicateValues" dxfId="37" priority="14"/>
  </conditionalFormatting>
  <conditionalFormatting sqref="D674">
    <cfRule type="duplicateValues" dxfId="36" priority="15"/>
  </conditionalFormatting>
  <conditionalFormatting sqref="D674">
    <cfRule type="duplicateValues" dxfId="35" priority="10"/>
  </conditionalFormatting>
  <conditionalFormatting sqref="D521">
    <cfRule type="duplicateValues" dxfId="34" priority="4"/>
  </conditionalFormatting>
  <conditionalFormatting sqref="D521">
    <cfRule type="duplicateValues" dxfId="33" priority="5"/>
  </conditionalFormatting>
  <conditionalFormatting sqref="D521">
    <cfRule type="duplicateValues" dxfId="32" priority="6"/>
  </conditionalFormatting>
  <conditionalFormatting sqref="D521">
    <cfRule type="duplicateValues" dxfId="31" priority="7"/>
    <cfRule type="duplicateValues" dxfId="30" priority="8"/>
  </conditionalFormatting>
  <conditionalFormatting sqref="D521">
    <cfRule type="duplicateValues" dxfId="29" priority="9"/>
  </conditionalFormatting>
  <conditionalFormatting sqref="C1:C1048576">
    <cfRule type="duplicateValues" dxfId="28" priority="1"/>
  </conditionalFormatting>
  <conditionalFormatting sqref="D1:D520 D675:D1048576 D522:D673">
    <cfRule type="duplicateValues" dxfId="27" priority="29353"/>
  </conditionalFormatting>
  <conditionalFormatting sqref="D629:D634 D299:D305 D529:D530 D1:D6 D167:D178 D221:D222 D190:D193 D265:D268 D354:D360 D203:D204 D284:D293 D459:D460 D448:D449 D599:D601 D138:D157 D159:D165 D9:D48 D349:D352 D341 D133:D136 D207:D218 D225:D256 D277:D280 D472:D477 D515:D520 D362:D432 D57:D130 D325:D337 D343:D346 D623:D627 D532:D545 D636:D641 D643:D671 D479 D296 D550:D581 D618:D620 D483:D510 D676:D1048576 D522:D526">
    <cfRule type="duplicateValues" dxfId="26" priority="29358"/>
  </conditionalFormatting>
  <conditionalFormatting sqref="D657:D669 D1:D6 D350:D352 D522:D526 D57:D63 D284:D291 D343:D344 D652:D655 D203:D204 D217:D218 D251:D256 D296 D362:D411 D517 D43:D48 D136 D157 D530 D633:D634 D576:D581 D601 D629:D631 D299:D305 D227:D237 D73:D130 D164:D165 D167:D177 D221:D222 D265:D268 D354:D358 D599 D138:D155 D159:D160 D9:D37 D341 D133 D207 D277:D279 D325:D337 D623:D627 D532:D543 D636:D641 D643:D650 D483:D502 D551:D569 D618:D620 D676:D1048576">
    <cfRule type="duplicateValues" dxfId="25" priority="29400"/>
  </conditionalFormatting>
  <conditionalFormatting sqref="D629:D634 D517:D518 D418:D432 D520 D299:D305 D529:D530 D1:D6 D167:D178 D221:D222 D190:D193 D265:D268 D459:D460 D354:D358 D203:D204 D284:D293 D448:D449 D599:D601 D138:D157 D159:D165 D9:D48 D349:D352 D341 D133:D136 D207:D218 D225:D256 D277:D280 D472:D477 D362:D412 D57:D130 D325:D337 D343:D346 D623:D627 D532:D545 D636:D641 D643:D671 D479 D296 D550:D581 D618:D620 D483:D508 D676:D1048576 D522:D526">
    <cfRule type="duplicateValues" dxfId="24" priority="29449"/>
    <cfRule type="duplicateValues" dxfId="23" priority="29450"/>
  </conditionalFormatting>
  <conditionalFormatting sqref="D629:D634 D517:D518 D418:D432 D520 D299:D305 D529:D530 D1:D6 D167:D178 D221:D222 D190:D193 D265:D268 D459:D460 D354:D358 D203:D204 D284:D293 D448:D449 D599:D601 D138:D157 D159:D165 D9:D48 D349:D352 D341 D133:D136 D207:D218 D225:D256 D277:D280 D472:D477 D362:D412 D57:D130 D325:D337 D343:D346 D623:D627 D532:D545 D636:D641 D643:D671 D479 D296 D550:D581 D618:D620 D483:D508 D676:D1048576 D522:D526">
    <cfRule type="duplicateValues" dxfId="22" priority="29537"/>
  </conditionalFormatting>
  <pageMargins left="0.7" right="0.7" top="0.75" bottom="0.75" header="0.3" footer="0.3"/>
  <pageSetup paperSize="9" scale="48" orientation="portrait" verticalDpi="300" r:id="rId1"/>
  <customProperties>
    <customPr name="BudgetSheetCodeName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E31" sqref="E31"/>
    </sheetView>
  </sheetViews>
  <sheetFormatPr defaultRowHeight="14" x14ac:dyDescent="0.25"/>
  <cols>
    <col min="1" max="1" width="51.26953125" customWidth="1"/>
  </cols>
  <sheetData>
    <row r="1" spans="1:2" x14ac:dyDescent="0.25">
      <c r="A1" s="233" t="s">
        <v>1405</v>
      </c>
      <c r="B1" s="264" t="s">
        <v>1415</v>
      </c>
    </row>
    <row r="2" spans="1:2" x14ac:dyDescent="0.25">
      <c r="A2" s="233" t="s">
        <v>1406</v>
      </c>
      <c r="B2" s="265"/>
    </row>
    <row r="3" spans="1:2" x14ac:dyDescent="0.25">
      <c r="A3" s="160" t="s">
        <v>1861</v>
      </c>
      <c r="B3" s="225"/>
    </row>
    <row r="4" spans="1:2" x14ac:dyDescent="0.25">
      <c r="A4" s="233" t="s">
        <v>1407</v>
      </c>
      <c r="B4" s="264" t="s">
        <v>1416</v>
      </c>
    </row>
    <row r="5" spans="1:2" x14ac:dyDescent="0.25">
      <c r="A5" s="160" t="s">
        <v>1413</v>
      </c>
      <c r="B5" s="265"/>
    </row>
    <row r="6" spans="1:2" x14ac:dyDescent="0.25">
      <c r="A6" s="233" t="s">
        <v>1408</v>
      </c>
      <c r="B6" s="156" t="s">
        <v>1417</v>
      </c>
    </row>
    <row r="7" spans="1:2" x14ac:dyDescent="0.25">
      <c r="A7" s="233" t="s">
        <v>1409</v>
      </c>
      <c r="B7" s="156" t="s">
        <v>1418</v>
      </c>
    </row>
    <row r="8" spans="1:2" x14ac:dyDescent="0.25">
      <c r="A8" s="233" t="s">
        <v>1410</v>
      </c>
      <c r="B8" s="156" t="s">
        <v>1419</v>
      </c>
    </row>
    <row r="9" spans="1:2" x14ac:dyDescent="0.25">
      <c r="A9" s="233" t="s">
        <v>1411</v>
      </c>
      <c r="B9" s="156" t="s">
        <v>1422</v>
      </c>
    </row>
    <row r="10" spans="1:2" x14ac:dyDescent="0.25">
      <c r="A10" s="160" t="s">
        <v>1608</v>
      </c>
      <c r="B10" s="155"/>
    </row>
    <row r="11" spans="1:2" x14ac:dyDescent="0.25">
      <c r="A11" s="233" t="s">
        <v>1412</v>
      </c>
      <c r="B11" s="155"/>
    </row>
    <row r="12" spans="1:2" x14ac:dyDescent="0.25">
      <c r="A12" s="157" t="s">
        <v>1420</v>
      </c>
      <c r="B12" s="156" t="s">
        <v>1421</v>
      </c>
    </row>
    <row r="13" spans="1:2" x14ac:dyDescent="0.25">
      <c r="A13" s="39" t="s">
        <v>1201</v>
      </c>
      <c r="B13" s="160" t="s">
        <v>1415</v>
      </c>
    </row>
    <row r="14" spans="1:2" x14ac:dyDescent="0.25">
      <c r="A14" s="39" t="s">
        <v>1202</v>
      </c>
      <c r="B14" s="160" t="s">
        <v>1423</v>
      </c>
    </row>
    <row r="15" spans="1:2" x14ac:dyDescent="0.25">
      <c r="A15" s="232" t="s">
        <v>1862</v>
      </c>
      <c r="B15" s="231" t="s">
        <v>1863</v>
      </c>
    </row>
  </sheetData>
  <mergeCells count="2">
    <mergeCell ref="B1:B2"/>
    <mergeCell ref="B4:B5"/>
  </mergeCells>
  <phoneticPr fontId="65" type="noConversion"/>
  <pageMargins left="0.7" right="0.7" top="0.75" bottom="0.75" header="0.3" footer="0.3"/>
  <pageSetup paperSize="9" orientation="portrait" verticalDpi="0" r:id="rId1"/>
  <customProperties>
    <customPr name="BudgetSheetCodeName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D27"/>
  <sheetViews>
    <sheetView workbookViewId="0">
      <selection activeCell="B17" sqref="B17"/>
    </sheetView>
  </sheetViews>
  <sheetFormatPr defaultColWidth="9" defaultRowHeight="16.5" x14ac:dyDescent="0.45"/>
  <cols>
    <col min="1" max="1" width="12" style="134" customWidth="1"/>
    <col min="2" max="2" width="38.26953125" style="134" customWidth="1"/>
    <col min="3" max="3" width="14.453125" style="134" customWidth="1"/>
    <col min="4" max="4" width="14.7265625" style="134" customWidth="1"/>
    <col min="5" max="16384" width="9" style="134"/>
  </cols>
  <sheetData>
    <row r="1" spans="1:4" x14ac:dyDescent="0.45">
      <c r="A1" s="134" t="s">
        <v>1155</v>
      </c>
      <c r="B1" s="138" t="s">
        <v>1187</v>
      </c>
      <c r="C1" s="135" t="s">
        <v>1183</v>
      </c>
      <c r="D1" s="135" t="s">
        <v>1184</v>
      </c>
    </row>
    <row r="2" spans="1:4" x14ac:dyDescent="0.45">
      <c r="B2" s="133" t="s">
        <v>1157</v>
      </c>
      <c r="C2" s="136" t="s">
        <v>1158</v>
      </c>
      <c r="D2" s="266" t="s">
        <v>1177</v>
      </c>
    </row>
    <row r="3" spans="1:4" x14ac:dyDescent="0.45">
      <c r="B3" s="133" t="s">
        <v>1159</v>
      </c>
      <c r="C3" s="136" t="s">
        <v>1160</v>
      </c>
      <c r="D3" s="266"/>
    </row>
    <row r="4" spans="1:4" x14ac:dyDescent="0.45">
      <c r="B4" s="133" t="s">
        <v>1161</v>
      </c>
      <c r="C4" s="136" t="s">
        <v>1162</v>
      </c>
      <c r="D4" s="266" t="s">
        <v>1178</v>
      </c>
    </row>
    <row r="5" spans="1:4" x14ac:dyDescent="0.45">
      <c r="B5" s="133" t="s">
        <v>1163</v>
      </c>
      <c r="C5" s="136" t="s">
        <v>1164</v>
      </c>
      <c r="D5" s="266"/>
    </row>
    <row r="6" spans="1:4" x14ac:dyDescent="0.45">
      <c r="B6" s="133" t="s">
        <v>1165</v>
      </c>
      <c r="C6" s="136" t="s">
        <v>1166</v>
      </c>
      <c r="D6" s="135" t="s">
        <v>1179</v>
      </c>
    </row>
    <row r="7" spans="1:4" x14ac:dyDescent="0.45">
      <c r="B7" s="133" t="s">
        <v>1167</v>
      </c>
      <c r="C7" s="136" t="s">
        <v>1168</v>
      </c>
      <c r="D7" s="135" t="s">
        <v>1180</v>
      </c>
    </row>
    <row r="8" spans="1:4" x14ac:dyDescent="0.45">
      <c r="B8" s="133" t="s">
        <v>1169</v>
      </c>
      <c r="C8" s="136" t="s">
        <v>1175</v>
      </c>
      <c r="D8" s="135" t="s">
        <v>1175</v>
      </c>
    </row>
    <row r="9" spans="1:4" x14ac:dyDescent="0.45">
      <c r="B9" s="133" t="s">
        <v>1170</v>
      </c>
      <c r="C9" s="136" t="s">
        <v>1171</v>
      </c>
      <c r="D9" s="135"/>
    </row>
    <row r="10" spans="1:4" x14ac:dyDescent="0.45">
      <c r="B10" s="133" t="s">
        <v>1172</v>
      </c>
      <c r="C10" s="136" t="s">
        <v>1173</v>
      </c>
      <c r="D10" s="135"/>
    </row>
    <row r="11" spans="1:4" x14ac:dyDescent="0.45">
      <c r="B11" s="133" t="s">
        <v>1174</v>
      </c>
      <c r="C11" s="136" t="s">
        <v>1176</v>
      </c>
      <c r="D11" s="135"/>
    </row>
    <row r="12" spans="1:4" x14ac:dyDescent="0.45">
      <c r="B12" s="133" t="s">
        <v>1181</v>
      </c>
      <c r="C12" s="136"/>
      <c r="D12" s="135" t="s">
        <v>1182</v>
      </c>
    </row>
    <row r="13" spans="1:4" x14ac:dyDescent="0.45">
      <c r="A13" s="134" t="s">
        <v>1156</v>
      </c>
    </row>
    <row r="14" spans="1:4" x14ac:dyDescent="0.45">
      <c r="A14" s="137">
        <v>1</v>
      </c>
      <c r="B14" s="134" t="s">
        <v>1186</v>
      </c>
    </row>
    <row r="15" spans="1:4" x14ac:dyDescent="0.45">
      <c r="A15" s="137">
        <v>2</v>
      </c>
      <c r="B15" s="134" t="s">
        <v>1185</v>
      </c>
    </row>
    <row r="16" spans="1:4" x14ac:dyDescent="0.45">
      <c r="A16" s="137">
        <v>3</v>
      </c>
      <c r="B16" s="134" t="s">
        <v>1401</v>
      </c>
    </row>
    <row r="17" spans="1:1" x14ac:dyDescent="0.45">
      <c r="A17" s="137"/>
    </row>
    <row r="18" spans="1:1" x14ac:dyDescent="0.45">
      <c r="A18" s="137"/>
    </row>
    <row r="19" spans="1:1" x14ac:dyDescent="0.45">
      <c r="A19" s="137"/>
    </row>
    <row r="20" spans="1:1" x14ac:dyDescent="0.45">
      <c r="A20" s="137"/>
    </row>
    <row r="21" spans="1:1" x14ac:dyDescent="0.45">
      <c r="A21" s="137"/>
    </row>
    <row r="22" spans="1:1" x14ac:dyDescent="0.45">
      <c r="A22" s="137"/>
    </row>
    <row r="23" spans="1:1" x14ac:dyDescent="0.45">
      <c r="A23" s="137"/>
    </row>
    <row r="24" spans="1:1" x14ac:dyDescent="0.45">
      <c r="A24" s="137"/>
    </row>
    <row r="25" spans="1:1" x14ac:dyDescent="0.45">
      <c r="A25" s="137"/>
    </row>
    <row r="26" spans="1:1" x14ac:dyDescent="0.45">
      <c r="A26" s="137"/>
    </row>
    <row r="27" spans="1:1" x14ac:dyDescent="0.45">
      <c r="A27" s="137"/>
    </row>
  </sheetData>
  <mergeCells count="2">
    <mergeCell ref="D2:D3"/>
    <mergeCell ref="D4:D5"/>
  </mergeCells>
  <phoneticPr fontId="12" type="noConversion"/>
  <pageMargins left="0.7" right="0.7" top="0.75" bottom="0.75" header="0.3" footer="0.3"/>
  <pageSetup paperSize="9" orientation="portrait" verticalDpi="0" r:id="rId1"/>
  <customProperties>
    <customPr name="BudgetSheetCodeName" r:id="rId2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7"/>
  <sheetViews>
    <sheetView workbookViewId="0">
      <selection activeCell="F18" sqref="F18"/>
    </sheetView>
  </sheetViews>
  <sheetFormatPr defaultColWidth="9" defaultRowHeight="14" x14ac:dyDescent="0.3"/>
  <cols>
    <col min="1" max="1" width="16.6328125" style="10" customWidth="1"/>
    <col min="2" max="2" width="15.7265625" style="10" customWidth="1"/>
    <col min="3" max="3" width="9.90625" style="10" customWidth="1"/>
    <col min="4" max="4" width="10.7265625" style="10" customWidth="1"/>
    <col min="5" max="5" width="11" style="10" customWidth="1"/>
    <col min="6" max="6" width="24.90625" style="10" customWidth="1"/>
    <col min="7" max="7" width="9" style="10"/>
    <col min="8" max="8" width="10.08984375" style="10" customWidth="1"/>
    <col min="9" max="9" width="13.453125" style="10" bestFit="1" customWidth="1"/>
    <col min="10" max="10" width="9.7265625" style="10" customWidth="1"/>
    <col min="11" max="11" width="13.08984375" style="10" bestFit="1" customWidth="1"/>
    <col min="12" max="12" width="9" style="10"/>
    <col min="13" max="13" width="10.08984375" style="10" customWidth="1"/>
    <col min="14" max="14" width="13.453125" style="10" bestFit="1" customWidth="1"/>
    <col min="15" max="16384" width="9" style="10"/>
  </cols>
  <sheetData>
    <row r="1" spans="1:15" ht="31.5" customHeight="1" x14ac:dyDescent="0.3">
      <c r="A1" s="43" t="s">
        <v>58</v>
      </c>
      <c r="B1" s="22"/>
      <c r="C1" s="22"/>
      <c r="D1" s="22"/>
      <c r="E1" s="22"/>
      <c r="F1" s="25"/>
    </row>
    <row r="2" spans="1:15" ht="25" customHeight="1" x14ac:dyDescent="0.3">
      <c r="A2" s="23" t="s">
        <v>0</v>
      </c>
      <c r="B2" s="23" t="s">
        <v>2</v>
      </c>
      <c r="C2" s="2" t="s">
        <v>35</v>
      </c>
      <c r="D2" s="2" t="s">
        <v>36</v>
      </c>
      <c r="E2" s="23" t="s">
        <v>37</v>
      </c>
      <c r="F2" s="23" t="s">
        <v>38</v>
      </c>
    </row>
    <row r="3" spans="1:15" x14ac:dyDescent="0.3">
      <c r="A3" s="15"/>
      <c r="B3" s="15"/>
      <c r="C3" s="24"/>
      <c r="D3" s="24"/>
      <c r="E3" s="49">
        <f>C3+D3</f>
        <v>0</v>
      </c>
      <c r="F3" s="14"/>
    </row>
    <row r="4" spans="1:15" x14ac:dyDescent="0.3">
      <c r="A4" s="15"/>
      <c r="B4" s="15"/>
      <c r="C4" s="24"/>
      <c r="D4" s="24"/>
      <c r="E4" s="49">
        <f>C4+D4</f>
        <v>0</v>
      </c>
      <c r="F4" s="14"/>
    </row>
    <row r="5" spans="1:15" ht="14.5" x14ac:dyDescent="0.3">
      <c r="A5" s="15"/>
      <c r="B5" s="15"/>
      <c r="C5" s="24"/>
      <c r="D5" s="24"/>
      <c r="E5" s="49">
        <f t="shared" ref="E5:E29" si="0">C5+D5</f>
        <v>0</v>
      </c>
      <c r="F5" s="19"/>
      <c r="H5" s="44"/>
      <c r="I5" s="45"/>
      <c r="J5"/>
    </row>
    <row r="6" spans="1:15" ht="14.5" x14ac:dyDescent="0.3">
      <c r="A6" s="15"/>
      <c r="B6" s="15"/>
      <c r="C6" s="24"/>
      <c r="D6" s="24"/>
      <c r="E6" s="49">
        <f t="shared" si="0"/>
        <v>0</v>
      </c>
      <c r="F6" s="19"/>
      <c r="H6" s="60"/>
      <c r="I6" s="45"/>
      <c r="J6"/>
    </row>
    <row r="7" spans="1:15" ht="14.5" x14ac:dyDescent="0.3">
      <c r="A7" s="15"/>
      <c r="B7" s="15"/>
      <c r="C7" s="24"/>
      <c r="D7" s="24"/>
      <c r="E7" s="49">
        <f t="shared" si="0"/>
        <v>0</v>
      </c>
      <c r="F7" s="19"/>
      <c r="H7" s="44"/>
      <c r="I7" s="45"/>
      <c r="J7"/>
    </row>
    <row r="8" spans="1:15" ht="14.5" x14ac:dyDescent="0.3">
      <c r="A8" s="15"/>
      <c r="B8" s="15"/>
      <c r="C8" s="24"/>
      <c r="D8" s="24"/>
      <c r="E8" s="49">
        <f t="shared" si="0"/>
        <v>0</v>
      </c>
      <c r="F8" s="19"/>
      <c r="H8" s="44"/>
      <c r="I8" s="45"/>
      <c r="J8"/>
    </row>
    <row r="9" spans="1:15" ht="14.5" x14ac:dyDescent="0.3">
      <c r="A9" s="15"/>
      <c r="B9" s="15"/>
      <c r="C9" s="24"/>
      <c r="D9" s="24"/>
      <c r="E9" s="49">
        <f t="shared" si="0"/>
        <v>0</v>
      </c>
      <c r="F9" s="19"/>
      <c r="H9" s="44"/>
      <c r="I9" s="45"/>
      <c r="J9"/>
      <c r="M9"/>
      <c r="N9"/>
      <c r="O9"/>
    </row>
    <row r="10" spans="1:15" ht="14.5" x14ac:dyDescent="0.3">
      <c r="A10" s="15"/>
      <c r="B10" s="15"/>
      <c r="C10" s="24"/>
      <c r="D10" s="24"/>
      <c r="E10" s="49">
        <f t="shared" si="0"/>
        <v>0</v>
      </c>
      <c r="F10" s="19"/>
      <c r="H10" s="44"/>
      <c r="I10" s="45"/>
      <c r="J10"/>
      <c r="K10" s="45"/>
      <c r="L10"/>
      <c r="M10" s="44"/>
      <c r="N10" s="45"/>
      <c r="O10"/>
    </row>
    <row r="11" spans="1:15" ht="14.5" x14ac:dyDescent="0.3">
      <c r="A11" s="15"/>
      <c r="B11" s="15"/>
      <c r="C11" s="24"/>
      <c r="D11" s="24"/>
      <c r="E11" s="49">
        <f t="shared" ref="E11:E19" si="1">C11+D11</f>
        <v>0</v>
      </c>
      <c r="F11" s="19"/>
      <c r="H11" s="44"/>
      <c r="I11" s="45"/>
      <c r="J11"/>
      <c r="K11" s="45"/>
      <c r="L11"/>
      <c r="M11" s="44"/>
      <c r="N11" s="45"/>
      <c r="O11"/>
    </row>
    <row r="12" spans="1:15" ht="14.5" x14ac:dyDescent="0.3">
      <c r="A12" s="15"/>
      <c r="B12" s="15"/>
      <c r="C12" s="24"/>
      <c r="D12" s="24"/>
      <c r="E12" s="49">
        <f t="shared" si="1"/>
        <v>0</v>
      </c>
      <c r="F12" s="19"/>
      <c r="H12" s="44"/>
      <c r="I12" s="45"/>
      <c r="J12"/>
      <c r="M12" s="44"/>
      <c r="N12" s="45"/>
      <c r="O12"/>
    </row>
    <row r="13" spans="1:15" ht="14.5" x14ac:dyDescent="0.3">
      <c r="A13" s="15"/>
      <c r="B13" s="15"/>
      <c r="C13" s="24"/>
      <c r="D13" s="24"/>
      <c r="E13" s="49">
        <f t="shared" si="1"/>
        <v>0</v>
      </c>
      <c r="F13" s="19"/>
      <c r="H13" s="44"/>
      <c r="I13" s="45"/>
      <c r="J13"/>
      <c r="M13" s="44"/>
      <c r="N13" s="45"/>
      <c r="O13"/>
    </row>
    <row r="14" spans="1:15" ht="14.5" x14ac:dyDescent="0.3">
      <c r="A14" s="15"/>
      <c r="B14" s="15"/>
      <c r="C14" s="24"/>
      <c r="D14" s="24"/>
      <c r="E14" s="49">
        <f t="shared" si="1"/>
        <v>0</v>
      </c>
      <c r="F14" s="19"/>
      <c r="H14" s="44"/>
      <c r="I14" s="45"/>
      <c r="J14"/>
      <c r="M14" s="44"/>
      <c r="N14" s="45"/>
      <c r="O14"/>
    </row>
    <row r="15" spans="1:15" ht="14.5" x14ac:dyDescent="0.3">
      <c r="A15" s="15"/>
      <c r="B15" s="15"/>
      <c r="C15" s="24"/>
      <c r="D15" s="24"/>
      <c r="E15" s="49">
        <f t="shared" si="1"/>
        <v>0</v>
      </c>
      <c r="F15" s="19"/>
      <c r="H15" s="44"/>
      <c r="I15" s="45"/>
      <c r="J15"/>
      <c r="M15" s="44"/>
      <c r="N15" s="45"/>
      <c r="O15"/>
    </row>
    <row r="16" spans="1:15" ht="14.5" x14ac:dyDescent="0.3">
      <c r="A16" s="15"/>
      <c r="B16" s="15"/>
      <c r="C16" s="24"/>
      <c r="D16" s="24"/>
      <c r="E16" s="49">
        <f t="shared" si="1"/>
        <v>0</v>
      </c>
      <c r="F16" s="19"/>
      <c r="H16" s="44"/>
      <c r="I16" s="45"/>
      <c r="J16"/>
      <c r="K16" s="45"/>
      <c r="L16"/>
      <c r="M16" s="44"/>
      <c r="N16" s="45"/>
      <c r="O16"/>
    </row>
    <row r="17" spans="1:15" ht="14.5" x14ac:dyDescent="0.3">
      <c r="A17" s="15"/>
      <c r="B17" s="15"/>
      <c r="C17" s="24"/>
      <c r="D17" s="24"/>
      <c r="E17" s="49">
        <f t="shared" si="1"/>
        <v>0</v>
      </c>
      <c r="F17" s="19"/>
      <c r="H17" s="44"/>
      <c r="I17" s="45"/>
      <c r="J17"/>
      <c r="K17" s="45"/>
      <c r="L17"/>
      <c r="M17" s="44"/>
      <c r="N17" s="45"/>
      <c r="O17"/>
    </row>
    <row r="18" spans="1:15" ht="14.5" x14ac:dyDescent="0.3">
      <c r="A18" s="15"/>
      <c r="B18" s="15"/>
      <c r="C18" s="24"/>
      <c r="D18" s="24"/>
      <c r="E18" s="49">
        <f t="shared" si="1"/>
        <v>0</v>
      </c>
      <c r="F18" s="19"/>
      <c r="H18" s="44"/>
      <c r="I18" s="45"/>
      <c r="J18"/>
      <c r="K18" s="45"/>
      <c r="L18"/>
      <c r="M18" s="44"/>
      <c r="N18" s="45"/>
      <c r="O18"/>
    </row>
    <row r="19" spans="1:15" ht="14.5" x14ac:dyDescent="0.3">
      <c r="A19" s="15"/>
      <c r="B19" s="15"/>
      <c r="C19" s="24"/>
      <c r="D19" s="24"/>
      <c r="E19" s="49">
        <f t="shared" si="1"/>
        <v>0</v>
      </c>
      <c r="F19" s="19"/>
      <c r="H19" s="44"/>
      <c r="I19" s="45"/>
      <c r="J19"/>
      <c r="K19" s="45"/>
      <c r="L19"/>
      <c r="M19" s="44"/>
      <c r="N19" s="45"/>
      <c r="O19"/>
    </row>
    <row r="20" spans="1:15" ht="14.5" x14ac:dyDescent="0.3">
      <c r="A20" s="15"/>
      <c r="B20" s="15"/>
      <c r="C20" s="24"/>
      <c r="D20" s="24"/>
      <c r="E20" s="49">
        <f t="shared" si="0"/>
        <v>0</v>
      </c>
      <c r="F20" s="19"/>
      <c r="H20" s="44"/>
      <c r="I20" s="45"/>
      <c r="J20"/>
      <c r="K20" s="45"/>
      <c r="L20"/>
      <c r="M20" s="44"/>
      <c r="N20" s="45"/>
      <c r="O20"/>
    </row>
    <row r="21" spans="1:15" ht="14.5" x14ac:dyDescent="0.3">
      <c r="A21" s="15"/>
      <c r="B21" s="15"/>
      <c r="C21" s="24"/>
      <c r="D21" s="24"/>
      <c r="E21" s="49">
        <f t="shared" si="0"/>
        <v>0</v>
      </c>
      <c r="F21" s="19"/>
      <c r="H21" s="44"/>
      <c r="I21" s="45"/>
      <c r="J21"/>
      <c r="M21" s="44"/>
      <c r="N21" s="45"/>
      <c r="O21"/>
    </row>
    <row r="22" spans="1:15" ht="14.5" x14ac:dyDescent="0.3">
      <c r="A22" s="15"/>
      <c r="B22" s="15"/>
      <c r="C22" s="24"/>
      <c r="D22" s="24"/>
      <c r="E22" s="49">
        <f t="shared" si="0"/>
        <v>0</v>
      </c>
      <c r="F22" s="19"/>
      <c r="H22" s="44"/>
      <c r="I22" s="45"/>
      <c r="M22" s="44"/>
      <c r="N22" s="45"/>
      <c r="O22"/>
    </row>
    <row r="23" spans="1:15" ht="14.5" x14ac:dyDescent="0.3">
      <c r="A23" s="15"/>
      <c r="B23" s="15"/>
      <c r="C23" s="24"/>
      <c r="D23" s="24"/>
      <c r="E23" s="49">
        <f t="shared" si="0"/>
        <v>0</v>
      </c>
      <c r="F23" s="19"/>
      <c r="H23" s="44"/>
      <c r="I23" s="45"/>
      <c r="M23" s="44"/>
      <c r="N23" s="45"/>
      <c r="O23"/>
    </row>
    <row r="24" spans="1:15" ht="14.5" x14ac:dyDescent="0.3">
      <c r="A24" s="15"/>
      <c r="B24" s="15"/>
      <c r="C24" s="24"/>
      <c r="D24" s="24"/>
      <c r="E24" s="49">
        <f t="shared" si="0"/>
        <v>0</v>
      </c>
      <c r="F24" s="19"/>
      <c r="H24" s="44"/>
      <c r="I24" s="45"/>
      <c r="M24" s="44"/>
      <c r="N24" s="45"/>
      <c r="O24"/>
    </row>
    <row r="25" spans="1:15" ht="14.5" x14ac:dyDescent="0.3">
      <c r="A25" s="15"/>
      <c r="B25" s="15"/>
      <c r="C25" s="24"/>
      <c r="D25" s="24"/>
      <c r="E25" s="49">
        <f t="shared" si="0"/>
        <v>0</v>
      </c>
      <c r="F25" s="19"/>
      <c r="H25" s="44"/>
      <c r="I25" s="45"/>
      <c r="M25" s="44"/>
      <c r="N25" s="45"/>
      <c r="O25"/>
    </row>
    <row r="26" spans="1:15" ht="14.5" x14ac:dyDescent="0.3">
      <c r="A26" s="15"/>
      <c r="B26" s="15"/>
      <c r="C26" s="24"/>
      <c r="D26" s="24"/>
      <c r="E26" s="49">
        <f t="shared" si="0"/>
        <v>0</v>
      </c>
      <c r="F26" s="19"/>
      <c r="H26" s="44"/>
      <c r="I26" s="45"/>
      <c r="J26" s="44"/>
      <c r="K26" s="45"/>
      <c r="L26"/>
      <c r="M26" s="44"/>
      <c r="N26" s="45"/>
      <c r="O26"/>
    </row>
    <row r="27" spans="1:15" ht="14.5" x14ac:dyDescent="0.3">
      <c r="A27" s="15"/>
      <c r="B27" s="15"/>
      <c r="C27" s="24"/>
      <c r="D27" s="24"/>
      <c r="E27" s="49">
        <f t="shared" si="0"/>
        <v>0</v>
      </c>
      <c r="F27" s="19"/>
      <c r="H27" s="44"/>
      <c r="I27" s="45"/>
      <c r="J27" s="44"/>
      <c r="K27" s="45"/>
      <c r="L27"/>
      <c r="M27" s="44"/>
      <c r="N27" s="45"/>
    </row>
    <row r="28" spans="1:15" ht="14.5" x14ac:dyDescent="0.3">
      <c r="A28" s="15"/>
      <c r="B28" s="15"/>
      <c r="C28" s="24"/>
      <c r="D28" s="24"/>
      <c r="E28" s="49">
        <f t="shared" si="0"/>
        <v>0</v>
      </c>
      <c r="F28" s="19"/>
      <c r="H28" s="44"/>
      <c r="I28" s="45"/>
      <c r="J28" s="44"/>
      <c r="K28" s="45"/>
      <c r="L28"/>
      <c r="M28" s="44"/>
      <c r="N28" s="45"/>
    </row>
    <row r="29" spans="1:15" ht="14.5" x14ac:dyDescent="0.3">
      <c r="A29" s="15"/>
      <c r="B29" s="15"/>
      <c r="C29" s="24"/>
      <c r="D29" s="24"/>
      <c r="E29" s="49">
        <f t="shared" si="0"/>
        <v>0</v>
      </c>
      <c r="F29" s="19"/>
      <c r="H29" s="44"/>
      <c r="I29" s="45"/>
      <c r="J29" s="44"/>
      <c r="K29" s="45"/>
      <c r="L29"/>
      <c r="M29" s="44"/>
      <c r="N29" s="45"/>
    </row>
    <row r="30" spans="1:15" ht="14.5" x14ac:dyDescent="0.3">
      <c r="A30" s="15"/>
      <c r="B30" s="15"/>
      <c r="C30" s="24"/>
      <c r="D30" s="24"/>
      <c r="E30" s="49">
        <f t="shared" ref="E30:E36" si="2">C30+D30</f>
        <v>0</v>
      </c>
      <c r="F30" s="19"/>
      <c r="H30" s="44"/>
      <c r="I30" s="45"/>
      <c r="M30" s="44"/>
      <c r="N30" s="45"/>
    </row>
    <row r="31" spans="1:15" ht="14.5" x14ac:dyDescent="0.3">
      <c r="A31" s="15"/>
      <c r="B31" s="15"/>
      <c r="C31" s="24"/>
      <c r="D31" s="24"/>
      <c r="E31" s="49">
        <f t="shared" si="2"/>
        <v>0</v>
      </c>
      <c r="F31" s="19"/>
      <c r="H31" s="44"/>
      <c r="I31" s="45"/>
      <c r="M31" s="44"/>
      <c r="N31" s="45"/>
    </row>
    <row r="32" spans="1:15" ht="14.5" x14ac:dyDescent="0.3">
      <c r="A32" s="15"/>
      <c r="B32" s="15"/>
      <c r="C32" s="24"/>
      <c r="D32" s="24"/>
      <c r="E32" s="49">
        <f t="shared" si="2"/>
        <v>0</v>
      </c>
      <c r="F32" s="19"/>
      <c r="H32" s="44"/>
      <c r="I32" s="45"/>
      <c r="M32" s="44"/>
      <c r="N32" s="45"/>
    </row>
    <row r="33" spans="1:14" ht="14.5" x14ac:dyDescent="0.3">
      <c r="A33" s="15"/>
      <c r="B33" s="15"/>
      <c r="C33" s="24"/>
      <c r="D33" s="24"/>
      <c r="E33" s="49">
        <f t="shared" si="2"/>
        <v>0</v>
      </c>
      <c r="F33" s="19"/>
      <c r="H33" s="44"/>
      <c r="I33" s="45"/>
      <c r="M33" s="44"/>
      <c r="N33" s="45"/>
    </row>
    <row r="34" spans="1:14" ht="14.5" x14ac:dyDescent="0.3">
      <c r="A34" s="15"/>
      <c r="B34" s="15"/>
      <c r="C34" s="24"/>
      <c r="D34" s="24"/>
      <c r="E34" s="49">
        <f t="shared" si="2"/>
        <v>0</v>
      </c>
      <c r="F34" s="19"/>
      <c r="H34" s="44"/>
      <c r="I34" s="45"/>
      <c r="M34"/>
      <c r="N34"/>
    </row>
    <row r="35" spans="1:14" ht="14.5" x14ac:dyDescent="0.3">
      <c r="A35" s="15"/>
      <c r="B35" s="15"/>
      <c r="C35" s="24"/>
      <c r="D35" s="24"/>
      <c r="E35" s="49">
        <f t="shared" si="2"/>
        <v>0</v>
      </c>
      <c r="F35" s="19"/>
      <c r="H35" s="44"/>
      <c r="I35" s="45"/>
      <c r="J35" s="44"/>
      <c r="K35" s="45"/>
      <c r="L35"/>
      <c r="M35"/>
      <c r="N35"/>
    </row>
    <row r="36" spans="1:14" ht="14.5" x14ac:dyDescent="0.3">
      <c r="A36" s="15"/>
      <c r="B36" s="15"/>
      <c r="C36" s="24"/>
      <c r="D36" s="24"/>
      <c r="E36" s="49">
        <f t="shared" si="2"/>
        <v>0</v>
      </c>
      <c r="F36" s="19"/>
      <c r="H36" s="44"/>
      <c r="I36" s="45"/>
      <c r="J36" s="44"/>
      <c r="K36" s="45"/>
      <c r="L36"/>
      <c r="M36"/>
      <c r="N36"/>
    </row>
    <row r="37" spans="1:14" ht="14.5" x14ac:dyDescent="0.3">
      <c r="A37" s="15"/>
      <c r="B37" s="15"/>
      <c r="C37" s="24"/>
      <c r="D37" s="24"/>
      <c r="E37" s="49">
        <f t="shared" ref="E37:E48" si="3">C37+D37</f>
        <v>0</v>
      </c>
      <c r="F37" s="19"/>
      <c r="H37" s="44"/>
      <c r="I37" s="45"/>
      <c r="M37"/>
    </row>
    <row r="38" spans="1:14" ht="14.5" x14ac:dyDescent="0.3">
      <c r="A38" s="15"/>
      <c r="B38" s="15"/>
      <c r="C38" s="24"/>
      <c r="D38" s="24"/>
      <c r="E38" s="49">
        <f t="shared" si="3"/>
        <v>0</v>
      </c>
      <c r="F38" s="19"/>
      <c r="H38" s="44"/>
      <c r="I38" s="45"/>
      <c r="M38"/>
    </row>
    <row r="39" spans="1:14" ht="14.5" x14ac:dyDescent="0.3">
      <c r="A39" s="15"/>
      <c r="B39" s="15"/>
      <c r="C39" s="24"/>
      <c r="D39" s="24"/>
      <c r="E39" s="49">
        <f t="shared" si="3"/>
        <v>0</v>
      </c>
      <c r="F39" s="19"/>
      <c r="H39" s="44"/>
      <c r="I39" s="45"/>
      <c r="M39"/>
    </row>
    <row r="40" spans="1:14" ht="14.5" x14ac:dyDescent="0.3">
      <c r="A40" s="15"/>
      <c r="B40" s="15"/>
      <c r="C40" s="24"/>
      <c r="D40" s="24"/>
      <c r="E40" s="49">
        <f t="shared" si="3"/>
        <v>0</v>
      </c>
      <c r="F40" s="19"/>
      <c r="H40" s="44"/>
      <c r="I40" s="45"/>
      <c r="M40"/>
    </row>
    <row r="41" spans="1:14" ht="14.5" x14ac:dyDescent="0.3">
      <c r="A41" s="15"/>
      <c r="B41" s="15"/>
      <c r="C41" s="24"/>
      <c r="D41" s="24"/>
      <c r="E41" s="49">
        <f t="shared" si="3"/>
        <v>0</v>
      </c>
      <c r="F41" s="19"/>
      <c r="H41" s="44"/>
      <c r="I41" s="45"/>
      <c r="M41"/>
      <c r="N41"/>
    </row>
    <row r="42" spans="1:14" ht="14.5" x14ac:dyDescent="0.3">
      <c r="A42" s="15"/>
      <c r="B42" s="15"/>
      <c r="C42" s="24"/>
      <c r="D42" s="24"/>
      <c r="E42" s="49">
        <f t="shared" si="3"/>
        <v>0</v>
      </c>
      <c r="F42" s="19"/>
      <c r="H42" s="44"/>
      <c r="I42" s="45"/>
      <c r="J42" s="44"/>
      <c r="K42" s="45"/>
      <c r="L42"/>
      <c r="M42"/>
      <c r="N42"/>
    </row>
    <row r="43" spans="1:14" ht="14.5" x14ac:dyDescent="0.3">
      <c r="A43" s="15"/>
      <c r="B43" s="15"/>
      <c r="C43" s="24"/>
      <c r="D43" s="24"/>
      <c r="E43" s="49">
        <f t="shared" si="3"/>
        <v>0</v>
      </c>
      <c r="F43" s="19"/>
      <c r="H43" s="44"/>
      <c r="I43" s="45"/>
      <c r="J43" s="44"/>
      <c r="K43" s="45"/>
      <c r="L43"/>
      <c r="M43"/>
      <c r="N43"/>
    </row>
    <row r="44" spans="1:14" ht="14.5" x14ac:dyDescent="0.3">
      <c r="A44" s="15"/>
      <c r="B44" s="15"/>
      <c r="C44" s="24"/>
      <c r="D44" s="24"/>
      <c r="E44" s="49">
        <f t="shared" si="3"/>
        <v>0</v>
      </c>
      <c r="F44" s="19"/>
      <c r="H44" s="44"/>
      <c r="I44" s="45"/>
      <c r="J44" s="44"/>
      <c r="K44" s="45"/>
      <c r="L44"/>
      <c r="M44"/>
      <c r="N44"/>
    </row>
    <row r="45" spans="1:14" ht="14.5" x14ac:dyDescent="0.3">
      <c r="A45" s="15"/>
      <c r="B45" s="15"/>
      <c r="C45" s="24"/>
      <c r="D45" s="24"/>
      <c r="E45" s="49">
        <f t="shared" si="3"/>
        <v>0</v>
      </c>
      <c r="F45" s="19"/>
      <c r="H45"/>
      <c r="J45" s="44"/>
      <c r="K45" s="45"/>
      <c r="L45"/>
      <c r="M45"/>
      <c r="N45"/>
    </row>
    <row r="46" spans="1:14" ht="14.5" x14ac:dyDescent="0.3">
      <c r="A46" s="15"/>
      <c r="B46" s="15"/>
      <c r="C46" s="24"/>
      <c r="D46" s="24"/>
      <c r="E46" s="49">
        <f t="shared" si="3"/>
        <v>0</v>
      </c>
      <c r="F46" s="19"/>
      <c r="H46"/>
      <c r="J46" s="44"/>
      <c r="K46" s="45"/>
      <c r="L46"/>
      <c r="M46"/>
      <c r="N46"/>
    </row>
    <row r="47" spans="1:14" ht="14.5" x14ac:dyDescent="0.3">
      <c r="A47" s="15"/>
      <c r="B47" s="15"/>
      <c r="C47" s="24"/>
      <c r="D47" s="24"/>
      <c r="E47" s="49">
        <f t="shared" si="3"/>
        <v>0</v>
      </c>
      <c r="F47" s="19"/>
      <c r="H47"/>
      <c r="J47" s="44"/>
      <c r="K47" s="45"/>
      <c r="L47"/>
      <c r="M47"/>
      <c r="N47"/>
    </row>
    <row r="48" spans="1:14" ht="14.5" x14ac:dyDescent="0.3">
      <c r="A48" s="15"/>
      <c r="B48" s="15"/>
      <c r="C48" s="24"/>
      <c r="D48" s="24"/>
      <c r="E48" s="49">
        <f t="shared" si="3"/>
        <v>0</v>
      </c>
      <c r="F48" s="19"/>
      <c r="H48"/>
      <c r="J48" s="44"/>
      <c r="K48" s="45"/>
      <c r="L48"/>
      <c r="M48"/>
      <c r="N48"/>
    </row>
    <row r="49" spans="3:13" ht="14.5" x14ac:dyDescent="0.3">
      <c r="C49" s="10">
        <f>SUM(C3:C48)</f>
        <v>0</v>
      </c>
      <c r="D49" s="10">
        <f>SUM(D3:D48)</f>
        <v>0</v>
      </c>
      <c r="E49" s="15">
        <f>C49+D49</f>
        <v>0</v>
      </c>
      <c r="H49"/>
      <c r="J49"/>
      <c r="M49"/>
    </row>
    <row r="50" spans="3:13" ht="14.5" x14ac:dyDescent="0.3">
      <c r="H50"/>
      <c r="J50"/>
      <c r="M50"/>
    </row>
    <row r="51" spans="3:13" ht="14.5" x14ac:dyDescent="0.3">
      <c r="H51"/>
      <c r="J51"/>
      <c r="M51"/>
    </row>
    <row r="52" spans="3:13" ht="14.5" x14ac:dyDescent="0.3">
      <c r="H52"/>
      <c r="J52"/>
      <c r="M52"/>
    </row>
    <row r="53" spans="3:13" ht="14.5" x14ac:dyDescent="0.3">
      <c r="H53"/>
      <c r="J53"/>
      <c r="M53"/>
    </row>
    <row r="54" spans="3:13" ht="14.5" x14ac:dyDescent="0.3">
      <c r="H54"/>
      <c r="J54"/>
      <c r="M54"/>
    </row>
    <row r="55" spans="3:13" ht="14.5" x14ac:dyDescent="0.3">
      <c r="H55"/>
      <c r="J55"/>
      <c r="M55"/>
    </row>
    <row r="56" spans="3:13" ht="14.5" x14ac:dyDescent="0.3">
      <c r="H56"/>
      <c r="J56"/>
      <c r="M56"/>
    </row>
    <row r="57" spans="3:13" ht="14.5" x14ac:dyDescent="0.3">
      <c r="H57"/>
      <c r="J57"/>
      <c r="M57"/>
    </row>
    <row r="58" spans="3:13" ht="14.5" x14ac:dyDescent="0.3">
      <c r="H58"/>
      <c r="J58"/>
    </row>
    <row r="59" spans="3:13" ht="14.5" x14ac:dyDescent="0.3">
      <c r="H59"/>
      <c r="J59"/>
    </row>
    <row r="60" spans="3:13" ht="14.5" x14ac:dyDescent="0.3">
      <c r="H60"/>
      <c r="J60"/>
    </row>
    <row r="61" spans="3:13" ht="14.5" x14ac:dyDescent="0.3">
      <c r="H61"/>
      <c r="J61"/>
    </row>
    <row r="62" spans="3:13" ht="14.5" x14ac:dyDescent="0.3">
      <c r="H62"/>
      <c r="J62"/>
    </row>
    <row r="63" spans="3:13" ht="14.5" x14ac:dyDescent="0.3">
      <c r="H63"/>
      <c r="J63"/>
    </row>
    <row r="64" spans="3:13" ht="14.5" x14ac:dyDescent="0.3">
      <c r="J64"/>
    </row>
    <row r="65" spans="10:10" ht="14.5" x14ac:dyDescent="0.3">
      <c r="J65"/>
    </row>
    <row r="66" spans="10:10" ht="14.5" x14ac:dyDescent="0.3">
      <c r="J66"/>
    </row>
    <row r="67" spans="10:10" ht="14.5" x14ac:dyDescent="0.3">
      <c r="J67"/>
    </row>
  </sheetData>
  <sheetProtection formatCells="0" insertHyperlinks="0" autoFilter="0"/>
  <autoFilter ref="A2:F49"/>
  <phoneticPr fontId="12" type="noConversion"/>
  <conditionalFormatting sqref="C3:E4 C12:E15">
    <cfRule type="cellIs" dxfId="21" priority="168" operator="greaterThan">
      <formula>0</formula>
    </cfRule>
  </conditionalFormatting>
  <conditionalFormatting sqref="E49">
    <cfRule type="cellIs" dxfId="20" priority="116" operator="greaterThan">
      <formula>0</formula>
    </cfRule>
  </conditionalFormatting>
  <conditionalFormatting sqref="C46:E48 C37:E41">
    <cfRule type="cellIs" dxfId="19" priority="26" operator="greaterThan">
      <formula>0</formula>
    </cfRule>
  </conditionalFormatting>
  <conditionalFormatting sqref="C44:E45">
    <cfRule type="cellIs" dxfId="18" priority="25" operator="greaterThan">
      <formula>0</formula>
    </cfRule>
  </conditionalFormatting>
  <conditionalFormatting sqref="C42:E43">
    <cfRule type="cellIs" dxfId="17" priority="24" operator="greaterThan">
      <formula>0</formula>
    </cfRule>
  </conditionalFormatting>
  <conditionalFormatting sqref="C30:E34">
    <cfRule type="cellIs" dxfId="16" priority="23" operator="greaterThan">
      <formula>0</formula>
    </cfRule>
  </conditionalFormatting>
  <conditionalFormatting sqref="C35:E36">
    <cfRule type="cellIs" dxfId="15" priority="22" operator="greaterThan">
      <formula>0</formula>
    </cfRule>
  </conditionalFormatting>
  <conditionalFormatting sqref="C21:E25">
    <cfRule type="cellIs" dxfId="14" priority="21" operator="greaterThan">
      <formula>0</formula>
    </cfRule>
  </conditionalFormatting>
  <conditionalFormatting sqref="C28:E29">
    <cfRule type="cellIs" dxfId="13" priority="20" operator="greaterThan">
      <formula>0</formula>
    </cfRule>
  </conditionalFormatting>
  <conditionalFormatting sqref="C26:E27">
    <cfRule type="cellIs" dxfId="12" priority="19" operator="greaterThan">
      <formula>0</formula>
    </cfRule>
  </conditionalFormatting>
  <conditionalFormatting sqref="C5:E9">
    <cfRule type="cellIs" dxfId="11" priority="18" operator="greaterThan">
      <formula>0</formula>
    </cfRule>
  </conditionalFormatting>
  <conditionalFormatting sqref="C10:E10 C20:E20">
    <cfRule type="cellIs" dxfId="10" priority="17" operator="greaterThan">
      <formula>0</formula>
    </cfRule>
  </conditionalFormatting>
  <conditionalFormatting sqref="C18:E19">
    <cfRule type="cellIs" dxfId="9" priority="15" operator="greaterThan">
      <formula>0</formula>
    </cfRule>
  </conditionalFormatting>
  <conditionalFormatting sqref="C16:E17">
    <cfRule type="cellIs" dxfId="8" priority="14" operator="greaterThan">
      <formula>0</formula>
    </cfRule>
  </conditionalFormatting>
  <conditionalFormatting sqref="C11:E11">
    <cfRule type="cellIs" dxfId="7" priority="13" operator="greaterThan">
      <formula>0</formula>
    </cfRule>
  </conditionalFormatting>
  <pageMargins left="0.7" right="0.7" top="0.75" bottom="0.75" header="0.3" footer="0.3"/>
  <pageSetup paperSize="9" orientation="portrait"/>
  <customProperties>
    <customPr name="BudgetSheetCodeName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H6"/>
  <sheetViews>
    <sheetView workbookViewId="0">
      <selection activeCell="E8" sqref="E8"/>
    </sheetView>
  </sheetViews>
  <sheetFormatPr defaultColWidth="9" defaultRowHeight="27.75" customHeight="1" x14ac:dyDescent="0.25"/>
  <cols>
    <col min="1" max="1" width="18.6328125" style="37" customWidth="1"/>
    <col min="2" max="3" width="12.7265625" style="37" customWidth="1"/>
    <col min="4" max="4" width="12.90625" style="37" customWidth="1"/>
    <col min="5" max="5" width="95" style="37" customWidth="1"/>
    <col min="6" max="6" width="23" style="38" customWidth="1"/>
    <col min="7" max="7" width="17.08984375" style="37" hidden="1" customWidth="1"/>
    <col min="8" max="8" width="10.7265625" style="37" customWidth="1"/>
    <col min="9" max="16384" width="9" style="37"/>
  </cols>
  <sheetData>
    <row r="1" spans="1:8" ht="27.65" customHeight="1" x14ac:dyDescent="0.25">
      <c r="A1" s="46" t="s">
        <v>50</v>
      </c>
      <c r="B1" s="46" t="s">
        <v>51</v>
      </c>
      <c r="C1" s="47" t="s">
        <v>59</v>
      </c>
      <c r="D1" s="46" t="s">
        <v>52</v>
      </c>
      <c r="E1" s="46" t="s">
        <v>53</v>
      </c>
      <c r="F1" s="46" t="s">
        <v>54</v>
      </c>
      <c r="G1" s="41" t="s">
        <v>55</v>
      </c>
    </row>
    <row r="2" spans="1:8" ht="69" customHeight="1" x14ac:dyDescent="0.25">
      <c r="A2" s="52"/>
      <c r="B2" s="63"/>
      <c r="C2" s="52"/>
      <c r="D2" s="63"/>
      <c r="E2" s="66"/>
      <c r="F2" s="52"/>
      <c r="G2" s="42"/>
      <c r="H2" s="40"/>
    </row>
    <row r="3" spans="1:8" ht="69" customHeight="1" x14ac:dyDescent="0.25">
      <c r="A3" s="52"/>
      <c r="B3" s="63"/>
      <c r="C3" s="52"/>
      <c r="D3" s="63"/>
      <c r="E3" s="66"/>
      <c r="F3" s="52"/>
      <c r="G3" s="42"/>
      <c r="H3" s="40"/>
    </row>
    <row r="4" spans="1:8" ht="69" customHeight="1" x14ac:dyDescent="0.25">
      <c r="A4" s="52"/>
      <c r="B4" s="63"/>
      <c r="C4" s="52"/>
      <c r="D4" s="63"/>
      <c r="E4" s="66"/>
      <c r="F4" s="52"/>
      <c r="G4" s="42"/>
      <c r="H4" s="40"/>
    </row>
    <row r="5" spans="1:8" ht="69" customHeight="1" x14ac:dyDescent="0.25">
      <c r="A5" s="52"/>
      <c r="B5" s="63"/>
      <c r="C5" s="52"/>
      <c r="D5" s="63"/>
      <c r="E5" s="66"/>
      <c r="F5" s="52"/>
      <c r="G5" s="42"/>
      <c r="H5" s="40"/>
    </row>
    <row r="6" spans="1:8" ht="69" customHeight="1" x14ac:dyDescent="0.25">
      <c r="A6" s="52"/>
      <c r="B6" s="63"/>
      <c r="C6" s="52"/>
      <c r="D6" s="63"/>
      <c r="E6" s="66"/>
      <c r="F6" s="52"/>
      <c r="G6" s="42"/>
      <c r="H6" s="40"/>
    </row>
  </sheetData>
  <sheetProtection formatCells="0" insertHyperlinks="0" autoFilter="0"/>
  <phoneticPr fontId="12" type="noConversion"/>
  <dataValidations count="1">
    <dataValidation type="list" allowBlank="1" showInputMessage="1" showErrorMessage="1" sqref="A1">
      <formula1>"TJ1,TJ2 4#楼GMP车间,TJ2 5#楼GMP车间,TJ2 5#楼普通车间,TJ2 5#楼溶剂回收车间"</formula1>
    </dataValidation>
  </dataValidations>
  <pageMargins left="0.7" right="0.7" top="0.75" bottom="0.75" header="0.3" footer="0.3"/>
  <pageSetup paperSize="9" orientation="portrait" r:id="rId1"/>
  <customProperties>
    <customPr name="BudgetSheetCodeName" r:id="rId2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22"/>
  <sheetViews>
    <sheetView topLeftCell="B1" workbookViewId="0">
      <selection activeCell="H5" sqref="H5"/>
    </sheetView>
  </sheetViews>
  <sheetFormatPr defaultColWidth="9" defaultRowHeight="14" x14ac:dyDescent="0.3"/>
  <cols>
    <col min="1" max="1" width="18.08984375" style="10" hidden="1" customWidth="1"/>
    <col min="2" max="2" width="15.26953125" style="10" customWidth="1"/>
    <col min="3" max="3" width="18.08984375" style="11" hidden="1" customWidth="1"/>
    <col min="4" max="4" width="13.453125" style="11" customWidth="1"/>
    <col min="5" max="5" width="20.36328125" style="10" customWidth="1"/>
    <col min="6" max="16384" width="9" style="10"/>
  </cols>
  <sheetData>
    <row r="1" spans="1:5" ht="30.75" customHeight="1" x14ac:dyDescent="0.3">
      <c r="A1" s="12" t="s">
        <v>39</v>
      </c>
      <c r="B1" s="12" t="s">
        <v>40</v>
      </c>
      <c r="C1" s="13" t="s">
        <v>41</v>
      </c>
      <c r="D1" s="13" t="s">
        <v>42</v>
      </c>
      <c r="E1" s="21" t="s">
        <v>43</v>
      </c>
    </row>
    <row r="2" spans="1:5" s="9" customFormat="1" ht="18.75" customHeight="1" x14ac:dyDescent="0.3">
      <c r="A2" s="14"/>
      <c r="B2" s="15"/>
      <c r="C2" s="16"/>
      <c r="D2" s="17"/>
      <c r="E2" s="17"/>
    </row>
    <row r="3" spans="1:5" s="9" customFormat="1" ht="18.75" customHeight="1" x14ac:dyDescent="0.3">
      <c r="A3" s="14"/>
      <c r="B3" s="15"/>
      <c r="C3" s="16"/>
      <c r="D3" s="17"/>
      <c r="E3" s="17"/>
    </row>
    <row r="4" spans="1:5" s="9" customFormat="1" ht="18.75" customHeight="1" x14ac:dyDescent="0.3">
      <c r="A4" s="14"/>
      <c r="B4" s="15"/>
      <c r="C4" s="16"/>
      <c r="D4" s="17"/>
      <c r="E4" s="17"/>
    </row>
    <row r="5" spans="1:5" s="9" customFormat="1" ht="18.75" customHeight="1" x14ac:dyDescent="0.3">
      <c r="A5" s="14"/>
      <c r="B5" s="15"/>
      <c r="C5" s="16"/>
      <c r="D5" s="17"/>
      <c r="E5" s="17"/>
    </row>
    <row r="6" spans="1:5" s="9" customFormat="1" ht="18.75" customHeight="1" x14ac:dyDescent="0.3">
      <c r="A6" s="14"/>
      <c r="B6" s="15"/>
      <c r="C6" s="16"/>
      <c r="D6" s="17"/>
      <c r="E6" s="17"/>
    </row>
    <row r="7" spans="1:5" s="9" customFormat="1" ht="18.75" customHeight="1" x14ac:dyDescent="0.3">
      <c r="A7" s="14"/>
      <c r="B7" s="15"/>
      <c r="C7" s="16"/>
      <c r="D7" s="17"/>
      <c r="E7" s="17"/>
    </row>
    <row r="8" spans="1:5" s="9" customFormat="1" ht="18.75" customHeight="1" x14ac:dyDescent="0.3">
      <c r="A8" s="14"/>
      <c r="B8" s="15"/>
      <c r="C8" s="16"/>
      <c r="D8" s="17"/>
      <c r="E8" s="17"/>
    </row>
    <row r="9" spans="1:5" ht="18.75" customHeight="1" x14ac:dyDescent="0.3">
      <c r="A9" s="14"/>
      <c r="B9" s="15"/>
      <c r="C9" s="16"/>
      <c r="D9" s="17"/>
      <c r="E9" s="17"/>
    </row>
    <row r="10" spans="1:5" s="9" customFormat="1" ht="18.75" customHeight="1" x14ac:dyDescent="0.3">
      <c r="A10" s="14"/>
      <c r="B10" s="15"/>
      <c r="C10" s="16"/>
      <c r="D10" s="17"/>
      <c r="E10" s="17"/>
    </row>
    <row r="11" spans="1:5" s="9" customFormat="1" ht="18.75" customHeight="1" x14ac:dyDescent="0.3">
      <c r="A11" s="14"/>
      <c r="B11" s="15"/>
      <c r="C11" s="16"/>
      <c r="D11" s="17"/>
      <c r="E11" s="17"/>
    </row>
    <row r="12" spans="1:5" s="9" customFormat="1" ht="18.75" customHeight="1" x14ac:dyDescent="0.3">
      <c r="A12" s="14"/>
      <c r="B12" s="15"/>
      <c r="C12" s="16"/>
      <c r="D12" s="17"/>
      <c r="E12" s="17"/>
    </row>
    <row r="13" spans="1:5" ht="18.75" customHeight="1" x14ac:dyDescent="0.3">
      <c r="A13" s="14"/>
      <c r="B13" s="15"/>
      <c r="C13" s="16"/>
      <c r="D13" s="17"/>
      <c r="E13" s="17"/>
    </row>
    <row r="14" spans="1:5" ht="18.75" customHeight="1" x14ac:dyDescent="0.3">
      <c r="A14" s="18"/>
      <c r="B14" s="15"/>
      <c r="C14" s="16"/>
      <c r="D14" s="17"/>
      <c r="E14" s="17"/>
    </row>
    <row r="15" spans="1:5" ht="18.75" customHeight="1" x14ac:dyDescent="0.3">
      <c r="A15" s="18"/>
      <c r="B15" s="15"/>
      <c r="C15" s="16"/>
      <c r="D15" s="17"/>
      <c r="E15" s="17"/>
    </row>
    <row r="16" spans="1:5" ht="18.75" customHeight="1" x14ac:dyDescent="0.3">
      <c r="A16" s="18"/>
      <c r="B16" s="15"/>
      <c r="C16" s="16"/>
      <c r="D16" s="17"/>
      <c r="E16" s="17"/>
    </row>
    <row r="17" spans="1:5" x14ac:dyDescent="0.3">
      <c r="A17" s="19"/>
      <c r="B17" s="15"/>
      <c r="C17" s="20"/>
      <c r="D17" s="17"/>
      <c r="E17" s="17"/>
    </row>
    <row r="18" spans="1:5" x14ac:dyDescent="0.3">
      <c r="A18" s="19"/>
      <c r="B18" s="15"/>
      <c r="C18" s="20"/>
      <c r="D18" s="17"/>
      <c r="E18" s="17"/>
    </row>
    <row r="19" spans="1:5" x14ac:dyDescent="0.3">
      <c r="A19" s="19"/>
      <c r="B19" s="15"/>
      <c r="C19" s="20"/>
      <c r="D19" s="17"/>
      <c r="E19" s="17"/>
    </row>
    <row r="20" spans="1:5" x14ac:dyDescent="0.3">
      <c r="A20" s="19"/>
      <c r="B20" s="15"/>
      <c r="C20" s="20"/>
      <c r="D20" s="17"/>
      <c r="E20" s="17"/>
    </row>
    <row r="21" spans="1:5" x14ac:dyDescent="0.3">
      <c r="A21" s="19"/>
      <c r="B21" s="15"/>
      <c r="C21" s="20"/>
      <c r="D21" s="17"/>
      <c r="E21" s="17"/>
    </row>
    <row r="22" spans="1:5" x14ac:dyDescent="0.3">
      <c r="A22" s="19"/>
      <c r="B22" s="15"/>
      <c r="C22" s="20"/>
      <c r="D22" s="17"/>
      <c r="E22" s="17"/>
    </row>
  </sheetData>
  <sheetProtection formatCells="0" insertHyperlinks="0" autoFilter="0"/>
  <autoFilter ref="A1:E12"/>
  <phoneticPr fontId="12" type="noConversion"/>
  <conditionalFormatting sqref="C13">
    <cfRule type="cellIs" dxfId="6" priority="14" operator="greaterThan">
      <formula>0</formula>
    </cfRule>
  </conditionalFormatting>
  <conditionalFormatting sqref="C2:C12">
    <cfRule type="cellIs" dxfId="5" priority="5" operator="greaterThan">
      <formula>0</formula>
    </cfRule>
  </conditionalFormatting>
  <conditionalFormatting sqref="C14:C16">
    <cfRule type="cellIs" dxfId="4" priority="17" operator="greaterThan">
      <formula>0</formula>
    </cfRule>
  </conditionalFormatting>
  <conditionalFormatting sqref="D2:D16">
    <cfRule type="cellIs" dxfId="3" priority="1" operator="lessThan">
      <formula>0</formula>
    </cfRule>
    <cfRule type="cellIs" dxfId="2" priority="2" operator="greaterThan">
      <formula>0</formula>
    </cfRule>
  </conditionalFormatting>
  <conditionalFormatting sqref="D17:D22">
    <cfRule type="cellIs" dxfId="1" priority="3" operator="lessThan">
      <formula>0</formula>
    </cfRule>
    <cfRule type="cellIs" dxfId="0" priority="4" operator="greaterThan">
      <formula>0</formula>
    </cfRule>
  </conditionalFormatting>
  <pageMargins left="0.7" right="0.7" top="0.75" bottom="0.75" header="0.3" footer="0.3"/>
  <pageSetup paperSize="9" orientation="portrait"/>
  <customProperties>
    <customPr name="BudgetSheetCodeName" r:id="rId1"/>
  </customPropertie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C12"/>
  <sheetViews>
    <sheetView topLeftCell="A4" workbookViewId="0">
      <selection activeCell="E27" sqref="E27:E29"/>
    </sheetView>
  </sheetViews>
  <sheetFormatPr defaultColWidth="9" defaultRowHeight="14" x14ac:dyDescent="0.25"/>
  <sheetData>
    <row r="1" spans="1:3" ht="21.75" customHeight="1" x14ac:dyDescent="0.25">
      <c r="A1" s="3" t="s">
        <v>44</v>
      </c>
      <c r="B1" s="3" t="s">
        <v>45</v>
      </c>
      <c r="C1" s="3" t="s">
        <v>46</v>
      </c>
    </row>
    <row r="2" spans="1:3" ht="25" customHeight="1" x14ac:dyDescent="0.25">
      <c r="A2" s="4" t="s">
        <v>15</v>
      </c>
      <c r="B2" s="5">
        <v>35</v>
      </c>
      <c r="C2" s="6">
        <v>0.2</v>
      </c>
    </row>
    <row r="3" spans="1:3" ht="25" customHeight="1" x14ac:dyDescent="0.25">
      <c r="A3" s="4" t="s">
        <v>14</v>
      </c>
      <c r="B3" s="5">
        <v>15</v>
      </c>
      <c r="C3" s="6">
        <v>0.6</v>
      </c>
    </row>
    <row r="4" spans="1:3" ht="25" customHeight="1" x14ac:dyDescent="0.25">
      <c r="A4" s="4" t="s">
        <v>18</v>
      </c>
      <c r="B4" s="5">
        <v>-5</v>
      </c>
      <c r="C4" s="6">
        <v>0.2</v>
      </c>
    </row>
    <row r="10" spans="1:3" ht="15" x14ac:dyDescent="0.25">
      <c r="A10" s="7" t="s">
        <v>47</v>
      </c>
    </row>
    <row r="11" spans="1:3" ht="15" x14ac:dyDescent="0.25">
      <c r="A11" s="8" t="s">
        <v>48</v>
      </c>
    </row>
    <row r="12" spans="1:3" ht="15" x14ac:dyDescent="0.25">
      <c r="A12" s="7"/>
    </row>
  </sheetData>
  <sheetProtection formatCells="0" insertHyperlinks="0" autoFilter="0"/>
  <phoneticPr fontId="12" type="noConversion"/>
  <pageMargins left="0.7" right="0.7" top="0.75" bottom="0.75" header="0.3" footer="0.3"/>
  <pageSetup paperSize="9" orientation="portrait"/>
  <customProperties>
    <customPr name="BudgetSheetCodeName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item1.xml><?xml version="1.0" encoding="utf-8"?>
<comments xmlns="https://web.wps.cn/et/2018/main" xmlns:s="http://schemas.openxmlformats.org/spreadsheetml/2006/main">
  <commentList sheetStid="6">
    <comment s:ref="I3" rgbClr="FF0000">
      <item id="{5907fb2a-99e7-40df-8b1a-fe551ab600fd}" isNormal="1">
        <s:text>
          <s:r>
            <s:t xml:space="preserve">按设备体积产能利用率计算
</s:t>
          </s:r>
        </s:text>
      </item>
    </comment>
  </commentList>
  <commentList sheetStid="9">
    <comment s:ref="F1" rgbClr="FF0000">
      <item id="{4b4f5e4f-b5af-4b1a-aa18-1c2f0423de6d}" isNormal="1">
        <s:text>
          <s:r>
            <s:t xml:space="preserve">班长奖金调整及最佳区域&amp;最差区域评定结果</s:t>
          </s:r>
        </s:text>
      </item>
    </comment>
    <comment s:ref="K1" rgbClr="FF0000">
      <item id="{d1318463-5e45-4b5f-8fb0-baca790a00e8}" isNormal="1">
        <s:text>
          <s:r>
            <s:t xml:space="preserve">出勤率低于60%，取消当月安全质量奖
</s:t>
          </s:r>
        </s:text>
      </item>
    </comment>
    <comment s:ref="F17" rgbClr="FF0000">
      <item id="{c727d5f7-6f1f-4728-a82c-dcd514ca2949}" isNormal="1">
        <s:text>
          <s:r>
            <s:t xml:space="preserve">有奖惩</s:t>
          </s:r>
        </s:text>
      </item>
    </comment>
    <comment s:ref="E72" rgbClr="FF0000">
      <item id="{ff57a56a-417c-4533-a78d-ca15ca5c77a3}" isNormal="1">
        <s:text>
          <s:r>
            <s:t xml:space="preserve">08/02/2020调入</s:t>
          </s:r>
        </s:text>
      </item>
    </comment>
  </commentList>
  <commentList sheetStid="1">
    <comment s:ref="F11" rgbClr="FF0000">
      <item id="{4973f6ab-4b25-4abb-b969-763f24af2f42}" isNormal="1">
        <s:text>
          <s:r>
            <s:t xml:space="preserve">有奖惩</s:t>
          </s:r>
        </s:text>
      </item>
    </comment>
    <comment s:ref="F23" rgbClr="FF0000">
      <item id="{7a7a182e-84cc-4629-a511-60fa4f8f8b48}" isNormal="1">
        <s:text>
          <s:r>
            <s:t xml:space="preserve">有奖惩</s:t>
          </s:r>
        </s:text>
      </item>
    </comment>
    <comment s:ref="F31" rgbClr="FF0000">
      <item id="{8568b6a2-c205-4484-951b-8b0e3ed89199}" isNormal="1">
        <s:text>
          <s:r>
            <s:t xml:space="preserve">有奖惩</s:t>
          </s:r>
        </s:text>
      </item>
    </comment>
    <comment s:ref="F43" rgbClr="FF0000">
      <item id="{f535c919-379a-4571-892e-148c857eac76}" isNormal="1">
        <s:text>
          <s:r>
            <s:t xml:space="preserve">有奖惩</s:t>
          </s:r>
        </s:text>
      </item>
    </comment>
  </commentList>
  <commentList sheetStid="4">
    <comment s:ref="B4" rgbClr="FF0000">
      <item id="{13f2caee-0752-404b-a5f7-7852105ce8c5}" isNormal="1">
        <s:text>
          <s:r>
            <s:t xml:space="preserve">代替东松管理班组
</s:t>
          </s:r>
        </s:text>
      </item>
    </comment>
  </commentList>
  <commentList sheetStid="7">
    <comment s:ref="E1" rgbClr="FF0000">
      <item id="{f5b87a4c-056f-4c7c-83d7-6f750fed746d}" isNormal="1">
        <s:text>
          <s:r>
            <s:t xml:space="preserve">发现一条从安全质量奖中扣除, 前五条每条5元，超过5条部分每条10元. 
</s:t>
          </s:r>
        </s:text>
      </item>
    </comment>
  </commentList>
</comments>
</file>

<file path=customXml/item2.xml><?xml version="1.0" encoding="utf-8"?>
<DataSources/>
</file>

<file path=customXml/item3.xml><?xml version="1.0" encoding="utf-8"?>
<sheetInterline xmlns="https://web.wps.cn/et/2018/main" xmlns:s="http://schemas.openxmlformats.org/spreadsheetml/2006/main">
  <interlineItem sheetStid="6" interlineOnOff="0" interlineColor="0"/>
  <interlineItem sheetStid="9" interlineOnOff="0" interlineColor="0"/>
  <interlineItem sheetStid="1" interlineOnOff="0" interlineColor="0"/>
  <interlineItem sheetStid="4" interlineOnOff="0" interlineColor="0"/>
  <interlineItem sheetStid="5" interlineOnOff="0" interlineColor="0"/>
  <interlineItem sheetStid="8" interlineOnOff="0" interlineColor="0"/>
  <interlineItem sheetStid="7" interlineOnOff="0" interlineColor="0"/>
  <interlineItem sheetStid="3" interlineOnOff="0" interlineColor="0"/>
  <interlineItem sheetStid="10" interlineOnOff="0" interlineColor="0"/>
  <interlineItem sheetStid="2" interlineOnOff="0" interlineColor="0"/>
  <interlineItem sheetStid="12" interlineOnOff="0" interlineColor="0"/>
  <interlineItem sheetStid="13" interlineOnOff="0" interlineColor="0"/>
</sheetInterline>
</file>

<file path=customXml/item4.xml><?xml version="1.0" encoding="utf-8"?>
<mergeFile xmlns="https://web.wps.cn/et/2018/main" xmlns:s="http://schemas.openxmlformats.org/spreadsheetml/2006/main">
  <listFile/>
</mergeFile>
</file>

<file path=customXml/item5.xml><?xml version="1.0" encoding="utf-8"?>
<pixelators xmlns="https://web.wps.cn/et/2018/main" xmlns:s="http://schemas.openxmlformats.org/spreadsheetml/2006/main">
  <pixelatorList sheetStid="6"/>
  <pixelatorList sheetStid="9"/>
  <pixelatorList sheetStid="1"/>
  <pixelatorList sheetStid="4"/>
  <pixelatorList sheetStid="5"/>
  <pixelatorList sheetStid="8"/>
  <pixelatorList sheetStid="7"/>
  <pixelatorList sheetStid="3"/>
  <pixelatorList sheetStid="10"/>
  <pixelatorList sheetStid="2"/>
  <pixelatorList sheetStid="12"/>
  <pixelatorList sheetStid="13"/>
</pixelators>
</file>

<file path=customXml/item6.xml><?xml version="1.0" encoding="utf-8"?>
<allowEditUser xmlns="https://web.wps.cn/et/2018/main" xmlns:s="http://schemas.openxmlformats.org/spreadsheetml/2006/main" hasInvisiblePropRange="0">
  <rangeList sheetStid="6" master=""/>
  <rangeList sheetStid="9" master=""/>
  <rangeList sheetStid="1" master=""/>
  <rangeList sheetStid="4" master=""/>
  <rangeList sheetStid="5" master=""/>
  <rangeList sheetStid="8" master=""/>
  <rangeList sheetStid="7" master=""/>
  <rangeList sheetStid="3" master=""/>
  <rangeList sheetStid="10" master=""/>
  <rangeList sheetStid="2" master=""/>
  <rangeList sheetStid="12" master=""/>
</allowEditUser>
</file>

<file path=customXml/item7.xml><?xml version="1.0" encoding="utf-8"?>
<settings xmlns="https://web.wps.cn/et/2018/main" xmlns:s="http://schemas.openxmlformats.org/spreadsheetml/2006/main">
  <bookSettings>
    <isFilterShared>1</isFilterShared>
    <isAutoUpdatePaused>0</isAutoUpdatePaused>
    <filterType>conn</filterType>
  </bookSettings>
</setting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AB5BBFD5-EC87-4715-9FA0-869CE6FEF891}">
  <ds:schemaRefs/>
</ds:datastoreItem>
</file>

<file path=customXml/itemProps3.xml><?xml version="1.0" encoding="utf-8"?>
<ds:datastoreItem xmlns:ds="http://schemas.openxmlformats.org/officeDocument/2006/customXml" ds:itemID="{3F8FC9E7-9E3E-4D00-BC07-C2C84DFACBCF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DC3875BF-13D6-4817-9B69-0B22B651B2C7}">
  <ds:schemaRefs>
    <ds:schemaRef ds:uri="https://web.wps.cn/et/2018/main"/>
    <ds:schemaRef ds:uri="http://schemas.openxmlformats.org/spreadsheetml/2006/main"/>
  </ds:schemaRefs>
</ds:datastoreItem>
</file>

<file path=customXml/itemProps5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6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7.xml><?xml version="1.0" encoding="utf-8"?>
<ds:datastoreItem xmlns:ds="http://schemas.openxmlformats.org/officeDocument/2006/customXml" ds:itemID="{9F91F69C-6E8C-4246-BC25-297BFDC75D90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命名范围</vt:lpstr>
      </vt:variant>
      <vt:variant>
        <vt:i4>2</vt:i4>
      </vt:variant>
    </vt:vector>
  </HeadingPairs>
  <TitlesOfParts>
    <vt:vector size="10" baseType="lpstr">
      <vt:lpstr>副主任&amp;工艺组长及其他</vt:lpstr>
      <vt:lpstr>一线人员</vt:lpstr>
      <vt:lpstr>复核人</vt:lpstr>
      <vt:lpstr>说明</vt:lpstr>
      <vt:lpstr>积分汇总</vt:lpstr>
      <vt:lpstr>安全质量事故</vt:lpstr>
      <vt:lpstr>记录巡查问题条数汇总</vt:lpstr>
      <vt:lpstr>标准数据</vt:lpstr>
      <vt:lpstr>'副主任&amp;工艺组长及其他'!Print_Area</vt:lpstr>
      <vt:lpstr>一线人员!Print_Area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Qiuyan Chen</dc:creator>
  <cp:lastModifiedBy>Lizheng Wang</cp:lastModifiedBy>
  <dcterms:created xsi:type="dcterms:W3CDTF">2006-09-16T08:00:00Z</dcterms:created>
  <dcterms:modified xsi:type="dcterms:W3CDTF">2026-08-14T07:53:48Z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UFIDA_U9App_DataSourceXMLPart">
    <vt:lpwstr>{AB5BBFD5-EC87-4715-9FA0-869CE6FEF891}</vt:lpwstr>
  </property>
  <property fmtid="{D5CDD505-2E9C-101B-9397-08002B2CF9AE}" pid="3" name="KSOProductBuildVer">
    <vt:lpwstr>2052-0.0.0.0</vt:lpwstr>
  </property>
</Properties>
</file>